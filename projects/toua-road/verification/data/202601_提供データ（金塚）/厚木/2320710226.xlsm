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filterPrivacy="1" showInkAnnotation="0" updateLinks="never" codeName="ThisWorkbook"/>
  <xr:revisionPtr revIDLastSave="0" documentId="8_{9C2EFEAF-688F-4752-8921-85A75CF6C426}" xr6:coauthVersionLast="47" xr6:coauthVersionMax="47" xr10:uidLastSave="{00000000-0000-0000-0000-000000000000}"/>
  <bookViews>
    <workbookView xWindow="28680" yWindow="-120" windowWidth="29040" windowHeight="15720" tabRatio="728" activeTab="6" xr2:uid="{00000000-000D-0000-FFFF-FFFF00000000}"/>
  </bookViews>
  <sheets>
    <sheet name="実行予算書鑑" sheetId="24" r:id="rId1"/>
    <sheet name="工事工程表" sheetId="25" r:id="rId2"/>
    <sheet name="工事概要" sheetId="26" r:id="rId3"/>
    <sheet name="工事総括表" sheetId="27" r:id="rId4"/>
    <sheet name="工事総括表2" sheetId="35" r:id="rId5"/>
    <sheet name="本工事内訳書(直接工事費)" sheetId="36" r:id="rId6"/>
    <sheet name="工事費一覧表(直接工事費)" sheetId="29" r:id="rId7"/>
    <sheet name="間接費一覧" sheetId="30" r:id="rId8"/>
    <sheet name="共通仮設費総括表" sheetId="31" r:id="rId9"/>
    <sheet name="工事費一覧表(共通仮設費)" sheetId="32" r:id="rId10"/>
    <sheet name="現場経費総括表" sheetId="33" r:id="rId11"/>
    <sheet name="工事費一覧表(現場経費)" sheetId="34" r:id="rId12"/>
    <sheet name="調書(材料費)" sheetId="8" r:id="rId13"/>
    <sheet name="調書(労務費)" sheetId="13" r:id="rId14"/>
    <sheet name="調書(外注費)" sheetId="14" r:id="rId15"/>
    <sheet name="調書(機械費)" sheetId="16" r:id="rId16"/>
    <sheet name="調書(運搬費)" sheetId="15" r:id="rId17"/>
  </sheets>
  <functionGroups builtInGroupCount="19"/>
  <definedNames>
    <definedName name="_xlnm._FilterDatabase" localSheetId="9" hidden="1">'工事費一覧表(共通仮設費)'!$A$3:$AE$3</definedName>
    <definedName name="_xlnm._FilterDatabase" localSheetId="11" hidden="1">'工事費一覧表(現場経費)'!$A$3:$AE$3</definedName>
    <definedName name="_xlnm._FilterDatabase" localSheetId="6" hidden="1">'工事費一覧表(直接工事費)'!$A$3:$AE$3</definedName>
    <definedName name="_xlnm.Print_Area" localSheetId="7">間接費一覧!#REF!</definedName>
    <definedName name="_xlnm.Print_Area" localSheetId="8">共通仮設費総括表!#REF!</definedName>
    <definedName name="_xlnm.Print_Area" localSheetId="10">現場経費総括表!#REF!</definedName>
    <definedName name="_xlnm.Print_Area" localSheetId="2">工事概要!$A$1:$M$20</definedName>
    <definedName name="_xlnm.Print_Area" localSheetId="3">工事総括表!$A$1:$P$20</definedName>
    <definedName name="_xlnm.Print_Area" localSheetId="9">'工事費一覧表(共通仮設費)'!$A$1:$AF$27</definedName>
    <definedName name="_xlnm.Print_Area" localSheetId="11">'工事費一覧表(現場経費)'!$A$1:$AF$17</definedName>
    <definedName name="_xlnm.Print_Area" localSheetId="6">'工事費一覧表(直接工事費)'!$A$1:$AF$89</definedName>
    <definedName name="_xlnm.Print_Area" localSheetId="0">実行予算書鑑!$A$1:$AM$32</definedName>
    <definedName name="_xlnm.Print_Area" localSheetId="16">'調書(運搬費)'!#REF!</definedName>
    <definedName name="_xlnm.Print_Area" localSheetId="14">'調書(外注費)'!#REF!</definedName>
    <definedName name="_xlnm.Print_Area" localSheetId="15">'調書(機械費)'!#REF!</definedName>
    <definedName name="_xlnm.Print_Area" localSheetId="12">'調書(材料費)'!#REF!</definedName>
    <definedName name="_xlnm.Print_Area" localSheetId="13">'調書(労務費)'!#REF!</definedName>
    <definedName name="_xlnm.Print_Titles" localSheetId="9">'工事費一覧表(共通仮設費)'!$2:$3</definedName>
    <definedName name="_xlnm.Print_Titles" localSheetId="11">'工事費一覧表(現場経費)'!$2:$3</definedName>
    <definedName name="_xlnm.Print_Titles" localSheetId="6">'工事費一覧表(直接工事費)'!$2:$3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4" l="1"/>
  <c r="L4" i="34"/>
  <c r="K5" i="34"/>
  <c r="L5" i="34"/>
  <c r="K6" i="34"/>
  <c r="L6" i="34"/>
  <c r="K7" i="34"/>
  <c r="L7" i="34"/>
  <c r="K8" i="34"/>
  <c r="L8" i="34"/>
  <c r="K9" i="34"/>
  <c r="L9" i="34"/>
  <c r="K10" i="34"/>
  <c r="L10" i="34"/>
  <c r="K11" i="34"/>
  <c r="L11" i="34"/>
  <c r="K12" i="34"/>
  <c r="L12" i="34"/>
  <c r="K13" i="34"/>
  <c r="L13" i="34"/>
  <c r="K14" i="34"/>
  <c r="L14" i="34"/>
  <c r="K15" i="34"/>
  <c r="L15" i="34"/>
  <c r="K16" i="34"/>
  <c r="L16" i="34"/>
  <c r="K4" i="32"/>
  <c r="L4" i="32"/>
  <c r="K5" i="32"/>
  <c r="L5" i="32"/>
  <c r="K6" i="32"/>
  <c r="L6" i="32"/>
  <c r="K7" i="32"/>
  <c r="L7" i="32"/>
  <c r="K8" i="32"/>
  <c r="L8" i="32"/>
  <c r="K9" i="32"/>
  <c r="L9" i="32"/>
  <c r="K10" i="32"/>
  <c r="L10" i="32"/>
  <c r="K11" i="32"/>
  <c r="L11" i="32"/>
  <c r="K12" i="32"/>
  <c r="L12" i="32"/>
  <c r="K13" i="32"/>
  <c r="L13" i="32"/>
  <c r="K14" i="32"/>
  <c r="L14" i="32"/>
  <c r="K15" i="32"/>
  <c r="L15" i="32"/>
  <c r="K16" i="32"/>
  <c r="L16" i="32"/>
  <c r="K17" i="32"/>
  <c r="L17" i="32"/>
  <c r="K18" i="32"/>
  <c r="L18" i="32"/>
  <c r="K19" i="32"/>
  <c r="L19" i="32"/>
  <c r="K20" i="32"/>
  <c r="L20" i="32"/>
  <c r="K21" i="32"/>
  <c r="L21" i="32"/>
  <c r="K22" i="32"/>
  <c r="L22" i="32"/>
  <c r="K23" i="32"/>
  <c r="L23" i="32"/>
  <c r="K24" i="32"/>
  <c r="L24" i="32"/>
  <c r="K25" i="32"/>
  <c r="L25" i="32"/>
  <c r="K26" i="32"/>
  <c r="L26" i="32"/>
  <c r="K4" i="29"/>
  <c r="L4" i="29"/>
  <c r="K5" i="29"/>
  <c r="L5" i="29"/>
  <c r="K6" i="29"/>
  <c r="L6" i="29"/>
  <c r="K7" i="29"/>
  <c r="L7" i="29"/>
  <c r="K8" i="29"/>
  <c r="L8" i="29"/>
  <c r="K9" i="29"/>
  <c r="L9" i="29"/>
  <c r="K10" i="29"/>
  <c r="L10" i="29"/>
  <c r="K11" i="29"/>
  <c r="L11" i="29"/>
  <c r="K12" i="29"/>
  <c r="L12" i="29"/>
  <c r="K13" i="29"/>
  <c r="L13" i="29"/>
  <c r="K14" i="29"/>
  <c r="L14" i="29"/>
  <c r="K15" i="29"/>
  <c r="L15" i="29"/>
  <c r="K16" i="29"/>
  <c r="L16" i="29"/>
  <c r="K17" i="29"/>
  <c r="L17" i="29"/>
  <c r="K18" i="29"/>
  <c r="L18" i="29"/>
  <c r="K19" i="29"/>
  <c r="L19" i="29"/>
  <c r="K20" i="29"/>
  <c r="L20" i="29"/>
  <c r="K21" i="29"/>
  <c r="L21" i="29"/>
  <c r="K22" i="29"/>
  <c r="L22" i="29"/>
  <c r="K23" i="29"/>
  <c r="L23" i="29"/>
  <c r="K24" i="29"/>
  <c r="L24" i="29"/>
  <c r="K25" i="29"/>
  <c r="L25" i="29"/>
  <c r="K26" i="29"/>
  <c r="L26" i="29"/>
  <c r="K27" i="29"/>
  <c r="L27" i="29"/>
  <c r="K28" i="29"/>
  <c r="L28" i="29"/>
  <c r="K29" i="29"/>
  <c r="L29" i="29"/>
  <c r="K30" i="29"/>
  <c r="L30" i="29"/>
  <c r="K31" i="29"/>
  <c r="L31" i="29"/>
  <c r="K32" i="29"/>
  <c r="L32" i="29"/>
  <c r="K33" i="29"/>
  <c r="L33" i="29"/>
  <c r="K34" i="29"/>
  <c r="L34" i="29"/>
  <c r="K35" i="29"/>
  <c r="L35" i="29"/>
  <c r="K36" i="29"/>
  <c r="L36" i="29"/>
  <c r="K37" i="29"/>
  <c r="L37" i="29"/>
  <c r="K38" i="29"/>
  <c r="L38" i="29"/>
  <c r="K39" i="29"/>
  <c r="L39" i="29"/>
  <c r="K40" i="29"/>
  <c r="L40" i="29"/>
  <c r="K41" i="29"/>
  <c r="L41" i="29"/>
  <c r="K42" i="29"/>
  <c r="L42" i="29"/>
  <c r="K43" i="29"/>
  <c r="L43" i="29"/>
  <c r="K44" i="29"/>
  <c r="L44" i="29"/>
  <c r="K45" i="29"/>
  <c r="L45" i="29"/>
  <c r="K46" i="29"/>
  <c r="L46" i="29"/>
  <c r="K47" i="29"/>
  <c r="L47" i="29"/>
  <c r="K48" i="29"/>
  <c r="L48" i="29"/>
  <c r="K49" i="29"/>
  <c r="L49" i="29"/>
  <c r="K50" i="29"/>
  <c r="L50" i="29"/>
  <c r="K51" i="29"/>
  <c r="L51" i="29"/>
  <c r="K52" i="29"/>
  <c r="L52" i="29"/>
  <c r="K53" i="29"/>
  <c r="L53" i="29"/>
  <c r="K54" i="29"/>
  <c r="L54" i="29"/>
  <c r="K55" i="29"/>
  <c r="L55" i="29"/>
  <c r="K56" i="29"/>
  <c r="L56" i="29"/>
  <c r="K57" i="29"/>
  <c r="L57" i="29"/>
  <c r="K58" i="29"/>
  <c r="L58" i="29"/>
  <c r="K59" i="29"/>
  <c r="L59" i="29"/>
  <c r="K60" i="29"/>
  <c r="L60" i="29"/>
  <c r="K61" i="29"/>
  <c r="L61" i="29"/>
  <c r="K62" i="29"/>
  <c r="L62" i="29"/>
  <c r="K63" i="29"/>
  <c r="L63" i="29"/>
  <c r="K64" i="29"/>
  <c r="L64" i="29"/>
  <c r="K65" i="29"/>
  <c r="L65" i="29"/>
  <c r="K66" i="29"/>
  <c r="L66" i="29"/>
  <c r="K67" i="29"/>
  <c r="L67" i="29"/>
  <c r="K68" i="29"/>
  <c r="L68" i="29"/>
  <c r="K69" i="29"/>
  <c r="L69" i="29"/>
  <c r="K70" i="29"/>
  <c r="L70" i="29"/>
  <c r="K71" i="29"/>
  <c r="L71" i="29"/>
  <c r="K72" i="29"/>
  <c r="L72" i="29"/>
  <c r="K73" i="29"/>
  <c r="L73" i="29"/>
  <c r="K74" i="29"/>
  <c r="L74" i="29"/>
  <c r="K75" i="29"/>
  <c r="L75" i="29"/>
  <c r="K76" i="29"/>
  <c r="L76" i="29"/>
  <c r="K77" i="29"/>
  <c r="L77" i="29"/>
  <c r="K78" i="29"/>
  <c r="L78" i="29"/>
  <c r="K79" i="29"/>
  <c r="L79" i="29"/>
  <c r="K80" i="29"/>
  <c r="L80" i="29"/>
  <c r="K81" i="29"/>
  <c r="L81" i="29"/>
  <c r="K82" i="29"/>
  <c r="L82" i="29"/>
  <c r="K83" i="29"/>
  <c r="L83" i="29"/>
  <c r="K84" i="29"/>
  <c r="L84" i="29"/>
  <c r="K85" i="29"/>
  <c r="L85" i="29"/>
  <c r="K86" i="29"/>
  <c r="L86" i="29"/>
  <c r="K87" i="29"/>
  <c r="L87" i="29"/>
  <c r="K88" i="29"/>
  <c r="L88" i="29"/>
  <c r="D1" i="34" l="1"/>
  <c r="D1" i="32"/>
  <c r="D1" i="29"/>
  <c r="Z1" i="34"/>
  <c r="R1" i="34"/>
  <c r="J1" i="34"/>
  <c r="Z1" i="32"/>
  <c r="R1" i="32"/>
  <c r="J1" i="32"/>
  <c r="J1" i="29"/>
  <c r="F28" i="25"/>
  <c r="G28" i="25" s="1"/>
  <c r="H28" i="25" s="1"/>
  <c r="I28" i="25" s="1"/>
  <c r="J28" i="25" s="1"/>
  <c r="K28" i="25" s="1"/>
  <c r="L28" i="25" s="1"/>
  <c r="M28" i="25" s="1"/>
  <c r="N28" i="25" s="1"/>
  <c r="O28" i="25" s="1"/>
  <c r="P28" i="25" s="1"/>
  <c r="Q28" i="25" s="1"/>
  <c r="R28" i="25" s="1"/>
  <c r="C20" i="25"/>
  <c r="D19" i="25"/>
  <c r="D11" i="25"/>
  <c r="O26" i="25" l="1"/>
  <c r="O21" i="25" s="1"/>
  <c r="Q26" i="25"/>
  <c r="Q21" i="25" s="1"/>
  <c r="D10" i="25"/>
  <c r="D18" i="25"/>
  <c r="H26" i="25"/>
  <c r="H21" i="25" s="1"/>
  <c r="P26" i="25"/>
  <c r="P21" i="25" s="1"/>
  <c r="J26" i="25"/>
  <c r="J21" i="25" s="1"/>
  <c r="J22" i="25" s="1"/>
  <c r="R26" i="25"/>
  <c r="R21" i="25" s="1"/>
  <c r="R22" i="25" s="1"/>
  <c r="I26" i="25"/>
  <c r="I21" i="25" s="1"/>
  <c r="I22" i="25" s="1"/>
  <c r="D12" i="25"/>
  <c r="K26" i="25"/>
  <c r="K21" i="25" s="1"/>
  <c r="K22" i="25" s="1"/>
  <c r="D6" i="25"/>
  <c r="D14" i="25"/>
  <c r="O22" i="25"/>
  <c r="L26" i="25"/>
  <c r="L21" i="25" s="1"/>
  <c r="L22" i="25" s="1"/>
  <c r="D7" i="25"/>
  <c r="D15" i="25"/>
  <c r="H22" i="25"/>
  <c r="P22" i="25"/>
  <c r="E26" i="25"/>
  <c r="M26" i="25"/>
  <c r="M21" i="25" s="1"/>
  <c r="M22" i="25" s="1"/>
  <c r="D5" i="25"/>
  <c r="D13" i="25"/>
  <c r="D8" i="25"/>
  <c r="D16" i="25"/>
  <c r="Q22" i="25"/>
  <c r="F26" i="25"/>
  <c r="F21" i="25" s="1"/>
  <c r="F22" i="25" s="1"/>
  <c r="N26" i="25"/>
  <c r="N21" i="25" s="1"/>
  <c r="N22" i="25" s="1"/>
  <c r="D9" i="25"/>
  <c r="D17" i="25"/>
  <c r="G26" i="25"/>
  <c r="G21" i="25" s="1"/>
  <c r="G22" i="25" s="1"/>
  <c r="E21" i="25" l="1"/>
  <c r="E22" i="25" s="1"/>
  <c r="F25" i="25"/>
  <c r="G25" i="25" s="1"/>
  <c r="H25" i="25" s="1"/>
  <c r="I25" i="25" s="1"/>
  <c r="J25" i="25" s="1"/>
  <c r="K25" i="25" s="1"/>
  <c r="L25" i="25" s="1"/>
  <c r="M25" i="25" s="1"/>
  <c r="N25" i="25" s="1"/>
  <c r="O25" i="25" s="1"/>
  <c r="P25" i="25" s="1"/>
  <c r="Q25" i="25" s="1"/>
  <c r="R25" i="25" s="1"/>
  <c r="D20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G1" authorId="0" shapeId="0" xr:uid="{00000000-0006-0000-0000-000001000000}">
      <text>
        <r>
          <rPr>
            <sz val="11"/>
            <color indexed="81"/>
            <rFont val="ＭＳ 明朝"/>
            <family val="1"/>
            <charset val="128"/>
          </rPr>
          <t>（例）「2022/12/1」の
形式で入力してください。</t>
        </r>
      </text>
    </comment>
  </commentList>
</comments>
</file>

<file path=xl/sharedStrings.xml><?xml version="1.0" encoding="utf-8"?>
<sst xmlns="http://schemas.openxmlformats.org/spreadsheetml/2006/main" count="2126" uniqueCount="570">
  <si>
    <t>作成年月日</t>
    <rPh sb="0" eb="2">
      <t>サクセイ</t>
    </rPh>
    <rPh sb="2" eb="5">
      <t>ネンガッピ</t>
    </rPh>
    <phoneticPr fontId="4"/>
  </si>
  <si>
    <t>実行予算書</t>
    <rPh sb="0" eb="2">
      <t>ジッコウ</t>
    </rPh>
    <rPh sb="2" eb="4">
      <t>ヨサン</t>
    </rPh>
    <rPh sb="4" eb="5">
      <t>ショ</t>
    </rPh>
    <phoneticPr fontId="6"/>
  </si>
  <si>
    <t>工　事　番　号</t>
    <rPh sb="0" eb="1">
      <t>コウ</t>
    </rPh>
    <rPh sb="2" eb="3">
      <t>コト</t>
    </rPh>
    <rPh sb="4" eb="5">
      <t>バン</t>
    </rPh>
    <rPh sb="6" eb="7">
      <t>ゴウ</t>
    </rPh>
    <phoneticPr fontId="6"/>
  </si>
  <si>
    <t>現場代理人</t>
    <rPh sb="0" eb="2">
      <t>ゲンバ</t>
    </rPh>
    <rPh sb="2" eb="5">
      <t>ダイリニン</t>
    </rPh>
    <phoneticPr fontId="4"/>
  </si>
  <si>
    <t>監理技術者</t>
    <rPh sb="0" eb="2">
      <t>カンリ</t>
    </rPh>
    <rPh sb="2" eb="5">
      <t>ギジュツシャ</t>
    </rPh>
    <phoneticPr fontId="4"/>
  </si>
  <si>
    <t>本社</t>
    <rPh sb="0" eb="1">
      <t>ホンシャ</t>
    </rPh>
    <phoneticPr fontId="4"/>
  </si>
  <si>
    <t>支社</t>
    <rPh sb="0" eb="2">
      <t>シシャ</t>
    </rPh>
    <phoneticPr fontId="4"/>
  </si>
  <si>
    <t>拠点</t>
    <rPh sb="0" eb="2">
      <t>キョテン</t>
    </rPh>
    <phoneticPr fontId="4"/>
  </si>
  <si>
    <t>社　長</t>
    <rPh sb="1" eb="2">
      <t>チョウ</t>
    </rPh>
    <phoneticPr fontId="4"/>
  </si>
  <si>
    <t>部　長</t>
    <rPh sb="0" eb="1">
      <t>チョウ</t>
    </rPh>
    <phoneticPr fontId="4"/>
  </si>
  <si>
    <t>支社長</t>
    <rPh sb="0" eb="2">
      <t>シシャ</t>
    </rPh>
    <rPh sb="2" eb="3">
      <t>チョウ</t>
    </rPh>
    <phoneticPr fontId="4"/>
  </si>
  <si>
    <t>部　長</t>
    <rPh sb="0" eb="1">
      <t>ブ</t>
    </rPh>
    <rPh sb="2" eb="3">
      <t>チョウ</t>
    </rPh>
    <phoneticPr fontId="4"/>
  </si>
  <si>
    <t>所　長</t>
    <rPh sb="0" eb="1">
      <t>ショ</t>
    </rPh>
    <rPh sb="2" eb="3">
      <t>チョウ</t>
    </rPh>
    <phoneticPr fontId="4"/>
  </si>
  <si>
    <t>部課長</t>
    <rPh sb="0" eb="1">
      <t>ブ</t>
    </rPh>
    <rPh sb="1" eb="2">
      <t>カ</t>
    </rPh>
    <rPh sb="2" eb="3">
      <t>チョウ</t>
    </rPh>
    <phoneticPr fontId="4"/>
  </si>
  <si>
    <t>代人</t>
    <rPh sb="0" eb="2">
      <t>ダイニン</t>
    </rPh>
    <phoneticPr fontId="4"/>
  </si>
  <si>
    <t>工事原価</t>
    <rPh sb="0" eb="2">
      <t>コウジ</t>
    </rPh>
    <rPh sb="2" eb="4">
      <t>ゲンカ</t>
    </rPh>
    <phoneticPr fontId="4"/>
  </si>
  <si>
    <t>粗利益</t>
    <rPh sb="0" eb="3">
      <t>アラリエキ</t>
    </rPh>
    <phoneticPr fontId="4"/>
  </si>
  <si>
    <t>承認工事原価</t>
    <rPh sb="0" eb="2">
      <t>ショウニン</t>
    </rPh>
    <rPh sb="2" eb="4">
      <t>コウジ</t>
    </rPh>
    <rPh sb="4" eb="6">
      <t>ゲンカ</t>
    </rPh>
    <phoneticPr fontId="4"/>
  </si>
  <si>
    <t>承認粗利益</t>
    <rPh sb="0" eb="2">
      <t>ショウニン</t>
    </rPh>
    <rPh sb="2" eb="5">
      <t>アラリエキ</t>
    </rPh>
    <phoneticPr fontId="4"/>
  </si>
  <si>
    <t>支社事項</t>
    <rPh sb="0" eb="2">
      <t>シシャ</t>
    </rPh>
    <rPh sb="2" eb="4">
      <t>ジコウ</t>
    </rPh>
    <phoneticPr fontId="4"/>
  </si>
  <si>
    <t>本社事項</t>
    <rPh sb="0" eb="2">
      <t>ホンシャ</t>
    </rPh>
    <rPh sb="2" eb="4">
      <t>ジコウ</t>
    </rPh>
    <phoneticPr fontId="4"/>
  </si>
  <si>
    <t>施工場所</t>
    <rPh sb="0" eb="2">
      <t>セコウ</t>
    </rPh>
    <rPh sb="2" eb="4">
      <t>バショ</t>
    </rPh>
    <phoneticPr fontId="6"/>
  </si>
  <si>
    <t>契約工期</t>
    <rPh sb="0" eb="2">
      <t>ケイヤク</t>
    </rPh>
    <rPh sb="2" eb="4">
      <t>コウキ</t>
    </rPh>
    <phoneticPr fontId="6"/>
  </si>
  <si>
    <t>実施工期</t>
    <rPh sb="0" eb="2">
      <t>ジッシ</t>
    </rPh>
    <rPh sb="2" eb="4">
      <t>コウキ</t>
    </rPh>
    <phoneticPr fontId="6"/>
  </si>
  <si>
    <t>ISO品質目標</t>
    <rPh sb="3" eb="5">
      <t>ヒンシツ</t>
    </rPh>
    <rPh sb="5" eb="7">
      <t>モクヒョウ</t>
    </rPh>
    <phoneticPr fontId="6"/>
  </si>
  <si>
    <t>工　事　工　程　表</t>
    <rPh sb="0" eb="1">
      <t>コウ</t>
    </rPh>
    <rPh sb="2" eb="3">
      <t>コト</t>
    </rPh>
    <rPh sb="4" eb="5">
      <t>コウ</t>
    </rPh>
    <rPh sb="6" eb="7">
      <t>ホド</t>
    </rPh>
    <rPh sb="8" eb="9">
      <t>ヒョウ</t>
    </rPh>
    <phoneticPr fontId="13"/>
  </si>
  <si>
    <t xml:space="preserve"> 工　事　名　称</t>
    <rPh sb="5" eb="6">
      <t>メイ</t>
    </rPh>
    <rPh sb="7" eb="8">
      <t>ショウ</t>
    </rPh>
    <phoneticPr fontId="13"/>
  </si>
  <si>
    <t>工事コード</t>
    <rPh sb="0" eb="2">
      <t>コウジ</t>
    </rPh>
    <phoneticPr fontId="13"/>
  </si>
  <si>
    <t>進</t>
  </si>
  <si>
    <t xml:space="preserve"> 契　約　工　期</t>
    <phoneticPr fontId="13"/>
  </si>
  <si>
    <t>工事価格</t>
    <rPh sb="0" eb="2">
      <t>コウジ</t>
    </rPh>
    <rPh sb="2" eb="4">
      <t>カカク</t>
    </rPh>
    <phoneticPr fontId="13"/>
  </si>
  <si>
    <t>捗</t>
  </si>
  <si>
    <t>工　　　種</t>
  </si>
  <si>
    <t>実行予算</t>
  </si>
  <si>
    <t>比率</t>
  </si>
  <si>
    <t>工　事　原　価</t>
  </si>
  <si>
    <t>月別予定出来高</t>
  </si>
  <si>
    <t>％</t>
    <phoneticPr fontId="13"/>
  </si>
  <si>
    <t>単　　位</t>
    <phoneticPr fontId="13"/>
  </si>
  <si>
    <t>（千）</t>
    <rPh sb="1" eb="2">
      <t>セン</t>
    </rPh>
    <phoneticPr fontId="13"/>
  </si>
  <si>
    <t>工  事  概  要</t>
    <phoneticPr fontId="6"/>
  </si>
  <si>
    <t xml:space="preserve"> １. 工 事 概 要</t>
    <phoneticPr fontId="6"/>
  </si>
  <si>
    <t xml:space="preserve"> ２．主 要 工 種 の 内 容</t>
    <phoneticPr fontId="6"/>
  </si>
  <si>
    <t>名      称</t>
  </si>
  <si>
    <t>規　格</t>
    <rPh sb="0" eb="1">
      <t>タダシ</t>
    </rPh>
    <rPh sb="2" eb="3">
      <t>カク</t>
    </rPh>
    <phoneticPr fontId="6"/>
  </si>
  <si>
    <t>単位</t>
  </si>
  <si>
    <t>数   量</t>
  </si>
  <si>
    <t xml:space="preserve"> ３. 発 注 者 よ り の 支 給 品</t>
    <phoneticPr fontId="6"/>
  </si>
  <si>
    <t>品      名</t>
  </si>
  <si>
    <t>形状 寸法</t>
  </si>
  <si>
    <t>工事総括表</t>
    <rPh sb="0" eb="2">
      <t>コウジ</t>
    </rPh>
    <rPh sb="2" eb="4">
      <t>ソウカツ</t>
    </rPh>
    <rPh sb="4" eb="5">
      <t>ヒョウ</t>
    </rPh>
    <phoneticPr fontId="6"/>
  </si>
  <si>
    <t>工事名称</t>
    <rPh sb="0" eb="2">
      <t>コウジ</t>
    </rPh>
    <rPh sb="2" eb="4">
      <t>メイショウ</t>
    </rPh>
    <phoneticPr fontId="6"/>
  </si>
  <si>
    <t>工事略称</t>
    <rPh sb="0" eb="2">
      <t>コウジ</t>
    </rPh>
    <rPh sb="2" eb="3">
      <t>リャク</t>
    </rPh>
    <rPh sb="3" eb="4">
      <t>ショウ</t>
    </rPh>
    <phoneticPr fontId="6"/>
  </si>
  <si>
    <t>工事番号</t>
    <rPh sb="0" eb="2">
      <t>コウジ</t>
    </rPh>
    <rPh sb="2" eb="4">
      <t>バンゴウ</t>
    </rPh>
    <phoneticPr fontId="6"/>
  </si>
  <si>
    <t>実行予算額</t>
    <rPh sb="0" eb="2">
      <t>ジッコウ</t>
    </rPh>
    <rPh sb="2" eb="4">
      <t>ヨサン</t>
    </rPh>
    <rPh sb="4" eb="5">
      <t>ガク</t>
    </rPh>
    <phoneticPr fontId="6"/>
  </si>
  <si>
    <t>比率</t>
    <rPh sb="0" eb="2">
      <t>ヒリツ</t>
    </rPh>
    <phoneticPr fontId="6"/>
  </si>
  <si>
    <t>発注者</t>
    <rPh sb="0" eb="3">
      <t>ハッチュウシャ</t>
    </rPh>
    <phoneticPr fontId="6"/>
  </si>
  <si>
    <t>工事価格</t>
    <rPh sb="0" eb="2">
      <t>コウジ</t>
    </rPh>
    <rPh sb="2" eb="4">
      <t>カカク</t>
    </rPh>
    <phoneticPr fontId="6"/>
  </si>
  <si>
    <t>元発注者</t>
    <rPh sb="0" eb="1">
      <t>モト</t>
    </rPh>
    <rPh sb="1" eb="4">
      <t>ハッチュウシャ</t>
    </rPh>
    <phoneticPr fontId="6"/>
  </si>
  <si>
    <t>工事原価</t>
    <phoneticPr fontId="6"/>
  </si>
  <si>
    <t>直接工事費</t>
    <phoneticPr fontId="6"/>
  </si>
  <si>
    <t>現場代理人</t>
    <rPh sb="0" eb="2">
      <t>ゲンバ</t>
    </rPh>
    <rPh sb="2" eb="5">
      <t>ダイリニン</t>
    </rPh>
    <phoneticPr fontId="6"/>
  </si>
  <si>
    <t>共通仮設費</t>
    <phoneticPr fontId="6"/>
  </si>
  <si>
    <t>監理技術者</t>
    <rPh sb="0" eb="2">
      <t>カンリ</t>
    </rPh>
    <rPh sb="2" eb="5">
      <t>ギジュツシャ</t>
    </rPh>
    <phoneticPr fontId="6"/>
  </si>
  <si>
    <t>現場経費</t>
    <phoneticPr fontId="6"/>
  </si>
  <si>
    <t>施工形態</t>
    <rPh sb="0" eb="2">
      <t>セコウ</t>
    </rPh>
    <rPh sb="2" eb="4">
      <t>ケイタイ</t>
    </rPh>
    <phoneticPr fontId="6"/>
  </si>
  <si>
    <t>粗利益</t>
    <rPh sb="0" eb="3">
      <t>アラリエキ</t>
    </rPh>
    <phoneticPr fontId="6"/>
  </si>
  <si>
    <t>工事種別</t>
    <rPh sb="0" eb="2">
      <t>コウジ</t>
    </rPh>
    <rPh sb="2" eb="4">
      <t>シュベツ</t>
    </rPh>
    <phoneticPr fontId="6"/>
  </si>
  <si>
    <t>契約年月日</t>
    <rPh sb="0" eb="2">
      <t>ケイヤク</t>
    </rPh>
    <rPh sb="2" eb="5">
      <t>ネンガッピ</t>
    </rPh>
    <phoneticPr fontId="6"/>
  </si>
  <si>
    <t>特記事項</t>
    <rPh sb="0" eb="2">
      <t>トッキ</t>
    </rPh>
    <rPh sb="2" eb="4">
      <t>ジコウ</t>
    </rPh>
    <phoneticPr fontId="6"/>
  </si>
  <si>
    <t>工事概要</t>
    <rPh sb="0" eb="2">
      <t>コウジ</t>
    </rPh>
    <rPh sb="2" eb="4">
      <t>ガイヨウ</t>
    </rPh>
    <phoneticPr fontId="6"/>
  </si>
  <si>
    <t xml:space="preserve">  間 接 費 一 覧  </t>
    <rPh sb="2" eb="3">
      <t>カン</t>
    </rPh>
    <rPh sb="4" eb="5">
      <t>セツ</t>
    </rPh>
    <rPh sb="6" eb="7">
      <t>ヒ</t>
    </rPh>
    <rPh sb="8" eb="9">
      <t>イチ</t>
    </rPh>
    <rPh sb="10" eb="11">
      <t>ラン</t>
    </rPh>
    <phoneticPr fontId="6"/>
  </si>
  <si>
    <t>共通仮設費</t>
    <rPh sb="0" eb="2">
      <t>キョウツウ</t>
    </rPh>
    <rPh sb="2" eb="4">
      <t>カセツ</t>
    </rPh>
    <rPh sb="4" eb="5">
      <t>ヒ</t>
    </rPh>
    <phoneticPr fontId="6"/>
  </si>
  <si>
    <t>金額</t>
    <rPh sb="0" eb="2">
      <t>キンガク</t>
    </rPh>
    <phoneticPr fontId="6"/>
  </si>
  <si>
    <t>現場経費</t>
    <rPh sb="0" eb="2">
      <t>ゲンバ</t>
    </rPh>
    <rPh sb="2" eb="4">
      <t>ケイヒ</t>
    </rPh>
    <phoneticPr fontId="6"/>
  </si>
  <si>
    <t>共 通 仮 設 費 総 括 表</t>
    <rPh sb="14" eb="15">
      <t>ヒョウ</t>
    </rPh>
    <phoneticPr fontId="6"/>
  </si>
  <si>
    <t>名 称</t>
    <rPh sb="0" eb="1">
      <t>ナ</t>
    </rPh>
    <rPh sb="2" eb="3">
      <t>ショウ</t>
    </rPh>
    <phoneticPr fontId="6"/>
  </si>
  <si>
    <t>単位</t>
    <rPh sb="0" eb="2">
      <t>タンイ</t>
    </rPh>
    <phoneticPr fontId="6"/>
  </si>
  <si>
    <t>数 量</t>
    <rPh sb="0" eb="1">
      <t>カズ</t>
    </rPh>
    <rPh sb="2" eb="3">
      <t>リョウ</t>
    </rPh>
    <phoneticPr fontId="6"/>
  </si>
  <si>
    <t>単 価</t>
    <rPh sb="0" eb="1">
      <t>タン</t>
    </rPh>
    <rPh sb="2" eb="3">
      <t>アタイ</t>
    </rPh>
    <phoneticPr fontId="6"/>
  </si>
  <si>
    <t>金 額</t>
    <rPh sb="0" eb="1">
      <t>キン</t>
    </rPh>
    <rPh sb="2" eb="3">
      <t>ガク</t>
    </rPh>
    <phoneticPr fontId="6"/>
  </si>
  <si>
    <t>内　訳</t>
    <phoneticPr fontId="6"/>
  </si>
  <si>
    <t>現 場 経 費 総 括 表</t>
    <phoneticPr fontId="6"/>
  </si>
  <si>
    <t>名称</t>
    <rPh sb="0" eb="2">
      <t>メイショウ</t>
    </rPh>
    <phoneticPr fontId="6"/>
  </si>
  <si>
    <t>規格</t>
    <rPh sb="0" eb="2">
      <t>キカク</t>
    </rPh>
    <phoneticPr fontId="6"/>
  </si>
  <si>
    <t>単位</t>
    <phoneticPr fontId="6"/>
  </si>
  <si>
    <t>数 量</t>
    <phoneticPr fontId="6"/>
  </si>
  <si>
    <t>摘要</t>
    <rPh sb="0" eb="1">
      <t>テキ</t>
    </rPh>
    <rPh sb="1" eb="2">
      <t>ヨウ</t>
    </rPh>
    <phoneticPr fontId="6"/>
  </si>
  <si>
    <t>材料調書</t>
    <rPh sb="0" eb="2">
      <t>ザイリョウ</t>
    </rPh>
    <rPh sb="2" eb="4">
      <t>チョウショ</t>
    </rPh>
    <phoneticPr fontId="6"/>
  </si>
  <si>
    <t>工事名称</t>
    <rPh sb="2" eb="4">
      <t>メイショウ</t>
    </rPh>
    <phoneticPr fontId="6"/>
  </si>
  <si>
    <t>名称／規格</t>
    <rPh sb="0" eb="2">
      <t>メイショウ</t>
    </rPh>
    <rPh sb="3" eb="5">
      <t>キカク</t>
    </rPh>
    <phoneticPr fontId="6"/>
  </si>
  <si>
    <t>数量</t>
    <rPh sb="0" eb="2">
      <t>スウリョウ</t>
    </rPh>
    <phoneticPr fontId="6"/>
  </si>
  <si>
    <t>単価</t>
    <rPh sb="0" eb="2">
      <t>タンカ</t>
    </rPh>
    <phoneticPr fontId="6"/>
  </si>
  <si>
    <t>摘要</t>
    <rPh sb="0" eb="2">
      <t>テキヨウ</t>
    </rPh>
    <phoneticPr fontId="6"/>
  </si>
  <si>
    <t>業者／要素</t>
    <rPh sb="0" eb="2">
      <t>ギョウシャ</t>
    </rPh>
    <rPh sb="3" eb="5">
      <t>ヨウソ</t>
    </rPh>
    <phoneticPr fontId="6"/>
  </si>
  <si>
    <t>備考</t>
    <rPh sb="0" eb="2">
      <t>ビコウ</t>
    </rPh>
    <phoneticPr fontId="6"/>
  </si>
  <si>
    <t xml:space="preserve"> </t>
    <phoneticPr fontId="6"/>
  </si>
  <si>
    <t>階層</t>
    <rPh sb="0" eb="2">
      <t>カイソウ</t>
    </rPh>
    <phoneticPr fontId="6"/>
  </si>
  <si>
    <t>ユーザー
コード</t>
    <phoneticPr fontId="6"/>
  </si>
  <si>
    <t>帳票</t>
    <rPh sb="0" eb="2">
      <t>チョウヒョウ</t>
    </rPh>
    <phoneticPr fontId="6"/>
  </si>
  <si>
    <t>工種・種別・細別</t>
    <rPh sb="0" eb="2">
      <t>コウシュ</t>
    </rPh>
    <rPh sb="3" eb="5">
      <t>シュベツ</t>
    </rPh>
    <rPh sb="6" eb="8">
      <t>サイベツ</t>
    </rPh>
    <phoneticPr fontId="6"/>
  </si>
  <si>
    <t>予算 #02</t>
    <rPh sb="0" eb="2">
      <t>ヨサン</t>
    </rPh>
    <phoneticPr fontId="6"/>
  </si>
  <si>
    <t>予算 #03</t>
    <rPh sb="0" eb="2">
      <t>ヨサン</t>
    </rPh>
    <phoneticPr fontId="6"/>
  </si>
  <si>
    <t>当り数量</t>
    <rPh sb="0" eb="1">
      <t>アタ</t>
    </rPh>
    <rPh sb="2" eb="4">
      <t>スウリョウ</t>
    </rPh>
    <phoneticPr fontId="6"/>
  </si>
  <si>
    <t>構成率</t>
    <rPh sb="0" eb="3">
      <t>コウセイリツ</t>
    </rPh>
    <phoneticPr fontId="6"/>
  </si>
  <si>
    <t>業者名</t>
    <rPh sb="0" eb="2">
      <t>ギョウシャ</t>
    </rPh>
    <rPh sb="2" eb="3">
      <t>メイ</t>
    </rPh>
    <phoneticPr fontId="6"/>
  </si>
  <si>
    <t>労務調書</t>
    <rPh sb="2" eb="4">
      <t>チョウショ</t>
    </rPh>
    <phoneticPr fontId="6"/>
  </si>
  <si>
    <t>外注調書</t>
    <rPh sb="2" eb="4">
      <t>チョウショ</t>
    </rPh>
    <phoneticPr fontId="6"/>
  </si>
  <si>
    <t>機械調書</t>
    <rPh sb="2" eb="4">
      <t>チョウショ</t>
    </rPh>
    <phoneticPr fontId="6"/>
  </si>
  <si>
    <t>運搬調書</t>
    <rPh sb="2" eb="4">
      <t>チョウショ</t>
    </rPh>
    <phoneticPr fontId="6"/>
  </si>
  <si>
    <t>店・営業所経費計</t>
    <rPh sb="0" eb="1">
      <t>ミセ</t>
    </rPh>
    <rPh sb="2" eb="5">
      <t>エイギョウショ</t>
    </rPh>
    <rPh sb="5" eb="8">
      <t>ケイヒケイ</t>
    </rPh>
    <phoneticPr fontId="6"/>
  </si>
  <si>
    <t>工事拠点経費</t>
    <rPh sb="0" eb="2">
      <t>コウジ</t>
    </rPh>
    <rPh sb="4" eb="6">
      <t>ケイヒ</t>
    </rPh>
    <phoneticPr fontId="6"/>
  </si>
  <si>
    <t>営業拠点経費</t>
    <rPh sb="0" eb="2">
      <t>エイギョウ</t>
    </rPh>
    <rPh sb="2" eb="4">
      <t>キョテン</t>
    </rPh>
    <rPh sb="4" eb="6">
      <t>ケイヒ</t>
    </rPh>
    <phoneticPr fontId="6"/>
  </si>
  <si>
    <t>拠点利益</t>
    <rPh sb="2" eb="4">
      <t>リエキ</t>
    </rPh>
    <phoneticPr fontId="6"/>
  </si>
  <si>
    <t>支社経費(営・工共)</t>
    <rPh sb="0" eb="2">
      <t>シシャ</t>
    </rPh>
    <rPh sb="2" eb="4">
      <t>ケイヒ</t>
    </rPh>
    <rPh sb="5" eb="6">
      <t>エイ</t>
    </rPh>
    <rPh sb="7" eb="8">
      <t>コウ</t>
    </rPh>
    <rPh sb="8" eb="9">
      <t>トモ</t>
    </rPh>
    <phoneticPr fontId="6"/>
  </si>
  <si>
    <t>工事部利益</t>
    <rPh sb="0" eb="3">
      <t>コウジブ</t>
    </rPh>
    <rPh sb="3" eb="5">
      <t>リエキ</t>
    </rPh>
    <phoneticPr fontId="6"/>
  </si>
  <si>
    <t>実施工期</t>
    <phoneticPr fontId="6"/>
  </si>
  <si>
    <t>作業所名</t>
    <rPh sb="0" eb="2">
      <t>サギョウ</t>
    </rPh>
    <rPh sb="2" eb="3">
      <t>ジョ</t>
    </rPh>
    <rPh sb="3" eb="4">
      <t>メイ</t>
    </rPh>
    <phoneticPr fontId="6"/>
  </si>
  <si>
    <t>計 画 率</t>
    <rPh sb="0" eb="1">
      <t>ケイ</t>
    </rPh>
    <rPh sb="2" eb="3">
      <t>ガ</t>
    </rPh>
    <rPh sb="4" eb="5">
      <t>リツ</t>
    </rPh>
    <phoneticPr fontId="13"/>
  </si>
  <si>
    <t>計画金額</t>
    <rPh sb="0" eb="2">
      <t>ケイカク</t>
    </rPh>
    <rPh sb="2" eb="4">
      <t>キンガク</t>
    </rPh>
    <phoneticPr fontId="13"/>
  </si>
  <si>
    <t>工期１S</t>
    <rPh sb="0" eb="2">
      <t>コウキ</t>
    </rPh>
    <phoneticPr fontId="13"/>
  </si>
  <si>
    <t>工期１E</t>
    <rPh sb="0" eb="2">
      <t>コウキ</t>
    </rPh>
    <phoneticPr fontId="13"/>
  </si>
  <si>
    <t>工期2S</t>
    <rPh sb="0" eb="2">
      <t>コウキ</t>
    </rPh>
    <phoneticPr fontId="13"/>
  </si>
  <si>
    <t>工期2E</t>
    <rPh sb="0" eb="2">
      <t>コウキ</t>
    </rPh>
    <phoneticPr fontId="13"/>
  </si>
  <si>
    <t>工期3S</t>
    <rPh sb="0" eb="2">
      <t>コウキ</t>
    </rPh>
    <phoneticPr fontId="13"/>
  </si>
  <si>
    <t>工期3E</t>
    <rPh sb="0" eb="2">
      <t>コウキ</t>
    </rPh>
    <phoneticPr fontId="13"/>
  </si>
  <si>
    <t>工期4S</t>
    <rPh sb="0" eb="2">
      <t>コウキ</t>
    </rPh>
    <phoneticPr fontId="13"/>
  </si>
  <si>
    <t>工期4E</t>
    <rPh sb="0" eb="2">
      <t>コウキ</t>
    </rPh>
    <phoneticPr fontId="13"/>
  </si>
  <si>
    <t>工期5S</t>
    <rPh sb="0" eb="2">
      <t>コウキ</t>
    </rPh>
    <phoneticPr fontId="13"/>
  </si>
  <si>
    <t>工期5E</t>
    <rPh sb="0" eb="2">
      <t>コウキ</t>
    </rPh>
    <phoneticPr fontId="13"/>
  </si>
  <si>
    <t>工事価格</t>
  </si>
  <si>
    <t>東亜道路工業株式会社</t>
    <phoneticPr fontId="4"/>
  </si>
  <si>
    <t>支社</t>
    <rPh sb="0" eb="2">
      <t>シシャ</t>
    </rPh>
    <phoneticPr fontId="6"/>
  </si>
  <si>
    <t>拠点</t>
    <rPh sb="0" eb="2">
      <t>キョテン</t>
    </rPh>
    <phoneticPr fontId="6"/>
  </si>
  <si>
    <t>工事名称</t>
    <rPh sb="0" eb="1">
      <t>コウ</t>
    </rPh>
    <rPh sb="1" eb="2">
      <t>コト</t>
    </rPh>
    <rPh sb="2" eb="3">
      <t>メイ</t>
    </rPh>
    <rPh sb="3" eb="4">
      <t>ショウ</t>
    </rPh>
    <phoneticPr fontId="6"/>
  </si>
  <si>
    <t>発注者</t>
    <rPh sb="0" eb="1">
      <t>ハツ</t>
    </rPh>
    <rPh sb="1" eb="2">
      <t>チュウ</t>
    </rPh>
    <rPh sb="2" eb="3">
      <t>シャ</t>
    </rPh>
    <phoneticPr fontId="6"/>
  </si>
  <si>
    <t>工事価格</t>
    <rPh sb="0" eb="2">
      <t>コウジ</t>
    </rPh>
    <rPh sb="2" eb="4">
      <t>カカク</t>
    </rPh>
    <phoneticPr fontId="4"/>
  </si>
  <si>
    <t>～</t>
    <phoneticPr fontId="36"/>
  </si>
  <si>
    <t>～</t>
  </si>
  <si>
    <t>工事価格</t>
    <rPh sb="0" eb="4">
      <t>コウジカカク</t>
    </rPh>
    <phoneticPr fontId="6"/>
  </si>
  <si>
    <t>原価工種コード</t>
    <rPh sb="0" eb="4">
      <t>ゲンカコウシュ</t>
    </rPh>
    <phoneticPr fontId="6"/>
  </si>
  <si>
    <t>原価工種コード</t>
    <rPh sb="0" eb="4">
      <t>ゲンカコウシュ</t>
    </rPh>
    <phoneticPr fontId="4"/>
  </si>
  <si>
    <t>原価工種コード</t>
    <phoneticPr fontId="6"/>
  </si>
  <si>
    <t>工事総括表2</t>
    <phoneticPr fontId="6"/>
  </si>
  <si>
    <t>2320710226 F</t>
  </si>
  <si>
    <t>（第2回変更予算）</t>
  </si>
  <si>
    <t>山田紀浩</t>
  </si>
  <si>
    <t>23-0226　★R4 電線地中化促進工事 公共 R5 電線地中化促進工事 県単 合併</t>
  </si>
  <si>
    <t>中央道路株式会社</t>
  </si>
  <si>
    <t>横浜支店</t>
  </si>
  <si>
    <t>綾瀬市早川地内</t>
  </si>
  <si>
    <t>2024年2月1日</t>
  </si>
  <si>
    <t>2024年7月31日</t>
  </si>
  <si>
    <t>舗装版切断工</t>
  </si>
  <si>
    <t>路面切削工</t>
  </si>
  <si>
    <t>段差摺付工</t>
  </si>
  <si>
    <t>表層工</t>
  </si>
  <si>
    <t>表層工　半たわみ部</t>
  </si>
  <si>
    <t>ｾﾒﾝﾄﾐﾙｸ浸透工</t>
  </si>
  <si>
    <t>区画線工</t>
  </si>
  <si>
    <t>調整</t>
  </si>
  <si>
    <t>追加　切削表層</t>
  </si>
  <si>
    <t>調整2</t>
  </si>
  <si>
    <t>重機運搬費</t>
  </si>
  <si>
    <t>外注経費　法定福利費</t>
  </si>
  <si>
    <t>安全費</t>
  </si>
  <si>
    <t>技術管理費</t>
  </si>
  <si>
    <t>社員給料</t>
  </si>
  <si>
    <t>濁水収集運搬含む</t>
  </si>
  <si>
    <t>式</t>
  </si>
  <si>
    <t>m2</t>
  </si>
  <si>
    <t>密粒改質Ⅱ型　t=5㎝</t>
  </si>
  <si>
    <t>半たわみ　t=5㎝</t>
  </si>
  <si>
    <t>超速硬型</t>
  </si>
  <si>
    <t>密粒度As改質Ⅱ型　t=5㎝</t>
  </si>
  <si>
    <t>夜間照明　トイレカー</t>
  </si>
  <si>
    <t>材料費</t>
  </si>
  <si>
    <t>労務費</t>
  </si>
  <si>
    <t>外注費</t>
  </si>
  <si>
    <t>機械費</t>
  </si>
  <si>
    <t>運搬費</t>
  </si>
  <si>
    <t>共通仮設費</t>
  </si>
  <si>
    <t>現場経費</t>
  </si>
  <si>
    <t>法定福利費</t>
  </si>
  <si>
    <t>電線地中化促進工事</t>
  </si>
  <si>
    <t>関東支社</t>
  </si>
  <si>
    <t>単独</t>
  </si>
  <si>
    <t>F</t>
  </si>
  <si>
    <t>2024年5月20日</t>
  </si>
  <si>
    <t>2024年2月1日 ～ 2024年7月31日</t>
  </si>
  <si>
    <t>直接工事費</t>
  </si>
  <si>
    <t xml:space="preserve">  舗装版切断工</t>
  </si>
  <si>
    <t xml:space="preserve">  濁水収集運搬含む</t>
  </si>
  <si>
    <t>1号</t>
  </si>
  <si>
    <t>内訳書</t>
  </si>
  <si>
    <t xml:space="preserve">  路面切削工</t>
  </si>
  <si>
    <t xml:space="preserve">  </t>
  </si>
  <si>
    <t>2号</t>
  </si>
  <si>
    <t xml:space="preserve">  段差摺付工</t>
  </si>
  <si>
    <t>3号</t>
  </si>
  <si>
    <t xml:space="preserve">  表層工</t>
  </si>
  <si>
    <t xml:space="preserve">  密粒改質Ⅱ型　t=5㎝</t>
  </si>
  <si>
    <t>4号</t>
  </si>
  <si>
    <t xml:space="preserve">  表層工　半たわみ部</t>
  </si>
  <si>
    <t xml:space="preserve">  半たわみ　t=5㎝</t>
  </si>
  <si>
    <t>5号</t>
  </si>
  <si>
    <t xml:space="preserve">  ｾﾒﾝﾄﾐﾙｸ浸透工</t>
  </si>
  <si>
    <t xml:space="preserve">  超速硬型</t>
  </si>
  <si>
    <t>6号</t>
  </si>
  <si>
    <t xml:space="preserve">  区画線工</t>
  </si>
  <si>
    <t>7号</t>
  </si>
  <si>
    <t xml:space="preserve">  調整</t>
  </si>
  <si>
    <t>8号</t>
  </si>
  <si>
    <t xml:space="preserve">  追加　切削表層</t>
  </si>
  <si>
    <t xml:space="preserve">  密粒度As改質Ⅱ型　t=5㎝</t>
  </si>
  <si>
    <t>21号</t>
  </si>
  <si>
    <t xml:space="preserve">  調整2</t>
  </si>
  <si>
    <t>22号</t>
  </si>
  <si>
    <t>直接工事費　計</t>
  </si>
  <si>
    <t>間接費</t>
  </si>
  <si>
    <t xml:space="preserve">  共通仮設費</t>
  </si>
  <si>
    <t xml:space="preserve">  現場経費</t>
  </si>
  <si>
    <t>間接費 計</t>
  </si>
  <si>
    <t>工事原価</t>
  </si>
  <si>
    <t>粗利益</t>
  </si>
  <si>
    <t>計</t>
  </si>
  <si>
    <t>23-0226　★R4 電線地中化促進工事 公共 R5 電線地中化促進工事 県単 合併</t>
    <phoneticPr fontId="4"/>
  </si>
  <si>
    <t>総括</t>
  </si>
  <si>
    <t>集計行</t>
  </si>
  <si>
    <t>｜直接工事費</t>
  </si>
  <si>
    <t>内訳代価</t>
  </si>
  <si>
    <t>｜｜舗装版切断工</t>
  </si>
  <si>
    <t>1号内訳書</t>
  </si>
  <si>
    <t>｜｜｜舗装版切断(最低)</t>
  </si>
  <si>
    <t>最低補償</t>
  </si>
  <si>
    <t xml:space="preserve">g00328023 </t>
  </si>
  <si>
    <t>｜｜｜汚泥処分費</t>
  </si>
  <si>
    <t xml:space="preserve">g00328024 </t>
  </si>
  <si>
    <t>｜｜｜汚泥運搬費</t>
  </si>
  <si>
    <t xml:space="preserve">g00328025 </t>
  </si>
  <si>
    <t>｜｜｜雑材</t>
  </si>
  <si>
    <t xml:space="preserve">s00328386 </t>
  </si>
  <si>
    <t>｜｜路面切削工</t>
  </si>
  <si>
    <t>2号内訳書</t>
  </si>
  <si>
    <t>｜｜｜軽油</t>
  </si>
  <si>
    <t>L</t>
  </si>
  <si>
    <t xml:space="preserve">s00328123 </t>
  </si>
  <si>
    <t xml:space="preserve">{数量=1*80} </t>
  </si>
  <si>
    <t>｜｜｜技工(N)</t>
  </si>
  <si>
    <t>夜間単価</t>
  </si>
  <si>
    <t>人</t>
  </si>
  <si>
    <t xml:space="preserve">r00328004 </t>
  </si>
  <si>
    <t xml:space="preserve">{数量=1*8} </t>
  </si>
  <si>
    <t>｜｜｜切削機ﾎｲｰﾙ</t>
  </si>
  <si>
    <t>ER550級</t>
  </si>
  <si>
    <t>台</t>
  </si>
  <si>
    <t xml:space="preserve">k00328065 </t>
  </si>
  <si>
    <t xml:space="preserve">{数量=1*1} </t>
  </si>
  <si>
    <t>｜｜｜ﾐﾆ切削機</t>
  </si>
  <si>
    <t>W350</t>
  </si>
  <si>
    <t xml:space="preserve">k00328071 </t>
  </si>
  <si>
    <t>｜｜｜ｽｲｰﾊﾟｰ</t>
  </si>
  <si>
    <t>大型</t>
  </si>
  <si>
    <t xml:space="preserve">k00328072 </t>
  </si>
  <si>
    <t>CPR100級</t>
  </si>
  <si>
    <t xml:space="preserve">k00328069 </t>
  </si>
  <si>
    <t>｜｜｜ﾀｲﾔｼｮﾍﾞﾙ0.4</t>
  </si>
  <si>
    <t xml:space="preserve">k00328021 </t>
  </si>
  <si>
    <t>｜｜｜BH0.1</t>
  </si>
  <si>
    <t>ブレーカー</t>
  </si>
  <si>
    <t xml:space="preserve">k00328010 </t>
  </si>
  <si>
    <t>｜｜｜AS塊処分</t>
  </si>
  <si>
    <t>t</t>
  </si>
  <si>
    <t xml:space="preserve">u00328026 </t>
  </si>
  <si>
    <t xml:space="preserve">{数量=38*2.35} </t>
  </si>
  <si>
    <t>｜｜｜AS廃材(排水性)</t>
  </si>
  <si>
    <t xml:space="preserve">u00328027 </t>
  </si>
  <si>
    <t xml:space="preserve">{数量=31*2.35} </t>
  </si>
  <si>
    <t>｜｜｜ﾀﾞﾝﾌﾟﾄﾗｯｸ常用10ｔ</t>
  </si>
  <si>
    <t>ｵﾍﾟ燃料付</t>
  </si>
  <si>
    <t xml:space="preserve">u00328003 </t>
  </si>
  <si>
    <t xml:space="preserve">{数量=6*1} </t>
  </si>
  <si>
    <t>｜｜段差摺付工</t>
  </si>
  <si>
    <t>3号内訳書</t>
  </si>
  <si>
    <t>｜｜｜細粒Aｓ</t>
  </si>
  <si>
    <t>5mm　引取</t>
  </si>
  <si>
    <t xml:space="preserve">s00328257 </t>
  </si>
  <si>
    <t xml:space="preserve">{数量=119*0.025*2.35*1.07} </t>
  </si>
  <si>
    <t>｜｜｜砂(ﾀﾞｽﾄ)</t>
  </si>
  <si>
    <t>ｽｸﾘｰﾆﾝｸﾞｽ</t>
  </si>
  <si>
    <t>m3</t>
  </si>
  <si>
    <t xml:space="preserve">s00328211 </t>
  </si>
  <si>
    <t xml:space="preserve">{数量=4*40} </t>
  </si>
  <si>
    <t>｜｜｜摺り付け機</t>
  </si>
  <si>
    <t xml:space="preserve">k00328037 </t>
  </si>
  <si>
    <t xml:space="preserve">{数量=3*1} </t>
  </si>
  <si>
    <t>スイーパー</t>
  </si>
  <si>
    <t>｜｜｜ﾀﾞﾝﾌﾟﾄﾗｯｸ台引10ｔ</t>
  </si>
  <si>
    <t>厚木市内</t>
  </si>
  <si>
    <t xml:space="preserve">u00328007 </t>
  </si>
  <si>
    <t>｜｜表層工</t>
  </si>
  <si>
    <t>4号内訳書</t>
  </si>
  <si>
    <t>｜｜｜密粒改質Ⅱ型</t>
  </si>
  <si>
    <t>大型現着</t>
  </si>
  <si>
    <t xml:space="preserve">s00328248 </t>
  </si>
  <si>
    <t xml:space="preserve">{数量=771*0.05*2.35*1.07} </t>
  </si>
  <si>
    <t>｜｜｜不足運賃</t>
  </si>
  <si>
    <t>10t車</t>
  </si>
  <si>
    <t xml:space="preserve">s00328262 </t>
  </si>
  <si>
    <t xml:space="preserve">{数量=2*5} </t>
  </si>
  <si>
    <t>｜｜｜乳剤ﾀｯｸﾌｧｲﾝE</t>
  </si>
  <si>
    <t xml:space="preserve">s00328285 </t>
  </si>
  <si>
    <t xml:space="preserve">{数量=771*0.43*0.001} </t>
  </si>
  <si>
    <t xml:space="preserve">{数量=2*80} </t>
  </si>
  <si>
    <t xml:space="preserve">{数量=2*9} </t>
  </si>
  <si>
    <t>｜｜｜ﾀｲﾔﾛｰﾗ</t>
  </si>
  <si>
    <t>8t</t>
  </si>
  <si>
    <t xml:space="preserve">k00328002 </t>
  </si>
  <si>
    <t xml:space="preserve">{数量=2*1} </t>
  </si>
  <si>
    <t>｜｜｜ﾏｶﾀﾞﾑﾛｰﾗ</t>
  </si>
  <si>
    <t xml:space="preserve">k00328003 </t>
  </si>
  <si>
    <t>｜｜｜ASﾌｨﾆｯｼｬｰ6.0m</t>
  </si>
  <si>
    <t>低騒音OPAJ付</t>
  </si>
  <si>
    <t xml:space="preserve">k00328036 </t>
  </si>
  <si>
    <t>｜｜｜ﾀﾝﾃﾞﾑﾛｰﾗ</t>
  </si>
  <si>
    <t>3ｔ、4ｔ</t>
  </si>
  <si>
    <t xml:space="preserve">k00328004 </t>
  </si>
  <si>
    <t>｜｜｜ﾃﾞｨｽﾄﾘﾋﾞｭｰﾀ(夜)</t>
  </si>
  <si>
    <t xml:space="preserve">k00328062 </t>
  </si>
  <si>
    <t>｜｜｜小物機械</t>
  </si>
  <si>
    <t xml:space="preserve">k00328082 </t>
  </si>
  <si>
    <t>｜｜｜2ｔﾀﾞﾝﾌﾟ</t>
  </si>
  <si>
    <t xml:space="preserve">u00328020 </t>
  </si>
  <si>
    <t xml:space="preserve">{数量=2*2} </t>
  </si>
  <si>
    <t>｜｜｜労務運搬(Wｷｬﾌﾞ)</t>
  </si>
  <si>
    <t>燃料込</t>
  </si>
  <si>
    <t xml:space="preserve">u00328036 </t>
  </si>
  <si>
    <t>｜｜表層工　半たわみ部</t>
  </si>
  <si>
    <t>5号内訳書</t>
  </si>
  <si>
    <t>｜｜｜開粒As改質</t>
  </si>
  <si>
    <t xml:space="preserve">s00328251 </t>
  </si>
  <si>
    <t xml:space="preserve">{数量=620*0.05*2*1.07} </t>
  </si>
  <si>
    <t xml:space="preserve">{数量=1*10} </t>
  </si>
  <si>
    <t xml:space="preserve">{数量=620*0.43*1.02*0.001} </t>
  </si>
  <si>
    <t xml:space="preserve">{数量=1*9} </t>
  </si>
  <si>
    <t xml:space="preserve">{数量=1*2} </t>
  </si>
  <si>
    <t>｜｜ｾﾒﾝﾄﾐﾙｸ浸透工</t>
  </si>
  <si>
    <t>6号内訳書</t>
  </si>
  <si>
    <t>｜｜｜TAｾｯﾄ  超速硬</t>
  </si>
  <si>
    <t>袋</t>
  </si>
  <si>
    <t xml:space="preserve">s00328128 </t>
  </si>
  <si>
    <t xml:space="preserve">{数量=2*40} </t>
  </si>
  <si>
    <t xml:space="preserve">{数量=2*8} </t>
  </si>
  <si>
    <t>｜｜｜半たわみｾｯﾄ  ﾚﾝﾀﾙ</t>
  </si>
  <si>
    <t>4ｔﾕﾆｯｸ</t>
  </si>
  <si>
    <t xml:space="preserve">k00328081 </t>
  </si>
  <si>
    <t>｜｜区画線工</t>
  </si>
  <si>
    <t>7号内訳書</t>
  </si>
  <si>
    <t>｜｜｜区画線  実線・ｾﾞﾌﾞﾗ</t>
  </si>
  <si>
    <t>W=15cm</t>
  </si>
  <si>
    <t>m</t>
  </si>
  <si>
    <t xml:space="preserve">g00328001 </t>
  </si>
  <si>
    <t>W=45cm</t>
  </si>
  <si>
    <t xml:space="preserve">g00328004 </t>
  </si>
  <si>
    <t>｜｜｜矢印・記号・文字・15cm換算</t>
  </si>
  <si>
    <t xml:space="preserve">g00328009 </t>
  </si>
  <si>
    <t>｜｜｜仮ﾗｲﾝﾃｰﾌﾟ</t>
  </si>
  <si>
    <t xml:space="preserve">s00328275 </t>
  </si>
  <si>
    <t xml:space="preserve">{数量=1*6} </t>
  </si>
  <si>
    <t>｜｜｜仮ﾗｲﾝﾍﾟｲﾝﾄ</t>
  </si>
  <si>
    <t>18ｌ缶</t>
  </si>
  <si>
    <t>回</t>
  </si>
  <si>
    <t xml:space="preserve">s00328276 </t>
  </si>
  <si>
    <t>｜｜調整</t>
  </si>
  <si>
    <t>8号内訳書</t>
  </si>
  <si>
    <t>｜｜追加　切削表層</t>
  </si>
  <si>
    <t>21号内訳書</t>
  </si>
  <si>
    <t>大型配達</t>
  </si>
  <si>
    <t xml:space="preserve">{数量=60*0.05*2.35*1.07} </t>
  </si>
  <si>
    <t xml:space="preserve">{数量=1*4} </t>
  </si>
  <si>
    <t>｜｜調整2</t>
  </si>
  <si>
    <t>22号内訳書</t>
  </si>
  <si>
    <t>予算2</t>
    <phoneticPr fontId="6"/>
  </si>
  <si>
    <t>事務用品費</t>
  </si>
  <si>
    <t>電力用水光熱費</t>
  </si>
  <si>
    <t>通信費</t>
  </si>
  <si>
    <t>旅費交通費</t>
  </si>
  <si>
    <t>保険料</t>
  </si>
  <si>
    <t>車両費</t>
  </si>
  <si>
    <t>雑費</t>
  </si>
  <si>
    <t>0</t>
  </si>
  <si>
    <t>#DIV/0!</t>
  </si>
  <si>
    <t>｜共通仮設費</t>
  </si>
  <si>
    <t>｜｜重機運搬費</t>
  </si>
  <si>
    <t>9号内訳書</t>
  </si>
  <si>
    <t>｜｜｜切削機回送  ﾄﾚｰﾗｰ</t>
  </si>
  <si>
    <t xml:space="preserve">u00328017 </t>
  </si>
  <si>
    <t>｜｜｜切削機回送  ｾﾙﾌ</t>
  </si>
  <si>
    <t xml:space="preserve">u00328016 </t>
  </si>
  <si>
    <t>｜｜｜AF回送  大型ｾﾙﾌ</t>
  </si>
  <si>
    <t>4.4m～6.0m級</t>
  </si>
  <si>
    <t xml:space="preserve">u00328015 </t>
  </si>
  <si>
    <t>｜｜｜回送  大型ｾﾙﾌ</t>
  </si>
  <si>
    <t>TR  MR</t>
  </si>
  <si>
    <t xml:space="preserve">u00328009 </t>
  </si>
  <si>
    <t>｜｜｜回送  4ｔｾﾙﾌ</t>
  </si>
  <si>
    <t>BH TS 摺付 ﾀﾝﾃﾞﾑ</t>
  </si>
  <si>
    <t xml:space="preserve">u00328008 </t>
  </si>
  <si>
    <t xml:space="preserve">{数量=2*4} </t>
  </si>
  <si>
    <t>｜｜外注経費　法定福利費</t>
  </si>
  <si>
    <t>10号内訳書</t>
  </si>
  <si>
    <t>｜｜｜外注経費</t>
  </si>
  <si>
    <t xml:space="preserve">g00328041 </t>
  </si>
  <si>
    <t>｜｜｜法定福利費</t>
  </si>
  <si>
    <t xml:space="preserve">g00328040 </t>
  </si>
  <si>
    <t>｜｜安全費</t>
  </si>
  <si>
    <t>11号内訳書</t>
  </si>
  <si>
    <t>｜｜｜ﾊﾞﾙｰﾝﾗｲﾄ</t>
  </si>
  <si>
    <t xml:space="preserve">k00328108 </t>
  </si>
  <si>
    <t xml:space="preserve">{数量=6*8} </t>
  </si>
  <si>
    <t xml:space="preserve">{数量=6*8*10} </t>
  </si>
  <si>
    <t>｜｜｜トイレカー</t>
  </si>
  <si>
    <t>｜｜技術管理費</t>
  </si>
  <si>
    <t>12号内訳書</t>
  </si>
  <si>
    <t>｜｜｜技工</t>
  </si>
  <si>
    <t xml:space="preserve">r00328003 </t>
  </si>
  <si>
    <t>｜｜｜ｺｱｰ採取</t>
  </si>
  <si>
    <t xml:space="preserve">g00328039 </t>
  </si>
  <si>
    <t>｜｜｜平坦性試験</t>
  </si>
  <si>
    <t xml:space="preserve">g00328042 </t>
  </si>
  <si>
    <t>｜｜｜半たわみ供試体　試験</t>
  </si>
  <si>
    <t>13号</t>
  </si>
  <si>
    <t>(コピー機、トナー、文具、コピー用紙、その他)</t>
  </si>
  <si>
    <t>14号</t>
  </si>
  <si>
    <t>15号</t>
  </si>
  <si>
    <t>(携帯通話料、ネット回線契約、電話回線契約　等)</t>
  </si>
  <si>
    <t>16号</t>
  </si>
  <si>
    <t>(出張、移動旅費等)</t>
  </si>
  <si>
    <t>17号</t>
  </si>
  <si>
    <t>(建退共・労災保険・労災上乗せ保険　等)</t>
  </si>
  <si>
    <t>18号</t>
  </si>
  <si>
    <t>(連絡車)</t>
  </si>
  <si>
    <t>19号</t>
  </si>
  <si>
    <t>(現場特有で発生が見込まれる費用　等)</t>
  </si>
  <si>
    <t>20号</t>
  </si>
  <si>
    <t>｜現場経費</t>
  </si>
  <si>
    <t>｜｜社員給料</t>
  </si>
  <si>
    <t>13号内訳書</t>
  </si>
  <si>
    <t>｜｜｜現場代理人(5級)夜</t>
  </si>
  <si>
    <t>日</t>
  </si>
  <si>
    <t xml:space="preserve">m00328008 </t>
  </si>
  <si>
    <t xml:space="preserve">{数量=1*5} </t>
  </si>
  <si>
    <t>｜｜｜現場代理人(5級)昼</t>
  </si>
  <si>
    <t xml:space="preserve">m00328007 </t>
  </si>
  <si>
    <t>｜｜｜現場代理人(1級)夜</t>
  </si>
  <si>
    <t xml:space="preserve">m00328024 </t>
  </si>
  <si>
    <t>｜｜事務用品費</t>
  </si>
  <si>
    <t>14号内訳書</t>
  </si>
  <si>
    <t>｜｜電力用水光熱費</t>
  </si>
  <si>
    <t>15号内訳書</t>
  </si>
  <si>
    <t>｜｜通信費</t>
  </si>
  <si>
    <t>16号内訳書</t>
  </si>
  <si>
    <t>｜｜旅費交通費</t>
  </si>
  <si>
    <t>17号内訳書</t>
  </si>
  <si>
    <t>｜｜保険料</t>
  </si>
  <si>
    <t>18号内訳書</t>
  </si>
  <si>
    <t>｜｜車両費</t>
  </si>
  <si>
    <t>19号内訳書</t>
  </si>
  <si>
    <t>｜｜雑費</t>
  </si>
  <si>
    <t>20号内訳書</t>
  </si>
  <si>
    <t>工事名称</t>
    <phoneticPr fontId="6"/>
  </si>
  <si>
    <t>23-0226　★R4 電線地中化促進工事 公共 R5 電線地中化促進工事 県単 合併</t>
    <phoneticPr fontId="6"/>
  </si>
  <si>
    <t>2320710226 F</t>
    <phoneticPr fontId="6"/>
  </si>
  <si>
    <t>名称／規格</t>
    <phoneticPr fontId="6"/>
  </si>
  <si>
    <t>数量</t>
    <phoneticPr fontId="6"/>
  </si>
  <si>
    <t>単価</t>
    <phoneticPr fontId="6"/>
  </si>
  <si>
    <t>金額</t>
    <phoneticPr fontId="6"/>
  </si>
  <si>
    <t>摘要</t>
    <phoneticPr fontId="6"/>
  </si>
  <si>
    <t>業者／要素</t>
    <phoneticPr fontId="6"/>
  </si>
  <si>
    <t>備考</t>
    <phoneticPr fontId="6"/>
  </si>
  <si>
    <t>TAｾｯﾄ  超速硬</t>
    <phoneticPr fontId="6"/>
  </si>
  <si>
    <t>袋</t>
    <phoneticPr fontId="6"/>
  </si>
  <si>
    <t>材料費</t>
    <phoneticPr fontId="6"/>
  </si>
  <si>
    <t>仮ﾗｲﾝﾃｰﾌﾟ</t>
    <phoneticPr fontId="6"/>
  </si>
  <si>
    <t>m</t>
    <phoneticPr fontId="6"/>
  </si>
  <si>
    <t>仮ﾗｲﾝﾍﾟｲﾝﾄ</t>
    <phoneticPr fontId="6"/>
  </si>
  <si>
    <t>回</t>
    <phoneticPr fontId="6"/>
  </si>
  <si>
    <t>18ｌ缶</t>
    <phoneticPr fontId="6"/>
  </si>
  <si>
    <t>開粒As改質</t>
    <phoneticPr fontId="6"/>
  </si>
  <si>
    <t>t</t>
    <phoneticPr fontId="6"/>
  </si>
  <si>
    <t>大型現着</t>
    <phoneticPr fontId="6"/>
  </si>
  <si>
    <t>軽油</t>
    <phoneticPr fontId="6"/>
  </si>
  <si>
    <t>L</t>
    <phoneticPr fontId="6"/>
  </si>
  <si>
    <t>砂(ﾀﾞｽﾄ)</t>
    <phoneticPr fontId="6"/>
  </si>
  <si>
    <t>m3</t>
    <phoneticPr fontId="6"/>
  </si>
  <si>
    <t>ｽｸﾘｰﾆﾝｸﾞｽ</t>
    <phoneticPr fontId="6"/>
  </si>
  <si>
    <t>細粒Aｓ</t>
    <phoneticPr fontId="6"/>
  </si>
  <si>
    <t>5mm　引取</t>
    <phoneticPr fontId="6"/>
  </si>
  <si>
    <t>雑材</t>
    <phoneticPr fontId="6"/>
  </si>
  <si>
    <t>式</t>
    <phoneticPr fontId="6"/>
  </si>
  <si>
    <t>乳剤ﾀｯｸﾌｧｲﾝE</t>
    <phoneticPr fontId="6"/>
  </si>
  <si>
    <t>不足運賃</t>
    <phoneticPr fontId="6"/>
  </si>
  <si>
    <t>10t車</t>
    <phoneticPr fontId="6"/>
  </si>
  <si>
    <t>材料調書</t>
    <phoneticPr fontId="6"/>
  </si>
  <si>
    <t>密粒改質Ⅱ型</t>
    <phoneticPr fontId="6"/>
  </si>
  <si>
    <t>大型配達</t>
    <phoneticPr fontId="6"/>
  </si>
  <si>
    <t>計</t>
    <phoneticPr fontId="6"/>
  </si>
  <si>
    <t>技工</t>
    <phoneticPr fontId="6"/>
  </si>
  <si>
    <t>人</t>
    <phoneticPr fontId="6"/>
  </si>
  <si>
    <t>労務費</t>
    <phoneticPr fontId="6"/>
  </si>
  <si>
    <t>技工(N)</t>
    <phoneticPr fontId="6"/>
  </si>
  <si>
    <t>夜間単価</t>
    <phoneticPr fontId="6"/>
  </si>
  <si>
    <t>ｺｱｰ採取</t>
    <phoneticPr fontId="6"/>
  </si>
  <si>
    <t>最低補償</t>
    <phoneticPr fontId="6"/>
  </si>
  <si>
    <t>外注費</t>
    <phoneticPr fontId="6"/>
  </si>
  <si>
    <t>汚泥運搬費</t>
    <phoneticPr fontId="6"/>
  </si>
  <si>
    <t>汚泥処分費</t>
    <phoneticPr fontId="6"/>
  </si>
  <si>
    <t>外注経費</t>
    <phoneticPr fontId="6"/>
  </si>
  <si>
    <t>区画線  実線・ｾﾞﾌﾞﾗ</t>
    <phoneticPr fontId="6"/>
  </si>
  <si>
    <t>W=15cm</t>
    <phoneticPr fontId="6"/>
  </si>
  <si>
    <t>W=45cm</t>
    <phoneticPr fontId="6"/>
  </si>
  <si>
    <t>半たわみ供試体　試験</t>
    <phoneticPr fontId="6"/>
  </si>
  <si>
    <t>平坦性試験</t>
    <phoneticPr fontId="6"/>
  </si>
  <si>
    <t>舗装版切断(最低)</t>
    <phoneticPr fontId="6"/>
  </si>
  <si>
    <t>法定福利費</t>
    <phoneticPr fontId="6"/>
  </si>
  <si>
    <t>矢印・記号・文字・15cm換算</t>
    <phoneticPr fontId="6"/>
  </si>
  <si>
    <t>ASﾌｨﾆｯｼｬｰ6.0m</t>
    <phoneticPr fontId="6"/>
  </si>
  <si>
    <t>台</t>
    <phoneticPr fontId="6"/>
  </si>
  <si>
    <t>低騒音OPAJ付</t>
    <phoneticPr fontId="6"/>
  </si>
  <si>
    <t>機械費</t>
    <phoneticPr fontId="6"/>
  </si>
  <si>
    <t>BH0.1</t>
    <phoneticPr fontId="6"/>
  </si>
  <si>
    <t>ブレーカー</t>
    <phoneticPr fontId="6"/>
  </si>
  <si>
    <t>ｽｲｰﾊﾟｰ</t>
    <phoneticPr fontId="6"/>
  </si>
  <si>
    <t>大型</t>
    <phoneticPr fontId="6"/>
  </si>
  <si>
    <t>ﾀｲﾔｼｮﾍﾞﾙ0.4</t>
    <phoneticPr fontId="6"/>
  </si>
  <si>
    <t>スイーパー</t>
    <phoneticPr fontId="6"/>
  </si>
  <si>
    <t>ﾀｲﾔﾛｰﾗ</t>
    <phoneticPr fontId="6"/>
  </si>
  <si>
    <t>8t</t>
    <phoneticPr fontId="6"/>
  </si>
  <si>
    <t>ﾀﾝﾃﾞﾑﾛｰﾗ</t>
    <phoneticPr fontId="6"/>
  </si>
  <si>
    <t>3ｔ、4ｔ</t>
    <phoneticPr fontId="6"/>
  </si>
  <si>
    <t>ﾃﾞｨｽﾄﾘﾋﾞｭｰﾀ(夜)</t>
    <phoneticPr fontId="6"/>
  </si>
  <si>
    <t>ﾊﾞﾙｰﾝﾗｲﾄ</t>
    <phoneticPr fontId="6"/>
  </si>
  <si>
    <t>ﾏｶﾀﾞﾑﾛｰﾗ</t>
    <phoneticPr fontId="6"/>
  </si>
  <si>
    <t>ﾐﾆ切削機</t>
    <phoneticPr fontId="6"/>
  </si>
  <si>
    <t>CPR100級</t>
    <phoneticPr fontId="6"/>
  </si>
  <si>
    <t>W350</t>
    <phoneticPr fontId="6"/>
  </si>
  <si>
    <t>小物機械</t>
    <phoneticPr fontId="6"/>
  </si>
  <si>
    <t>摺り付け機</t>
    <phoneticPr fontId="6"/>
  </si>
  <si>
    <t>切削機ﾎｲｰﾙ</t>
    <phoneticPr fontId="6"/>
  </si>
  <si>
    <t>ER550級</t>
    <phoneticPr fontId="6"/>
  </si>
  <si>
    <t>半たわみｾｯﾄ  ﾚﾝﾀﾙ</t>
    <phoneticPr fontId="6"/>
  </si>
  <si>
    <t>4ｔﾕﾆｯｸ</t>
    <phoneticPr fontId="6"/>
  </si>
  <si>
    <t>2ｔﾀﾞﾝﾌﾟ</t>
    <phoneticPr fontId="6"/>
  </si>
  <si>
    <t>運搬費</t>
    <phoneticPr fontId="6"/>
  </si>
  <si>
    <t>AF回送  大型ｾﾙﾌ</t>
    <phoneticPr fontId="6"/>
  </si>
  <si>
    <t>4.4m～6.0m級</t>
    <phoneticPr fontId="6"/>
  </si>
  <si>
    <t>AS塊処分</t>
    <phoneticPr fontId="6"/>
  </si>
  <si>
    <t>AS廃材(排水性)</t>
    <phoneticPr fontId="6"/>
  </si>
  <si>
    <t>ﾀﾞﾝﾌﾟﾄﾗｯｸ常用10ｔ</t>
    <phoneticPr fontId="6"/>
  </si>
  <si>
    <t>ｵﾍﾟ燃料付</t>
    <phoneticPr fontId="6"/>
  </si>
  <si>
    <t>ﾀﾞﾝﾌﾟﾄﾗｯｸ台引10ｔ</t>
    <phoneticPr fontId="6"/>
  </si>
  <si>
    <t>厚木市内</t>
    <phoneticPr fontId="6"/>
  </si>
  <si>
    <t>回送  4ｔｾﾙﾌ</t>
    <phoneticPr fontId="6"/>
  </si>
  <si>
    <t>BH TS 摺付 ﾀﾝﾃﾞﾑ</t>
    <phoneticPr fontId="6"/>
  </si>
  <si>
    <t>回送  大型ｾﾙﾌ</t>
    <phoneticPr fontId="6"/>
  </si>
  <si>
    <t>TR  MR</t>
    <phoneticPr fontId="6"/>
  </si>
  <si>
    <t>切削機回送  ｾﾙﾌ</t>
    <phoneticPr fontId="6"/>
  </si>
  <si>
    <t>切削機回送  ﾄﾚｰﾗｰ</t>
    <phoneticPr fontId="6"/>
  </si>
  <si>
    <t>労務運搬(Wｷｬﾌﾞ)</t>
    <phoneticPr fontId="6"/>
  </si>
  <si>
    <t>燃料込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</si>
</sst>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¥&quot;#,##0_);[Red]\(&quot;¥&quot;#,##0\)"/>
    <numFmt numFmtId="177" formatCode="0.0%"/>
    <numFmt numFmtId="178" formatCode="0.0"/>
    <numFmt numFmtId="179" formatCode="&quot;[&quot;@&quot;]&quot;"/>
    <numFmt numFmtId="180" formatCode="0.00_ "/>
    <numFmt numFmtId="181" formatCode="m/d;@"/>
    <numFmt numFmtId="182" formatCode="#,##0;&quot;▲ &quot;#,##0"/>
    <numFmt numFmtId="183" formatCode="#,##0.000;&quot;▲ &quot;#,##0.000"/>
    <numFmt numFmtId="184" formatCode="#,##0.00;&quot;▲ &quot;#,##0.00"/>
    <numFmt numFmtId="185" formatCode="0.00%;&quot;▲ &quot;0.00%"/>
    <numFmt numFmtId="186" formatCode="##0.00%;&quot;▲ &quot;##0.00%"/>
    <numFmt numFmtId="187" formatCode="##0.0%;&quot;▲ &quot;##0.0%"/>
    <numFmt numFmtId="188" formatCode="yyyy&quot;年&quot;m&quot;月&quot;d&quot;日&quot;;@"/>
  </numFmts>
  <fonts count="3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明朝"/>
      <family val="1"/>
      <charset val="128"/>
    </font>
    <font>
      <sz val="11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22"/>
      <name val="ＭＳ 明朝"/>
      <family val="1"/>
      <charset val="128"/>
    </font>
    <font>
      <sz val="6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theme="1"/>
      <name val="ＭＳ 明朝"/>
      <family val="1"/>
      <charset val="128"/>
    </font>
    <font>
      <sz val="12"/>
      <name val="ＭＳ 明朝"/>
      <family val="1"/>
      <charset val="128"/>
    </font>
    <font>
      <sz val="12"/>
      <color rgb="FF3366FF"/>
      <name val="ＭＳ 明朝"/>
      <family val="1"/>
      <charset val="128"/>
    </font>
    <font>
      <sz val="9"/>
      <name val="ＭＳ 明朝"/>
      <family val="1"/>
      <charset val="128"/>
    </font>
    <font>
      <b/>
      <u/>
      <sz val="18"/>
      <name val="ＭＳ 明朝"/>
      <family val="1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b/>
      <sz val="18"/>
      <name val="ＭＳ 明朝"/>
      <family val="1"/>
      <charset val="128"/>
    </font>
    <font>
      <b/>
      <sz val="11"/>
      <name val="ＭＳ 明朝"/>
      <family val="1"/>
      <charset val="128"/>
    </font>
    <font>
      <sz val="8"/>
      <name val="ＭＳ 明朝"/>
      <family val="1"/>
      <charset val="128"/>
    </font>
    <font>
      <sz val="18"/>
      <name val="ＭＳ 明朝"/>
      <family val="1"/>
      <charset val="128"/>
    </font>
    <font>
      <b/>
      <u/>
      <sz val="14"/>
      <name val="ＭＳ 明朝"/>
      <family val="1"/>
      <charset val="128"/>
    </font>
    <font>
      <b/>
      <sz val="12"/>
      <name val="ＭＳ 明朝"/>
      <family val="1"/>
      <charset val="128"/>
    </font>
    <font>
      <b/>
      <sz val="11"/>
      <color indexed="63"/>
      <name val="ＭＳ 明朝"/>
      <family val="1"/>
      <charset val="128"/>
    </font>
    <font>
      <b/>
      <sz val="10"/>
      <name val="ＭＳ 明朝"/>
      <family val="1"/>
      <charset val="128"/>
    </font>
    <font>
      <b/>
      <sz val="22"/>
      <name val="ＭＳ 明朝"/>
      <family val="1"/>
      <charset val="128"/>
    </font>
    <font>
      <u/>
      <sz val="16"/>
      <name val="ＭＳ 明朝"/>
      <family val="1"/>
      <charset val="128"/>
    </font>
    <font>
      <b/>
      <u/>
      <sz val="16"/>
      <name val="ＭＳ 明朝"/>
      <family val="1"/>
      <charset val="128"/>
    </font>
    <font>
      <b/>
      <u/>
      <sz val="10"/>
      <name val="ＭＳ 明朝"/>
      <family val="1"/>
      <charset val="128"/>
    </font>
    <font>
      <sz val="18"/>
      <color theme="1"/>
      <name val="游ゴシック"/>
      <family val="2"/>
      <charset val="128"/>
      <scheme val="minor"/>
    </font>
    <font>
      <sz val="12"/>
      <color indexed="12"/>
      <name val="ＭＳ 明朝"/>
      <family val="1"/>
      <charset val="128"/>
    </font>
    <font>
      <b/>
      <sz val="14"/>
      <name val="ＭＳ 明朝"/>
      <family val="1"/>
      <charset val="128"/>
    </font>
    <font>
      <sz val="11"/>
      <color indexed="12"/>
      <name val="ＭＳ 明朝"/>
      <family val="1"/>
      <charset val="128"/>
    </font>
    <font>
      <sz val="7"/>
      <name val="ＭＳ 明朝"/>
      <family val="1"/>
      <charset val="128"/>
    </font>
    <font>
      <sz val="11"/>
      <color indexed="10"/>
      <name val="ＭＳ 明朝"/>
      <family val="1"/>
      <charset val="128"/>
    </font>
    <font>
      <sz val="10"/>
      <color indexed="12"/>
      <name val="ＭＳ 明朝"/>
      <family val="1"/>
      <charset val="128"/>
    </font>
    <font>
      <sz val="10"/>
      <color theme="1"/>
      <name val="ＭＳ 明朝"/>
      <family val="1"/>
      <charset val="128"/>
    </font>
    <font>
      <sz val="6"/>
      <name val="Meiryo UI"/>
      <family val="2"/>
      <charset val="128"/>
    </font>
    <font>
      <sz val="11"/>
      <color indexed="81"/>
      <name val="ＭＳ 明朝"/>
      <family val="1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CC"/>
        <bgColor indexed="64"/>
      </patternFill>
    </fill>
  </fills>
  <borders count="18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55"/>
      </bottom>
      <diagonal/>
    </border>
    <border>
      <left/>
      <right/>
      <top style="thin">
        <color indexed="64"/>
      </top>
      <bottom style="dotted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/>
      <right style="medium">
        <color indexed="64"/>
      </right>
      <top style="thin">
        <color indexed="64"/>
      </top>
      <bottom style="dotted">
        <color indexed="55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tted">
        <color indexed="55"/>
      </right>
      <top/>
      <bottom style="medium">
        <color indexed="64"/>
      </bottom>
      <diagonal/>
    </border>
    <border>
      <left style="dotted">
        <color indexed="55"/>
      </left>
      <right style="dotted">
        <color indexed="55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55"/>
      </left>
      <right/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/>
      <bottom style="thin">
        <color indexed="64"/>
      </bottom>
      <diagonal/>
    </border>
    <border>
      <left style="dotted">
        <color indexed="55"/>
      </left>
      <right style="dotted">
        <color indexed="55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17"/>
      </top>
      <bottom style="thin">
        <color indexed="17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/>
      <top style="medium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/>
      <top style="thin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/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2" fillId="0" borderId="0"/>
    <xf numFmtId="0" fontId="2" fillId="0" borderId="0"/>
    <xf numFmtId="0" fontId="14" fillId="0" borderId="0"/>
    <xf numFmtId="176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2" fillId="0" borderId="0"/>
    <xf numFmtId="0" fontId="1" fillId="0" borderId="0">
      <alignment vertical="center"/>
    </xf>
  </cellStyleXfs>
  <cellXfs count="594">
    <xf numFmtId="0" fontId="0" fillId="0" borderId="0" xfId="0">
      <alignment vertical="center"/>
    </xf>
    <xf numFmtId="49" fontId="3" fillId="0" borderId="0" xfId="1" applyNumberFormat="1" applyFont="1"/>
    <xf numFmtId="49" fontId="3" fillId="0" borderId="1" xfId="1" applyNumberFormat="1" applyFont="1" applyBorder="1" applyAlignment="1">
      <alignment horizontal="center" vertical="center"/>
    </xf>
    <xf numFmtId="49" fontId="3" fillId="0" borderId="3" xfId="1" applyNumberFormat="1" applyFont="1" applyBorder="1"/>
    <xf numFmtId="49" fontId="3" fillId="0" borderId="0" xfId="1" applyNumberFormat="1" applyFont="1" applyAlignment="1">
      <alignment vertical="center"/>
    </xf>
    <xf numFmtId="49" fontId="3" fillId="0" borderId="4" xfId="1" applyNumberFormat="1" applyFont="1" applyBorder="1" applyAlignment="1">
      <alignment horizontal="center" vertical="center"/>
    </xf>
    <xf numFmtId="49" fontId="3" fillId="0" borderId="6" xfId="1" applyNumberFormat="1" applyFont="1" applyBorder="1"/>
    <xf numFmtId="49" fontId="3" fillId="0" borderId="11" xfId="1" applyNumberFormat="1" applyFont="1" applyBorder="1" applyAlignment="1">
      <alignment horizontal="left" vertical="center"/>
    </xf>
    <xf numFmtId="49" fontId="3" fillId="0" borderId="13" xfId="1" quotePrefix="1" applyNumberFormat="1" applyFont="1" applyBorder="1" applyAlignment="1">
      <alignment horizontal="center" vertical="center"/>
    </xf>
    <xf numFmtId="49" fontId="3" fillId="0" borderId="11" xfId="1" quotePrefix="1" applyNumberFormat="1" applyFont="1" applyBorder="1" applyAlignment="1">
      <alignment horizontal="center" vertical="center"/>
    </xf>
    <xf numFmtId="49" fontId="3" fillId="0" borderId="14" xfId="1" quotePrefix="1" applyNumberFormat="1" applyFont="1" applyBorder="1" applyAlignment="1">
      <alignment horizontal="center" vertical="center"/>
    </xf>
    <xf numFmtId="49" fontId="7" fillId="0" borderId="11" xfId="1" applyNumberFormat="1" applyFont="1" applyBorder="1" applyAlignment="1">
      <alignment horizontal="center" vertical="center"/>
    </xf>
    <xf numFmtId="49" fontId="7" fillId="0" borderId="14" xfId="1" applyNumberFormat="1" applyFont="1" applyBorder="1" applyAlignment="1">
      <alignment horizontal="center" vertical="center"/>
    </xf>
    <xf numFmtId="49" fontId="7" fillId="0" borderId="13" xfId="1" applyNumberFormat="1" applyFont="1" applyBorder="1" applyAlignment="1">
      <alignment horizontal="center" vertical="center"/>
    </xf>
    <xf numFmtId="49" fontId="3" fillId="0" borderId="6" xfId="1" applyNumberFormat="1" applyFont="1" applyBorder="1" applyAlignment="1">
      <alignment horizontal="center" vertical="center"/>
    </xf>
    <xf numFmtId="49" fontId="3" fillId="0" borderId="15" xfId="1" applyNumberFormat="1" applyFont="1" applyBorder="1" applyAlignment="1">
      <alignment horizontal="left" vertical="center"/>
    </xf>
    <xf numFmtId="49" fontId="3" fillId="0" borderId="16" xfId="1" applyNumberFormat="1" applyFont="1" applyBorder="1" applyAlignment="1">
      <alignment horizontal="center" vertical="center"/>
    </xf>
    <xf numFmtId="49" fontId="3" fillId="0" borderId="16" xfId="1" applyNumberFormat="1" applyFont="1" applyBorder="1"/>
    <xf numFmtId="49" fontId="3" fillId="0" borderId="17" xfId="1" applyNumberFormat="1" applyFont="1" applyBorder="1"/>
    <xf numFmtId="49" fontId="11" fillId="0" borderId="16" xfId="1" applyNumberFormat="1" applyFont="1" applyBorder="1" applyAlignment="1">
      <alignment horizontal="center" vertical="center"/>
    </xf>
    <xf numFmtId="49" fontId="3" fillId="0" borderId="17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19" xfId="1" applyNumberFormat="1" applyFont="1" applyBorder="1"/>
    <xf numFmtId="49" fontId="3" fillId="0" borderId="18" xfId="1" applyNumberFormat="1" applyFont="1" applyBorder="1"/>
    <xf numFmtId="49" fontId="3" fillId="0" borderId="19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right" vertical="center"/>
    </xf>
    <xf numFmtId="49" fontId="3" fillId="0" borderId="6" xfId="1" applyNumberFormat="1" applyFont="1" applyBorder="1" applyAlignment="1">
      <alignment horizontal="right" vertical="center"/>
    </xf>
    <xf numFmtId="49" fontId="3" fillId="0" borderId="20" xfId="1" applyNumberFormat="1" applyFont="1" applyBorder="1" applyAlignment="1">
      <alignment horizontal="center" vertical="center"/>
    </xf>
    <xf numFmtId="49" fontId="3" fillId="0" borderId="21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49" fontId="3" fillId="0" borderId="23" xfId="1" applyNumberFormat="1" applyFont="1" applyBorder="1" applyAlignment="1">
      <alignment horizontal="center" vertical="center"/>
    </xf>
    <xf numFmtId="49" fontId="3" fillId="0" borderId="24" xfId="1" applyNumberFormat="1" applyFont="1" applyBorder="1" applyAlignment="1">
      <alignment horizontal="center" vertical="center"/>
    </xf>
    <xf numFmtId="49" fontId="3" fillId="0" borderId="25" xfId="1" applyNumberFormat="1" applyFont="1" applyBorder="1"/>
    <xf numFmtId="0" fontId="9" fillId="3" borderId="0" xfId="2" applyFont="1" applyFill="1"/>
    <xf numFmtId="0" fontId="12" fillId="3" borderId="0" xfId="2" applyFont="1" applyFill="1" applyAlignment="1">
      <alignment vertical="center"/>
    </xf>
    <xf numFmtId="0" fontId="3" fillId="3" borderId="0" xfId="2" applyFont="1" applyFill="1"/>
    <xf numFmtId="0" fontId="9" fillId="0" borderId="0" xfId="2" applyFont="1"/>
    <xf numFmtId="0" fontId="9" fillId="4" borderId="39" xfId="2" applyFont="1" applyFill="1" applyBorder="1" applyAlignment="1">
      <alignment horizontal="center" vertical="center"/>
    </xf>
    <xf numFmtId="0" fontId="9" fillId="4" borderId="41" xfId="2" applyFont="1" applyFill="1" applyBorder="1" applyAlignment="1">
      <alignment horizontal="center" vertical="center"/>
    </xf>
    <xf numFmtId="0" fontId="9" fillId="4" borderId="42" xfId="2" applyFont="1" applyFill="1" applyBorder="1" applyAlignment="1">
      <alignment horizontal="center" vertical="center"/>
    </xf>
    <xf numFmtId="0" fontId="9" fillId="4" borderId="43" xfId="2" applyFont="1" applyFill="1" applyBorder="1" applyAlignment="1">
      <alignment horizontal="center" vertical="center"/>
    </xf>
    <xf numFmtId="0" fontId="9" fillId="4" borderId="44" xfId="2" applyFont="1" applyFill="1" applyBorder="1" applyAlignment="1">
      <alignment horizontal="center" vertical="center"/>
    </xf>
    <xf numFmtId="0" fontId="9" fillId="4" borderId="45" xfId="2" applyFont="1" applyFill="1" applyBorder="1" applyAlignment="1">
      <alignment horizontal="center" vertical="center"/>
    </xf>
    <xf numFmtId="0" fontId="3" fillId="4" borderId="46" xfId="2" applyFont="1" applyFill="1" applyBorder="1" applyAlignment="1">
      <alignment horizontal="center" vertical="center"/>
    </xf>
    <xf numFmtId="0" fontId="9" fillId="4" borderId="47" xfId="2" applyFont="1" applyFill="1" applyBorder="1" applyAlignment="1">
      <alignment horizontal="center" vertical="center" shrinkToFit="1"/>
    </xf>
    <xf numFmtId="0" fontId="9" fillId="4" borderId="48" xfId="2" applyFont="1" applyFill="1" applyBorder="1" applyAlignment="1">
      <alignment horizontal="right" vertical="center" shrinkToFit="1"/>
    </xf>
    <xf numFmtId="9" fontId="9" fillId="3" borderId="49" xfId="2" applyNumberFormat="1" applyFont="1" applyFill="1" applyBorder="1" applyAlignment="1">
      <alignment horizontal="center"/>
    </xf>
    <xf numFmtId="49" fontId="9" fillId="3" borderId="50" xfId="2" applyNumberFormat="1" applyFont="1" applyFill="1" applyBorder="1" applyAlignment="1">
      <alignment vertical="center" shrinkToFit="1"/>
    </xf>
    <xf numFmtId="0" fontId="9" fillId="3" borderId="53" xfId="2" applyFont="1" applyFill="1" applyBorder="1" applyAlignment="1">
      <alignment shrinkToFit="1"/>
    </xf>
    <xf numFmtId="0" fontId="9" fillId="3" borderId="54" xfId="2" applyFont="1" applyFill="1" applyBorder="1" applyAlignment="1">
      <alignment shrinkToFit="1"/>
    </xf>
    <xf numFmtId="0" fontId="9" fillId="3" borderId="6" xfId="2" applyFont="1" applyFill="1" applyBorder="1" applyAlignment="1">
      <alignment horizontal="center" shrinkToFit="1"/>
    </xf>
    <xf numFmtId="49" fontId="9" fillId="3" borderId="55" xfId="2" applyNumberFormat="1" applyFont="1" applyFill="1" applyBorder="1" applyAlignment="1">
      <alignment vertical="center" shrinkToFit="1"/>
    </xf>
    <xf numFmtId="0" fontId="9" fillId="3" borderId="58" xfId="2" applyFont="1" applyFill="1" applyBorder="1" applyAlignment="1">
      <alignment shrinkToFit="1"/>
    </xf>
    <xf numFmtId="0" fontId="9" fillId="3" borderId="59" xfId="2" applyFont="1" applyFill="1" applyBorder="1" applyAlignment="1">
      <alignment shrinkToFit="1"/>
    </xf>
    <xf numFmtId="9" fontId="9" fillId="3" borderId="33" xfId="2" applyNumberFormat="1" applyFont="1" applyFill="1" applyBorder="1" applyAlignment="1">
      <alignment horizontal="center" shrinkToFit="1"/>
    </xf>
    <xf numFmtId="0" fontId="9" fillId="3" borderId="6" xfId="2" applyFont="1" applyFill="1" applyBorder="1" applyAlignment="1">
      <alignment horizontal="center" vertical="center" shrinkToFit="1"/>
    </xf>
    <xf numFmtId="0" fontId="9" fillId="3" borderId="6" xfId="2" applyFont="1" applyFill="1" applyBorder="1" applyAlignment="1">
      <alignment horizontal="center" vertical="top" shrinkToFit="1"/>
    </xf>
    <xf numFmtId="0" fontId="9" fillId="3" borderId="60" xfId="2" applyFont="1" applyFill="1" applyBorder="1" applyAlignment="1">
      <alignment horizontal="center" vertical="center" shrinkToFit="1"/>
    </xf>
    <xf numFmtId="0" fontId="9" fillId="3" borderId="63" xfId="2" applyFont="1" applyFill="1" applyBorder="1" applyAlignment="1">
      <alignment shrinkToFit="1"/>
    </xf>
    <xf numFmtId="0" fontId="9" fillId="3" borderId="64" xfId="2" applyFont="1" applyFill="1" applyBorder="1" applyAlignment="1">
      <alignment shrinkToFit="1"/>
    </xf>
    <xf numFmtId="9" fontId="9" fillId="3" borderId="33" xfId="2" quotePrefix="1" applyNumberFormat="1" applyFont="1" applyFill="1" applyBorder="1" applyAlignment="1">
      <alignment horizontal="center" shrinkToFit="1"/>
    </xf>
    <xf numFmtId="0" fontId="9" fillId="3" borderId="65" xfId="2" applyFont="1" applyFill="1" applyBorder="1" applyAlignment="1">
      <alignment shrinkToFit="1"/>
    </xf>
    <xf numFmtId="0" fontId="3" fillId="3" borderId="66" xfId="2" applyFont="1" applyFill="1" applyBorder="1" applyAlignment="1">
      <alignment horizontal="center" shrinkToFit="1"/>
    </xf>
    <xf numFmtId="0" fontId="9" fillId="3" borderId="69" xfId="2" applyFont="1" applyFill="1" applyBorder="1" applyAlignment="1">
      <alignment shrinkToFit="1"/>
    </xf>
    <xf numFmtId="0" fontId="9" fillId="3" borderId="70" xfId="2" applyFont="1" applyFill="1" applyBorder="1" applyAlignment="1">
      <alignment horizontal="center" vertical="center" shrinkToFit="1"/>
    </xf>
    <xf numFmtId="0" fontId="3" fillId="3" borderId="24" xfId="2" applyFont="1" applyFill="1" applyBorder="1" applyAlignment="1">
      <alignment horizontal="center" vertical="center" shrinkToFit="1"/>
    </xf>
    <xf numFmtId="0" fontId="9" fillId="3" borderId="25" xfId="2" applyFont="1" applyFill="1" applyBorder="1" applyAlignment="1">
      <alignment shrinkToFit="1"/>
    </xf>
    <xf numFmtId="0" fontId="9" fillId="3" borderId="0" xfId="2" applyFont="1" applyFill="1" applyAlignment="1">
      <alignment horizontal="centerContinuous"/>
    </xf>
    <xf numFmtId="0" fontId="3" fillId="0" borderId="0" xfId="2" applyFont="1"/>
    <xf numFmtId="0" fontId="3" fillId="3" borderId="0" xfId="3" applyFont="1" applyFill="1"/>
    <xf numFmtId="0" fontId="16" fillId="3" borderId="5" xfId="3" applyFont="1" applyFill="1" applyBorder="1" applyAlignment="1">
      <alignment horizontal="left"/>
    </xf>
    <xf numFmtId="0" fontId="3" fillId="3" borderId="5" xfId="3" applyFont="1" applyFill="1" applyBorder="1"/>
    <xf numFmtId="0" fontId="3" fillId="3" borderId="0" xfId="3" applyFont="1" applyFill="1" applyAlignment="1">
      <alignment horizontal="right"/>
    </xf>
    <xf numFmtId="0" fontId="3" fillId="0" borderId="0" xfId="3" applyFont="1"/>
    <xf numFmtId="0" fontId="17" fillId="4" borderId="26" xfId="3" applyFont="1" applyFill="1" applyBorder="1" applyAlignment="1">
      <alignment vertical="center"/>
    </xf>
    <xf numFmtId="0" fontId="3" fillId="4" borderId="27" xfId="3" applyFont="1" applyFill="1" applyBorder="1"/>
    <xf numFmtId="0" fontId="3" fillId="4" borderId="75" xfId="3" applyFont="1" applyFill="1" applyBorder="1"/>
    <xf numFmtId="0" fontId="17" fillId="4" borderId="27" xfId="3" applyFont="1" applyFill="1" applyBorder="1" applyAlignment="1">
      <alignment vertical="center"/>
    </xf>
    <xf numFmtId="0" fontId="3" fillId="4" borderId="29" xfId="3" applyFont="1" applyFill="1" applyBorder="1"/>
    <xf numFmtId="0" fontId="3" fillId="4" borderId="77" xfId="3" applyFont="1" applyFill="1" applyBorder="1" applyAlignment="1">
      <alignment horizontal="center" vertical="center"/>
    </xf>
    <xf numFmtId="0" fontId="3" fillId="4" borderId="12" xfId="3" applyFont="1" applyFill="1" applyBorder="1" applyAlignment="1">
      <alignment horizontal="center" vertical="center"/>
    </xf>
    <xf numFmtId="0" fontId="3" fillId="4" borderId="78" xfId="3" applyFont="1" applyFill="1" applyBorder="1" applyAlignment="1">
      <alignment horizontal="center" vertical="center"/>
    </xf>
    <xf numFmtId="49" fontId="15" fillId="3" borderId="80" xfId="5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center" vertical="center"/>
    </xf>
    <xf numFmtId="49" fontId="15" fillId="3" borderId="83" xfId="5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center" vertical="center"/>
    </xf>
    <xf numFmtId="49" fontId="15" fillId="3" borderId="83" xfId="3" applyNumberFormat="1" applyFont="1" applyFill="1" applyBorder="1" applyAlignment="1">
      <alignment horizontal="left" vertical="center" wrapText="1"/>
    </xf>
    <xf numFmtId="0" fontId="17" fillId="4" borderId="30" xfId="3" applyFont="1" applyFill="1" applyBorder="1" applyAlignment="1">
      <alignment vertical="center"/>
    </xf>
    <xf numFmtId="0" fontId="3" fillId="4" borderId="5" xfId="3" applyFont="1" applyFill="1" applyBorder="1"/>
    <xf numFmtId="0" fontId="3" fillId="4" borderId="88" xfId="3" applyFont="1" applyFill="1" applyBorder="1"/>
    <xf numFmtId="0" fontId="3" fillId="4" borderId="42" xfId="3" applyFont="1" applyFill="1" applyBorder="1" applyAlignment="1">
      <alignment horizontal="center" vertical="center"/>
    </xf>
    <xf numFmtId="0" fontId="3" fillId="4" borderId="89" xfId="3" applyFont="1" applyFill="1" applyBorder="1" applyAlignment="1">
      <alignment horizontal="center" vertical="center"/>
    </xf>
    <xf numFmtId="49" fontId="15" fillId="3" borderId="90" xfId="3" applyNumberFormat="1" applyFont="1" applyFill="1" applyBorder="1" applyAlignment="1">
      <alignment horizontal="left" vertical="center" wrapText="1"/>
    </xf>
    <xf numFmtId="49" fontId="15" fillId="3" borderId="80" xfId="3" applyNumberFormat="1" applyFont="1" applyFill="1" applyBorder="1" applyAlignment="1">
      <alignment horizontal="left" vertical="center" wrapText="1"/>
    </xf>
    <xf numFmtId="49" fontId="15" fillId="3" borderId="92" xfId="3" applyNumberFormat="1" applyFont="1" applyFill="1" applyBorder="1" applyAlignment="1">
      <alignment horizontal="left" vertical="center" wrapText="1"/>
    </xf>
    <xf numFmtId="49" fontId="15" fillId="3" borderId="93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center" vertical="center"/>
    </xf>
    <xf numFmtId="49" fontId="15" fillId="3" borderId="96" xfId="3" applyNumberFormat="1" applyFont="1" applyFill="1" applyBorder="1" applyAlignment="1">
      <alignment horizontal="left" vertical="center" wrapText="1"/>
    </xf>
    <xf numFmtId="49" fontId="3" fillId="3" borderId="0" xfId="3" applyNumberFormat="1" applyFont="1" applyFill="1" applyAlignment="1">
      <alignment vertical="center"/>
    </xf>
    <xf numFmtId="49" fontId="3" fillId="3" borderId="0" xfId="5" applyNumberFormat="1" applyFont="1" applyFill="1" applyAlignment="1">
      <alignment horizontal="right" vertical="center"/>
    </xf>
    <xf numFmtId="49" fontId="3" fillId="0" borderId="0" xfId="3" applyNumberFormat="1" applyFont="1" applyAlignment="1">
      <alignment vertical="center"/>
    </xf>
    <xf numFmtId="0" fontId="3" fillId="6" borderId="98" xfId="3" applyFont="1" applyFill="1" applyBorder="1" applyAlignment="1">
      <alignment horizontal="center" vertical="center"/>
    </xf>
    <xf numFmtId="0" fontId="3" fillId="6" borderId="99" xfId="3" applyFont="1" applyFill="1" applyBorder="1" applyAlignment="1">
      <alignment horizontal="center" vertical="center"/>
    </xf>
    <xf numFmtId="0" fontId="3" fillId="6" borderId="12" xfId="3" applyFont="1" applyFill="1" applyBorder="1" applyAlignment="1">
      <alignment horizontal="center" vertical="center"/>
    </xf>
    <xf numFmtId="0" fontId="3" fillId="6" borderId="42" xfId="3" applyFont="1" applyFill="1" applyBorder="1" applyAlignment="1">
      <alignment horizontal="center" vertical="center"/>
    </xf>
    <xf numFmtId="0" fontId="17" fillId="6" borderId="13" xfId="3" applyFont="1" applyFill="1" applyBorder="1" applyAlignment="1">
      <alignment horizontal="center" vertical="center"/>
    </xf>
    <xf numFmtId="49" fontId="22" fillId="7" borderId="13" xfId="3" applyNumberFormat="1" applyFont="1" applyFill="1" applyBorder="1" applyAlignment="1">
      <alignment horizontal="center" vertical="center" shrinkToFit="1"/>
    </xf>
    <xf numFmtId="49" fontId="22" fillId="7" borderId="100" xfId="3" applyNumberFormat="1" applyFont="1" applyFill="1" applyBorder="1" applyAlignment="1">
      <alignment horizontal="center" vertical="center" shrinkToFit="1"/>
    </xf>
    <xf numFmtId="49" fontId="22" fillId="7" borderId="101" xfId="3" applyNumberFormat="1" applyFont="1" applyFill="1" applyBorder="1" applyAlignment="1">
      <alignment horizontal="center" vertical="center" shrinkToFit="1"/>
    </xf>
    <xf numFmtId="49" fontId="22" fillId="7" borderId="102" xfId="3" applyNumberFormat="1" applyFont="1" applyFill="1" applyBorder="1" applyAlignment="1">
      <alignment horizontal="center" vertical="center" shrinkToFit="1"/>
    </xf>
    <xf numFmtId="0" fontId="3" fillId="6" borderId="12" xfId="3" applyFont="1" applyFill="1" applyBorder="1" applyAlignment="1">
      <alignment horizontal="left" vertical="center"/>
    </xf>
    <xf numFmtId="0" fontId="3" fillId="6" borderId="12" xfId="3" applyFont="1" applyFill="1" applyBorder="1" applyAlignment="1">
      <alignment horizontal="left" vertical="center" indent="1"/>
    </xf>
    <xf numFmtId="49" fontId="3" fillId="3" borderId="0" xfId="3" applyNumberFormat="1" applyFont="1" applyFill="1" applyAlignment="1">
      <alignment horizontal="right" vertical="center"/>
    </xf>
    <xf numFmtId="0" fontId="17" fillId="6" borderId="110" xfId="3" applyFont="1" applyFill="1" applyBorder="1" applyAlignment="1">
      <alignment horizontal="center" vertical="center"/>
    </xf>
    <xf numFmtId="0" fontId="17" fillId="6" borderId="112" xfId="3" applyFont="1" applyFill="1" applyBorder="1" applyAlignment="1">
      <alignment horizontal="center" vertical="center"/>
    </xf>
    <xf numFmtId="0" fontId="3" fillId="3" borderId="34" xfId="3" applyFont="1" applyFill="1" applyBorder="1"/>
    <xf numFmtId="49" fontId="3" fillId="3" borderId="14" xfId="3" applyNumberFormat="1" applyFont="1" applyFill="1" applyBorder="1" applyAlignment="1">
      <alignment horizontal="left" vertical="center" wrapText="1"/>
    </xf>
    <xf numFmtId="49" fontId="15" fillId="3" borderId="11" xfId="3" applyNumberFormat="1" applyFont="1" applyFill="1" applyBorder="1" applyAlignment="1">
      <alignment horizontal="right" vertical="center"/>
    </xf>
    <xf numFmtId="0" fontId="3" fillId="3" borderId="113" xfId="3" applyFont="1" applyFill="1" applyBorder="1"/>
    <xf numFmtId="49" fontId="3" fillId="3" borderId="108" xfId="3" applyNumberFormat="1" applyFont="1" applyFill="1" applyBorder="1" applyAlignment="1">
      <alignment horizontal="left" vertical="center" wrapText="1"/>
    </xf>
    <xf numFmtId="49" fontId="15" fillId="3" borderId="115" xfId="3" applyNumberFormat="1" applyFont="1" applyFill="1" applyBorder="1" applyAlignment="1">
      <alignment horizontal="right" vertical="center"/>
    </xf>
    <xf numFmtId="0" fontId="3" fillId="3" borderId="0" xfId="3" applyFont="1" applyFill="1" applyAlignment="1">
      <alignment vertical="top"/>
    </xf>
    <xf numFmtId="0" fontId="16" fillId="3" borderId="24" xfId="3" applyFont="1" applyFill="1" applyBorder="1" applyAlignment="1">
      <alignment vertical="center"/>
    </xf>
    <xf numFmtId="0" fontId="14" fillId="3" borderId="24" xfId="3" applyFill="1" applyBorder="1" applyAlignment="1">
      <alignment vertical="center"/>
    </xf>
    <xf numFmtId="49" fontId="23" fillId="7" borderId="120" xfId="7" applyNumberFormat="1" applyFont="1" applyFill="1" applyBorder="1" applyAlignment="1">
      <alignment horizontal="center" vertical="center"/>
    </xf>
    <xf numFmtId="49" fontId="23" fillId="7" borderId="121" xfId="7" applyNumberFormat="1" applyFont="1" applyFill="1" applyBorder="1" applyAlignment="1">
      <alignment horizontal="center" vertical="center"/>
    </xf>
    <xf numFmtId="49" fontId="23" fillId="7" borderId="102" xfId="7" applyNumberFormat="1" applyFont="1" applyFill="1" applyBorder="1" applyAlignment="1">
      <alignment horizontal="center" vertical="center"/>
    </xf>
    <xf numFmtId="49" fontId="15" fillId="3" borderId="34" xfId="3" applyNumberFormat="1" applyFont="1" applyFill="1" applyBorder="1" applyAlignment="1">
      <alignment horizontal="left" vertical="center" wrapText="1"/>
    </xf>
    <xf numFmtId="49" fontId="15" fillId="3" borderId="12" xfId="3" applyNumberFormat="1" applyFont="1" applyFill="1" applyBorder="1" applyAlignment="1">
      <alignment horizontal="center" vertical="center" shrinkToFit="1"/>
    </xf>
    <xf numFmtId="49" fontId="15" fillId="3" borderId="113" xfId="3" applyNumberFormat="1" applyFont="1" applyFill="1" applyBorder="1" applyAlignment="1">
      <alignment horizontal="left" vertical="center" wrapText="1"/>
    </xf>
    <xf numFmtId="49" fontId="15" fillId="3" borderId="123" xfId="3" applyNumberFormat="1" applyFont="1" applyFill="1" applyBorder="1" applyAlignment="1">
      <alignment horizontal="center" vertical="center" shrinkToFit="1"/>
    </xf>
    <xf numFmtId="49" fontId="3" fillId="3" borderId="0" xfId="5" applyNumberFormat="1" applyFont="1" applyFill="1" applyAlignment="1">
      <alignment vertical="center"/>
    </xf>
    <xf numFmtId="0" fontId="3" fillId="0" borderId="0" xfId="5" applyNumberFormat="1" applyFont="1" applyFill="1"/>
    <xf numFmtId="0" fontId="3" fillId="0" borderId="24" xfId="3" applyFont="1" applyBorder="1" applyAlignment="1">
      <alignment vertical="center"/>
    </xf>
    <xf numFmtId="0" fontId="17" fillId="6" borderId="41" xfId="3" applyFont="1" applyFill="1" applyBorder="1" applyAlignment="1">
      <alignment horizontal="center" vertical="center"/>
    </xf>
    <xf numFmtId="49" fontId="15" fillId="3" borderId="127" xfId="5" applyNumberFormat="1" applyFont="1" applyFill="1" applyBorder="1" applyAlignment="1">
      <alignment horizontal="left" vertical="center" shrinkToFit="1"/>
    </xf>
    <xf numFmtId="49" fontId="15" fillId="3" borderId="43" xfId="5" applyNumberFormat="1" applyFont="1" applyFill="1" applyBorder="1" applyAlignment="1">
      <alignment horizontal="left" vertical="center" shrinkToFit="1"/>
    </xf>
    <xf numFmtId="49" fontId="15" fillId="3" borderId="129" xfId="5" applyNumberFormat="1" applyFont="1" applyFill="1" applyBorder="1" applyAlignment="1">
      <alignment horizontal="left" vertical="center" shrinkToFit="1"/>
    </xf>
    <xf numFmtId="0" fontId="3" fillId="0" borderId="0" xfId="3" applyFont="1" applyAlignment="1">
      <alignment horizontal="center"/>
    </xf>
    <xf numFmtId="0" fontId="3" fillId="3" borderId="0" xfId="3" applyFont="1" applyFill="1" applyAlignment="1">
      <alignment horizontal="center"/>
    </xf>
    <xf numFmtId="0" fontId="25" fillId="3" borderId="0" xfId="3" applyFont="1" applyFill="1" applyAlignment="1">
      <alignment horizontal="center"/>
    </xf>
    <xf numFmtId="0" fontId="26" fillId="3" borderId="0" xfId="3" applyFont="1" applyFill="1" applyAlignment="1">
      <alignment horizontal="center"/>
    </xf>
    <xf numFmtId="0" fontId="17" fillId="10" borderId="11" xfId="3" applyFont="1" applyFill="1" applyBorder="1" applyAlignment="1">
      <alignment horizontal="center" vertical="center"/>
    </xf>
    <xf numFmtId="49" fontId="3" fillId="10" borderId="11" xfId="3" applyNumberFormat="1" applyFont="1" applyFill="1" applyBorder="1" applyAlignment="1" applyProtection="1">
      <alignment horizontal="left" vertical="center" wrapText="1" indent="1"/>
      <protection locked="0"/>
    </xf>
    <xf numFmtId="0" fontId="15" fillId="10" borderId="0" xfId="3" applyFont="1" applyFill="1" applyAlignment="1">
      <alignment horizontal="left"/>
    </xf>
    <xf numFmtId="0" fontId="27" fillId="10" borderId="0" xfId="3" applyFont="1" applyFill="1"/>
    <xf numFmtId="0" fontId="27" fillId="10" borderId="0" xfId="3" applyFont="1" applyFill="1" applyAlignment="1">
      <alignment horizontal="center"/>
    </xf>
    <xf numFmtId="0" fontId="3" fillId="10" borderId="0" xfId="3" applyFont="1" applyFill="1" applyAlignment="1">
      <alignment horizontal="right"/>
    </xf>
    <xf numFmtId="0" fontId="3" fillId="10" borderId="0" xfId="3" applyFont="1" applyFill="1"/>
    <xf numFmtId="179" fontId="3" fillId="10" borderId="0" xfId="3" applyNumberFormat="1" applyFont="1" applyFill="1" applyAlignment="1">
      <alignment horizontal="right"/>
    </xf>
    <xf numFmtId="0" fontId="17" fillId="10" borderId="28" xfId="3" applyFont="1" applyFill="1" applyBorder="1" applyAlignment="1">
      <alignment horizontal="center" vertical="center"/>
    </xf>
    <xf numFmtId="0" fontId="17" fillId="10" borderId="130" xfId="3" applyFont="1" applyFill="1" applyBorder="1" applyAlignment="1">
      <alignment horizontal="center" vertical="center"/>
    </xf>
    <xf numFmtId="0" fontId="17" fillId="10" borderId="112" xfId="3" applyFont="1" applyFill="1" applyBorder="1" applyAlignment="1">
      <alignment horizontal="center" vertical="center"/>
    </xf>
    <xf numFmtId="49" fontId="11" fillId="3" borderId="4" xfId="3" applyNumberFormat="1" applyFont="1" applyFill="1" applyBorder="1" applyAlignment="1">
      <alignment horizontal="left" vertical="center"/>
    </xf>
    <xf numFmtId="49" fontId="11" fillId="3" borderId="0" xfId="3" applyNumberFormat="1" applyFont="1" applyFill="1" applyAlignment="1">
      <alignment horizontal="left" vertical="center"/>
    </xf>
    <xf numFmtId="49" fontId="11" fillId="3" borderId="127" xfId="3" applyNumberFormat="1" applyFont="1" applyFill="1" applyBorder="1" applyAlignment="1">
      <alignment horizontal="left" vertical="center"/>
    </xf>
    <xf numFmtId="49" fontId="11" fillId="3" borderId="30" xfId="3" applyNumberFormat="1" applyFont="1" applyFill="1" applyBorder="1" applyAlignment="1">
      <alignment horizontal="left" vertical="center"/>
    </xf>
    <xf numFmtId="49" fontId="11" fillId="3" borderId="31" xfId="3" applyNumberFormat="1" applyFont="1" applyFill="1" applyBorder="1" applyAlignment="1">
      <alignment horizontal="left" vertical="center"/>
    </xf>
    <xf numFmtId="49" fontId="11" fillId="3" borderId="43" xfId="3" applyNumberFormat="1" applyFont="1" applyFill="1" applyBorder="1" applyAlignment="1">
      <alignment horizontal="left" vertical="center"/>
    </xf>
    <xf numFmtId="49" fontId="11" fillId="3" borderId="131" xfId="3" applyNumberFormat="1" applyFont="1" applyFill="1" applyBorder="1" applyAlignment="1">
      <alignment horizontal="left" vertical="center"/>
    </xf>
    <xf numFmtId="49" fontId="11" fillId="3" borderId="23" xfId="3" applyNumberFormat="1" applyFont="1" applyFill="1" applyBorder="1" applyAlignment="1">
      <alignment horizontal="left" vertical="center"/>
    </xf>
    <xf numFmtId="49" fontId="11" fillId="3" borderId="74" xfId="3" applyNumberFormat="1" applyFont="1" applyFill="1" applyBorder="1" applyAlignment="1">
      <alignment horizontal="left" vertical="center"/>
    </xf>
    <xf numFmtId="49" fontId="11" fillId="3" borderId="129" xfId="3" applyNumberFormat="1" applyFont="1" applyFill="1" applyBorder="1" applyAlignment="1">
      <alignment horizontal="left" vertical="center"/>
    </xf>
    <xf numFmtId="49" fontId="15" fillId="3" borderId="0" xfId="3" applyNumberFormat="1" applyFont="1" applyFill="1" applyAlignment="1">
      <alignment horizontal="left" vertical="center"/>
    </xf>
    <xf numFmtId="0" fontId="27" fillId="3" borderId="0" xfId="3" applyFont="1" applyFill="1" applyAlignment="1">
      <alignment horizontal="center"/>
    </xf>
    <xf numFmtId="0" fontId="3" fillId="14" borderId="12" xfId="3" applyFont="1" applyFill="1" applyBorder="1" applyAlignment="1">
      <alignment horizontal="left" vertical="center"/>
    </xf>
    <xf numFmtId="0" fontId="3" fillId="6" borderId="103" xfId="3" applyFont="1" applyFill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0" borderId="14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left" vertical="center"/>
    </xf>
    <xf numFmtId="0" fontId="3" fillId="14" borderId="109" xfId="3" applyFont="1" applyFill="1" applyBorder="1" applyAlignment="1">
      <alignment horizontal="center" vertical="center"/>
    </xf>
    <xf numFmtId="0" fontId="3" fillId="0" borderId="0" xfId="3" applyFont="1" applyAlignment="1">
      <alignment horizontal="right"/>
    </xf>
    <xf numFmtId="0" fontId="9" fillId="3" borderId="4" xfId="2" applyFont="1" applyFill="1" applyBorder="1" applyAlignment="1">
      <alignment horizontal="center"/>
    </xf>
    <xf numFmtId="0" fontId="9" fillId="3" borderId="4" xfId="2" applyFont="1" applyFill="1" applyBorder="1"/>
    <xf numFmtId="0" fontId="15" fillId="3" borderId="160" xfId="2" applyFont="1" applyFill="1" applyBorder="1" applyAlignment="1">
      <alignment horizontal="center" vertical="center"/>
    </xf>
    <xf numFmtId="0" fontId="15" fillId="3" borderId="161" xfId="2" applyFont="1" applyFill="1" applyBorder="1" applyAlignment="1">
      <alignment horizontal="center" vertical="center"/>
    </xf>
    <xf numFmtId="0" fontId="15" fillId="3" borderId="162" xfId="2" applyFont="1" applyFill="1" applyBorder="1" applyAlignment="1">
      <alignment horizontal="center" vertical="center"/>
    </xf>
    <xf numFmtId="181" fontId="9" fillId="5" borderId="165" xfId="2" applyNumberFormat="1" applyFont="1" applyFill="1" applyBorder="1" applyAlignment="1">
      <alignment horizontal="center"/>
    </xf>
    <xf numFmtId="181" fontId="9" fillId="5" borderId="166" xfId="2" applyNumberFormat="1" applyFont="1" applyFill="1" applyBorder="1" applyAlignment="1">
      <alignment horizontal="center"/>
    </xf>
    <xf numFmtId="181" fontId="9" fillId="5" borderId="167" xfId="2" applyNumberFormat="1" applyFont="1" applyFill="1" applyBorder="1" applyAlignment="1">
      <alignment horizontal="center"/>
    </xf>
    <xf numFmtId="181" fontId="9" fillId="5" borderId="169" xfId="2" applyNumberFormat="1" applyFont="1" applyFill="1" applyBorder="1" applyAlignment="1">
      <alignment horizontal="center"/>
    </xf>
    <xf numFmtId="181" fontId="9" fillId="5" borderId="170" xfId="2" applyNumberFormat="1" applyFont="1" applyFill="1" applyBorder="1" applyAlignment="1">
      <alignment horizontal="center"/>
    </xf>
    <xf numFmtId="181" fontId="9" fillId="5" borderId="171" xfId="2" applyNumberFormat="1" applyFont="1" applyFill="1" applyBorder="1" applyAlignment="1">
      <alignment horizontal="center"/>
    </xf>
    <xf numFmtId="181" fontId="9" fillId="5" borderId="174" xfId="2" applyNumberFormat="1" applyFont="1" applyFill="1" applyBorder="1" applyAlignment="1">
      <alignment horizontal="center"/>
    </xf>
    <xf numFmtId="181" fontId="9" fillId="5" borderId="175" xfId="2" applyNumberFormat="1" applyFont="1" applyFill="1" applyBorder="1" applyAlignment="1">
      <alignment horizontal="center"/>
    </xf>
    <xf numFmtId="181" fontId="9" fillId="5" borderId="176" xfId="2" applyNumberFormat="1" applyFont="1" applyFill="1" applyBorder="1" applyAlignment="1">
      <alignment horizontal="center"/>
    </xf>
    <xf numFmtId="0" fontId="3" fillId="0" borderId="0" xfId="9" applyFont="1" applyAlignment="1">
      <alignment horizontal="center"/>
    </xf>
    <xf numFmtId="0" fontId="3" fillId="0" borderId="0" xfId="9" applyFont="1" applyAlignment="1">
      <alignment horizontal="right"/>
    </xf>
    <xf numFmtId="38" fontId="31" fillId="5" borderId="5" xfId="5" applyFont="1" applyFill="1" applyBorder="1" applyAlignment="1"/>
    <xf numFmtId="177" fontId="3" fillId="0" borderId="0" xfId="6" applyNumberFormat="1" applyFont="1" applyAlignment="1"/>
    <xf numFmtId="177" fontId="3" fillId="0" borderId="0" xfId="6" applyNumberFormat="1" applyFont="1" applyBorder="1" applyAlignment="1">
      <alignment horizontal="center"/>
    </xf>
    <xf numFmtId="0" fontId="31" fillId="11" borderId="0" xfId="6" applyNumberFormat="1" applyFont="1" applyFill="1" applyAlignment="1"/>
    <xf numFmtId="0" fontId="31" fillId="0" borderId="0" xfId="6" applyNumberFormat="1" applyFont="1" applyAlignment="1"/>
    <xf numFmtId="177" fontId="3" fillId="0" borderId="0" xfId="6" applyNumberFormat="1" applyFont="1" applyBorder="1" applyAlignment="1"/>
    <xf numFmtId="38" fontId="31" fillId="0" borderId="5" xfId="5" applyFont="1" applyFill="1" applyBorder="1" applyAlignment="1">
      <alignment shrinkToFit="1"/>
    </xf>
    <xf numFmtId="0" fontId="11" fillId="12" borderId="117" xfId="9" applyFont="1" applyFill="1" applyBorder="1" applyAlignment="1">
      <alignment horizontal="center" vertical="center" wrapText="1"/>
    </xf>
    <xf numFmtId="0" fontId="32" fillId="12" borderId="117" xfId="9" applyFont="1" applyFill="1" applyBorder="1" applyAlignment="1">
      <alignment horizontal="center" vertical="center" wrapText="1"/>
    </xf>
    <xf numFmtId="0" fontId="3" fillId="12" borderId="117" xfId="9" applyFont="1" applyFill="1" applyBorder="1" applyAlignment="1">
      <alignment horizontal="center" vertical="center"/>
    </xf>
    <xf numFmtId="0" fontId="9" fillId="0" borderId="0" xfId="9" applyFont="1"/>
    <xf numFmtId="0" fontId="11" fillId="12" borderId="119" xfId="9" applyFont="1" applyFill="1" applyBorder="1" applyAlignment="1">
      <alignment horizontal="center" vertical="center"/>
    </xf>
    <xf numFmtId="0" fontId="3" fillId="12" borderId="119" xfId="9" applyFont="1" applyFill="1" applyBorder="1" applyAlignment="1">
      <alignment horizontal="center" vertical="center"/>
    </xf>
    <xf numFmtId="180" fontId="3" fillId="12" borderId="133" xfId="9" applyNumberFormat="1" applyFont="1" applyFill="1" applyBorder="1" applyAlignment="1">
      <alignment horizontal="center" vertical="center" shrinkToFit="1"/>
    </xf>
    <xf numFmtId="38" fontId="3" fillId="12" borderId="134" xfId="5" applyFont="1" applyFill="1" applyBorder="1" applyAlignment="1">
      <alignment horizontal="center" vertical="center" shrinkToFit="1"/>
    </xf>
    <xf numFmtId="180" fontId="3" fillId="12" borderId="135" xfId="9" applyNumberFormat="1" applyFont="1" applyFill="1" applyBorder="1" applyAlignment="1">
      <alignment horizontal="center" vertical="center" shrinkToFit="1"/>
    </xf>
    <xf numFmtId="180" fontId="3" fillId="12" borderId="136" xfId="9" applyNumberFormat="1" applyFont="1" applyFill="1" applyBorder="1" applyAlignment="1">
      <alignment horizontal="center" vertical="center" shrinkToFit="1"/>
    </xf>
    <xf numFmtId="180" fontId="15" fillId="12" borderId="134" xfId="9" applyNumberFormat="1" applyFont="1" applyFill="1" applyBorder="1" applyAlignment="1">
      <alignment horizontal="center" vertical="center" shrinkToFit="1"/>
    </xf>
    <xf numFmtId="180" fontId="15" fillId="12" borderId="137" xfId="9" applyNumberFormat="1" applyFont="1" applyFill="1" applyBorder="1" applyAlignment="1">
      <alignment horizontal="center" vertical="center" shrinkToFit="1"/>
    </xf>
    <xf numFmtId="180" fontId="3" fillId="12" borderId="11" xfId="9" applyNumberFormat="1" applyFont="1" applyFill="1" applyBorder="1" applyAlignment="1">
      <alignment horizontal="center" vertical="center" shrinkToFit="1"/>
    </xf>
    <xf numFmtId="0" fontId="3" fillId="0" borderId="20" xfId="5" applyNumberFormat="1" applyFont="1" applyBorder="1" applyAlignment="1">
      <alignment shrinkToFit="1"/>
    </xf>
    <xf numFmtId="0" fontId="33" fillId="0" borderId="21" xfId="5" applyNumberFormat="1" applyFont="1" applyBorder="1" applyAlignment="1">
      <alignment horizontal="center" shrinkToFit="1"/>
    </xf>
    <xf numFmtId="177" fontId="3" fillId="0" borderId="141" xfId="6" applyNumberFormat="1" applyFont="1" applyBorder="1" applyAlignment="1">
      <alignment shrinkToFit="1"/>
    </xf>
    <xf numFmtId="0" fontId="3" fillId="0" borderId="141" xfId="6" applyNumberFormat="1" applyFont="1" applyBorder="1" applyAlignment="1">
      <alignment shrinkToFit="1"/>
    </xf>
    <xf numFmtId="0" fontId="3" fillId="0" borderId="142" xfId="6" applyNumberFormat="1" applyFont="1" applyBorder="1" applyAlignment="1">
      <alignment shrinkToFit="1"/>
    </xf>
    <xf numFmtId="0" fontId="3" fillId="0" borderId="0" xfId="9" applyFont="1"/>
    <xf numFmtId="0" fontId="3" fillId="13" borderId="0" xfId="9" applyFont="1" applyFill="1"/>
    <xf numFmtId="0" fontId="3" fillId="13" borderId="0" xfId="9" applyFont="1" applyFill="1" applyAlignment="1">
      <alignment horizontal="center"/>
    </xf>
    <xf numFmtId="49" fontId="3" fillId="3" borderId="132" xfId="3" applyNumberFormat="1" applyFont="1" applyFill="1" applyBorder="1" applyAlignment="1" applyProtection="1">
      <alignment horizontal="left" vertical="center" wrapText="1" indent="1"/>
      <protection locked="0"/>
    </xf>
    <xf numFmtId="0" fontId="17" fillId="6" borderId="28" xfId="3" applyFont="1" applyFill="1" applyBorder="1" applyAlignment="1">
      <alignment horizontal="center" vertical="center"/>
    </xf>
    <xf numFmtId="0" fontId="17" fillId="6" borderId="130" xfId="3" applyFont="1" applyFill="1" applyBorder="1" applyAlignment="1">
      <alignment horizontal="center" vertical="center"/>
    </xf>
    <xf numFmtId="49" fontId="15" fillId="3" borderId="4" xfId="3" applyNumberFormat="1" applyFont="1" applyFill="1" applyBorder="1" applyAlignment="1">
      <alignment horizontal="left" vertical="center"/>
    </xf>
    <xf numFmtId="49" fontId="15" fillId="3" borderId="127" xfId="3" applyNumberFormat="1" applyFont="1" applyFill="1" applyBorder="1" applyAlignment="1">
      <alignment horizontal="left" vertical="center"/>
    </xf>
    <xf numFmtId="49" fontId="15" fillId="3" borderId="30" xfId="3" applyNumberFormat="1" applyFont="1" applyFill="1" applyBorder="1" applyAlignment="1">
      <alignment horizontal="left" vertical="center"/>
    </xf>
    <xf numFmtId="49" fontId="15" fillId="3" borderId="31" xfId="3" applyNumberFormat="1" applyFont="1" applyFill="1" applyBorder="1" applyAlignment="1">
      <alignment horizontal="left" vertical="center"/>
    </xf>
    <xf numFmtId="49" fontId="15" fillId="3" borderId="43" xfId="3" applyNumberFormat="1" applyFont="1" applyFill="1" applyBorder="1" applyAlignment="1">
      <alignment horizontal="left" vertical="center"/>
    </xf>
    <xf numFmtId="49" fontId="15" fillId="3" borderId="131" xfId="3" applyNumberFormat="1" applyFont="1" applyFill="1" applyBorder="1" applyAlignment="1">
      <alignment horizontal="left" vertical="center"/>
    </xf>
    <xf numFmtId="49" fontId="15" fillId="3" borderId="23" xfId="3" applyNumberFormat="1" applyFont="1" applyFill="1" applyBorder="1" applyAlignment="1">
      <alignment horizontal="left" vertical="center"/>
    </xf>
    <xf numFmtId="49" fontId="15" fillId="3" borderId="74" xfId="3" applyNumberFormat="1" applyFont="1" applyFill="1" applyBorder="1" applyAlignment="1">
      <alignment horizontal="left" vertical="center"/>
    </xf>
    <xf numFmtId="49" fontId="15" fillId="3" borderId="129" xfId="3" applyNumberFormat="1" applyFont="1" applyFill="1" applyBorder="1" applyAlignment="1">
      <alignment horizontal="left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6" borderId="104" xfId="3" applyFont="1" applyFill="1" applyBorder="1" applyAlignment="1">
      <alignment horizontal="center" vertical="center"/>
    </xf>
    <xf numFmtId="0" fontId="12" fillId="3" borderId="0" xfId="3" applyFont="1" applyFill="1" applyAlignment="1">
      <alignment horizontal="center"/>
    </xf>
    <xf numFmtId="0" fontId="17" fillId="6" borderId="39" xfId="3" applyFont="1" applyFill="1" applyBorder="1" applyAlignment="1">
      <alignment horizontal="center" vertical="center"/>
    </xf>
    <xf numFmtId="0" fontId="17" fillId="6" borderId="117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49" fontId="3" fillId="0" borderId="5" xfId="1" applyNumberFormat="1" applyFont="1" applyBorder="1" applyAlignment="1">
      <alignment vertical="center"/>
    </xf>
    <xf numFmtId="0" fontId="20" fillId="3" borderId="0" xfId="3" applyFont="1" applyFill="1"/>
    <xf numFmtId="0" fontId="21" fillId="3" borderId="0" xfId="3" applyFont="1" applyFill="1"/>
    <xf numFmtId="0" fontId="9" fillId="3" borderId="0" xfId="3" applyFont="1" applyFill="1"/>
    <xf numFmtId="0" fontId="8" fillId="6" borderId="12" xfId="3" applyFont="1" applyFill="1" applyBorder="1" applyAlignment="1">
      <alignment horizontal="center" vertical="center"/>
    </xf>
    <xf numFmtId="0" fontId="3" fillId="3" borderId="0" xfId="3" applyFont="1" applyFill="1" applyAlignment="1">
      <alignment horizontal="centerContinuous"/>
    </xf>
    <xf numFmtId="0" fontId="3" fillId="0" borderId="0" xfId="3" applyFont="1" applyAlignment="1">
      <alignment horizontal="centerContinuous"/>
    </xf>
    <xf numFmtId="182" fontId="15" fillId="0" borderId="12" xfId="3" applyNumberFormat="1" applyFont="1" applyBorder="1" applyAlignment="1">
      <alignment horizontal="right" vertical="center" shrinkToFit="1"/>
    </xf>
    <xf numFmtId="182" fontId="15" fillId="8" borderId="11" xfId="3" quotePrefix="1" applyNumberFormat="1" applyFont="1" applyFill="1" applyBorder="1" applyAlignment="1">
      <alignment horizontal="right" vertical="center" shrinkToFit="1"/>
    </xf>
    <xf numFmtId="182" fontId="15" fillId="8" borderId="100" xfId="3" quotePrefix="1" applyNumberFormat="1" applyFont="1" applyFill="1" applyBorder="1" applyAlignment="1">
      <alignment horizontal="right" vertical="center" shrinkToFit="1"/>
    </xf>
    <xf numFmtId="182" fontId="15" fillId="8" borderId="101" xfId="3" applyNumberFormat="1" applyFont="1" applyFill="1" applyBorder="1" applyAlignment="1">
      <alignment horizontal="right" vertical="center" shrinkToFit="1"/>
    </xf>
    <xf numFmtId="182" fontId="15" fillId="8" borderId="100" xfId="3" applyNumberFormat="1" applyFont="1" applyFill="1" applyBorder="1" applyAlignment="1">
      <alignment horizontal="right" vertical="center" shrinkToFit="1"/>
    </xf>
    <xf numFmtId="182" fontId="15" fillId="8" borderId="102" xfId="3" applyNumberFormat="1" applyFont="1" applyFill="1" applyBorder="1" applyAlignment="1">
      <alignment horizontal="right" vertical="center" shrinkToFit="1"/>
    </xf>
    <xf numFmtId="0" fontId="3" fillId="3" borderId="0" xfId="3" applyFont="1" applyFill="1" applyAlignment="1">
      <alignment horizontal="center" vertical="center"/>
    </xf>
    <xf numFmtId="0" fontId="3" fillId="0" borderId="0" xfId="3" applyFont="1" applyAlignment="1">
      <alignment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1" quotePrefix="1" applyNumberFormat="1" applyFont="1" applyAlignment="1">
      <alignment horizontal="center" vertical="center"/>
    </xf>
    <xf numFmtId="49" fontId="7" fillId="0" borderId="0" xfId="1" applyNumberFormat="1" applyFont="1" applyAlignment="1">
      <alignment horizontal="center" vertical="center"/>
    </xf>
    <xf numFmtId="49" fontId="3" fillId="0" borderId="0" xfId="1" applyNumberFormat="1" applyFont="1" applyAlignment="1">
      <alignment horizontal="left" vertical="center"/>
    </xf>
    <xf numFmtId="49" fontId="9" fillId="0" borderId="0" xfId="1" applyNumberFormat="1" applyFont="1" applyAlignment="1">
      <alignment horizontal="center" vertical="center"/>
    </xf>
    <xf numFmtId="49" fontId="10" fillId="0" borderId="0" xfId="1" applyNumberFormat="1" applyFont="1" applyAlignment="1">
      <alignment horizontal="left" vertical="center"/>
    </xf>
    <xf numFmtId="49" fontId="3" fillId="0" borderId="0" xfId="1" applyNumberFormat="1" applyFont="1" applyAlignment="1">
      <alignment horizontal="distributed" vertical="center"/>
    </xf>
    <xf numFmtId="49" fontId="5" fillId="0" borderId="0" xfId="1" applyNumberFormat="1" applyFont="1" applyAlignment="1">
      <alignment horizontal="distributed" vertical="center"/>
    </xf>
    <xf numFmtId="49" fontId="3" fillId="0" borderId="0" xfId="1" applyNumberFormat="1" applyFont="1" applyAlignment="1">
      <alignment horizontal="right" vertical="center"/>
    </xf>
    <xf numFmtId="49" fontId="9" fillId="0" borderId="28" xfId="2" applyNumberFormat="1" applyFont="1" applyBorder="1" applyAlignment="1">
      <alignment horizontal="left" vertical="center"/>
    </xf>
    <xf numFmtId="0" fontId="3" fillId="0" borderId="27" xfId="2" applyFont="1" applyBorder="1" applyAlignment="1">
      <alignment vertical="center"/>
    </xf>
    <xf numFmtId="0" fontId="9" fillId="0" borderId="177" xfId="2" applyFont="1" applyBorder="1" applyAlignment="1">
      <alignment vertical="center"/>
    </xf>
    <xf numFmtId="0" fontId="9" fillId="0" borderId="178" xfId="2" applyFont="1" applyBorder="1" applyAlignment="1">
      <alignment vertical="center"/>
    </xf>
    <xf numFmtId="0" fontId="9" fillId="0" borderId="27" xfId="2" applyFont="1" applyBorder="1" applyAlignment="1">
      <alignment vertical="center"/>
    </xf>
    <xf numFmtId="0" fontId="9" fillId="0" borderId="179" xfId="2" applyFont="1" applyBorder="1" applyAlignment="1">
      <alignment vertical="center"/>
    </xf>
    <xf numFmtId="0" fontId="9" fillId="3" borderId="0" xfId="2" applyFont="1" applyFill="1" applyAlignment="1">
      <alignment horizontal="center" vertical="center"/>
    </xf>
    <xf numFmtId="0" fontId="9" fillId="3" borderId="0" xfId="2" applyFont="1" applyFill="1" applyAlignment="1">
      <alignment vertical="center"/>
    </xf>
    <xf numFmtId="0" fontId="9" fillId="0" borderId="5" xfId="2" applyFont="1" applyBorder="1" applyAlignment="1">
      <alignment vertical="center"/>
    </xf>
    <xf numFmtId="0" fontId="9" fillId="0" borderId="181" xfId="2" applyFont="1" applyBorder="1" applyAlignment="1">
      <alignment vertical="center"/>
    </xf>
    <xf numFmtId="182" fontId="9" fillId="0" borderId="51" xfId="5" applyNumberFormat="1" applyFont="1" applyFill="1" applyBorder="1" applyAlignment="1">
      <alignment shrinkToFit="1"/>
    </xf>
    <xf numFmtId="182" fontId="9" fillId="0" borderId="56" xfId="5" applyNumberFormat="1" applyFont="1" applyFill="1" applyBorder="1" applyAlignment="1">
      <alignment shrinkToFit="1"/>
    </xf>
    <xf numFmtId="182" fontId="9" fillId="0" borderId="56" xfId="2" applyNumberFormat="1" applyFont="1" applyBorder="1" applyAlignment="1">
      <alignment shrinkToFit="1"/>
    </xf>
    <xf numFmtId="182" fontId="9" fillId="0" borderId="61" xfId="2" applyNumberFormat="1" applyFont="1" applyBorder="1" applyAlignment="1">
      <alignment shrinkToFit="1"/>
    </xf>
    <xf numFmtId="182" fontId="9" fillId="0" borderId="71" xfId="5" applyNumberFormat="1" applyFont="1" applyFill="1" applyBorder="1" applyAlignment="1">
      <alignment shrinkToFit="1"/>
    </xf>
    <xf numFmtId="182" fontId="9" fillId="0" borderId="72" xfId="5" applyNumberFormat="1" applyFont="1" applyFill="1" applyBorder="1" applyAlignment="1">
      <alignment shrinkToFit="1"/>
    </xf>
    <xf numFmtId="49" fontId="15" fillId="0" borderId="81" xfId="3" applyNumberFormat="1" applyFont="1" applyBorder="1" applyAlignment="1">
      <alignment horizontal="left" vertical="center" wrapText="1"/>
    </xf>
    <xf numFmtId="49" fontId="15" fillId="0" borderId="81" xfId="3" applyNumberFormat="1" applyFont="1" applyBorder="1" applyAlignment="1">
      <alignment horizontal="center" vertical="center"/>
    </xf>
    <xf numFmtId="183" fontId="15" fillId="0" borderId="82" xfId="5" applyNumberFormat="1" applyFont="1" applyFill="1" applyBorder="1" applyAlignment="1">
      <alignment horizontal="right" shrinkToFit="1"/>
    </xf>
    <xf numFmtId="0" fontId="15" fillId="3" borderId="0" xfId="3" applyFont="1" applyFill="1" applyAlignment="1">
      <alignment horizontal="left"/>
    </xf>
    <xf numFmtId="0" fontId="18" fillId="0" borderId="0" xfId="3" applyFont="1" applyAlignment="1">
      <alignment horizontal="left"/>
    </xf>
    <xf numFmtId="0" fontId="15" fillId="0" borderId="0" xfId="3" applyFont="1" applyAlignment="1">
      <alignment horizontal="center"/>
    </xf>
    <xf numFmtId="178" fontId="15" fillId="0" borderId="0" xfId="3" applyNumberFormat="1" applyFont="1"/>
    <xf numFmtId="49" fontId="15" fillId="0" borderId="56" xfId="3" applyNumberFormat="1" applyFont="1" applyBorder="1" applyAlignment="1">
      <alignment horizontal="left" vertical="center" wrapText="1"/>
    </xf>
    <xf numFmtId="49" fontId="15" fillId="0" borderId="56" xfId="3" applyNumberFormat="1" applyFont="1" applyBorder="1" applyAlignment="1">
      <alignment horizontal="center" vertical="center"/>
    </xf>
    <xf numFmtId="183" fontId="15" fillId="0" borderId="84" xfId="5" applyNumberFormat="1" applyFont="1" applyFill="1" applyBorder="1" applyAlignment="1">
      <alignment horizontal="right" shrinkToFit="1"/>
    </xf>
    <xf numFmtId="183" fontId="15" fillId="3" borderId="91" xfId="3" applyNumberFormat="1" applyFont="1" applyFill="1" applyBorder="1"/>
    <xf numFmtId="183" fontId="15" fillId="3" borderId="57" xfId="3" applyNumberFormat="1" applyFont="1" applyFill="1" applyBorder="1"/>
    <xf numFmtId="183" fontId="15" fillId="3" borderId="95" xfId="3" applyNumberFormat="1" applyFont="1" applyFill="1" applyBorder="1"/>
    <xf numFmtId="49" fontId="15" fillId="0" borderId="94" xfId="3" applyNumberFormat="1" applyFont="1" applyBorder="1" applyAlignment="1">
      <alignment horizontal="left" vertical="center" wrapText="1"/>
    </xf>
    <xf numFmtId="49" fontId="15" fillId="0" borderId="94" xfId="3" applyNumberFormat="1" applyFont="1" applyBorder="1" applyAlignment="1">
      <alignment horizontal="center" vertical="center"/>
    </xf>
    <xf numFmtId="183" fontId="15" fillId="0" borderId="97" xfId="5" applyNumberFormat="1" applyFont="1" applyFill="1" applyBorder="1" applyAlignment="1">
      <alignment horizontal="right" shrinkToFit="1"/>
    </xf>
    <xf numFmtId="0" fontId="17" fillId="6" borderId="132" xfId="3" applyFont="1" applyFill="1" applyBorder="1" applyAlignment="1">
      <alignment horizontal="center" vertical="center"/>
    </xf>
    <xf numFmtId="0" fontId="27" fillId="3" borderId="0" xfId="3" applyFont="1" applyFill="1"/>
    <xf numFmtId="0" fontId="3" fillId="3" borderId="0" xfId="3" applyFont="1" applyFill="1" applyAlignment="1">
      <alignment horizontal="right" indent="1"/>
    </xf>
    <xf numFmtId="49" fontId="15" fillId="3" borderId="36" xfId="3" applyNumberFormat="1" applyFont="1" applyFill="1" applyBorder="1" applyAlignment="1">
      <alignment horizontal="left" vertical="center"/>
    </xf>
    <xf numFmtId="49" fontId="15" fillId="3" borderId="37" xfId="3" applyNumberFormat="1" applyFont="1" applyFill="1" applyBorder="1" applyAlignment="1">
      <alignment horizontal="left" vertical="center"/>
    </xf>
    <xf numFmtId="0" fontId="30" fillId="0" borderId="5" xfId="8" applyFont="1" applyBorder="1" applyAlignment="1">
      <alignment horizontal="left"/>
    </xf>
    <xf numFmtId="0" fontId="30" fillId="0" borderId="0" xfId="8" applyFont="1" applyAlignment="1">
      <alignment horizontal="left"/>
    </xf>
    <xf numFmtId="0" fontId="18" fillId="0" borderId="0" xfId="9" applyFont="1"/>
    <xf numFmtId="0" fontId="11" fillId="0" borderId="0" xfId="9" applyFont="1"/>
    <xf numFmtId="0" fontId="3" fillId="0" borderId="138" xfId="8" applyFont="1" applyBorder="1" applyAlignment="1">
      <alignment shrinkToFit="1"/>
    </xf>
    <xf numFmtId="183" fontId="3" fillId="0" borderId="140" xfId="5" applyNumberFormat="1" applyFont="1" applyBorder="1" applyAlignment="1">
      <alignment shrinkToFit="1"/>
    </xf>
    <xf numFmtId="182" fontId="3" fillId="0" borderId="141" xfId="5" applyNumberFormat="1" applyFont="1" applyBorder="1" applyAlignment="1">
      <alignment shrinkToFit="1"/>
    </xf>
    <xf numFmtId="0" fontId="3" fillId="0" borderId="140" xfId="9" applyFont="1" applyBorder="1" applyAlignment="1">
      <alignment shrinkToFit="1"/>
    </xf>
    <xf numFmtId="38" fontId="3" fillId="0" borderId="141" xfId="5" applyFont="1" applyBorder="1" applyAlignment="1">
      <alignment shrinkToFit="1"/>
    </xf>
    <xf numFmtId="0" fontId="18" fillId="13" borderId="0" xfId="9" applyFont="1" applyFill="1"/>
    <xf numFmtId="0" fontId="34" fillId="13" borderId="0" xfId="9" applyFont="1" applyFill="1" applyAlignment="1">
      <alignment shrinkToFit="1"/>
    </xf>
    <xf numFmtId="0" fontId="34" fillId="0" borderId="0" xfId="9" applyFont="1" applyAlignment="1">
      <alignment shrinkToFit="1"/>
    </xf>
    <xf numFmtId="182" fontId="15" fillId="3" borderId="89" xfId="3" applyNumberFormat="1" applyFont="1" applyFill="1" applyBorder="1" applyAlignment="1">
      <alignment horizontal="right" vertical="center" shrinkToFit="1"/>
    </xf>
    <xf numFmtId="182" fontId="15" fillId="3" borderId="78" xfId="3" applyNumberFormat="1" applyFont="1" applyFill="1" applyBorder="1" applyAlignment="1">
      <alignment horizontal="right" vertical="center" shrinkToFit="1"/>
    </xf>
    <xf numFmtId="182" fontId="15" fillId="3" borderId="114" xfId="3" applyNumberFormat="1" applyFont="1" applyFill="1" applyBorder="1" applyAlignment="1">
      <alignment horizontal="right" vertical="center" shrinkToFit="1"/>
    </xf>
    <xf numFmtId="182" fontId="15" fillId="3" borderId="116" xfId="3" applyNumberFormat="1" applyFont="1" applyFill="1" applyBorder="1" applyAlignment="1">
      <alignment horizontal="right" vertical="center" shrinkToFit="1"/>
    </xf>
    <xf numFmtId="0" fontId="3" fillId="0" borderId="0" xfId="3" applyFont="1" applyAlignment="1">
      <alignment vertical="top"/>
    </xf>
    <xf numFmtId="183" fontId="15" fillId="3" borderId="13" xfId="3" applyNumberFormat="1" applyFont="1" applyFill="1" applyBorder="1" applyAlignment="1">
      <alignment horizontal="right" vertical="center" shrinkToFit="1"/>
    </xf>
    <xf numFmtId="184" fontId="15" fillId="3" borderId="12" xfId="3" applyNumberFormat="1" applyFont="1" applyFill="1" applyBorder="1" applyAlignment="1">
      <alignment horizontal="right" vertical="center" shrinkToFit="1"/>
    </xf>
    <xf numFmtId="182" fontId="15" fillId="3" borderId="11" xfId="5" applyNumberFormat="1" applyFont="1" applyFill="1" applyBorder="1" applyAlignment="1">
      <alignment horizontal="right" vertical="center" shrinkToFit="1"/>
    </xf>
    <xf numFmtId="182" fontId="15" fillId="3" borderId="122" xfId="5" applyNumberFormat="1" applyFont="1" applyFill="1" applyBorder="1" applyAlignment="1">
      <alignment horizontal="right" vertical="center" shrinkToFit="1"/>
    </xf>
    <xf numFmtId="182" fontId="15" fillId="3" borderId="101" xfId="5" applyNumberFormat="1" applyFont="1" applyFill="1" applyBorder="1" applyAlignment="1">
      <alignment horizontal="right" vertical="center" shrinkToFit="1"/>
    </xf>
    <xf numFmtId="182" fontId="15" fillId="3" borderId="102" xfId="5" applyNumberFormat="1" applyFont="1" applyFill="1" applyBorder="1" applyAlignment="1">
      <alignment horizontal="right" vertical="center" shrinkToFit="1"/>
    </xf>
    <xf numFmtId="183" fontId="15" fillId="3" borderId="13" xfId="3" quotePrefix="1" applyNumberFormat="1" applyFont="1" applyFill="1" applyBorder="1" applyAlignment="1">
      <alignment horizontal="right" vertical="center" shrinkToFit="1"/>
    </xf>
    <xf numFmtId="183" fontId="15" fillId="3" borderId="107" xfId="3" quotePrefix="1" applyNumberFormat="1" applyFont="1" applyFill="1" applyBorder="1" applyAlignment="1">
      <alignment horizontal="right" vertical="center" shrinkToFit="1"/>
    </xf>
    <xf numFmtId="184" fontId="15" fillId="3" borderId="123" xfId="3" applyNumberFormat="1" applyFont="1" applyFill="1" applyBorder="1" applyAlignment="1">
      <alignment horizontal="right" vertical="center" shrinkToFit="1"/>
    </xf>
    <xf numFmtId="182" fontId="15" fillId="3" borderId="115" xfId="5" applyNumberFormat="1" applyFont="1" applyFill="1" applyBorder="1" applyAlignment="1">
      <alignment horizontal="right" vertical="center" shrinkToFit="1"/>
    </xf>
    <xf numFmtId="182" fontId="15" fillId="3" borderId="124" xfId="5" applyNumberFormat="1" applyFont="1" applyFill="1" applyBorder="1" applyAlignment="1">
      <alignment horizontal="right" vertical="center" shrinkToFit="1"/>
    </xf>
    <xf numFmtId="182" fontId="15" fillId="3" borderId="125" xfId="5" applyNumberFormat="1" applyFont="1" applyFill="1" applyBorder="1" applyAlignment="1">
      <alignment horizontal="right" vertical="center" shrinkToFit="1"/>
    </xf>
    <xf numFmtId="182" fontId="15" fillId="3" borderId="126" xfId="5" applyNumberFormat="1" applyFont="1" applyFill="1" applyBorder="1" applyAlignment="1">
      <alignment horizontal="right" vertical="center" shrinkToFit="1"/>
    </xf>
    <xf numFmtId="182" fontId="31" fillId="5" borderId="5" xfId="5" applyNumberFormat="1" applyFont="1" applyFill="1" applyBorder="1" applyAlignment="1">
      <alignment shrinkToFit="1"/>
    </xf>
    <xf numFmtId="186" fontId="15" fillId="0" borderId="12" xfId="3" applyNumberFormat="1" applyFont="1" applyBorder="1" applyAlignment="1">
      <alignment horizontal="right" vertical="center" shrinkToFit="1"/>
    </xf>
    <xf numFmtId="185" fontId="15" fillId="0" borderId="52" xfId="6" applyNumberFormat="1" applyFont="1" applyFill="1" applyBorder="1" applyAlignment="1">
      <alignment shrinkToFit="1"/>
    </xf>
    <xf numFmtId="185" fontId="15" fillId="0" borderId="57" xfId="6" applyNumberFormat="1" applyFont="1" applyFill="1" applyBorder="1" applyAlignment="1">
      <alignment shrinkToFit="1"/>
    </xf>
    <xf numFmtId="185" fontId="15" fillId="0" borderId="62" xfId="2" applyNumberFormat="1" applyFont="1" applyBorder="1" applyAlignment="1">
      <alignment shrinkToFit="1"/>
    </xf>
    <xf numFmtId="187" fontId="3" fillId="0" borderId="141" xfId="6" applyNumberFormat="1" applyFont="1" applyBorder="1" applyAlignment="1">
      <alignment shrinkToFit="1"/>
    </xf>
    <xf numFmtId="187" fontId="3" fillId="0" borderId="0" xfId="6" applyNumberFormat="1" applyFont="1" applyAlignment="1">
      <alignment shrinkToFit="1"/>
    </xf>
    <xf numFmtId="49" fontId="3" fillId="0" borderId="139" xfId="9" applyNumberFormat="1" applyFont="1" applyBorder="1"/>
    <xf numFmtId="49" fontId="3" fillId="0" borderId="138" xfId="5" applyNumberFormat="1" applyFont="1" applyBorder="1" applyAlignment="1">
      <alignment shrinkToFit="1"/>
    </xf>
    <xf numFmtId="49" fontId="3" fillId="0" borderId="138" xfId="8" applyNumberFormat="1" applyFont="1" applyBorder="1" applyAlignment="1">
      <alignment shrinkToFit="1"/>
    </xf>
    <xf numFmtId="49" fontId="3" fillId="0" borderId="141" xfId="6" applyNumberFormat="1" applyFont="1" applyBorder="1" applyAlignment="1">
      <alignment shrinkToFit="1"/>
    </xf>
    <xf numFmtId="49" fontId="3" fillId="0" borderId="142" xfId="6" applyNumberFormat="1" applyFont="1" applyBorder="1" applyAlignment="1">
      <alignment shrinkToFit="1"/>
    </xf>
    <xf numFmtId="49" fontId="3" fillId="0" borderId="138" xfId="8" applyNumberFormat="1" applyFont="1" applyBorder="1" applyAlignment="1">
      <alignment horizontal="center" shrinkToFit="1"/>
    </xf>
    <xf numFmtId="49" fontId="3" fillId="0" borderId="140" xfId="9" applyNumberFormat="1" applyFont="1" applyBorder="1" applyAlignment="1">
      <alignment shrinkToFit="1"/>
    </xf>
    <xf numFmtId="49" fontId="3" fillId="0" borderId="141" xfId="5" applyNumberFormat="1" applyFont="1" applyBorder="1" applyAlignment="1">
      <alignment shrinkToFit="1"/>
    </xf>
    <xf numFmtId="49" fontId="3" fillId="0" borderId="20" xfId="5" applyNumberFormat="1" applyFont="1" applyBorder="1" applyAlignment="1">
      <alignment shrinkToFit="1"/>
    </xf>
    <xf numFmtId="49" fontId="33" fillId="0" borderId="21" xfId="5" applyNumberFormat="1" applyFont="1" applyBorder="1" applyAlignment="1">
      <alignment horizontal="center" shrinkToFit="1"/>
    </xf>
    <xf numFmtId="49" fontId="30" fillId="0" borderId="5" xfId="8" applyNumberFormat="1" applyFont="1" applyBorder="1" applyAlignment="1">
      <alignment horizontal="left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49" fontId="15" fillId="3" borderId="109" xfId="3" applyNumberFormat="1" applyFont="1" applyFill="1" applyBorder="1" applyAlignment="1">
      <alignment horizontal="center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11" fillId="3" borderId="106" xfId="3" applyNumberFormat="1" applyFont="1" applyFill="1" applyBorder="1" applyAlignment="1">
      <alignment horizontal="center" vertical="center" shrinkToFit="1"/>
    </xf>
    <xf numFmtId="49" fontId="11" fillId="3" borderId="119" xfId="3" applyNumberFormat="1" applyFont="1" applyFill="1" applyBorder="1" applyAlignment="1">
      <alignment horizontal="center" vertical="center" shrinkToFit="1"/>
    </xf>
    <xf numFmtId="49" fontId="11" fillId="3" borderId="109" xfId="3" applyNumberFormat="1" applyFont="1" applyFill="1" applyBorder="1" applyAlignment="1">
      <alignment horizontal="center" vertical="center" shrinkToFit="1"/>
    </xf>
    <xf numFmtId="49" fontId="8" fillId="0" borderId="0" xfId="0" applyNumberFormat="1" applyFont="1" applyAlignment="1">
      <alignment horizontal="center" vertical="center"/>
    </xf>
    <xf numFmtId="0" fontId="9" fillId="0" borderId="0" xfId="2" applyFont="1" applyAlignment="1">
      <alignment horizontal="center"/>
    </xf>
    <xf numFmtId="0" fontId="9" fillId="0" borderId="0" xfId="2" applyFont="1" applyAlignment="1">
      <alignment horizontal="center" shrinkToFit="1"/>
    </xf>
    <xf numFmtId="0" fontId="9" fillId="0" borderId="0" xfId="2" applyFont="1" applyAlignment="1">
      <alignment horizontal="center" vertical="center" shrinkToFit="1"/>
    </xf>
    <xf numFmtId="0" fontId="3" fillId="3" borderId="0" xfId="3" applyFont="1" applyFill="1" applyAlignment="1">
      <alignment vertical="center"/>
    </xf>
    <xf numFmtId="0" fontId="9" fillId="3" borderId="0" xfId="3" applyFont="1" applyFill="1" applyAlignment="1">
      <alignment vertical="center"/>
    </xf>
    <xf numFmtId="0" fontId="3" fillId="0" borderId="0" xfId="5" applyNumberFormat="1" applyFont="1" applyFill="1" applyAlignment="1">
      <alignment horizontal="right" vertical="center"/>
    </xf>
    <xf numFmtId="0" fontId="3" fillId="3" borderId="0" xfId="5" applyNumberFormat="1" applyFont="1" applyFill="1" applyBorder="1" applyAlignment="1">
      <alignment vertical="center"/>
    </xf>
    <xf numFmtId="0" fontId="3" fillId="0" borderId="0" xfId="5" applyNumberFormat="1" applyFont="1" applyFill="1" applyBorder="1" applyAlignment="1">
      <alignment vertical="center"/>
    </xf>
    <xf numFmtId="0" fontId="3" fillId="3" borderId="0" xfId="3" applyFont="1" applyFill="1" applyAlignment="1">
      <alignment horizontal="right" vertical="center"/>
    </xf>
    <xf numFmtId="0" fontId="3" fillId="10" borderId="24" xfId="3" applyFont="1" applyFill="1" applyBorder="1" applyAlignment="1">
      <alignment horizontal="right"/>
    </xf>
    <xf numFmtId="0" fontId="3" fillId="3" borderId="0" xfId="5" applyNumberFormat="1" applyFont="1" applyFill="1" applyAlignment="1">
      <alignment horizontal="right" vertical="center"/>
    </xf>
    <xf numFmtId="182" fontId="3" fillId="0" borderId="158" xfId="2" applyNumberFormat="1" applyFont="1" applyBorder="1" applyAlignment="1">
      <alignment shrinkToFit="1"/>
    </xf>
    <xf numFmtId="182" fontId="3" fillId="0" borderId="159" xfId="2" applyNumberFormat="1" applyFont="1" applyBorder="1" applyAlignment="1">
      <alignment shrinkToFit="1"/>
    </xf>
    <xf numFmtId="187" fontId="9" fillId="0" borderId="67" xfId="6" applyNumberFormat="1" applyFont="1" applyFill="1" applyBorder="1" applyAlignment="1">
      <alignment shrinkToFit="1"/>
    </xf>
    <xf numFmtId="187" fontId="9" fillId="0" borderId="68" xfId="6" applyNumberFormat="1" applyFont="1" applyFill="1" applyBorder="1" applyAlignment="1">
      <alignment shrinkToFit="1"/>
    </xf>
    <xf numFmtId="49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distributed" vertical="center"/>
    </xf>
    <xf numFmtId="49" fontId="8" fillId="0" borderId="0" xfId="0" applyNumberFormat="1" applyFont="1">
      <alignment vertical="center"/>
    </xf>
    <xf numFmtId="187" fontId="9" fillId="0" borderId="148" xfId="2" applyNumberFormat="1" applyFont="1" applyBorder="1" applyAlignment="1">
      <alignment shrinkToFit="1"/>
    </xf>
    <xf numFmtId="187" fontId="9" fillId="0" borderId="149" xfId="2" applyNumberFormat="1" applyFont="1" applyBorder="1" applyAlignment="1">
      <alignment shrinkToFit="1"/>
    </xf>
    <xf numFmtId="187" fontId="9" fillId="0" borderId="150" xfId="2" applyNumberFormat="1" applyFont="1" applyBorder="1" applyAlignment="1">
      <alignment shrinkToFit="1"/>
    </xf>
    <xf numFmtId="187" fontId="29" fillId="0" borderId="151" xfId="2" applyNumberFormat="1" applyFont="1" applyBorder="1" applyAlignment="1">
      <alignment shrinkToFit="1"/>
    </xf>
    <xf numFmtId="187" fontId="29" fillId="0" borderId="152" xfId="2" applyNumberFormat="1" applyFont="1" applyBorder="1" applyAlignment="1">
      <alignment shrinkToFit="1"/>
    </xf>
    <xf numFmtId="187" fontId="29" fillId="0" borderId="153" xfId="2" applyNumberFormat="1" applyFont="1" applyBorder="1" applyAlignment="1">
      <alignment shrinkToFit="1"/>
    </xf>
    <xf numFmtId="182" fontId="3" fillId="5" borderId="154" xfId="5" applyNumberFormat="1" applyFont="1" applyFill="1" applyBorder="1" applyAlignment="1">
      <alignment shrinkToFit="1"/>
    </xf>
    <xf numFmtId="182" fontId="3" fillId="5" borderId="155" xfId="5" applyNumberFormat="1" applyFont="1" applyFill="1" applyBorder="1" applyAlignment="1">
      <alignment shrinkToFit="1"/>
    </xf>
    <xf numFmtId="182" fontId="3" fillId="5" borderId="156" xfId="5" applyNumberFormat="1" applyFont="1" applyFill="1" applyBorder="1" applyAlignment="1">
      <alignment shrinkToFit="1"/>
    </xf>
    <xf numFmtId="182" fontId="9" fillId="3" borderId="157" xfId="2" applyNumberFormat="1" applyFont="1" applyFill="1" applyBorder="1" applyAlignment="1">
      <alignment shrinkToFit="1"/>
    </xf>
    <xf numFmtId="49" fontId="3" fillId="0" borderId="11" xfId="10" applyNumberFormat="1" applyFont="1" applyBorder="1" applyAlignment="1">
      <alignment horizontal="center" vertical="center"/>
    </xf>
    <xf numFmtId="188" fontId="3" fillId="0" borderId="11" xfId="10" applyNumberFormat="1" applyFont="1" applyBorder="1" applyAlignment="1">
      <alignment horizontal="left" vertical="center"/>
    </xf>
    <xf numFmtId="188" fontId="3" fillId="0" borderId="35" xfId="10" applyNumberFormat="1" applyFont="1" applyBorder="1" applyAlignment="1">
      <alignment horizontal="left" vertical="center"/>
    </xf>
    <xf numFmtId="49" fontId="3" fillId="0" borderId="34" xfId="1" applyNumberFormat="1" applyFont="1" applyBorder="1" applyAlignment="1">
      <alignment horizontal="center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35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horizontal="center"/>
    </xf>
    <xf numFmtId="49" fontId="3" fillId="0" borderId="26" xfId="1" applyNumberFormat="1" applyFont="1" applyBorder="1" applyAlignment="1">
      <alignment horizontal="left" vertical="center" indent="1"/>
    </xf>
    <xf numFmtId="49" fontId="3" fillId="0" borderId="27" xfId="1" applyNumberFormat="1" applyFont="1" applyBorder="1" applyAlignment="1">
      <alignment horizontal="left" vertical="center" indent="1"/>
    </xf>
    <xf numFmtId="49" fontId="3" fillId="0" borderId="28" xfId="1" applyNumberFormat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49" fontId="3" fillId="0" borderId="30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49" fontId="3" fillId="0" borderId="31" xfId="1" applyNumberFormat="1" applyFont="1" applyBorder="1" applyAlignment="1">
      <alignment horizontal="center" vertical="center"/>
    </xf>
    <xf numFmtId="49" fontId="3" fillId="0" borderId="32" xfId="1" applyNumberFormat="1" applyFont="1" applyBorder="1" applyAlignment="1">
      <alignment horizontal="left" vertical="center" indent="1"/>
    </xf>
    <xf numFmtId="49" fontId="3" fillId="0" borderId="5" xfId="1" applyNumberFormat="1" applyFont="1" applyBorder="1" applyAlignment="1">
      <alignment horizontal="left" vertical="center" indent="1"/>
    </xf>
    <xf numFmtId="49" fontId="3" fillId="0" borderId="33" xfId="1" applyNumberFormat="1" applyFont="1" applyBorder="1" applyAlignment="1">
      <alignment horizontal="left" vertical="center" indent="1"/>
    </xf>
    <xf numFmtId="49" fontId="3" fillId="0" borderId="14" xfId="1" applyNumberFormat="1" applyFont="1" applyBorder="1" applyAlignment="1">
      <alignment horizontal="center" vertical="center"/>
    </xf>
    <xf numFmtId="188" fontId="3" fillId="0" borderId="13" xfId="10" applyNumberFormat="1" applyFont="1" applyBorder="1" applyAlignment="1">
      <alignment horizontal="left" vertical="center" indent="1"/>
    </xf>
    <xf numFmtId="188" fontId="3" fillId="0" borderId="11" xfId="10" applyNumberFormat="1" applyFont="1" applyBorder="1" applyAlignment="1">
      <alignment horizontal="left" vertical="center" indent="1"/>
    </xf>
    <xf numFmtId="188" fontId="3" fillId="0" borderId="14" xfId="10" applyNumberFormat="1" applyFont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2" borderId="36" xfId="1" applyNumberFormat="1" applyFont="1" applyFill="1" applyBorder="1" applyAlignment="1">
      <alignment horizontal="left" vertical="top" indent="1"/>
    </xf>
    <xf numFmtId="49" fontId="3" fillId="2" borderId="37" xfId="1" applyNumberFormat="1" applyFont="1" applyFill="1" applyBorder="1" applyAlignment="1">
      <alignment horizontal="left" vertical="top" indent="1"/>
    </xf>
    <xf numFmtId="49" fontId="3" fillId="2" borderId="38" xfId="1" applyNumberFormat="1" applyFont="1" applyFill="1" applyBorder="1" applyAlignment="1">
      <alignment horizontal="left" vertical="top" indent="1"/>
    </xf>
    <xf numFmtId="49" fontId="3" fillId="2" borderId="23" xfId="1" applyNumberFormat="1" applyFont="1" applyFill="1" applyBorder="1" applyAlignment="1">
      <alignment horizontal="left" vertical="top" indent="1"/>
    </xf>
    <xf numFmtId="49" fontId="3" fillId="2" borderId="24" xfId="1" applyNumberFormat="1" applyFont="1" applyFill="1" applyBorder="1" applyAlignment="1">
      <alignment horizontal="left" vertical="top" indent="1"/>
    </xf>
    <xf numFmtId="49" fontId="3" fillId="2" borderId="25" xfId="1" applyNumberFormat="1" applyFont="1" applyFill="1" applyBorder="1" applyAlignment="1">
      <alignment horizontal="left" vertical="top" indent="1"/>
    </xf>
    <xf numFmtId="185" fontId="8" fillId="0" borderId="5" xfId="0" applyNumberFormat="1" applyFont="1" applyBorder="1" applyAlignment="1">
      <alignment horizontal="right" vertical="center" shrinkToFit="1"/>
    </xf>
    <xf numFmtId="49" fontId="3" fillId="0" borderId="5" xfId="1" applyNumberFormat="1" applyFont="1" applyBorder="1" applyAlignment="1">
      <alignment horizontal="distributed" vertical="center"/>
    </xf>
    <xf numFmtId="0" fontId="0" fillId="0" borderId="5" xfId="0" applyBorder="1" applyAlignment="1">
      <alignment horizontal="distributed" vertical="center"/>
    </xf>
    <xf numFmtId="182" fontId="3" fillId="0" borderId="5" xfId="1" applyNumberFormat="1" applyFont="1" applyBorder="1" applyAlignment="1">
      <alignment horizontal="right" vertical="center"/>
    </xf>
    <xf numFmtId="182" fontId="0" fillId="0" borderId="5" xfId="0" applyNumberFormat="1" applyBorder="1" applyAlignment="1">
      <alignment horizontal="right" vertical="center"/>
    </xf>
    <xf numFmtId="49" fontId="9" fillId="0" borderId="5" xfId="1" applyNumberFormat="1" applyFont="1" applyBorder="1" applyAlignment="1">
      <alignment vertical="center"/>
    </xf>
    <xf numFmtId="49" fontId="9" fillId="0" borderId="5" xfId="1" applyNumberFormat="1" applyFont="1" applyBorder="1" applyAlignment="1">
      <alignment horizontal="left" vertical="center"/>
    </xf>
    <xf numFmtId="49" fontId="8" fillId="0" borderId="5" xfId="1" applyNumberFormat="1" applyFont="1" applyBorder="1" applyAlignment="1">
      <alignment horizontal="distributed" vertical="center"/>
    </xf>
    <xf numFmtId="0" fontId="1" fillId="0" borderId="5" xfId="0" applyFont="1" applyBorder="1" applyAlignment="1">
      <alignment horizontal="distributed" vertical="center"/>
    </xf>
    <xf numFmtId="182" fontId="8" fillId="0" borderId="5" xfId="1" applyNumberFormat="1" applyFont="1" applyBorder="1" applyAlignment="1">
      <alignment horizontal="right" vertical="center"/>
    </xf>
    <xf numFmtId="182" fontId="1" fillId="0" borderId="5" xfId="0" applyNumberFormat="1" applyFont="1" applyBorder="1" applyAlignment="1">
      <alignment horizontal="right" vertical="center"/>
    </xf>
    <xf numFmtId="49" fontId="3" fillId="0" borderId="12" xfId="1" quotePrefix="1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3" fillId="0" borderId="12" xfId="1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49" fontId="8" fillId="0" borderId="12" xfId="0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0" fontId="0" fillId="0" borderId="2" xfId="0" applyBorder="1">
      <alignment vertical="center"/>
    </xf>
    <xf numFmtId="188" fontId="3" fillId="0" borderId="27" xfId="1" applyNumberFormat="1" applyFont="1" applyBorder="1" applyAlignment="1">
      <alignment horizontal="center" vertical="center"/>
    </xf>
    <xf numFmtId="188" fontId="0" fillId="0" borderId="27" xfId="0" applyNumberFormat="1" applyBorder="1" applyAlignment="1">
      <alignment horizontal="center" vertical="center"/>
    </xf>
    <xf numFmtId="49" fontId="19" fillId="0" borderId="0" xfId="1" applyNumberFormat="1" applyFont="1" applyAlignment="1">
      <alignment horizontal="distributed" vertical="center"/>
    </xf>
    <xf numFmtId="0" fontId="28" fillId="0" borderId="0" xfId="0" applyFont="1">
      <alignment vertical="center"/>
    </xf>
    <xf numFmtId="49" fontId="3" fillId="0" borderId="7" xfId="1" applyNumberFormat="1" applyFont="1" applyBorder="1" applyAlignment="1">
      <alignment horizontal="center" vertical="center" shrinkToFit="1"/>
    </xf>
    <xf numFmtId="49" fontId="3" fillId="0" borderId="8" xfId="1" applyNumberFormat="1" applyFont="1" applyBorder="1" applyAlignment="1">
      <alignment horizontal="center" vertical="center" shrinkToFit="1"/>
    </xf>
    <xf numFmtId="49" fontId="3" fillId="0" borderId="9" xfId="1" quotePrefix="1" applyNumberFormat="1" applyFont="1" applyBorder="1" applyAlignment="1">
      <alignment horizontal="center" vertical="center"/>
    </xf>
    <xf numFmtId="49" fontId="3" fillId="0" borderId="8" xfId="1" quotePrefix="1" applyNumberFormat="1" applyFont="1" applyBorder="1" applyAlignment="1">
      <alignment horizontal="center" vertical="center"/>
    </xf>
    <xf numFmtId="49" fontId="3" fillId="0" borderId="10" xfId="1" quotePrefix="1" applyNumberFormat="1" applyFont="1" applyBorder="1" applyAlignment="1">
      <alignment horizontal="center" vertical="center"/>
    </xf>
    <xf numFmtId="49" fontId="7" fillId="0" borderId="5" xfId="1" applyNumberFormat="1" applyFont="1" applyBorder="1" applyAlignment="1">
      <alignment horizontal="center" vertical="center"/>
    </xf>
    <xf numFmtId="0" fontId="3" fillId="3" borderId="172" xfId="2" applyFont="1" applyFill="1" applyBorder="1" applyAlignment="1">
      <alignment horizontal="left" vertical="center" shrinkToFit="1"/>
    </xf>
    <xf numFmtId="0" fontId="3" fillId="3" borderId="173" xfId="2" applyFont="1" applyFill="1" applyBorder="1" applyAlignment="1">
      <alignment horizontal="left" vertical="center" shrinkToFit="1"/>
    </xf>
    <xf numFmtId="0" fontId="3" fillId="3" borderId="55" xfId="2" applyFont="1" applyFill="1" applyBorder="1" applyAlignment="1">
      <alignment horizontal="left" vertical="center" shrinkToFit="1"/>
    </xf>
    <xf numFmtId="0" fontId="3" fillId="3" borderId="168" xfId="2" applyFont="1" applyFill="1" applyBorder="1" applyAlignment="1">
      <alignment horizontal="left" vertical="center" shrinkToFit="1"/>
    </xf>
    <xf numFmtId="182" fontId="9" fillId="0" borderId="13" xfId="4" applyNumberFormat="1" applyFont="1" applyFill="1" applyBorder="1" applyAlignment="1">
      <alignment horizontal="center" vertical="center"/>
    </xf>
    <xf numFmtId="182" fontId="9" fillId="0" borderId="11" xfId="4" applyNumberFormat="1" applyFont="1" applyFill="1" applyBorder="1" applyAlignment="1">
      <alignment horizontal="center" vertical="center"/>
    </xf>
    <xf numFmtId="182" fontId="9" fillId="0" borderId="180" xfId="4" applyNumberFormat="1" applyFont="1" applyFill="1" applyBorder="1" applyAlignment="1">
      <alignment horizontal="center" vertical="center"/>
    </xf>
    <xf numFmtId="0" fontId="9" fillId="3" borderId="36" xfId="2" applyFont="1" applyFill="1" applyBorder="1" applyAlignment="1">
      <alignment horizontal="center" vertical="center" shrinkToFit="1"/>
    </xf>
    <xf numFmtId="0" fontId="9" fillId="3" borderId="23" xfId="2" applyFont="1" applyFill="1" applyBorder="1" applyAlignment="1">
      <alignment horizontal="center" vertical="center" shrinkToFit="1"/>
    </xf>
    <xf numFmtId="0" fontId="9" fillId="4" borderId="28" xfId="2" applyFont="1" applyFill="1" applyBorder="1" applyAlignment="1">
      <alignment horizontal="center" vertical="center"/>
    </xf>
    <xf numFmtId="0" fontId="3" fillId="4" borderId="27" xfId="3" applyFont="1" applyFill="1" applyBorder="1" applyAlignment="1">
      <alignment horizontal="center" vertical="center"/>
    </xf>
    <xf numFmtId="0" fontId="14" fillId="0" borderId="40" xfId="3" applyBorder="1" applyAlignment="1">
      <alignment horizontal="center" vertical="center"/>
    </xf>
    <xf numFmtId="188" fontId="9" fillId="3" borderId="13" xfId="2" applyNumberFormat="1" applyFont="1" applyFill="1" applyBorder="1" applyAlignment="1">
      <alignment horizontal="center" vertical="center" shrinkToFit="1"/>
    </xf>
    <xf numFmtId="188" fontId="14" fillId="0" borderId="11" xfId="3" applyNumberFormat="1" applyBorder="1" applyAlignment="1">
      <alignment shrinkToFit="1"/>
    </xf>
    <xf numFmtId="188" fontId="9" fillId="3" borderId="5" xfId="2" applyNumberFormat="1" applyFont="1" applyFill="1" applyBorder="1" applyAlignment="1">
      <alignment horizontal="center" vertical="center" shrinkToFit="1"/>
    </xf>
    <xf numFmtId="0" fontId="9" fillId="4" borderId="13" xfId="2" applyFont="1" applyFill="1" applyBorder="1" applyAlignment="1">
      <alignment horizontal="center" vertical="center"/>
    </xf>
    <xf numFmtId="0" fontId="14" fillId="4" borderId="11" xfId="3" applyFill="1" applyBorder="1" applyAlignment="1">
      <alignment horizontal="center" vertical="center"/>
    </xf>
    <xf numFmtId="0" fontId="14" fillId="4" borderId="14" xfId="3" applyFill="1" applyBorder="1" applyAlignment="1">
      <alignment horizontal="center" vertical="center"/>
    </xf>
    <xf numFmtId="0" fontId="9" fillId="4" borderId="1" xfId="2" applyFont="1" applyFill="1" applyBorder="1" applyAlignment="1">
      <alignment horizontal="center" vertical="center"/>
    </xf>
    <xf numFmtId="0" fontId="14" fillId="4" borderId="147" xfId="3" applyFill="1" applyBorder="1" applyAlignment="1">
      <alignment horizontal="center" vertical="center"/>
    </xf>
    <xf numFmtId="0" fontId="14" fillId="4" borderId="30" xfId="3" applyFill="1" applyBorder="1" applyAlignment="1">
      <alignment horizontal="center" vertical="center"/>
    </xf>
    <xf numFmtId="0" fontId="14" fillId="4" borderId="31" xfId="3" applyFill="1" applyBorder="1" applyAlignment="1">
      <alignment horizontal="center" vertical="center"/>
    </xf>
    <xf numFmtId="0" fontId="9" fillId="4" borderId="36" xfId="2" applyFont="1" applyFill="1" applyBorder="1" applyAlignment="1">
      <alignment horizontal="center" vertical="center"/>
    </xf>
    <xf numFmtId="0" fontId="14" fillId="4" borderId="73" xfId="3" applyFill="1" applyBorder="1" applyAlignment="1">
      <alignment horizontal="center" vertical="center"/>
    </xf>
    <xf numFmtId="0" fontId="14" fillId="4" borderId="23" xfId="3" applyFill="1" applyBorder="1" applyAlignment="1">
      <alignment horizontal="center" vertical="center"/>
    </xf>
    <xf numFmtId="0" fontId="14" fillId="4" borderId="74" xfId="3" applyFill="1" applyBorder="1" applyAlignment="1">
      <alignment horizontal="center" vertical="center"/>
    </xf>
    <xf numFmtId="0" fontId="9" fillId="3" borderId="26" xfId="2" applyFont="1" applyFill="1" applyBorder="1" applyAlignment="1">
      <alignment horizontal="center"/>
    </xf>
    <xf numFmtId="0" fontId="9" fillId="3" borderId="40" xfId="2" applyFont="1" applyFill="1" applyBorder="1" applyAlignment="1">
      <alignment horizontal="center"/>
    </xf>
    <xf numFmtId="0" fontId="3" fillId="3" borderId="163" xfId="2" applyFont="1" applyFill="1" applyBorder="1" applyAlignment="1">
      <alignment horizontal="left" vertical="center" shrinkToFit="1"/>
    </xf>
    <xf numFmtId="0" fontId="3" fillId="3" borderId="164" xfId="2" applyFont="1" applyFill="1" applyBorder="1" applyAlignment="1">
      <alignment horizontal="left" vertical="center" shrinkToFit="1"/>
    </xf>
    <xf numFmtId="49" fontId="9" fillId="0" borderId="28" xfId="2" applyNumberFormat="1" applyFont="1" applyBorder="1" applyAlignment="1">
      <alignment horizontal="center" vertical="center"/>
    </xf>
    <xf numFmtId="49" fontId="9" fillId="0" borderId="27" xfId="2" applyNumberFormat="1" applyFont="1" applyBorder="1" applyAlignment="1">
      <alignment horizontal="center" vertical="center"/>
    </xf>
    <xf numFmtId="49" fontId="9" fillId="0" borderId="40" xfId="2" applyNumberFormat="1" applyFont="1" applyBorder="1" applyAlignment="1">
      <alignment horizontal="center" vertical="center"/>
    </xf>
    <xf numFmtId="0" fontId="3" fillId="0" borderId="24" xfId="3" applyFont="1" applyBorder="1" applyAlignment="1">
      <alignment horizontal="right"/>
    </xf>
    <xf numFmtId="49" fontId="15" fillId="0" borderId="36" xfId="3" applyNumberFormat="1" applyFont="1" applyBorder="1" applyAlignment="1">
      <alignment horizontal="left" vertical="top" wrapText="1" indent="1"/>
    </xf>
    <xf numFmtId="49" fontId="3" fillId="0" borderId="37" xfId="3" applyNumberFormat="1" applyFont="1" applyBorder="1"/>
    <xf numFmtId="49" fontId="3" fillId="0" borderId="76" xfId="3" applyNumberFormat="1" applyFont="1" applyBorder="1"/>
    <xf numFmtId="49" fontId="3" fillId="0" borderId="4" xfId="3" applyNumberFormat="1" applyFont="1" applyBorder="1"/>
    <xf numFmtId="49" fontId="3" fillId="0" borderId="0" xfId="3" applyNumberFormat="1" applyFont="1"/>
    <xf numFmtId="49" fontId="3" fillId="0" borderId="79" xfId="3" applyNumberFormat="1" applyFont="1" applyBorder="1"/>
    <xf numFmtId="49" fontId="3" fillId="0" borderId="85" xfId="3" applyNumberFormat="1" applyFont="1" applyBorder="1"/>
    <xf numFmtId="49" fontId="3" fillId="0" borderId="86" xfId="3" applyNumberFormat="1" applyFont="1" applyBorder="1"/>
    <xf numFmtId="49" fontId="3" fillId="0" borderId="87" xfId="3" applyNumberFormat="1" applyFont="1" applyBorder="1"/>
    <xf numFmtId="49" fontId="15" fillId="0" borderId="107" xfId="3" applyNumberFormat="1" applyFont="1" applyBorder="1" applyAlignment="1">
      <alignment horizontal="left" vertical="top" wrapText="1"/>
    </xf>
    <xf numFmtId="49" fontId="15" fillId="0" borderId="115" xfId="3" applyNumberFormat="1" applyFont="1" applyBorder="1" applyAlignment="1">
      <alignment horizontal="left" vertical="top" wrapText="1"/>
    </xf>
    <xf numFmtId="49" fontId="15" fillId="0" borderId="143" xfId="3" applyNumberFormat="1" applyFont="1" applyBorder="1" applyAlignment="1">
      <alignment horizontal="left" vertical="top" wrapText="1"/>
    </xf>
    <xf numFmtId="49" fontId="15" fillId="0" borderId="13" xfId="3" applyNumberFormat="1" applyFont="1" applyBorder="1" applyAlignment="1">
      <alignment horizontal="left" vertical="center" shrinkToFit="1"/>
    </xf>
    <xf numFmtId="49" fontId="3" fillId="0" borderId="14" xfId="3" applyNumberFormat="1" applyFont="1" applyBorder="1" applyAlignment="1">
      <alignment horizontal="left" vertical="center" shrinkToFit="1"/>
    </xf>
    <xf numFmtId="49" fontId="15" fillId="0" borderId="14" xfId="3" applyNumberFormat="1" applyFont="1" applyBorder="1" applyAlignment="1">
      <alignment horizontal="left" vertical="center" shrinkToFit="1"/>
    </xf>
    <xf numFmtId="49" fontId="15" fillId="3" borderId="13" xfId="3" applyNumberFormat="1" applyFont="1" applyFill="1" applyBorder="1" applyAlignment="1">
      <alignment horizontal="left" vertical="center" shrinkToFit="1"/>
    </xf>
    <xf numFmtId="49" fontId="15" fillId="3" borderId="14" xfId="3" applyNumberFormat="1" applyFont="1" applyFill="1" applyBorder="1" applyAlignment="1">
      <alignment horizontal="left" vertical="center" shrinkToFit="1"/>
    </xf>
    <xf numFmtId="0" fontId="3" fillId="6" borderId="104" xfId="3" applyFont="1" applyFill="1" applyBorder="1" applyAlignment="1">
      <alignment horizontal="center" vertical="center"/>
    </xf>
    <xf numFmtId="0" fontId="3" fillId="6" borderId="144" xfId="3" applyFont="1" applyFill="1" applyBorder="1" applyAlignment="1">
      <alignment horizontal="center" vertical="center"/>
    </xf>
    <xf numFmtId="0" fontId="3" fillId="6" borderId="128" xfId="3" applyFont="1" applyFill="1" applyBorder="1" applyAlignment="1">
      <alignment horizontal="center" vertical="center"/>
    </xf>
    <xf numFmtId="49" fontId="15" fillId="3" borderId="105" xfId="3" applyNumberFormat="1" applyFont="1" applyFill="1" applyBorder="1" applyAlignment="1">
      <alignment horizontal="left" vertical="top" wrapText="1"/>
    </xf>
    <xf numFmtId="49" fontId="15" fillId="3" borderId="73" xfId="3" applyNumberFormat="1" applyFont="1" applyFill="1" applyBorder="1" applyAlignment="1">
      <alignment horizontal="left" vertical="top" wrapText="1"/>
    </xf>
    <xf numFmtId="49" fontId="15" fillId="3" borderId="145" xfId="3" applyNumberFormat="1" applyFont="1" applyFill="1" applyBorder="1" applyAlignment="1">
      <alignment horizontal="left" vertical="top" wrapText="1"/>
    </xf>
    <xf numFmtId="49" fontId="15" fillId="3" borderId="146" xfId="3" applyNumberFormat="1" applyFont="1" applyFill="1" applyBorder="1" applyAlignment="1">
      <alignment horizontal="left" vertical="top" wrapText="1"/>
    </xf>
    <xf numFmtId="49" fontId="15" fillId="3" borderId="70" xfId="3" applyNumberFormat="1" applyFont="1" applyFill="1" applyBorder="1" applyAlignment="1">
      <alignment horizontal="left" vertical="top" wrapText="1"/>
    </xf>
    <xf numFmtId="49" fontId="15" fillId="3" borderId="74" xfId="3" applyNumberFormat="1" applyFont="1" applyFill="1" applyBorder="1" applyAlignment="1">
      <alignment horizontal="left" vertical="top" wrapText="1"/>
    </xf>
    <xf numFmtId="0" fontId="16" fillId="3" borderId="0" xfId="3" applyFont="1" applyFill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3" borderId="24" xfId="3" applyFont="1" applyFill="1" applyBorder="1" applyAlignment="1">
      <alignment horizontal="right"/>
    </xf>
    <xf numFmtId="49" fontId="15" fillId="0" borderId="28" xfId="3" applyNumberFormat="1" applyFont="1" applyBorder="1" applyAlignment="1">
      <alignment horizontal="left" vertical="center" shrinkToFit="1"/>
    </xf>
    <xf numFmtId="49" fontId="15" fillId="0" borderId="27" xfId="3" applyNumberFormat="1" applyFont="1" applyBorder="1" applyAlignment="1">
      <alignment horizontal="left" vertical="center" shrinkToFit="1"/>
    </xf>
    <xf numFmtId="49" fontId="15" fillId="0" borderId="29" xfId="3" applyNumberFormat="1" applyFont="1" applyBorder="1" applyAlignment="1">
      <alignment horizontal="left" vertical="center" shrinkToFit="1"/>
    </xf>
    <xf numFmtId="49" fontId="3" fillId="0" borderId="11" xfId="3" applyNumberFormat="1" applyFont="1" applyBorder="1" applyAlignment="1">
      <alignment horizontal="left" vertical="center" shrinkToFit="1"/>
    </xf>
    <xf numFmtId="49" fontId="35" fillId="0" borderId="13" xfId="3" applyNumberFormat="1" applyFont="1" applyBorder="1" applyAlignment="1">
      <alignment horizontal="left" vertical="center" shrinkToFit="1"/>
    </xf>
    <xf numFmtId="49" fontId="8" fillId="0" borderId="14" xfId="3" applyNumberFormat="1" applyFont="1" applyBorder="1" applyAlignment="1">
      <alignment horizontal="left" vertical="center" shrinkToFit="1"/>
    </xf>
    <xf numFmtId="49" fontId="15" fillId="0" borderId="11" xfId="3" applyNumberFormat="1" applyFont="1" applyBorder="1" applyAlignment="1">
      <alignment horizontal="left" vertical="center" shrinkToFit="1"/>
    </xf>
    <xf numFmtId="49" fontId="15" fillId="0" borderId="35" xfId="3" applyNumberFormat="1" applyFont="1" applyBorder="1" applyAlignment="1">
      <alignment horizontal="left" vertical="center" shrinkToFit="1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183" fontId="15" fillId="3" borderId="106" xfId="5" applyNumberFormat="1" applyFont="1" applyFill="1" applyBorder="1" applyAlignment="1">
      <alignment vertical="center" shrinkToFit="1"/>
    </xf>
    <xf numFmtId="183" fontId="15" fillId="3" borderId="119" xfId="5" applyNumberFormat="1" applyFont="1" applyFill="1" applyBorder="1" applyAlignment="1">
      <alignment vertical="center" shrinkToFit="1"/>
    </xf>
    <xf numFmtId="184" fontId="15" fillId="3" borderId="106" xfId="3" applyNumberFormat="1" applyFont="1" applyFill="1" applyBorder="1" applyAlignment="1">
      <alignment horizontal="right" vertical="center" shrinkToFit="1"/>
    </xf>
    <xf numFmtId="184" fontId="15" fillId="3" borderId="119" xfId="3" applyNumberFormat="1" applyFont="1" applyFill="1" applyBorder="1" applyAlignment="1">
      <alignment horizontal="right" vertical="center" shrinkToFit="1"/>
    </xf>
    <xf numFmtId="182" fontId="15" fillId="3" borderId="106" xfId="3" applyNumberFormat="1" applyFont="1" applyFill="1" applyBorder="1" applyAlignment="1">
      <alignment horizontal="right" vertical="center" shrinkToFit="1"/>
    </xf>
    <xf numFmtId="182" fontId="15" fillId="3" borderId="119" xfId="3" applyNumberFormat="1" applyFont="1" applyFill="1" applyBorder="1" applyAlignment="1">
      <alignment horizontal="right" vertical="center" shrinkToFit="1"/>
    </xf>
    <xf numFmtId="185" fontId="15" fillId="3" borderId="106" xfId="3" applyNumberFormat="1" applyFont="1" applyFill="1" applyBorder="1" applyAlignment="1">
      <alignment horizontal="right" vertical="center"/>
    </xf>
    <xf numFmtId="185" fontId="15" fillId="3" borderId="119" xfId="3" applyNumberFormat="1" applyFont="1" applyFill="1" applyBorder="1" applyAlignment="1">
      <alignment horizontal="right" vertical="center"/>
    </xf>
    <xf numFmtId="49" fontId="15" fillId="3" borderId="109" xfId="3" applyNumberFormat="1" applyFont="1" applyFill="1" applyBorder="1" applyAlignment="1">
      <alignment horizontal="center" vertical="center"/>
    </xf>
    <xf numFmtId="183" fontId="15" fillId="3" borderId="109" xfId="5" applyNumberFormat="1" applyFont="1" applyFill="1" applyBorder="1" applyAlignment="1">
      <alignment vertical="center" shrinkToFit="1"/>
    </xf>
    <xf numFmtId="184" fontId="15" fillId="3" borderId="109" xfId="3" applyNumberFormat="1" applyFont="1" applyFill="1" applyBorder="1" applyAlignment="1">
      <alignment horizontal="right" vertical="center" shrinkToFit="1"/>
    </xf>
    <xf numFmtId="182" fontId="15" fillId="3" borderId="109" xfId="3" applyNumberFormat="1" applyFont="1" applyFill="1" applyBorder="1" applyAlignment="1">
      <alignment horizontal="right" vertical="center" shrinkToFit="1"/>
    </xf>
    <xf numFmtId="185" fontId="15" fillId="3" borderId="109" xfId="3" applyNumberFormat="1" applyFont="1" applyFill="1" applyBorder="1" applyAlignment="1">
      <alignment horizontal="right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24" fillId="3" borderId="24" xfId="3" applyNumberFormat="1" applyFont="1" applyFill="1" applyBorder="1" applyAlignment="1">
      <alignment horizontal="center" vertical="center"/>
    </xf>
    <xf numFmtId="0" fontId="17" fillId="6" borderId="26" xfId="3" applyFont="1" applyFill="1" applyBorder="1" applyAlignment="1">
      <alignment horizontal="center" vertical="center"/>
    </xf>
    <xf numFmtId="0" fontId="17" fillId="6" borderId="27" xfId="3" applyFont="1" applyFill="1" applyBorder="1" applyAlignment="1">
      <alignment horizontal="center" vertical="center"/>
    </xf>
    <xf numFmtId="180" fontId="3" fillId="12" borderId="28" xfId="9" applyNumberFormat="1" applyFont="1" applyFill="1" applyBorder="1" applyAlignment="1">
      <alignment horizontal="center" vertical="center"/>
    </xf>
    <xf numFmtId="180" fontId="3" fillId="12" borderId="27" xfId="9" applyNumberFormat="1" applyFont="1" applyFill="1" applyBorder="1" applyAlignment="1">
      <alignment horizontal="center" vertical="center"/>
    </xf>
    <xf numFmtId="180" fontId="3" fillId="12" borderId="40" xfId="9" applyNumberFormat="1" applyFont="1" applyFill="1" applyBorder="1" applyAlignment="1">
      <alignment horizontal="center" vertical="center"/>
    </xf>
    <xf numFmtId="0" fontId="3" fillId="12" borderId="130" xfId="9" applyFont="1" applyFill="1" applyBorder="1" applyAlignment="1">
      <alignment horizontal="center" vertical="center" shrinkToFit="1"/>
    </xf>
    <xf numFmtId="0" fontId="3" fillId="12" borderId="12" xfId="9" applyFont="1" applyFill="1" applyBorder="1" applyAlignment="1">
      <alignment horizontal="center" vertical="center" shrinkToFit="1"/>
    </xf>
    <xf numFmtId="0" fontId="12" fillId="3" borderId="0" xfId="3" applyFont="1" applyFill="1" applyAlignment="1">
      <alignment horizontal="center"/>
    </xf>
    <xf numFmtId="0" fontId="3" fillId="6" borderId="40" xfId="3" applyFont="1" applyFill="1" applyBorder="1"/>
    <xf numFmtId="0" fontId="17" fillId="6" borderId="111" xfId="3" applyFont="1" applyFill="1" applyBorder="1" applyAlignment="1">
      <alignment horizontal="center" vertical="center"/>
    </xf>
    <xf numFmtId="0" fontId="3" fillId="6" borderId="40" xfId="3" applyFont="1" applyFill="1" applyBorder="1" applyAlignment="1">
      <alignment horizontal="center" vertical="center"/>
    </xf>
    <xf numFmtId="0" fontId="16" fillId="3" borderId="24" xfId="3" applyFont="1" applyFill="1" applyBorder="1" applyAlignment="1">
      <alignment horizontal="center" vertical="center"/>
    </xf>
    <xf numFmtId="0" fontId="17" fillId="6" borderId="39" xfId="3" applyFont="1" applyFill="1" applyBorder="1" applyAlignment="1">
      <alignment horizontal="center" vertical="center"/>
    </xf>
    <xf numFmtId="0" fontId="14" fillId="0" borderId="99" xfId="3" applyBorder="1"/>
    <xf numFmtId="0" fontId="17" fillId="6" borderId="117" xfId="3" applyFont="1" applyFill="1" applyBorder="1" applyAlignment="1">
      <alignment horizontal="center" vertical="center"/>
    </xf>
    <xf numFmtId="0" fontId="17" fillId="6" borderId="119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32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0" fontId="17" fillId="6" borderId="5" xfId="3" applyFont="1" applyFill="1" applyBorder="1" applyAlignment="1">
      <alignment horizontal="center" vertical="center"/>
    </xf>
    <xf numFmtId="0" fontId="17" fillId="9" borderId="28" xfId="7" applyFont="1" applyFill="1" applyBorder="1" applyAlignment="1">
      <alignment horizontal="center" vertical="center"/>
    </xf>
    <xf numFmtId="0" fontId="3" fillId="0" borderId="27" xfId="3" applyFont="1" applyBorder="1" applyAlignment="1">
      <alignment horizontal="center" vertical="center"/>
    </xf>
    <xf numFmtId="0" fontId="3" fillId="0" borderId="29" xfId="3" applyFont="1" applyBorder="1" applyAlignment="1">
      <alignment horizontal="center" vertical="center"/>
    </xf>
    <xf numFmtId="182" fontId="15" fillId="3" borderId="106" xfId="5" applyNumberFormat="1" applyFont="1" applyFill="1" applyBorder="1" applyAlignment="1">
      <alignment horizontal="right" vertical="center" shrinkToFit="1"/>
    </xf>
    <xf numFmtId="182" fontId="3" fillId="0" borderId="109" xfId="3" applyNumberFormat="1" applyFont="1" applyBorder="1" applyAlignment="1">
      <alignment horizontal="right" vertical="center" shrinkToFit="1"/>
    </xf>
    <xf numFmtId="49" fontId="15" fillId="3" borderId="104" xfId="3" quotePrefix="1" applyNumberFormat="1" applyFont="1" applyFill="1" applyBorder="1" applyAlignment="1">
      <alignment horizontal="left" vertical="center" wrapText="1"/>
    </xf>
    <xf numFmtId="49" fontId="3" fillId="0" borderId="99" xfId="3" applyNumberFormat="1" applyFont="1" applyBorder="1" applyAlignment="1">
      <alignment horizontal="left" vertical="center" wrapText="1"/>
    </xf>
    <xf numFmtId="49" fontId="15" fillId="3" borderId="106" xfId="3" applyNumberFormat="1" applyFont="1" applyFill="1" applyBorder="1" applyAlignment="1">
      <alignment horizontal="left" vertical="center" wrapText="1"/>
    </xf>
    <xf numFmtId="49" fontId="3" fillId="0" borderId="119" xfId="3" applyNumberFormat="1" applyFont="1" applyBorder="1" applyAlignment="1">
      <alignment horizontal="left" vertical="center" wrapText="1"/>
    </xf>
    <xf numFmtId="49" fontId="15" fillId="3" borderId="106" xfId="3" quotePrefix="1" applyNumberFormat="1" applyFont="1" applyFill="1" applyBorder="1" applyAlignment="1">
      <alignment horizontal="center" vertical="center" shrinkToFit="1"/>
    </xf>
    <xf numFmtId="49" fontId="3" fillId="0" borderId="119" xfId="3" applyNumberFormat="1" applyFont="1" applyBorder="1" applyAlignment="1">
      <alignment horizontal="center" vertical="center" shrinkToFit="1"/>
    </xf>
    <xf numFmtId="183" fontId="15" fillId="3" borderId="106" xfId="3" applyNumberFormat="1" applyFont="1" applyFill="1" applyBorder="1" applyAlignment="1">
      <alignment horizontal="right" vertical="center" shrinkToFit="1"/>
    </xf>
    <xf numFmtId="183" fontId="3" fillId="0" borderId="119" xfId="3" applyNumberFormat="1" applyFont="1" applyBorder="1" applyAlignment="1">
      <alignment horizontal="right" vertical="center" shrinkToFit="1"/>
    </xf>
    <xf numFmtId="184" fontId="3" fillId="0" borderId="119" xfId="3" applyNumberFormat="1" applyFont="1" applyBorder="1" applyAlignment="1">
      <alignment horizontal="right" vertical="center" shrinkToFit="1"/>
    </xf>
    <xf numFmtId="182" fontId="3" fillId="0" borderId="119" xfId="3" applyNumberFormat="1" applyFont="1" applyBorder="1" applyAlignment="1">
      <alignment horizontal="right" vertical="center" shrinkToFit="1"/>
    </xf>
    <xf numFmtId="49" fontId="3" fillId="0" borderId="128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center" vertical="center" shrinkToFit="1"/>
    </xf>
    <xf numFmtId="183" fontId="3" fillId="0" borderId="109" xfId="3" applyNumberFormat="1" applyFont="1" applyBorder="1" applyAlignment="1">
      <alignment horizontal="right" vertical="center" shrinkToFit="1"/>
    </xf>
    <xf numFmtId="184" fontId="3" fillId="0" borderId="109" xfId="3" applyNumberFormat="1" applyFont="1" applyBorder="1" applyAlignment="1">
      <alignment horizontal="right" vertical="center" shrinkToFit="1"/>
    </xf>
    <xf numFmtId="0" fontId="17" fillId="10" borderId="26" xfId="3" applyFont="1" applyFill="1" applyBorder="1" applyAlignment="1">
      <alignment horizontal="center" vertical="center"/>
    </xf>
    <xf numFmtId="0" fontId="17" fillId="10" borderId="27" xfId="3" applyFont="1" applyFill="1" applyBorder="1" applyAlignment="1">
      <alignment horizontal="center" vertical="center"/>
    </xf>
    <xf numFmtId="49" fontId="15" fillId="3" borderId="106" xfId="3" applyNumberFormat="1" applyFont="1" applyFill="1" applyBorder="1" applyAlignment="1">
      <alignment horizontal="center" vertical="center" shrinkToFit="1"/>
    </xf>
    <xf numFmtId="49" fontId="15" fillId="3" borderId="119" xfId="3" applyNumberFormat="1" applyFont="1" applyFill="1" applyBorder="1" applyAlignment="1">
      <alignment horizontal="center" vertical="center" shrinkToFit="1"/>
    </xf>
    <xf numFmtId="183" fontId="15" fillId="0" borderId="106" xfId="5" applyNumberFormat="1" applyFont="1" applyFill="1" applyBorder="1" applyAlignment="1">
      <alignment horizontal="right" vertical="center" shrinkToFit="1"/>
    </xf>
    <xf numFmtId="183" fontId="15" fillId="0" borderId="119" xfId="5" applyNumberFormat="1" applyFont="1" applyFill="1" applyBorder="1" applyAlignment="1">
      <alignment horizontal="right" vertical="center" shrinkToFit="1"/>
    </xf>
    <xf numFmtId="184" fontId="15" fillId="0" borderId="106" xfId="3" applyNumberFormat="1" applyFont="1" applyBorder="1" applyAlignment="1">
      <alignment horizontal="right" vertical="center" shrinkToFit="1"/>
    </xf>
    <xf numFmtId="184" fontId="15" fillId="0" borderId="119" xfId="3" applyNumberFormat="1" applyFont="1" applyBorder="1" applyAlignment="1">
      <alignment horizontal="right" vertical="center" shrinkToFit="1"/>
    </xf>
    <xf numFmtId="182" fontId="15" fillId="0" borderId="106" xfId="3" applyNumberFormat="1" applyFont="1" applyBorder="1" applyAlignment="1">
      <alignment horizontal="right" vertical="center" shrinkToFit="1"/>
    </xf>
    <xf numFmtId="182" fontId="15" fillId="0" borderId="119" xfId="3" applyNumberFormat="1" applyFont="1" applyBorder="1" applyAlignment="1">
      <alignment horizontal="right" vertical="center" shrinkToFit="1"/>
    </xf>
    <xf numFmtId="183" fontId="15" fillId="0" borderId="106" xfId="3" applyNumberFormat="1" applyFont="1" applyBorder="1" applyAlignment="1">
      <alignment horizontal="right" vertical="center" shrinkToFit="1"/>
    </xf>
    <xf numFmtId="183" fontId="15" fillId="0" borderId="119" xfId="3" applyNumberFormat="1" applyFont="1" applyBorder="1" applyAlignment="1">
      <alignment horizontal="right" vertical="center" shrinkToFit="1"/>
    </xf>
    <xf numFmtId="49" fontId="15" fillId="3" borderId="103" xfId="3" applyNumberFormat="1" applyFont="1" applyFill="1" applyBorder="1" applyAlignment="1">
      <alignment horizontal="center" vertical="center" shrinkToFit="1"/>
    </xf>
    <xf numFmtId="49" fontId="15" fillId="3" borderId="109" xfId="3" applyNumberFormat="1" applyFont="1" applyFill="1" applyBorder="1" applyAlignment="1">
      <alignment horizontal="center" vertical="center" shrinkToFit="1"/>
    </xf>
    <xf numFmtId="183" fontId="15" fillId="0" borderId="103" xfId="3" applyNumberFormat="1" applyFont="1" applyBorder="1" applyAlignment="1">
      <alignment horizontal="right" vertical="center" shrinkToFit="1"/>
    </xf>
    <xf numFmtId="183" fontId="15" fillId="0" borderId="109" xfId="3" applyNumberFormat="1" applyFont="1" applyBorder="1" applyAlignment="1">
      <alignment horizontal="right" vertical="center" shrinkToFit="1"/>
    </xf>
    <xf numFmtId="184" fontId="15" fillId="0" borderId="103" xfId="3" applyNumberFormat="1" applyFont="1" applyBorder="1" applyAlignment="1">
      <alignment horizontal="right" vertical="center" shrinkToFit="1"/>
    </xf>
    <xf numFmtId="184" fontId="15" fillId="0" borderId="109" xfId="3" applyNumberFormat="1" applyFont="1" applyBorder="1" applyAlignment="1">
      <alignment horizontal="right" vertical="center" shrinkToFit="1"/>
    </xf>
    <xf numFmtId="182" fontId="15" fillId="0" borderId="103" xfId="3" applyNumberFormat="1" applyFont="1" applyBorder="1" applyAlignment="1">
      <alignment horizontal="right" vertical="center" shrinkToFit="1"/>
    </xf>
    <xf numFmtId="182" fontId="15" fillId="0" borderId="109" xfId="3" applyNumberFormat="1" applyFont="1" applyBorder="1" applyAlignment="1">
      <alignment horizontal="right" vertical="center" shrinkToFit="1"/>
    </xf>
  </cellXfs>
  <cellStyles count="12">
    <cellStyle name="パーセント 2" xfId="6" xr:uid="{00000000-0005-0000-0000-000000000000}"/>
    <cellStyle name="桁区切り 2" xfId="5" xr:uid="{00000000-0005-0000-0000-000001000000}"/>
    <cellStyle name="通貨 2" xfId="4" xr:uid="{00000000-0005-0000-0000-000002000000}"/>
    <cellStyle name="標準" xfId="0" builtinId="0"/>
    <cellStyle name="標準 2" xfId="3" xr:uid="{00000000-0005-0000-0000-000004000000}"/>
    <cellStyle name="標準 4" xfId="11" xr:uid="{00000000-0005-0000-0000-000005000000}"/>
    <cellStyle name="標準 5" xfId="1" xr:uid="{00000000-0005-0000-0000-000006000000}"/>
    <cellStyle name="標準 5 2" xfId="10" xr:uid="{00000000-0005-0000-0000-000007000000}"/>
    <cellStyle name="標準_実行予算書様式提案_要素変更済2" xfId="8" xr:uid="{00000000-0005-0000-0000-000008000000}"/>
    <cellStyle name="標準_神田上水JV予算書_1(051202)" xfId="2" xr:uid="{00000000-0005-0000-0000-000009000000}"/>
    <cellStyle name="標準_人形町EV CMS" xfId="9" xr:uid="{00000000-0005-0000-0000-00000A000000}"/>
    <cellStyle name="標準_直接工事内訳書" xfId="7" xr:uid="{00000000-0005-0000-0000-00000B000000}"/>
  </cellStyles>
  <dxfs count="30"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</dxfs>
  <tableStyles count="0" defaultTableStyle="TableStyleMedium2" defaultPivotStyle="PivotStyleLight16"/>
  <colors>
    <mruColors>
      <color rgb="FFFFCCCC"/>
      <color rgb="FFFFCC66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23</xdr:row>
          <xdr:rowOff>123825</xdr:rowOff>
        </xdr:from>
        <xdr:to>
          <xdr:col>1</xdr:col>
          <xdr:colOff>1152525</xdr:colOff>
          <xdr:row>25</xdr:row>
          <xdr:rowOff>9525</xdr:rowOff>
        </xdr:to>
        <xdr:sp macro="" textlink="">
          <xdr:nvSpPr>
            <xdr:cNvPr id="48129" name="bt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1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25</xdr:row>
          <xdr:rowOff>47625</xdr:rowOff>
        </xdr:from>
        <xdr:to>
          <xdr:col>1</xdr:col>
          <xdr:colOff>1152525</xdr:colOff>
          <xdr:row>26</xdr:row>
          <xdr:rowOff>95250</xdr:rowOff>
        </xdr:to>
        <xdr:sp macro="" textlink="">
          <xdr:nvSpPr>
            <xdr:cNvPr id="48130" name="bt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1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26</xdr:row>
          <xdr:rowOff>142875</xdr:rowOff>
        </xdr:from>
        <xdr:to>
          <xdr:col>1</xdr:col>
          <xdr:colOff>1152525</xdr:colOff>
          <xdr:row>27</xdr:row>
          <xdr:rowOff>180975</xdr:rowOff>
        </xdr:to>
        <xdr:sp macro="" textlink="">
          <xdr:nvSpPr>
            <xdr:cNvPr id="48131" name="btn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1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P32"/>
  <sheetViews>
    <sheetView zoomScaleNormal="100" workbookViewId="0"/>
  </sheetViews>
  <sheetFormatPr defaultColWidth="8.125" defaultRowHeight="13.5"/>
  <cols>
    <col min="1" max="4" width="3.125" style="1" customWidth="1"/>
    <col min="5" max="8" width="4" style="1" customWidth="1"/>
    <col min="9" max="38" width="3.125" style="1" customWidth="1"/>
    <col min="39" max="39" width="1.625" style="1" customWidth="1"/>
    <col min="40" max="40" width="4.125" style="1" customWidth="1"/>
    <col min="41" max="42" width="3.125" style="1" customWidth="1"/>
    <col min="43" max="48" width="6" style="1" customWidth="1"/>
    <col min="49" max="16384" width="8.125" style="1"/>
  </cols>
  <sheetData>
    <row r="1" spans="1:42" ht="18.75">
      <c r="A1" s="2"/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433" t="s">
        <v>0</v>
      </c>
      <c r="AD1" s="434"/>
      <c r="AE1" s="434"/>
      <c r="AF1" s="434"/>
      <c r="AG1" s="435"/>
      <c r="AH1" s="436"/>
      <c r="AI1" s="436"/>
      <c r="AJ1" s="436"/>
      <c r="AK1" s="436"/>
      <c r="AL1" s="436"/>
      <c r="AM1" s="3"/>
      <c r="AP1" s="4"/>
    </row>
    <row r="2" spans="1:42" ht="22.5" customHeight="1" thickBot="1">
      <c r="A2" s="5"/>
      <c r="B2" s="257"/>
      <c r="L2" s="257"/>
      <c r="M2" s="437" t="s">
        <v>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257"/>
      <c r="AD2" s="257"/>
      <c r="AE2" s="257"/>
      <c r="AF2" s="257"/>
      <c r="AG2" s="257"/>
      <c r="AH2" s="257"/>
      <c r="AI2" s="257"/>
      <c r="AJ2" s="257"/>
      <c r="AK2" s="257"/>
      <c r="AL2" s="257"/>
      <c r="AM2" s="6"/>
      <c r="AP2" s="4"/>
    </row>
    <row r="3" spans="1:42" ht="18" thickBot="1">
      <c r="A3" s="5"/>
      <c r="B3" s="257"/>
      <c r="C3" s="439" t="s">
        <v>2</v>
      </c>
      <c r="D3" s="440"/>
      <c r="E3" s="440"/>
      <c r="F3" s="440"/>
      <c r="G3" s="441" t="s">
        <v>144</v>
      </c>
      <c r="H3" s="442"/>
      <c r="I3" s="442"/>
      <c r="J3" s="442"/>
      <c r="K3" s="443"/>
      <c r="L3" s="257"/>
      <c r="M3" s="257"/>
      <c r="N3" s="257"/>
      <c r="O3" s="444" t="s">
        <v>145</v>
      </c>
      <c r="P3" s="444"/>
      <c r="Q3" s="444"/>
      <c r="R3" s="444"/>
      <c r="S3" s="444"/>
      <c r="T3" s="444"/>
      <c r="U3" s="444"/>
      <c r="V3" s="444"/>
      <c r="W3" s="444"/>
      <c r="X3" s="444"/>
      <c r="Y3" s="444"/>
      <c r="Z3" s="444"/>
      <c r="AA3" s="257"/>
      <c r="AB3" s="257"/>
      <c r="AC3" s="257"/>
      <c r="AD3" s="172" t="s">
        <v>3</v>
      </c>
      <c r="AE3" s="233"/>
      <c r="AF3" s="233"/>
      <c r="AG3" s="233"/>
      <c r="AH3" s="242" t="s">
        <v>146</v>
      </c>
      <c r="AI3" s="233"/>
      <c r="AJ3" s="233"/>
      <c r="AK3" s="233"/>
      <c r="AL3" s="233"/>
      <c r="AM3" s="6"/>
    </row>
    <row r="4" spans="1:42" ht="17.25">
      <c r="A4" s="5"/>
      <c r="B4" s="257"/>
      <c r="C4" s="257"/>
      <c r="D4" s="257"/>
      <c r="E4" s="257"/>
      <c r="F4" s="257"/>
      <c r="G4" s="258"/>
      <c r="H4" s="258"/>
      <c r="I4" s="258"/>
      <c r="J4" s="258"/>
      <c r="K4" s="258"/>
      <c r="L4" s="257"/>
      <c r="M4" s="257"/>
      <c r="N4" s="257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7"/>
      <c r="AB4" s="257"/>
      <c r="AC4" s="257"/>
      <c r="AD4" s="7" t="s">
        <v>4</v>
      </c>
      <c r="AE4" s="231"/>
      <c r="AF4" s="231"/>
      <c r="AG4" s="231"/>
      <c r="AH4" s="7"/>
      <c r="AI4" s="231"/>
      <c r="AJ4" s="231"/>
      <c r="AK4" s="231"/>
      <c r="AL4" s="231"/>
      <c r="AM4" s="6"/>
    </row>
    <row r="5" spans="1:42" ht="8.25" customHeight="1">
      <c r="A5" s="5"/>
      <c r="B5" s="257"/>
      <c r="C5" s="257"/>
      <c r="D5" s="257"/>
      <c r="E5" s="257"/>
      <c r="F5" s="257"/>
      <c r="G5" s="258"/>
      <c r="H5" s="258"/>
      <c r="I5" s="258"/>
      <c r="J5" s="258"/>
      <c r="K5" s="258"/>
      <c r="L5" s="257"/>
      <c r="M5" s="257"/>
      <c r="N5" s="257"/>
      <c r="O5" s="259"/>
      <c r="P5" s="259"/>
      <c r="Q5" s="259"/>
      <c r="R5" s="259"/>
      <c r="S5" s="259"/>
      <c r="T5" s="259"/>
      <c r="U5" s="259"/>
      <c r="V5" s="259"/>
      <c r="W5" s="259"/>
      <c r="X5" s="259"/>
      <c r="Y5" s="259"/>
      <c r="Z5" s="259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6"/>
    </row>
    <row r="6" spans="1:42" ht="18.75">
      <c r="A6" s="5"/>
      <c r="B6" s="257"/>
      <c r="C6" s="257"/>
      <c r="D6" s="257"/>
      <c r="E6" s="257"/>
      <c r="F6" s="257"/>
      <c r="G6" s="427" t="s">
        <v>5</v>
      </c>
      <c r="H6" s="428"/>
      <c r="I6" s="428"/>
      <c r="J6" s="428"/>
      <c r="K6" s="428"/>
      <c r="L6" s="428"/>
      <c r="M6" s="428"/>
      <c r="N6" s="428"/>
      <c r="O6" s="428"/>
      <c r="P6" s="428"/>
      <c r="Q6" s="429" t="s">
        <v>6</v>
      </c>
      <c r="R6" s="430"/>
      <c r="S6" s="430"/>
      <c r="T6" s="430"/>
      <c r="U6" s="430"/>
      <c r="V6" s="430"/>
      <c r="W6" s="430"/>
      <c r="X6" s="430"/>
      <c r="Y6" s="430"/>
      <c r="Z6" s="430"/>
      <c r="AA6" s="429" t="s">
        <v>7</v>
      </c>
      <c r="AB6" s="428"/>
      <c r="AC6" s="428"/>
      <c r="AD6" s="428"/>
      <c r="AE6" s="428"/>
      <c r="AF6" s="428"/>
      <c r="AG6" s="428"/>
      <c r="AH6" s="428"/>
      <c r="AI6" s="428"/>
      <c r="AJ6" s="428"/>
      <c r="AK6" s="428"/>
      <c r="AL6" s="257"/>
      <c r="AM6" s="6"/>
    </row>
    <row r="7" spans="1:42">
      <c r="A7" s="5"/>
      <c r="B7" s="257"/>
      <c r="C7" s="257"/>
      <c r="D7" s="257"/>
      <c r="E7" s="257"/>
      <c r="F7" s="257"/>
      <c r="G7" s="427" t="s">
        <v>8</v>
      </c>
      <c r="H7" s="431"/>
      <c r="I7" s="431"/>
      <c r="J7" s="427" t="s">
        <v>9</v>
      </c>
      <c r="K7" s="431"/>
      <c r="L7" s="431"/>
      <c r="M7" s="431"/>
      <c r="N7" s="431"/>
      <c r="O7" s="431"/>
      <c r="P7" s="431"/>
      <c r="Q7" s="432" t="s">
        <v>10</v>
      </c>
      <c r="R7" s="432"/>
      <c r="S7" s="432"/>
      <c r="T7" s="429" t="s">
        <v>11</v>
      </c>
      <c r="U7" s="431"/>
      <c r="V7" s="431"/>
      <c r="W7" s="431"/>
      <c r="X7" s="431"/>
      <c r="Y7" s="431"/>
      <c r="Z7" s="431"/>
      <c r="AA7" s="429" t="s">
        <v>12</v>
      </c>
      <c r="AB7" s="431"/>
      <c r="AC7" s="431"/>
      <c r="AD7" s="429" t="s">
        <v>13</v>
      </c>
      <c r="AE7" s="431"/>
      <c r="AF7" s="431"/>
      <c r="AG7" s="431"/>
      <c r="AH7" s="431"/>
      <c r="AI7" s="429" t="s">
        <v>14</v>
      </c>
      <c r="AJ7" s="431"/>
      <c r="AK7" s="431"/>
      <c r="AL7" s="358"/>
      <c r="AM7" s="6"/>
    </row>
    <row r="8" spans="1:42" ht="29.25" customHeight="1">
      <c r="A8" s="5"/>
      <c r="B8" s="257"/>
      <c r="C8" s="257"/>
      <c r="D8" s="257"/>
      <c r="E8" s="257"/>
      <c r="F8" s="257"/>
      <c r="G8" s="8"/>
      <c r="H8" s="9"/>
      <c r="I8" s="10"/>
      <c r="J8" s="8"/>
      <c r="K8" s="9"/>
      <c r="L8" s="231"/>
      <c r="M8" s="231"/>
      <c r="N8" s="231"/>
      <c r="O8" s="11"/>
      <c r="P8" s="12"/>
      <c r="Q8" s="13"/>
      <c r="R8" s="11"/>
      <c r="S8" s="12"/>
      <c r="T8" s="13"/>
      <c r="U8" s="11"/>
      <c r="V8" s="11"/>
      <c r="W8" s="11"/>
      <c r="X8" s="11"/>
      <c r="Y8" s="11"/>
      <c r="Z8" s="12"/>
      <c r="AA8" s="170"/>
      <c r="AB8" s="231"/>
      <c r="AC8" s="171"/>
      <c r="AD8" s="170"/>
      <c r="AE8" s="231"/>
      <c r="AF8" s="231"/>
      <c r="AG8" s="231"/>
      <c r="AH8" s="171"/>
      <c r="AI8" s="170"/>
      <c r="AJ8" s="231"/>
      <c r="AK8" s="171"/>
      <c r="AL8" s="257"/>
      <c r="AM8" s="6"/>
    </row>
    <row r="9" spans="1:42" ht="8.4499999999999993" customHeight="1">
      <c r="A9" s="5"/>
      <c r="B9" s="257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6"/>
    </row>
    <row r="10" spans="1:42" ht="14.25">
      <c r="A10" s="5"/>
      <c r="B10" s="257"/>
      <c r="C10" s="257"/>
      <c r="D10" s="257"/>
      <c r="E10" s="417" t="s">
        <v>134</v>
      </c>
      <c r="F10" s="417"/>
      <c r="G10" s="417"/>
      <c r="H10" s="417"/>
      <c r="I10" s="421" t="s">
        <v>147</v>
      </c>
      <c r="J10" s="421"/>
      <c r="K10" s="421"/>
      <c r="L10" s="421"/>
      <c r="M10" s="421"/>
      <c r="N10" s="421"/>
      <c r="O10" s="421"/>
      <c r="P10" s="421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257"/>
      <c r="AE10" s="257"/>
      <c r="AF10" s="257"/>
      <c r="AG10" s="257"/>
      <c r="AH10" s="257"/>
      <c r="AI10" s="257"/>
      <c r="AJ10" s="257"/>
      <c r="AK10" s="257"/>
      <c r="AL10" s="257"/>
      <c r="AM10" s="6"/>
    </row>
    <row r="11" spans="1:42" ht="6.6" customHeight="1">
      <c r="A11" s="5"/>
      <c r="B11" s="257"/>
      <c r="C11" s="257"/>
      <c r="D11" s="257"/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61"/>
      <c r="P11" s="257"/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  <c r="AB11" s="257"/>
      <c r="AC11" s="257"/>
      <c r="AD11" s="257"/>
      <c r="AE11" s="257"/>
      <c r="AF11" s="257"/>
      <c r="AG11" s="257"/>
      <c r="AH11" s="257"/>
      <c r="AI11" s="257"/>
      <c r="AJ11" s="257"/>
      <c r="AK11" s="257"/>
      <c r="AL11" s="257"/>
      <c r="AM11" s="6"/>
    </row>
    <row r="12" spans="1:42" ht="14.25">
      <c r="A12" s="5"/>
      <c r="B12" s="257"/>
      <c r="C12" s="257"/>
      <c r="D12" s="257"/>
      <c r="E12" s="417" t="s">
        <v>135</v>
      </c>
      <c r="F12" s="417"/>
      <c r="G12" s="417"/>
      <c r="H12" s="417"/>
      <c r="I12" s="422" t="s">
        <v>148</v>
      </c>
      <c r="J12" s="422"/>
      <c r="K12" s="422"/>
      <c r="L12" s="422"/>
      <c r="M12" s="422"/>
      <c r="N12" s="422"/>
      <c r="O12" s="422"/>
      <c r="P12" s="422"/>
      <c r="Q12" s="422"/>
      <c r="R12" s="422"/>
      <c r="S12" s="422"/>
      <c r="T12" s="422"/>
      <c r="U12" s="422"/>
      <c r="V12" s="422"/>
      <c r="W12" s="422"/>
      <c r="X12" s="422"/>
      <c r="Y12" s="422"/>
      <c r="Z12" s="422"/>
      <c r="AA12" s="422"/>
      <c r="AB12" s="422"/>
      <c r="AC12" s="422"/>
      <c r="AD12" s="257"/>
      <c r="AE12" s="257"/>
      <c r="AF12" s="257"/>
      <c r="AG12" s="257"/>
      <c r="AH12" s="257"/>
      <c r="AI12" s="257"/>
      <c r="AJ12" s="257"/>
      <c r="AK12" s="257"/>
      <c r="AL12" s="257"/>
      <c r="AM12" s="6"/>
    </row>
    <row r="13" spans="1:42" ht="6.6" customHeight="1">
      <c r="A13" s="5"/>
      <c r="B13" s="257"/>
      <c r="C13" s="257"/>
      <c r="D13" s="257"/>
      <c r="E13" s="261"/>
      <c r="F13" s="261"/>
      <c r="G13" s="261"/>
      <c r="H13" s="261"/>
      <c r="I13" s="262"/>
      <c r="J13" s="262"/>
      <c r="K13" s="262"/>
      <c r="L13" s="262"/>
      <c r="M13" s="262"/>
      <c r="N13" s="262"/>
      <c r="O13" s="262"/>
      <c r="P13" s="262"/>
      <c r="Q13" s="262"/>
      <c r="R13" s="262"/>
      <c r="S13" s="262"/>
      <c r="T13" s="262"/>
      <c r="U13" s="262"/>
      <c r="V13" s="262"/>
      <c r="W13" s="262"/>
      <c r="X13" s="262"/>
      <c r="Y13" s="262"/>
      <c r="Z13" s="262"/>
      <c r="AA13" s="262"/>
      <c r="AB13" s="257"/>
      <c r="AC13" s="257"/>
      <c r="AD13" s="257"/>
      <c r="AE13" s="257"/>
      <c r="AF13" s="257"/>
      <c r="AG13" s="257"/>
      <c r="AH13" s="257"/>
      <c r="AI13" s="257"/>
      <c r="AJ13" s="257"/>
      <c r="AK13" s="257"/>
      <c r="AL13" s="257"/>
      <c r="AM13" s="6"/>
    </row>
    <row r="14" spans="1:42" ht="18.75">
      <c r="A14" s="5"/>
      <c r="B14" s="257"/>
      <c r="C14" s="257"/>
      <c r="D14" s="257"/>
      <c r="E14" s="423" t="s">
        <v>136</v>
      </c>
      <c r="F14" s="424"/>
      <c r="G14" s="424"/>
      <c r="H14" s="424"/>
      <c r="I14" s="425">
        <v>11200000</v>
      </c>
      <c r="J14" s="426"/>
      <c r="K14" s="426"/>
      <c r="L14" s="426"/>
      <c r="M14" s="426"/>
      <c r="N14" s="426"/>
      <c r="O14" s="426"/>
      <c r="P14" s="426"/>
      <c r="Q14" s="374"/>
      <c r="R14" s="374"/>
      <c r="S14" s="374"/>
      <c r="U14" s="263"/>
      <c r="V14" s="375"/>
      <c r="W14" s="375"/>
      <c r="X14" s="375"/>
      <c r="Y14" s="257"/>
      <c r="Z14" s="376"/>
      <c r="AA14" s="376"/>
      <c r="AB14" s="376"/>
      <c r="AC14" s="376"/>
      <c r="AD14" s="376"/>
      <c r="AE14" s="376"/>
      <c r="AF14" s="376"/>
      <c r="AG14" s="374"/>
      <c r="AH14" s="374"/>
      <c r="AI14" s="374"/>
      <c r="AJ14" s="257"/>
      <c r="AK14" s="257"/>
      <c r="AL14" s="257"/>
      <c r="AM14" s="6"/>
    </row>
    <row r="15" spans="1:42" ht="6.6" customHeight="1">
      <c r="A15" s="5"/>
      <c r="B15" s="257"/>
      <c r="C15" s="257"/>
      <c r="D15" s="257"/>
      <c r="E15" s="261"/>
      <c r="F15" s="261"/>
      <c r="G15" s="261"/>
      <c r="H15" s="261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6"/>
    </row>
    <row r="16" spans="1:42" ht="18.75">
      <c r="A16" s="5"/>
      <c r="B16" s="257"/>
      <c r="C16" s="257"/>
      <c r="D16" s="257"/>
      <c r="E16" s="417" t="s">
        <v>15</v>
      </c>
      <c r="F16" s="418"/>
      <c r="G16" s="418"/>
      <c r="H16" s="418"/>
      <c r="I16" s="419">
        <v>9792000</v>
      </c>
      <c r="J16" s="420"/>
      <c r="K16" s="420"/>
      <c r="L16" s="420"/>
      <c r="M16" s="420"/>
      <c r="N16" s="420"/>
      <c r="O16" s="420"/>
      <c r="P16" s="420"/>
      <c r="Q16" s="416">
        <v>0.87429999999999997</v>
      </c>
      <c r="R16" s="416"/>
      <c r="S16" s="416"/>
      <c r="U16" s="417" t="s">
        <v>16</v>
      </c>
      <c r="V16" s="418"/>
      <c r="W16" s="418"/>
      <c r="X16" s="418"/>
      <c r="Y16" s="419">
        <v>1408000</v>
      </c>
      <c r="Z16" s="420"/>
      <c r="AA16" s="420"/>
      <c r="AB16" s="420"/>
      <c r="AC16" s="420"/>
      <c r="AD16" s="420"/>
      <c r="AE16" s="420"/>
      <c r="AF16" s="420"/>
      <c r="AG16" s="416">
        <v>0.12570000000000001</v>
      </c>
      <c r="AH16" s="416"/>
      <c r="AI16" s="416"/>
      <c r="AJ16" s="257"/>
      <c r="AK16" s="257"/>
      <c r="AL16" s="257"/>
      <c r="AM16" s="6"/>
    </row>
    <row r="17" spans="1:39" ht="6.6" customHeight="1">
      <c r="A17" s="5"/>
      <c r="B17" s="257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N17" s="264"/>
      <c r="O17" s="264"/>
      <c r="P17" s="264"/>
      <c r="Q17" s="264"/>
      <c r="R17" s="264"/>
      <c r="S17" s="264"/>
      <c r="T17" s="264"/>
      <c r="U17" s="264"/>
      <c r="V17" s="264"/>
      <c r="W17" s="264"/>
      <c r="X17" s="264"/>
      <c r="Y17" s="264"/>
      <c r="Z17" s="264"/>
      <c r="AA17" s="263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14"/>
    </row>
    <row r="18" spans="1:39" ht="18.75">
      <c r="A18" s="5"/>
      <c r="B18" s="257"/>
      <c r="C18" s="257"/>
      <c r="D18" s="257"/>
      <c r="E18" s="417" t="s">
        <v>17</v>
      </c>
      <c r="F18" s="418"/>
      <c r="G18" s="418"/>
      <c r="H18" s="418"/>
      <c r="I18" s="419"/>
      <c r="J18" s="420"/>
      <c r="K18" s="420"/>
      <c r="L18" s="420"/>
      <c r="M18" s="420"/>
      <c r="N18" s="420"/>
      <c r="O18" s="420"/>
      <c r="P18" s="420"/>
      <c r="Q18" s="416"/>
      <c r="R18" s="416"/>
      <c r="S18" s="416"/>
      <c r="U18" s="417" t="s">
        <v>18</v>
      </c>
      <c r="V18" s="418"/>
      <c r="W18" s="418"/>
      <c r="X18" s="418"/>
      <c r="Y18" s="419"/>
      <c r="Z18" s="420"/>
      <c r="AA18" s="420"/>
      <c r="AB18" s="420"/>
      <c r="AC18" s="420"/>
      <c r="AD18" s="420"/>
      <c r="AE18" s="420"/>
      <c r="AF18" s="420"/>
      <c r="AG18" s="416"/>
      <c r="AH18" s="416"/>
      <c r="AI18" s="416"/>
      <c r="AJ18" s="257"/>
      <c r="AK18" s="257"/>
      <c r="AL18" s="257"/>
      <c r="AM18" s="14"/>
    </row>
    <row r="19" spans="1:39" ht="20.100000000000001" customHeight="1">
      <c r="A19" s="5"/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64"/>
      <c r="N19" s="264"/>
      <c r="O19" s="264"/>
      <c r="P19" s="264"/>
      <c r="Q19" s="264"/>
      <c r="R19" s="264"/>
      <c r="S19" s="264"/>
      <c r="T19" s="264"/>
      <c r="U19" s="264"/>
      <c r="V19" s="264"/>
      <c r="W19" s="264"/>
      <c r="X19" s="264"/>
      <c r="Y19" s="264"/>
      <c r="Z19" s="264"/>
      <c r="AA19" s="257"/>
      <c r="AB19" s="257"/>
      <c r="AC19" s="257"/>
      <c r="AD19" s="257"/>
      <c r="AE19" s="257"/>
      <c r="AF19" s="257"/>
      <c r="AG19" s="257"/>
      <c r="AI19" s="257"/>
      <c r="AJ19" s="257"/>
      <c r="AK19" s="257"/>
      <c r="AL19" s="257"/>
      <c r="AM19" s="14"/>
    </row>
    <row r="20" spans="1:39">
      <c r="A20" s="5"/>
      <c r="B20" s="15" t="s">
        <v>19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7"/>
      <c r="O20" s="17"/>
      <c r="P20" s="17"/>
      <c r="Q20" s="17"/>
      <c r="R20" s="17"/>
      <c r="S20" s="18"/>
      <c r="U20" s="15" t="s">
        <v>20</v>
      </c>
      <c r="V20" s="17"/>
      <c r="W20" s="17"/>
      <c r="X20" s="17"/>
      <c r="Y20" s="17"/>
      <c r="Z20" s="16"/>
      <c r="AA20" s="16"/>
      <c r="AB20" s="16"/>
      <c r="AC20" s="16"/>
      <c r="AD20" s="16"/>
      <c r="AE20" s="16"/>
      <c r="AF20" s="16"/>
      <c r="AG20" s="16"/>
      <c r="AH20" s="19"/>
      <c r="AI20" s="16"/>
      <c r="AJ20" s="16"/>
      <c r="AK20" s="20"/>
      <c r="AL20" s="257"/>
      <c r="AM20" s="14"/>
    </row>
    <row r="21" spans="1:39" ht="19.5" customHeight="1">
      <c r="A21" s="5"/>
      <c r="B21" s="21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S21" s="22"/>
      <c r="U21" s="23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4"/>
      <c r="AL21" s="257"/>
      <c r="AM21" s="14"/>
    </row>
    <row r="22" spans="1:39" ht="19.5" customHeight="1">
      <c r="A22" s="5"/>
      <c r="B22" s="21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4"/>
      <c r="T22" s="257"/>
      <c r="U22" s="21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65"/>
      <c r="AJ22" s="265"/>
      <c r="AK22" s="25"/>
      <c r="AL22" s="265"/>
      <c r="AM22" s="26"/>
    </row>
    <row r="23" spans="1:39" ht="19.5" customHeight="1">
      <c r="A23" s="5"/>
      <c r="B23" s="21"/>
      <c r="C23" s="257"/>
      <c r="D23" s="25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4"/>
      <c r="T23" s="257"/>
      <c r="U23" s="23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4"/>
      <c r="AL23" s="257"/>
      <c r="AM23" s="6"/>
    </row>
    <row r="24" spans="1:39" ht="19.5" customHeight="1">
      <c r="A24" s="5"/>
      <c r="B24" s="27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  <c r="T24" s="257"/>
      <c r="U24" s="27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9"/>
      <c r="AL24" s="257"/>
      <c r="AM24" s="6"/>
    </row>
    <row r="25" spans="1:39" ht="19.5" customHeight="1" thickBot="1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2"/>
    </row>
    <row r="26" spans="1:39" ht="22.5" customHeight="1">
      <c r="A26" s="394" t="s">
        <v>149</v>
      </c>
      <c r="B26" s="395"/>
      <c r="C26" s="395"/>
      <c r="D26" s="395"/>
      <c r="E26" s="395"/>
      <c r="F26" s="395"/>
      <c r="G26" s="395"/>
      <c r="H26" s="395"/>
      <c r="I26" s="395"/>
      <c r="J26" s="395"/>
      <c r="K26" s="395"/>
      <c r="L26" s="395"/>
      <c r="M26" s="395"/>
      <c r="N26" s="395"/>
      <c r="O26" s="395"/>
      <c r="P26" s="395"/>
      <c r="Q26" s="395"/>
      <c r="R26" s="395"/>
      <c r="S26" s="395"/>
      <c r="T26" s="396"/>
      <c r="U26" s="397"/>
      <c r="V26" s="397"/>
      <c r="W26" s="397"/>
      <c r="X26" s="397"/>
      <c r="Y26" s="397"/>
      <c r="Z26" s="397"/>
      <c r="AA26" s="397"/>
      <c r="AB26" s="397"/>
      <c r="AC26" s="397"/>
      <c r="AD26" s="397"/>
      <c r="AE26" s="397"/>
      <c r="AF26" s="397"/>
      <c r="AG26" s="397"/>
      <c r="AH26" s="397"/>
      <c r="AI26" s="397"/>
      <c r="AJ26" s="397"/>
      <c r="AK26" s="397"/>
      <c r="AL26" s="397"/>
      <c r="AM26" s="398"/>
    </row>
    <row r="27" spans="1:39">
      <c r="A27" s="399" t="s">
        <v>21</v>
      </c>
      <c r="B27" s="400"/>
      <c r="C27" s="400"/>
      <c r="D27" s="400"/>
      <c r="E27" s="401"/>
      <c r="F27" s="402" t="s">
        <v>150</v>
      </c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4"/>
    </row>
    <row r="28" spans="1:39">
      <c r="A28" s="390" t="s">
        <v>22</v>
      </c>
      <c r="B28" s="391"/>
      <c r="C28" s="391"/>
      <c r="D28" s="391"/>
      <c r="E28" s="405"/>
      <c r="F28" s="406" t="s">
        <v>151</v>
      </c>
      <c r="G28" s="407"/>
      <c r="H28" s="407"/>
      <c r="I28" s="407"/>
      <c r="J28" s="407"/>
      <c r="K28" s="407"/>
      <c r="L28" s="387" t="s">
        <v>137</v>
      </c>
      <c r="M28" s="387"/>
      <c r="N28" s="388" t="s">
        <v>152</v>
      </c>
      <c r="O28" s="388"/>
      <c r="P28" s="388"/>
      <c r="Q28" s="388"/>
      <c r="R28" s="388"/>
      <c r="S28" s="408"/>
      <c r="T28" s="409" t="s">
        <v>23</v>
      </c>
      <c r="U28" s="391"/>
      <c r="V28" s="391"/>
      <c r="W28" s="391"/>
      <c r="X28" s="405"/>
      <c r="Y28" s="406" t="s">
        <v>151</v>
      </c>
      <c r="Z28" s="407"/>
      <c r="AA28" s="407"/>
      <c r="AB28" s="407"/>
      <c r="AC28" s="407"/>
      <c r="AD28" s="407"/>
      <c r="AE28" s="387" t="s">
        <v>137</v>
      </c>
      <c r="AF28" s="387"/>
      <c r="AG28" s="388" t="s">
        <v>152</v>
      </c>
      <c r="AH28" s="388"/>
      <c r="AI28" s="388"/>
      <c r="AJ28" s="388"/>
      <c r="AK28" s="388"/>
      <c r="AL28" s="388"/>
      <c r="AM28" s="389"/>
    </row>
    <row r="29" spans="1:39">
      <c r="A29" s="390" t="s">
        <v>24</v>
      </c>
      <c r="B29" s="391"/>
      <c r="C29" s="391"/>
      <c r="D29" s="391"/>
      <c r="E29" s="391"/>
      <c r="F29" s="391"/>
      <c r="G29" s="391"/>
      <c r="H29" s="391"/>
      <c r="I29" s="391"/>
      <c r="J29" s="391"/>
      <c r="K29" s="391"/>
      <c r="L29" s="391"/>
      <c r="M29" s="391"/>
      <c r="N29" s="391"/>
      <c r="O29" s="391"/>
      <c r="P29" s="391"/>
      <c r="Q29" s="391"/>
      <c r="R29" s="391"/>
      <c r="S29" s="391"/>
      <c r="T29" s="391"/>
      <c r="U29" s="391"/>
      <c r="V29" s="391"/>
      <c r="W29" s="391"/>
      <c r="X29" s="391"/>
      <c r="Y29" s="391"/>
      <c r="Z29" s="391"/>
      <c r="AA29" s="391"/>
      <c r="AB29" s="391"/>
      <c r="AC29" s="391"/>
      <c r="AD29" s="391"/>
      <c r="AE29" s="391"/>
      <c r="AF29" s="391"/>
      <c r="AG29" s="391"/>
      <c r="AH29" s="391"/>
      <c r="AI29" s="391"/>
      <c r="AJ29" s="391"/>
      <c r="AK29" s="391"/>
      <c r="AL29" s="391"/>
      <c r="AM29" s="392"/>
    </row>
    <row r="30" spans="1:39" ht="18" customHeight="1">
      <c r="A30" s="410"/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411"/>
      <c r="O30" s="411"/>
      <c r="P30" s="411"/>
      <c r="Q30" s="411"/>
      <c r="R30" s="411"/>
      <c r="S30" s="411"/>
      <c r="T30" s="411"/>
      <c r="U30" s="411"/>
      <c r="V30" s="411"/>
      <c r="W30" s="411"/>
      <c r="X30" s="411"/>
      <c r="Y30" s="411"/>
      <c r="Z30" s="411"/>
      <c r="AA30" s="411"/>
      <c r="AB30" s="411"/>
      <c r="AC30" s="411"/>
      <c r="AD30" s="411"/>
      <c r="AE30" s="411"/>
      <c r="AF30" s="411"/>
      <c r="AG30" s="411"/>
      <c r="AH30" s="411"/>
      <c r="AI30" s="411"/>
      <c r="AJ30" s="411"/>
      <c r="AK30" s="411"/>
      <c r="AL30" s="411"/>
      <c r="AM30" s="412"/>
    </row>
    <row r="31" spans="1:39" ht="18" customHeight="1" thickBot="1">
      <c r="A31" s="413"/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14"/>
      <c r="O31" s="414"/>
      <c r="P31" s="414"/>
      <c r="Q31" s="414"/>
      <c r="R31" s="414"/>
      <c r="S31" s="414"/>
      <c r="T31" s="414"/>
      <c r="U31" s="414"/>
      <c r="V31" s="414"/>
      <c r="W31" s="414"/>
      <c r="X31" s="414"/>
      <c r="Y31" s="414"/>
      <c r="Z31" s="414"/>
      <c r="AA31" s="414"/>
      <c r="AB31" s="414"/>
      <c r="AC31" s="414"/>
      <c r="AD31" s="414"/>
      <c r="AE31" s="414"/>
      <c r="AF31" s="414"/>
      <c r="AG31" s="414"/>
      <c r="AH31" s="414"/>
      <c r="AI31" s="414"/>
      <c r="AJ31" s="414"/>
      <c r="AK31" s="414"/>
      <c r="AL31" s="414"/>
      <c r="AM31" s="415"/>
    </row>
    <row r="32" spans="1:39">
      <c r="A32" s="393" t="s">
        <v>131</v>
      </c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  <c r="M32" s="393"/>
      <c r="N32" s="393"/>
      <c r="O32" s="393"/>
      <c r="P32" s="393"/>
      <c r="Q32" s="393"/>
      <c r="R32" s="393"/>
      <c r="S32" s="393"/>
      <c r="T32" s="393"/>
      <c r="U32" s="393"/>
      <c r="V32" s="393"/>
      <c r="W32" s="393"/>
      <c r="X32" s="393"/>
      <c r="Y32" s="393"/>
      <c r="Z32" s="393"/>
      <c r="AA32" s="393"/>
      <c r="AB32" s="393"/>
      <c r="AC32" s="393"/>
      <c r="AD32" s="393"/>
      <c r="AE32" s="393"/>
      <c r="AF32" s="393"/>
      <c r="AG32" s="393"/>
      <c r="AH32" s="393"/>
      <c r="AI32" s="393"/>
      <c r="AJ32" s="393"/>
      <c r="AK32" s="393"/>
      <c r="AL32" s="393"/>
      <c r="AM32" s="393"/>
    </row>
  </sheetData>
  <mergeCells count="49">
    <mergeCell ref="AC1:AF1"/>
    <mergeCell ref="AG1:AL1"/>
    <mergeCell ref="M2:AB2"/>
    <mergeCell ref="C3:F3"/>
    <mergeCell ref="G3:K3"/>
    <mergeCell ref="O3:Z3"/>
    <mergeCell ref="G6:P6"/>
    <mergeCell ref="Q6:Z6"/>
    <mergeCell ref="AA6:AK6"/>
    <mergeCell ref="G7:I7"/>
    <mergeCell ref="J7:P7"/>
    <mergeCell ref="Q7:S7"/>
    <mergeCell ref="T7:Z7"/>
    <mergeCell ref="AA7:AC7"/>
    <mergeCell ref="AD7:AH7"/>
    <mergeCell ref="AI7:AK7"/>
    <mergeCell ref="E10:H10"/>
    <mergeCell ref="I10:AC10"/>
    <mergeCell ref="E12:H12"/>
    <mergeCell ref="I12:AC12"/>
    <mergeCell ref="E14:H14"/>
    <mergeCell ref="I14:P14"/>
    <mergeCell ref="AG18:AI18"/>
    <mergeCell ref="E16:H16"/>
    <mergeCell ref="I16:P16"/>
    <mergeCell ref="Q16:S16"/>
    <mergeCell ref="U16:X16"/>
    <mergeCell ref="Y16:AF16"/>
    <mergeCell ref="AG16:AI16"/>
    <mergeCell ref="E18:H18"/>
    <mergeCell ref="I18:P18"/>
    <mergeCell ref="Q18:S18"/>
    <mergeCell ref="U18:X18"/>
    <mergeCell ref="Y18:AF18"/>
    <mergeCell ref="AE28:AF28"/>
    <mergeCell ref="AG28:AM28"/>
    <mergeCell ref="A29:AM29"/>
    <mergeCell ref="A32:AM32"/>
    <mergeCell ref="A26:S26"/>
    <mergeCell ref="T26:AM26"/>
    <mergeCell ref="A27:E27"/>
    <mergeCell ref="F27:AM27"/>
    <mergeCell ref="A28:E28"/>
    <mergeCell ref="F28:K28"/>
    <mergeCell ref="L28:M28"/>
    <mergeCell ref="N28:S28"/>
    <mergeCell ref="T28:X28"/>
    <mergeCell ref="Y28:AD28"/>
    <mergeCell ref="A30:AM31"/>
  </mergeCells>
  <phoneticPr fontId="4"/>
  <pageMargins left="0.70866141732283472" right="0.43307086614173229" top="0.62992125984251968" bottom="0.47244094488188981" header="0.31496062992125984" footer="0.31496062992125984"/>
  <pageSetup paperSize="9" fitToHeight="0" orientation="landscape" useFirstPageNumber="1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>
    <pageSetUpPr fitToPage="1"/>
  </sheetPr>
  <dimension ref="A1:T46"/>
  <sheetViews>
    <sheetView zoomScaleNormal="100" workbookViewId="0"/>
  </sheetViews>
  <sheetFormatPr defaultColWidth="7.125" defaultRowHeight="24.75" customHeight="1"/>
  <cols>
    <col min="1" max="1" width="1.25" style="36" customWidth="1"/>
    <col min="2" max="2" width="18.125" style="36" customWidth="1"/>
    <col min="3" max="3" width="11.625" style="36" customWidth="1"/>
    <col min="4" max="4" width="6.375" style="68" customWidth="1"/>
    <col min="5" max="18" width="7.125" style="36" customWidth="1"/>
    <col min="19" max="19" width="5.75" style="36" customWidth="1"/>
    <col min="20" max="16384" width="7.125" style="36"/>
  </cols>
  <sheetData>
    <row r="1" spans="1:20" ht="33" customHeight="1" thickBot="1">
      <c r="A1" s="33"/>
      <c r="B1" s="34" t="s">
        <v>25</v>
      </c>
      <c r="C1" s="33"/>
      <c r="D1" s="35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24.75" customHeight="1">
      <c r="A2" s="33"/>
      <c r="B2" s="37" t="s">
        <v>26</v>
      </c>
      <c r="C2" s="266" t="s">
        <v>147</v>
      </c>
      <c r="D2" s="267"/>
      <c r="E2" s="268"/>
      <c r="F2" s="269"/>
      <c r="G2" s="269"/>
      <c r="H2" s="269"/>
      <c r="I2" s="270"/>
      <c r="J2" s="271"/>
      <c r="K2" s="454" t="s">
        <v>27</v>
      </c>
      <c r="L2" s="455"/>
      <c r="M2" s="456"/>
      <c r="N2" s="475" t="s">
        <v>144</v>
      </c>
      <c r="O2" s="476"/>
      <c r="P2" s="476"/>
      <c r="Q2" s="476"/>
      <c r="R2" s="477"/>
      <c r="S2" s="38" t="s">
        <v>28</v>
      </c>
      <c r="T2" s="359"/>
    </row>
    <row r="3" spans="1:20" ht="24.75" customHeight="1">
      <c r="A3" s="33"/>
      <c r="B3" s="39" t="s">
        <v>29</v>
      </c>
      <c r="C3" s="457">
        <v>45323</v>
      </c>
      <c r="D3" s="458"/>
      <c r="E3" s="272" t="s">
        <v>138</v>
      </c>
      <c r="F3" s="459">
        <v>45504</v>
      </c>
      <c r="G3" s="459"/>
      <c r="H3" s="459"/>
      <c r="I3" s="273"/>
      <c r="J3" s="273"/>
      <c r="K3" s="460" t="s">
        <v>30</v>
      </c>
      <c r="L3" s="461"/>
      <c r="M3" s="462"/>
      <c r="N3" s="449">
        <v>11200000</v>
      </c>
      <c r="O3" s="450"/>
      <c r="P3" s="451"/>
      <c r="Q3" s="274"/>
      <c r="R3" s="275"/>
      <c r="S3" s="40" t="s">
        <v>31</v>
      </c>
      <c r="T3" s="359"/>
    </row>
    <row r="4" spans="1:20" ht="24.75" customHeight="1" thickBot="1">
      <c r="A4" s="33"/>
      <c r="B4" s="41" t="s">
        <v>32</v>
      </c>
      <c r="C4" s="42" t="s">
        <v>33</v>
      </c>
      <c r="D4" s="43" t="s">
        <v>34</v>
      </c>
      <c r="E4" s="44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6">
        <v>1</v>
      </c>
      <c r="T4" s="359"/>
    </row>
    <row r="5" spans="1:20" ht="24.75" customHeight="1" thickTop="1">
      <c r="A5" s="33"/>
      <c r="B5" s="47" t="s">
        <v>153</v>
      </c>
      <c r="C5" s="276">
        <v>40000</v>
      </c>
      <c r="D5" s="335">
        <f>IF(C5&lt;&gt;"",C5/$C$20,"")</f>
        <v>4.0849673202614381E-3</v>
      </c>
      <c r="E5" s="48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50"/>
      <c r="T5" s="360"/>
    </row>
    <row r="6" spans="1:20" ht="24.75" customHeight="1">
      <c r="A6" s="33"/>
      <c r="B6" s="51" t="s">
        <v>154</v>
      </c>
      <c r="C6" s="277">
        <v>1308931</v>
      </c>
      <c r="D6" s="336">
        <f t="shared" ref="D6:D17" si="0">IF(C6&lt;&gt;"",C6/$C$20,"")</f>
        <v>0.13367350898692809</v>
      </c>
      <c r="E6" s="52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0"/>
      <c r="T6" s="360"/>
    </row>
    <row r="7" spans="1:20" ht="24.75" customHeight="1">
      <c r="A7" s="33"/>
      <c r="B7" s="51" t="s">
        <v>155</v>
      </c>
      <c r="C7" s="277">
        <v>319991</v>
      </c>
      <c r="D7" s="336">
        <f t="shared" si="0"/>
        <v>3.2678819444444444E-2</v>
      </c>
      <c r="E7" s="52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0"/>
      <c r="T7" s="360"/>
    </row>
    <row r="8" spans="1:20" ht="24.75" customHeight="1">
      <c r="A8" s="33"/>
      <c r="B8" s="51" t="s">
        <v>156</v>
      </c>
      <c r="C8" s="277">
        <v>2319939</v>
      </c>
      <c r="D8" s="336">
        <f t="shared" si="0"/>
        <v>0.236921875</v>
      </c>
      <c r="E8" s="52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4">
        <v>0.75</v>
      </c>
      <c r="T8" s="360"/>
    </row>
    <row r="9" spans="1:20" ht="24.75" customHeight="1">
      <c r="A9" s="33"/>
      <c r="B9" s="51" t="s">
        <v>157</v>
      </c>
      <c r="C9" s="277">
        <v>1399960</v>
      </c>
      <c r="D9" s="336">
        <f t="shared" si="0"/>
        <v>0.14296977124183008</v>
      </c>
      <c r="E9" s="52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5"/>
      <c r="T9" s="361"/>
    </row>
    <row r="10" spans="1:20" ht="24.75" customHeight="1">
      <c r="A10" s="33"/>
      <c r="B10" s="51" t="s">
        <v>158</v>
      </c>
      <c r="C10" s="277">
        <v>1519620</v>
      </c>
      <c r="D10" s="336">
        <f t="shared" si="0"/>
        <v>0.15518995098039215</v>
      </c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5"/>
      <c r="T10" s="361"/>
    </row>
    <row r="11" spans="1:20" ht="24.75" customHeight="1">
      <c r="A11" s="33"/>
      <c r="B11" s="51" t="s">
        <v>159</v>
      </c>
      <c r="C11" s="277">
        <v>270000</v>
      </c>
      <c r="D11" s="336">
        <f t="shared" si="0"/>
        <v>2.7573529411764705E-2</v>
      </c>
      <c r="E11" s="52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5"/>
      <c r="T11" s="361"/>
    </row>
    <row r="12" spans="1:20" ht="24.75" customHeight="1">
      <c r="A12" s="33"/>
      <c r="B12" s="51" t="s">
        <v>160</v>
      </c>
      <c r="C12" s="277">
        <v>1559</v>
      </c>
      <c r="D12" s="336">
        <f t="shared" si="0"/>
        <v>1.5921160130718954E-4</v>
      </c>
      <c r="E12" s="52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4">
        <v>0.5</v>
      </c>
      <c r="T12" s="360"/>
    </row>
    <row r="13" spans="1:20" ht="24.75" customHeight="1">
      <c r="A13" s="33"/>
      <c r="B13" s="51" t="s">
        <v>161</v>
      </c>
      <c r="C13" s="277">
        <v>219960</v>
      </c>
      <c r="D13" s="336">
        <f t="shared" si="0"/>
        <v>2.2463235294117648E-2</v>
      </c>
      <c r="E13" s="52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0"/>
      <c r="T13" s="360"/>
    </row>
    <row r="14" spans="1:20" ht="24.75" customHeight="1">
      <c r="A14" s="33"/>
      <c r="B14" s="51" t="s">
        <v>162</v>
      </c>
      <c r="C14" s="277">
        <v>40</v>
      </c>
      <c r="D14" s="336">
        <f t="shared" si="0"/>
        <v>4.0849673202614383E-6</v>
      </c>
      <c r="E14" s="52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6"/>
    </row>
    <row r="15" spans="1:20" ht="24.75" customHeight="1">
      <c r="A15" s="33"/>
      <c r="B15" s="51" t="s">
        <v>163</v>
      </c>
      <c r="C15" s="277">
        <v>380000</v>
      </c>
      <c r="D15" s="336">
        <f t="shared" si="0"/>
        <v>3.8807189542483661E-2</v>
      </c>
      <c r="E15" s="52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0"/>
    </row>
    <row r="16" spans="1:20" ht="24.75" customHeight="1">
      <c r="A16" s="33"/>
      <c r="B16" s="51" t="s">
        <v>164</v>
      </c>
      <c r="C16" s="277">
        <v>650000</v>
      </c>
      <c r="D16" s="336">
        <f t="shared" si="0"/>
        <v>6.6380718954248366E-2</v>
      </c>
      <c r="E16" s="52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4">
        <v>0.25</v>
      </c>
    </row>
    <row r="17" spans="1:19" ht="24.75" customHeight="1">
      <c r="A17" s="33"/>
      <c r="B17" s="51" t="s">
        <v>165</v>
      </c>
      <c r="C17" s="278">
        <v>330000</v>
      </c>
      <c r="D17" s="336">
        <f t="shared" si="0"/>
        <v>3.3700980392156861E-2</v>
      </c>
      <c r="E17" s="52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0"/>
    </row>
    <row r="18" spans="1:19" ht="24.75" customHeight="1">
      <c r="A18" s="33"/>
      <c r="B18" s="51" t="s">
        <v>166</v>
      </c>
      <c r="C18" s="278">
        <v>200000</v>
      </c>
      <c r="D18" s="336">
        <f>IF(C18&lt;&gt;"",C18/$C$20,"")</f>
        <v>2.042483660130719E-2</v>
      </c>
      <c r="E18" s="52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0"/>
    </row>
    <row r="19" spans="1:19" ht="24.75" customHeight="1">
      <c r="A19" s="33"/>
      <c r="B19" s="51" t="s">
        <v>167</v>
      </c>
      <c r="C19" s="278">
        <v>832000</v>
      </c>
      <c r="D19" s="336">
        <f>IF(C19&lt;&gt;"",C19/$C$20,"")</f>
        <v>8.4967320261437912E-2</v>
      </c>
      <c r="E19" s="52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6"/>
    </row>
    <row r="20" spans="1:19" ht="24.75" customHeight="1">
      <c r="A20" s="33"/>
      <c r="B20" s="57" t="s">
        <v>35</v>
      </c>
      <c r="C20" s="279">
        <f>SUM(C5:C19)</f>
        <v>9792000</v>
      </c>
      <c r="D20" s="337">
        <f>SUM(D5:D19)</f>
        <v>1</v>
      </c>
      <c r="E20" s="58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60">
        <v>0</v>
      </c>
    </row>
    <row r="21" spans="1:19" ht="24.75" customHeight="1">
      <c r="A21" s="33"/>
      <c r="B21" s="452" t="s">
        <v>36</v>
      </c>
      <c r="C21" s="61"/>
      <c r="D21" s="62" t="s">
        <v>37</v>
      </c>
      <c r="E21" s="372">
        <f>E26</f>
        <v>0</v>
      </c>
      <c r="F21" s="373">
        <f t="shared" ref="F21:R21" si="1">F26</f>
        <v>0</v>
      </c>
      <c r="G21" s="373">
        <f t="shared" si="1"/>
        <v>0</v>
      </c>
      <c r="H21" s="373">
        <f t="shared" si="1"/>
        <v>0</v>
      </c>
      <c r="I21" s="373">
        <f t="shared" si="1"/>
        <v>0</v>
      </c>
      <c r="J21" s="373">
        <f t="shared" si="1"/>
        <v>0</v>
      </c>
      <c r="K21" s="373">
        <f t="shared" si="1"/>
        <v>0</v>
      </c>
      <c r="L21" s="373">
        <f t="shared" si="1"/>
        <v>0</v>
      </c>
      <c r="M21" s="373">
        <f t="shared" si="1"/>
        <v>0</v>
      </c>
      <c r="N21" s="373">
        <f t="shared" si="1"/>
        <v>0</v>
      </c>
      <c r="O21" s="373">
        <f t="shared" si="1"/>
        <v>0</v>
      </c>
      <c r="P21" s="373">
        <f t="shared" si="1"/>
        <v>0</v>
      </c>
      <c r="Q21" s="373">
        <f t="shared" si="1"/>
        <v>0</v>
      </c>
      <c r="R21" s="373">
        <f t="shared" si="1"/>
        <v>0</v>
      </c>
      <c r="S21" s="63"/>
    </row>
    <row r="22" spans="1:19" ht="24.75" customHeight="1" thickBot="1">
      <c r="A22" s="33"/>
      <c r="B22" s="453"/>
      <c r="C22" s="64" t="s">
        <v>38</v>
      </c>
      <c r="D22" s="65" t="s">
        <v>39</v>
      </c>
      <c r="E22" s="280">
        <f>ROUND($C$20*E21/1000,0)</f>
        <v>0</v>
      </c>
      <c r="F22" s="281">
        <f t="shared" ref="F22:R22" si="2">ROUND($C$20*F21/1000,0)</f>
        <v>0</v>
      </c>
      <c r="G22" s="281">
        <f t="shared" si="2"/>
        <v>0</v>
      </c>
      <c r="H22" s="281">
        <f t="shared" si="2"/>
        <v>0</v>
      </c>
      <c r="I22" s="281">
        <f t="shared" si="2"/>
        <v>0</v>
      </c>
      <c r="J22" s="281">
        <f t="shared" si="2"/>
        <v>0</v>
      </c>
      <c r="K22" s="281">
        <f t="shared" si="2"/>
        <v>0</v>
      </c>
      <c r="L22" s="281">
        <f t="shared" si="2"/>
        <v>0</v>
      </c>
      <c r="M22" s="281">
        <f t="shared" si="2"/>
        <v>0</v>
      </c>
      <c r="N22" s="281">
        <f t="shared" si="2"/>
        <v>0</v>
      </c>
      <c r="O22" s="281">
        <f t="shared" si="2"/>
        <v>0</v>
      </c>
      <c r="P22" s="281">
        <f t="shared" si="2"/>
        <v>0</v>
      </c>
      <c r="Q22" s="281">
        <f t="shared" si="2"/>
        <v>0</v>
      </c>
      <c r="R22" s="281">
        <f t="shared" si="2"/>
        <v>0</v>
      </c>
      <c r="S22" s="66"/>
    </row>
    <row r="23" spans="1:19" ht="21.95" customHeight="1">
      <c r="A23" s="33"/>
      <c r="B23" s="33"/>
      <c r="C23" s="33"/>
      <c r="D23" s="35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67"/>
      <c r="Q23" s="67"/>
      <c r="R23" s="67"/>
      <c r="S23" s="67"/>
    </row>
    <row r="24" spans="1:19" ht="12" customHeight="1" thickBot="1">
      <c r="A24" s="33"/>
      <c r="B24" s="33"/>
      <c r="C24" s="33"/>
      <c r="D24" s="35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</row>
    <row r="25" spans="1:19" ht="24.6" customHeight="1">
      <c r="A25" s="33"/>
      <c r="B25" s="33"/>
      <c r="C25" s="463" t="s">
        <v>118</v>
      </c>
      <c r="D25" s="464"/>
      <c r="E25" s="377"/>
      <c r="F25" s="378">
        <f>E26+F26</f>
        <v>0</v>
      </c>
      <c r="G25" s="378">
        <f t="shared" ref="G25:R25" si="3">F25+G26</f>
        <v>0</v>
      </c>
      <c r="H25" s="378">
        <f t="shared" si="3"/>
        <v>0</v>
      </c>
      <c r="I25" s="378">
        <f t="shared" si="3"/>
        <v>0</v>
      </c>
      <c r="J25" s="378">
        <f t="shared" si="3"/>
        <v>0</v>
      </c>
      <c r="K25" s="378">
        <f t="shared" si="3"/>
        <v>0</v>
      </c>
      <c r="L25" s="378">
        <f t="shared" si="3"/>
        <v>0</v>
      </c>
      <c r="M25" s="378">
        <f t="shared" si="3"/>
        <v>0</v>
      </c>
      <c r="N25" s="378">
        <f t="shared" si="3"/>
        <v>0</v>
      </c>
      <c r="O25" s="378">
        <f t="shared" si="3"/>
        <v>0</v>
      </c>
      <c r="P25" s="378">
        <f t="shared" si="3"/>
        <v>0</v>
      </c>
      <c r="Q25" s="378">
        <f t="shared" si="3"/>
        <v>0</v>
      </c>
      <c r="R25" s="379">
        <f t="shared" si="3"/>
        <v>0</v>
      </c>
      <c r="S25" s="175"/>
    </row>
    <row r="26" spans="1:19" ht="24.6" customHeight="1">
      <c r="A26" s="33"/>
      <c r="B26" s="33"/>
      <c r="C26" s="465"/>
      <c r="D26" s="466"/>
      <c r="E26" s="380">
        <f t="shared" ref="E26:R26" si="4">E27/($C$20/1000)</f>
        <v>0</v>
      </c>
      <c r="F26" s="381">
        <f t="shared" si="4"/>
        <v>0</v>
      </c>
      <c r="G26" s="381">
        <f t="shared" si="4"/>
        <v>0</v>
      </c>
      <c r="H26" s="381">
        <f t="shared" si="4"/>
        <v>0</v>
      </c>
      <c r="I26" s="381">
        <f t="shared" si="4"/>
        <v>0</v>
      </c>
      <c r="J26" s="381">
        <f t="shared" si="4"/>
        <v>0</v>
      </c>
      <c r="K26" s="381">
        <f t="shared" si="4"/>
        <v>0</v>
      </c>
      <c r="L26" s="381">
        <f t="shared" si="4"/>
        <v>0</v>
      </c>
      <c r="M26" s="381">
        <f t="shared" si="4"/>
        <v>0</v>
      </c>
      <c r="N26" s="381">
        <f t="shared" si="4"/>
        <v>0</v>
      </c>
      <c r="O26" s="381">
        <f t="shared" si="4"/>
        <v>0</v>
      </c>
      <c r="P26" s="381">
        <f t="shared" si="4"/>
        <v>0</v>
      </c>
      <c r="Q26" s="381">
        <f t="shared" si="4"/>
        <v>0</v>
      </c>
      <c r="R26" s="382">
        <f t="shared" si="4"/>
        <v>0</v>
      </c>
      <c r="S26" s="176"/>
    </row>
    <row r="27" spans="1:19" ht="24.6" customHeight="1">
      <c r="A27" s="33"/>
      <c r="B27" s="33"/>
      <c r="C27" s="467" t="s">
        <v>119</v>
      </c>
      <c r="D27" s="468"/>
      <c r="E27" s="383"/>
      <c r="F27" s="384"/>
      <c r="G27" s="384"/>
      <c r="H27" s="384"/>
      <c r="I27" s="384"/>
      <c r="J27" s="384"/>
      <c r="K27" s="384"/>
      <c r="L27" s="384"/>
      <c r="M27" s="384"/>
      <c r="N27" s="384"/>
      <c r="O27" s="384"/>
      <c r="P27" s="384"/>
      <c r="Q27" s="384"/>
      <c r="R27" s="385"/>
      <c r="S27" s="176"/>
    </row>
    <row r="28" spans="1:19" ht="24.6" customHeight="1" thickBot="1">
      <c r="A28" s="33"/>
      <c r="B28" s="33"/>
      <c r="C28" s="469"/>
      <c r="D28" s="470"/>
      <c r="E28" s="386"/>
      <c r="F28" s="370">
        <f>E27+F27</f>
        <v>0</v>
      </c>
      <c r="G28" s="370">
        <f t="shared" ref="G28:R28" si="5">F28+G27</f>
        <v>0</v>
      </c>
      <c r="H28" s="370">
        <f t="shared" si="5"/>
        <v>0</v>
      </c>
      <c r="I28" s="370">
        <f t="shared" si="5"/>
        <v>0</v>
      </c>
      <c r="J28" s="370">
        <f t="shared" si="5"/>
        <v>0</v>
      </c>
      <c r="K28" s="370">
        <f t="shared" si="5"/>
        <v>0</v>
      </c>
      <c r="L28" s="370">
        <f t="shared" si="5"/>
        <v>0</v>
      </c>
      <c r="M28" s="370">
        <f t="shared" si="5"/>
        <v>0</v>
      </c>
      <c r="N28" s="370">
        <f t="shared" si="5"/>
        <v>0</v>
      </c>
      <c r="O28" s="370">
        <f t="shared" si="5"/>
        <v>0</v>
      </c>
      <c r="P28" s="370">
        <f t="shared" si="5"/>
        <v>0</v>
      </c>
      <c r="Q28" s="370">
        <f t="shared" si="5"/>
        <v>0</v>
      </c>
      <c r="R28" s="371">
        <f t="shared" si="5"/>
        <v>0</v>
      </c>
      <c r="S28" s="176"/>
    </row>
    <row r="29" spans="1:19" ht="21.95" customHeight="1" thickBot="1">
      <c r="A29" s="33"/>
      <c r="B29" s="33"/>
      <c r="C29" s="33"/>
      <c r="D29" s="35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</row>
    <row r="30" spans="1:19" ht="24.6" customHeight="1">
      <c r="A30" s="33"/>
      <c r="B30" s="33"/>
      <c r="C30" s="471"/>
      <c r="D30" s="472"/>
      <c r="E30" s="177" t="s">
        <v>120</v>
      </c>
      <c r="F30" s="178" t="s">
        <v>121</v>
      </c>
      <c r="G30" s="177" t="s">
        <v>122</v>
      </c>
      <c r="H30" s="178" t="s">
        <v>123</v>
      </c>
      <c r="I30" s="177" t="s">
        <v>124</v>
      </c>
      <c r="J30" s="178" t="s">
        <v>125</v>
      </c>
      <c r="K30" s="177" t="s">
        <v>126</v>
      </c>
      <c r="L30" s="178" t="s">
        <v>127</v>
      </c>
      <c r="M30" s="177" t="s">
        <v>128</v>
      </c>
      <c r="N30" s="179" t="s">
        <v>129</v>
      </c>
      <c r="O30" s="33"/>
      <c r="P30" s="33"/>
      <c r="Q30" s="33"/>
      <c r="R30" s="33"/>
      <c r="S30" s="33"/>
    </row>
    <row r="31" spans="1:19" ht="24.6" customHeight="1">
      <c r="A31" s="33"/>
      <c r="B31" s="33"/>
      <c r="C31" s="473"/>
      <c r="D31" s="474"/>
      <c r="E31" s="180"/>
      <c r="F31" s="181"/>
      <c r="G31" s="180"/>
      <c r="H31" s="181"/>
      <c r="I31" s="180"/>
      <c r="J31" s="181"/>
      <c r="K31" s="180"/>
      <c r="L31" s="181"/>
      <c r="M31" s="180"/>
      <c r="N31" s="182"/>
      <c r="O31" s="33"/>
      <c r="P31" s="33"/>
      <c r="Q31" s="33"/>
      <c r="R31" s="33"/>
      <c r="S31" s="33"/>
    </row>
    <row r="32" spans="1:19" ht="24.6" customHeight="1">
      <c r="A32" s="33"/>
      <c r="B32" s="33"/>
      <c r="C32" s="447"/>
      <c r="D32" s="448"/>
      <c r="E32" s="183"/>
      <c r="F32" s="184"/>
      <c r="G32" s="183"/>
      <c r="H32" s="184"/>
      <c r="I32" s="183"/>
      <c r="J32" s="184"/>
      <c r="K32" s="183"/>
      <c r="L32" s="184"/>
      <c r="M32" s="183"/>
      <c r="N32" s="185"/>
      <c r="O32" s="33"/>
      <c r="P32" s="33"/>
      <c r="Q32" s="33"/>
      <c r="R32" s="33"/>
      <c r="S32" s="33"/>
    </row>
    <row r="33" spans="1:19" ht="24.6" customHeight="1">
      <c r="A33" s="33"/>
      <c r="B33" s="33"/>
      <c r="C33" s="447"/>
      <c r="D33" s="448"/>
      <c r="E33" s="183"/>
      <c r="F33" s="184"/>
      <c r="G33" s="183"/>
      <c r="H33" s="184"/>
      <c r="I33" s="183"/>
      <c r="J33" s="184"/>
      <c r="K33" s="183"/>
      <c r="L33" s="184"/>
      <c r="M33" s="183"/>
      <c r="N33" s="185"/>
      <c r="O33" s="33"/>
      <c r="P33" s="33"/>
      <c r="Q33" s="33"/>
      <c r="R33" s="33"/>
      <c r="S33" s="33"/>
    </row>
    <row r="34" spans="1:19" ht="24.6" customHeight="1">
      <c r="A34" s="33"/>
      <c r="B34" s="33"/>
      <c r="C34" s="447"/>
      <c r="D34" s="448"/>
      <c r="E34" s="183"/>
      <c r="F34" s="184"/>
      <c r="G34" s="183"/>
      <c r="H34" s="184"/>
      <c r="I34" s="183"/>
      <c r="J34" s="184"/>
      <c r="K34" s="183"/>
      <c r="L34" s="184"/>
      <c r="M34" s="183"/>
      <c r="N34" s="185"/>
      <c r="O34" s="33"/>
      <c r="P34" s="33"/>
      <c r="Q34" s="33"/>
      <c r="R34" s="33"/>
      <c r="S34" s="33"/>
    </row>
    <row r="35" spans="1:19" ht="24.6" customHeight="1">
      <c r="A35" s="33"/>
      <c r="B35" s="33"/>
      <c r="C35" s="447"/>
      <c r="D35" s="448"/>
      <c r="E35" s="183"/>
      <c r="F35" s="184"/>
      <c r="G35" s="183"/>
      <c r="H35" s="184"/>
      <c r="I35" s="183"/>
      <c r="J35" s="184"/>
      <c r="K35" s="183"/>
      <c r="L35" s="184"/>
      <c r="M35" s="183"/>
      <c r="N35" s="185"/>
      <c r="O35" s="33"/>
      <c r="P35" s="33"/>
      <c r="Q35" s="33"/>
      <c r="R35" s="33"/>
      <c r="S35" s="33"/>
    </row>
    <row r="36" spans="1:19" ht="24.6" customHeight="1">
      <c r="A36" s="33"/>
      <c r="B36" s="33"/>
      <c r="C36" s="447"/>
      <c r="D36" s="448"/>
      <c r="E36" s="183"/>
      <c r="F36" s="184"/>
      <c r="G36" s="183"/>
      <c r="H36" s="184"/>
      <c r="I36" s="183"/>
      <c r="J36" s="184"/>
      <c r="K36" s="183"/>
      <c r="L36" s="184"/>
      <c r="M36" s="183"/>
      <c r="N36" s="185"/>
      <c r="O36" s="33"/>
      <c r="P36" s="33"/>
      <c r="Q36" s="33"/>
      <c r="R36" s="33"/>
      <c r="S36" s="33"/>
    </row>
    <row r="37" spans="1:19" ht="24.6" customHeight="1">
      <c r="A37" s="33"/>
      <c r="B37" s="33"/>
      <c r="C37" s="447"/>
      <c r="D37" s="448"/>
      <c r="E37" s="183"/>
      <c r="F37" s="184"/>
      <c r="G37" s="183"/>
      <c r="H37" s="184"/>
      <c r="I37" s="183"/>
      <c r="J37" s="184"/>
      <c r="K37" s="183"/>
      <c r="L37" s="184"/>
      <c r="M37" s="183"/>
      <c r="N37" s="185"/>
      <c r="O37" s="33"/>
      <c r="P37" s="33"/>
      <c r="Q37" s="33"/>
      <c r="R37" s="33"/>
      <c r="S37" s="33"/>
    </row>
    <row r="38" spans="1:19" ht="24.6" customHeight="1">
      <c r="A38" s="33"/>
      <c r="B38" s="33"/>
      <c r="C38" s="447"/>
      <c r="D38" s="448"/>
      <c r="E38" s="183"/>
      <c r="F38" s="184"/>
      <c r="G38" s="183"/>
      <c r="H38" s="184"/>
      <c r="I38" s="183"/>
      <c r="J38" s="184"/>
      <c r="K38" s="183"/>
      <c r="L38" s="184"/>
      <c r="M38" s="183"/>
      <c r="N38" s="185"/>
      <c r="O38" s="33"/>
      <c r="P38" s="33"/>
      <c r="Q38" s="33"/>
      <c r="R38" s="33"/>
      <c r="S38" s="33"/>
    </row>
    <row r="39" spans="1:19" ht="24.6" customHeight="1">
      <c r="A39" s="33"/>
      <c r="B39" s="33"/>
      <c r="C39" s="447"/>
      <c r="D39" s="448"/>
      <c r="E39" s="183"/>
      <c r="F39" s="184"/>
      <c r="G39" s="183"/>
      <c r="H39" s="184"/>
      <c r="I39" s="183"/>
      <c r="J39" s="184"/>
      <c r="K39" s="183"/>
      <c r="L39" s="184"/>
      <c r="M39" s="183"/>
      <c r="N39" s="185"/>
      <c r="O39" s="33"/>
      <c r="P39" s="33"/>
      <c r="Q39" s="33"/>
      <c r="R39" s="33"/>
      <c r="S39" s="33"/>
    </row>
    <row r="40" spans="1:19" ht="24.6" customHeight="1">
      <c r="A40" s="33"/>
      <c r="B40" s="33"/>
      <c r="C40" s="447"/>
      <c r="D40" s="448"/>
      <c r="E40" s="183"/>
      <c r="F40" s="184"/>
      <c r="G40" s="183"/>
      <c r="H40" s="184"/>
      <c r="I40" s="183"/>
      <c r="J40" s="184"/>
      <c r="K40" s="183"/>
      <c r="L40" s="184"/>
      <c r="M40" s="183"/>
      <c r="N40" s="185"/>
      <c r="O40" s="33"/>
      <c r="P40" s="33"/>
      <c r="Q40" s="33"/>
      <c r="R40" s="33"/>
      <c r="S40" s="33"/>
    </row>
    <row r="41" spans="1:19" ht="24.6" customHeight="1">
      <c r="A41" s="33"/>
      <c r="B41" s="33"/>
      <c r="C41" s="447"/>
      <c r="D41" s="448"/>
      <c r="E41" s="183"/>
      <c r="F41" s="184"/>
      <c r="G41" s="183"/>
      <c r="H41" s="184"/>
      <c r="I41" s="183"/>
      <c r="J41" s="184"/>
      <c r="K41" s="183"/>
      <c r="L41" s="184"/>
      <c r="M41" s="183"/>
      <c r="N41" s="185"/>
      <c r="O41" s="33"/>
      <c r="P41" s="33"/>
      <c r="Q41" s="33"/>
      <c r="R41" s="33"/>
      <c r="S41" s="33"/>
    </row>
    <row r="42" spans="1:19" ht="24.6" customHeight="1">
      <c r="A42" s="33"/>
      <c r="B42" s="33"/>
      <c r="C42" s="447"/>
      <c r="D42" s="448"/>
      <c r="E42" s="183"/>
      <c r="F42" s="184"/>
      <c r="G42" s="183"/>
      <c r="H42" s="184"/>
      <c r="I42" s="183"/>
      <c r="J42" s="184"/>
      <c r="K42" s="183"/>
      <c r="L42" s="184"/>
      <c r="M42" s="183"/>
      <c r="N42" s="185"/>
      <c r="O42" s="33"/>
      <c r="P42" s="33"/>
      <c r="Q42" s="33"/>
      <c r="R42" s="33"/>
      <c r="S42" s="33"/>
    </row>
    <row r="43" spans="1:19" ht="24.6" customHeight="1">
      <c r="A43" s="33"/>
      <c r="B43" s="33"/>
      <c r="C43" s="447"/>
      <c r="D43" s="448"/>
      <c r="E43" s="183"/>
      <c r="F43" s="184"/>
      <c r="G43" s="183"/>
      <c r="H43" s="184"/>
      <c r="I43" s="183"/>
      <c r="J43" s="184"/>
      <c r="K43" s="183"/>
      <c r="L43" s="184"/>
      <c r="M43" s="183"/>
      <c r="N43" s="185"/>
      <c r="O43" s="33"/>
      <c r="P43" s="33"/>
      <c r="Q43" s="33"/>
      <c r="R43" s="33"/>
      <c r="S43" s="33"/>
    </row>
    <row r="44" spans="1:19" ht="24.6" customHeight="1">
      <c r="A44" s="33"/>
      <c r="B44" s="33"/>
      <c r="C44" s="447"/>
      <c r="D44" s="448"/>
      <c r="E44" s="183"/>
      <c r="F44" s="184"/>
      <c r="G44" s="183"/>
      <c r="H44" s="184"/>
      <c r="I44" s="183"/>
      <c r="J44" s="184"/>
      <c r="K44" s="183"/>
      <c r="L44" s="184"/>
      <c r="M44" s="183"/>
      <c r="N44" s="185"/>
      <c r="O44" s="33"/>
      <c r="P44" s="33"/>
      <c r="Q44" s="33"/>
      <c r="R44" s="33"/>
      <c r="S44" s="33"/>
    </row>
    <row r="45" spans="1:19" ht="24.6" customHeight="1" thickBot="1">
      <c r="A45" s="33"/>
      <c r="B45" s="33"/>
      <c r="C45" s="445"/>
      <c r="D45" s="446"/>
      <c r="E45" s="186"/>
      <c r="F45" s="187"/>
      <c r="G45" s="186"/>
      <c r="H45" s="187"/>
      <c r="I45" s="186"/>
      <c r="J45" s="187"/>
      <c r="K45" s="186"/>
      <c r="L45" s="187"/>
      <c r="M45" s="186"/>
      <c r="N45" s="188"/>
      <c r="O45" s="33"/>
      <c r="P45" s="33"/>
      <c r="Q45" s="33"/>
      <c r="R45" s="33"/>
      <c r="S45" s="33"/>
    </row>
    <row r="46" spans="1:19" ht="24.6" customHeight="1">
      <c r="A46" s="33"/>
      <c r="B46" s="33"/>
      <c r="C46" s="33"/>
      <c r="D46" s="35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</row>
  </sheetData>
  <mergeCells count="25">
    <mergeCell ref="N3:P3"/>
    <mergeCell ref="B21:B22"/>
    <mergeCell ref="C33:D33"/>
    <mergeCell ref="K2:M2"/>
    <mergeCell ref="C3:D3"/>
    <mergeCell ref="F3:H3"/>
    <mergeCell ref="K3:M3"/>
    <mergeCell ref="C25:D26"/>
    <mergeCell ref="C27:D28"/>
    <mergeCell ref="C30:D30"/>
    <mergeCell ref="C31:D31"/>
    <mergeCell ref="C32:D32"/>
    <mergeCell ref="N2:R2"/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</mergeCells>
  <phoneticPr fontId="4"/>
  <printOptions gridLinesSet="0"/>
  <pageMargins left="0.70866141732283472" right="0.43307086614173229" top="0.62992125984251968" bottom="0.47244094488188981" header="0.31496062992125984" footer="0.31496062992125984"/>
  <pageSetup paperSize="9" scale="86" fitToHeight="0" orientation="landscape" useFirstPageNumber="1" r:id="rId1"/>
  <drawing r:id="rId2"/>
  <legacyDrawing r:id="rId3"/>
  <controls>
    <mc:AlternateContent xmlns:mc="http://schemas.openxmlformats.org/markup-compatibility/2006">
      <mc:Choice Requires="x14">
        <control shapeId="48129" r:id="rId4" name="btn1">
          <controlPr defaultSize="0" autoLine="0" autoPict="0" r:id="rId5">
            <anchor moveWithCells="1">
              <from>
                <xdr:col>0</xdr:col>
                <xdr:colOff>85725</xdr:colOff>
                <xdr:row>23</xdr:row>
                <xdr:rowOff>123825</xdr:rowOff>
              </from>
              <to>
                <xdr:col>1</xdr:col>
                <xdr:colOff>1152525</xdr:colOff>
                <xdr:row>25</xdr:row>
                <xdr:rowOff>9525</xdr:rowOff>
              </to>
            </anchor>
          </controlPr>
        </control>
      </mc:Choice>
      <mc:Fallback>
        <control shapeId="48129" r:id="rId4" name="btn1"/>
      </mc:Fallback>
    </mc:AlternateContent>
    <mc:AlternateContent xmlns:mc="http://schemas.openxmlformats.org/markup-compatibility/2006">
      <mc:Choice Requires="x14">
        <control shapeId="48130" r:id="rId6" name="btn2">
          <controlPr defaultSize="0" autoLine="0" autoPict="0" r:id="rId7">
            <anchor moveWithCells="1">
              <from>
                <xdr:col>0</xdr:col>
                <xdr:colOff>85725</xdr:colOff>
                <xdr:row>25</xdr:row>
                <xdr:rowOff>47625</xdr:rowOff>
              </from>
              <to>
                <xdr:col>1</xdr:col>
                <xdr:colOff>1152525</xdr:colOff>
                <xdr:row>26</xdr:row>
                <xdr:rowOff>95250</xdr:rowOff>
              </to>
            </anchor>
          </controlPr>
        </control>
      </mc:Choice>
      <mc:Fallback>
        <control shapeId="48130" r:id="rId6" name="btn2"/>
      </mc:Fallback>
    </mc:AlternateContent>
    <mc:AlternateContent xmlns:mc="http://schemas.openxmlformats.org/markup-compatibility/2006">
      <mc:Choice Requires="x14">
        <control shapeId="48131" r:id="rId8" name="btn3">
          <controlPr defaultSize="0" autoLine="0" autoPict="0" r:id="rId9">
            <anchor moveWithCells="1">
              <from>
                <xdr:col>0</xdr:col>
                <xdr:colOff>85725</xdr:colOff>
                <xdr:row>26</xdr:row>
                <xdr:rowOff>142875</xdr:rowOff>
              </from>
              <to>
                <xdr:col>1</xdr:col>
                <xdr:colOff>1152525</xdr:colOff>
                <xdr:row>27</xdr:row>
                <xdr:rowOff>180975</xdr:rowOff>
              </to>
            </anchor>
          </controlPr>
        </control>
      </mc:Choice>
      <mc:Fallback>
        <control shapeId="48131" r:id="rId8" name="bt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W24"/>
  <sheetViews>
    <sheetView zoomScaleNormal="100" workbookViewId="0"/>
  </sheetViews>
  <sheetFormatPr defaultColWidth="8.25" defaultRowHeight="13.5"/>
  <cols>
    <col min="1" max="1" width="1.5" style="73" customWidth="1"/>
    <col min="2" max="2" width="15.25" style="73" customWidth="1"/>
    <col min="3" max="3" width="9.25" style="73" customWidth="1"/>
    <col min="4" max="4" width="5.625" style="73" customWidth="1"/>
    <col min="5" max="5" width="11.375" style="73" customWidth="1"/>
    <col min="6" max="6" width="15.25" style="73" customWidth="1"/>
    <col min="7" max="7" width="9.25" style="73" customWidth="1"/>
    <col min="8" max="8" width="5.625" style="73" customWidth="1"/>
    <col min="9" max="9" width="11.375" style="73" customWidth="1"/>
    <col min="10" max="10" width="15.25" style="73" customWidth="1"/>
    <col min="11" max="11" width="10.75" style="73" customWidth="1"/>
    <col min="12" max="12" width="5.625" style="73" customWidth="1"/>
    <col min="13" max="13" width="11.375" style="73" customWidth="1"/>
    <col min="14" max="14" width="2.125" style="73" customWidth="1"/>
    <col min="15" max="15" width="9.25" style="73" customWidth="1"/>
    <col min="16" max="16" width="13.25" style="73" customWidth="1"/>
    <col min="17" max="17" width="11.625" style="73" customWidth="1"/>
    <col min="18" max="18" width="9.5" style="73" customWidth="1"/>
    <col min="19" max="16384" width="8.25" style="73"/>
  </cols>
  <sheetData>
    <row r="1" spans="1:18" ht="42" customHeight="1">
      <c r="A1" s="69"/>
      <c r="B1" s="70" t="s">
        <v>40</v>
      </c>
      <c r="C1" s="71"/>
      <c r="D1" s="69"/>
      <c r="E1" s="69"/>
      <c r="F1" s="69"/>
      <c r="G1" s="69"/>
      <c r="H1" s="69"/>
      <c r="I1" s="69"/>
      <c r="J1" s="69"/>
      <c r="K1" s="69"/>
      <c r="L1" s="69"/>
      <c r="M1" s="72"/>
      <c r="N1" s="69"/>
      <c r="O1" s="69"/>
    </row>
    <row r="2" spans="1:18" ht="13.5" customHeight="1" thickBot="1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478"/>
      <c r="M2" s="478"/>
      <c r="N2" s="69"/>
      <c r="O2" s="69"/>
    </row>
    <row r="3" spans="1:18" ht="24.95" customHeight="1">
      <c r="A3" s="69"/>
      <c r="B3" s="74" t="s">
        <v>41</v>
      </c>
      <c r="C3" s="75"/>
      <c r="D3" s="75"/>
      <c r="E3" s="75"/>
      <c r="F3" s="75"/>
      <c r="G3" s="75"/>
      <c r="H3" s="75"/>
      <c r="I3" s="76"/>
      <c r="J3" s="77" t="s">
        <v>42</v>
      </c>
      <c r="K3" s="75"/>
      <c r="L3" s="75"/>
      <c r="M3" s="78"/>
      <c r="N3" s="69"/>
      <c r="O3" s="69"/>
    </row>
    <row r="4" spans="1:18" ht="24.75" customHeight="1">
      <c r="A4" s="69"/>
      <c r="B4" s="479"/>
      <c r="C4" s="480"/>
      <c r="D4" s="480"/>
      <c r="E4" s="480"/>
      <c r="F4" s="480"/>
      <c r="G4" s="480"/>
      <c r="H4" s="480"/>
      <c r="I4" s="481"/>
      <c r="J4" s="79" t="s">
        <v>43</v>
      </c>
      <c r="K4" s="80" t="s">
        <v>44</v>
      </c>
      <c r="L4" s="80" t="s">
        <v>45</v>
      </c>
      <c r="M4" s="81" t="s">
        <v>46</v>
      </c>
      <c r="N4" s="69"/>
      <c r="O4" s="69"/>
    </row>
    <row r="5" spans="1:18" ht="27" customHeight="1">
      <c r="A5" s="69"/>
      <c r="B5" s="482"/>
      <c r="C5" s="483"/>
      <c r="D5" s="483"/>
      <c r="E5" s="483"/>
      <c r="F5" s="483"/>
      <c r="G5" s="483"/>
      <c r="H5" s="483"/>
      <c r="I5" s="484"/>
      <c r="J5" s="82" t="s">
        <v>153</v>
      </c>
      <c r="K5" s="282" t="s">
        <v>168</v>
      </c>
      <c r="L5" s="283" t="s">
        <v>169</v>
      </c>
      <c r="M5" s="284">
        <v>1</v>
      </c>
      <c r="N5" s="69"/>
      <c r="O5" s="285"/>
      <c r="P5" s="286"/>
      <c r="Q5" s="287"/>
      <c r="R5" s="288"/>
    </row>
    <row r="6" spans="1:18" ht="24.95" customHeight="1">
      <c r="A6" s="69"/>
      <c r="B6" s="482"/>
      <c r="C6" s="483"/>
      <c r="D6" s="483"/>
      <c r="E6" s="483"/>
      <c r="F6" s="483"/>
      <c r="G6" s="483"/>
      <c r="H6" s="483"/>
      <c r="I6" s="484"/>
      <c r="J6" s="85" t="s">
        <v>154</v>
      </c>
      <c r="K6" s="289"/>
      <c r="L6" s="290" t="s">
        <v>170</v>
      </c>
      <c r="M6" s="291">
        <v>1391</v>
      </c>
      <c r="N6" s="69"/>
      <c r="O6" s="285"/>
      <c r="P6" s="286"/>
      <c r="Q6" s="287"/>
      <c r="R6" s="288"/>
    </row>
    <row r="7" spans="1:18" ht="24.95" customHeight="1">
      <c r="A7" s="69"/>
      <c r="B7" s="482"/>
      <c r="C7" s="483"/>
      <c r="D7" s="483"/>
      <c r="E7" s="483"/>
      <c r="F7" s="483"/>
      <c r="G7" s="483"/>
      <c r="H7" s="483"/>
      <c r="I7" s="484"/>
      <c r="J7" s="85" t="s">
        <v>155</v>
      </c>
      <c r="K7" s="289"/>
      <c r="L7" s="290" t="s">
        <v>170</v>
      </c>
      <c r="M7" s="291">
        <v>119</v>
      </c>
      <c r="N7" s="69"/>
      <c r="O7" s="285"/>
      <c r="P7" s="286"/>
      <c r="Q7" s="287"/>
      <c r="R7" s="288"/>
    </row>
    <row r="8" spans="1:18" ht="24.95" customHeight="1">
      <c r="A8" s="69"/>
      <c r="B8" s="482"/>
      <c r="C8" s="483"/>
      <c r="D8" s="483"/>
      <c r="E8" s="483"/>
      <c r="F8" s="483"/>
      <c r="G8" s="483"/>
      <c r="H8" s="483"/>
      <c r="I8" s="484"/>
      <c r="J8" s="85" t="s">
        <v>156</v>
      </c>
      <c r="K8" s="289" t="s">
        <v>171</v>
      </c>
      <c r="L8" s="290" t="s">
        <v>170</v>
      </c>
      <c r="M8" s="291">
        <v>771</v>
      </c>
      <c r="N8" s="69"/>
      <c r="O8" s="285"/>
      <c r="P8" s="286"/>
      <c r="Q8" s="287"/>
      <c r="R8" s="288"/>
    </row>
    <row r="9" spans="1:18" ht="24.95" customHeight="1">
      <c r="A9" s="69"/>
      <c r="B9" s="482"/>
      <c r="C9" s="483"/>
      <c r="D9" s="483"/>
      <c r="E9" s="483"/>
      <c r="F9" s="483"/>
      <c r="G9" s="483"/>
      <c r="H9" s="483"/>
      <c r="I9" s="484"/>
      <c r="J9" s="85" t="s">
        <v>157</v>
      </c>
      <c r="K9" s="289" t="s">
        <v>172</v>
      </c>
      <c r="L9" s="290" t="s">
        <v>170</v>
      </c>
      <c r="M9" s="291">
        <v>620</v>
      </c>
      <c r="N9" s="69"/>
      <c r="O9" s="285"/>
      <c r="P9" s="286"/>
      <c r="Q9" s="287"/>
      <c r="R9" s="288"/>
    </row>
    <row r="10" spans="1:18" ht="24.95" customHeight="1">
      <c r="A10" s="69"/>
      <c r="B10" s="482"/>
      <c r="C10" s="483"/>
      <c r="D10" s="483"/>
      <c r="E10" s="483"/>
      <c r="F10" s="483"/>
      <c r="G10" s="483"/>
      <c r="H10" s="483"/>
      <c r="I10" s="484"/>
      <c r="J10" s="85" t="s">
        <v>158</v>
      </c>
      <c r="K10" s="289" t="s">
        <v>173</v>
      </c>
      <c r="L10" s="290" t="s">
        <v>170</v>
      </c>
      <c r="M10" s="291">
        <v>620</v>
      </c>
      <c r="N10" s="69"/>
      <c r="O10" s="285"/>
      <c r="P10" s="286"/>
      <c r="Q10" s="287"/>
      <c r="R10" s="288"/>
    </row>
    <row r="11" spans="1:18" ht="24.95" customHeight="1">
      <c r="A11" s="69"/>
      <c r="B11" s="482"/>
      <c r="C11" s="483"/>
      <c r="D11" s="483"/>
      <c r="E11" s="483"/>
      <c r="F11" s="483"/>
      <c r="G11" s="483"/>
      <c r="H11" s="483"/>
      <c r="I11" s="484"/>
      <c r="J11" s="88" t="s">
        <v>159</v>
      </c>
      <c r="K11" s="289"/>
      <c r="L11" s="290" t="s">
        <v>169</v>
      </c>
      <c r="M11" s="291">
        <v>1</v>
      </c>
      <c r="N11" s="69"/>
      <c r="O11" s="285"/>
      <c r="P11" s="286"/>
      <c r="Q11" s="287"/>
      <c r="R11" s="288"/>
    </row>
    <row r="12" spans="1:18" ht="24.95" customHeight="1">
      <c r="A12" s="69"/>
      <c r="B12" s="482"/>
      <c r="C12" s="483"/>
      <c r="D12" s="483"/>
      <c r="E12" s="483"/>
      <c r="F12" s="483"/>
      <c r="G12" s="483"/>
      <c r="H12" s="483"/>
      <c r="I12" s="484"/>
      <c r="J12" s="88" t="s">
        <v>160</v>
      </c>
      <c r="K12" s="289"/>
      <c r="L12" s="290" t="s">
        <v>169</v>
      </c>
      <c r="M12" s="291">
        <v>1</v>
      </c>
      <c r="N12" s="69"/>
      <c r="O12" s="285"/>
      <c r="P12" s="286"/>
      <c r="Q12" s="287"/>
      <c r="R12" s="288"/>
    </row>
    <row r="13" spans="1:18" ht="24.95" customHeight="1">
      <c r="A13" s="69"/>
      <c r="B13" s="482"/>
      <c r="C13" s="483"/>
      <c r="D13" s="483"/>
      <c r="E13" s="483"/>
      <c r="F13" s="483"/>
      <c r="G13" s="483"/>
      <c r="H13" s="483"/>
      <c r="I13" s="484"/>
      <c r="J13" s="88" t="s">
        <v>161</v>
      </c>
      <c r="K13" s="289" t="s">
        <v>174</v>
      </c>
      <c r="L13" s="290" t="s">
        <v>170</v>
      </c>
      <c r="M13" s="291">
        <v>60</v>
      </c>
      <c r="N13" s="69"/>
      <c r="O13" s="285"/>
      <c r="P13" s="286"/>
      <c r="Q13" s="287"/>
      <c r="R13" s="288"/>
    </row>
    <row r="14" spans="1:18" ht="24.95" customHeight="1" thickBot="1">
      <c r="A14" s="69"/>
      <c r="B14" s="485"/>
      <c r="C14" s="486"/>
      <c r="D14" s="486"/>
      <c r="E14" s="486"/>
      <c r="F14" s="486"/>
      <c r="G14" s="486"/>
      <c r="H14" s="486"/>
      <c r="I14" s="487"/>
      <c r="J14" s="88" t="s">
        <v>162</v>
      </c>
      <c r="K14" s="289"/>
      <c r="L14" s="290" t="s">
        <v>169</v>
      </c>
      <c r="M14" s="291">
        <v>1</v>
      </c>
      <c r="N14" s="69"/>
      <c r="O14" s="69"/>
    </row>
    <row r="15" spans="1:18" ht="24.95" customHeight="1" thickTop="1">
      <c r="A15" s="69"/>
      <c r="B15" s="89" t="s">
        <v>47</v>
      </c>
      <c r="C15" s="90"/>
      <c r="D15" s="90"/>
      <c r="E15" s="90"/>
      <c r="F15" s="90"/>
      <c r="G15" s="90"/>
      <c r="H15" s="90"/>
      <c r="I15" s="91"/>
      <c r="J15" s="88" t="s">
        <v>163</v>
      </c>
      <c r="K15" s="289"/>
      <c r="L15" s="290" t="s">
        <v>169</v>
      </c>
      <c r="M15" s="291">
        <v>1</v>
      </c>
      <c r="N15" s="69"/>
      <c r="O15" s="69"/>
    </row>
    <row r="16" spans="1:18" ht="24.95" customHeight="1">
      <c r="A16" s="69"/>
      <c r="B16" s="92" t="s">
        <v>48</v>
      </c>
      <c r="C16" s="80" t="s">
        <v>49</v>
      </c>
      <c r="D16" s="80" t="s">
        <v>45</v>
      </c>
      <c r="E16" s="93" t="s">
        <v>46</v>
      </c>
      <c r="F16" s="79" t="s">
        <v>48</v>
      </c>
      <c r="G16" s="80" t="s">
        <v>49</v>
      </c>
      <c r="H16" s="80" t="s">
        <v>45</v>
      </c>
      <c r="I16" s="93" t="s">
        <v>46</v>
      </c>
      <c r="J16" s="88" t="s">
        <v>164</v>
      </c>
      <c r="K16" s="289"/>
      <c r="L16" s="290" t="s">
        <v>169</v>
      </c>
      <c r="M16" s="291">
        <v>1</v>
      </c>
      <c r="N16" s="69"/>
      <c r="O16" s="69"/>
    </row>
    <row r="17" spans="1:23" ht="24.95" customHeight="1">
      <c r="A17" s="69"/>
      <c r="B17" s="94"/>
      <c r="C17" s="83"/>
      <c r="D17" s="84"/>
      <c r="E17" s="292"/>
      <c r="F17" s="95"/>
      <c r="G17" s="83"/>
      <c r="H17" s="84"/>
      <c r="I17" s="292"/>
      <c r="J17" s="88" t="s">
        <v>165</v>
      </c>
      <c r="K17" s="289" t="s">
        <v>175</v>
      </c>
      <c r="L17" s="290" t="s">
        <v>169</v>
      </c>
      <c r="M17" s="291">
        <v>1</v>
      </c>
      <c r="N17" s="69"/>
      <c r="O17" s="69"/>
    </row>
    <row r="18" spans="1:23" ht="24.95" customHeight="1">
      <c r="A18" s="69"/>
      <c r="B18" s="96"/>
      <c r="C18" s="86"/>
      <c r="D18" s="87"/>
      <c r="E18" s="293"/>
      <c r="F18" s="88"/>
      <c r="G18" s="86"/>
      <c r="H18" s="87"/>
      <c r="I18" s="293"/>
      <c r="J18" s="88" t="s">
        <v>166</v>
      </c>
      <c r="K18" s="289"/>
      <c r="L18" s="290" t="s">
        <v>169</v>
      </c>
      <c r="M18" s="291">
        <v>1</v>
      </c>
      <c r="N18" s="69"/>
      <c r="O18" s="69"/>
    </row>
    <row r="19" spans="1:23" ht="24.95" customHeight="1" thickBot="1">
      <c r="A19" s="69"/>
      <c r="B19" s="97"/>
      <c r="C19" s="98"/>
      <c r="D19" s="99"/>
      <c r="E19" s="294"/>
      <c r="F19" s="100"/>
      <c r="G19" s="98"/>
      <c r="H19" s="99"/>
      <c r="I19" s="294"/>
      <c r="J19" s="100" t="s">
        <v>167</v>
      </c>
      <c r="K19" s="295"/>
      <c r="L19" s="296" t="s">
        <v>169</v>
      </c>
      <c r="M19" s="297">
        <v>1</v>
      </c>
      <c r="N19" s="69"/>
      <c r="O19" s="69"/>
    </row>
    <row r="20" spans="1:23" s="103" customFormat="1" ht="18" customHeight="1">
      <c r="A20" s="362"/>
      <c r="B20" s="362"/>
      <c r="C20" s="362"/>
      <c r="D20" s="362"/>
      <c r="E20" s="362"/>
      <c r="F20" s="362"/>
      <c r="G20" s="362"/>
      <c r="H20" s="362"/>
      <c r="I20" s="362"/>
      <c r="J20" s="363"/>
      <c r="K20" s="362"/>
      <c r="L20" s="362"/>
      <c r="M20" s="364"/>
      <c r="N20" s="362"/>
      <c r="O20" s="362"/>
      <c r="P20" s="256"/>
      <c r="Q20" s="256"/>
      <c r="R20" s="256"/>
      <c r="S20" s="256"/>
      <c r="T20" s="256"/>
      <c r="U20" s="256"/>
      <c r="V20" s="256"/>
      <c r="W20" s="256"/>
    </row>
    <row r="21" spans="1:2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</row>
    <row r="22" spans="1:2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</row>
    <row r="23" spans="1:2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</row>
    <row r="24" spans="1:2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</row>
  </sheetData>
  <mergeCells count="2">
    <mergeCell ref="L2:M2"/>
    <mergeCell ref="B4:I14"/>
  </mergeCells>
  <phoneticPr fontId="4"/>
  <pageMargins left="0.70866141732283472" right="0.43307086614173229" top="0.62992125984251968" bottom="0.47244094488188981" header="0.31496062992125984" footer="0.31496062992125984"/>
  <pageSetup paperSize="9" scale="97" fitToHeight="0" orientation="landscape" useFirstPageNumber="1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U23"/>
  <sheetViews>
    <sheetView zoomScaleNormal="100" workbookViewId="0"/>
  </sheetViews>
  <sheetFormatPr defaultColWidth="8.25" defaultRowHeight="13.5"/>
  <cols>
    <col min="1" max="1" width="3.375" style="73" customWidth="1"/>
    <col min="2" max="2" width="10.625" style="73" customWidth="1"/>
    <col min="3" max="3" width="2.375" style="73" customWidth="1"/>
    <col min="4" max="4" width="26.25" style="73" customWidth="1"/>
    <col min="5" max="5" width="18.75" style="73" customWidth="1"/>
    <col min="6" max="6" width="12" style="73" customWidth="1"/>
    <col min="7" max="7" width="6.5" style="73" customWidth="1"/>
    <col min="8" max="15" width="11.625" style="73" customWidth="1"/>
    <col min="16" max="16" width="3.375" style="73" customWidth="1"/>
    <col min="17" max="17" width="11.25" style="73" customWidth="1"/>
    <col min="18" max="18" width="8.25" style="73"/>
    <col min="19" max="19" width="6.625" style="73" customWidth="1"/>
    <col min="20" max="16384" width="8.25" style="73"/>
  </cols>
  <sheetData>
    <row r="1" spans="1:17" ht="9" customHeight="1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</row>
    <row r="2" spans="1:17" ht="30.95" customHeight="1">
      <c r="A2" s="505" t="s">
        <v>50</v>
      </c>
      <c r="B2" s="506"/>
      <c r="C2" s="506"/>
      <c r="D2" s="506"/>
      <c r="E2" s="506"/>
      <c r="F2" s="506"/>
      <c r="G2" s="506"/>
      <c r="H2" s="506"/>
      <c r="I2" s="506"/>
      <c r="J2" s="506"/>
      <c r="K2" s="506"/>
      <c r="L2" s="506"/>
      <c r="M2" s="506"/>
      <c r="N2" s="506"/>
      <c r="O2" s="506"/>
      <c r="P2" s="507"/>
    </row>
    <row r="3" spans="1:17" ht="19.5" customHeight="1" thickBot="1">
      <c r="A3" s="69"/>
      <c r="B3" s="243"/>
      <c r="C3" s="243"/>
      <c r="D3" s="244"/>
      <c r="E3" s="69"/>
      <c r="F3" s="69"/>
      <c r="G3" s="69"/>
      <c r="H3" s="69"/>
      <c r="I3" s="245"/>
      <c r="J3" s="245"/>
      <c r="K3" s="245"/>
      <c r="L3" s="69"/>
      <c r="M3" s="508"/>
      <c r="N3" s="508"/>
      <c r="O3" s="478"/>
      <c r="P3" s="69"/>
    </row>
    <row r="4" spans="1:17" ht="30" customHeight="1">
      <c r="A4" s="69"/>
      <c r="B4" s="104" t="s">
        <v>51</v>
      </c>
      <c r="C4" s="509" t="s">
        <v>147</v>
      </c>
      <c r="D4" s="510"/>
      <c r="E4" s="510"/>
      <c r="F4" s="510"/>
      <c r="G4" s="510"/>
      <c r="H4" s="510"/>
      <c r="I4" s="510"/>
      <c r="J4" s="510"/>
      <c r="K4" s="510"/>
      <c r="L4" s="510"/>
      <c r="M4" s="510"/>
      <c r="N4" s="510"/>
      <c r="O4" s="511"/>
      <c r="P4" s="69"/>
    </row>
    <row r="5" spans="1:17" ht="30" customHeight="1">
      <c r="A5" s="69"/>
      <c r="B5" s="105" t="s">
        <v>52</v>
      </c>
      <c r="C5" s="491" t="s">
        <v>184</v>
      </c>
      <c r="D5" s="512"/>
      <c r="E5" s="246" t="s">
        <v>132</v>
      </c>
      <c r="F5" s="513" t="s">
        <v>185</v>
      </c>
      <c r="G5" s="514"/>
      <c r="H5" s="246" t="s">
        <v>133</v>
      </c>
      <c r="I5" s="491" t="s">
        <v>149</v>
      </c>
      <c r="J5" s="515"/>
      <c r="K5" s="493"/>
      <c r="L5" s="106" t="s">
        <v>117</v>
      </c>
      <c r="M5" s="491"/>
      <c r="N5" s="515"/>
      <c r="O5" s="516"/>
      <c r="P5" s="69"/>
    </row>
    <row r="6" spans="1:17" ht="30" customHeight="1">
      <c r="A6" s="69"/>
      <c r="B6" s="107" t="s">
        <v>53</v>
      </c>
      <c r="C6" s="491" t="s">
        <v>144</v>
      </c>
      <c r="D6" s="493"/>
      <c r="E6" s="106"/>
      <c r="F6" s="108" t="s">
        <v>54</v>
      </c>
      <c r="G6" s="108" t="s">
        <v>55</v>
      </c>
      <c r="H6" s="109" t="s">
        <v>176</v>
      </c>
      <c r="I6" s="110" t="s">
        <v>177</v>
      </c>
      <c r="J6" s="110" t="s">
        <v>178</v>
      </c>
      <c r="K6" s="110" t="s">
        <v>179</v>
      </c>
      <c r="L6" s="110" t="s">
        <v>180</v>
      </c>
      <c r="M6" s="111" t="s">
        <v>181</v>
      </c>
      <c r="N6" s="110" t="s">
        <v>182</v>
      </c>
      <c r="O6" s="112" t="s">
        <v>183</v>
      </c>
      <c r="P6" s="247"/>
      <c r="Q6" s="248"/>
    </row>
    <row r="7" spans="1:17" ht="30" customHeight="1">
      <c r="A7" s="69"/>
      <c r="B7" s="107" t="s">
        <v>56</v>
      </c>
      <c r="C7" s="491" t="s">
        <v>148</v>
      </c>
      <c r="D7" s="493"/>
      <c r="E7" s="113" t="s">
        <v>57</v>
      </c>
      <c r="F7" s="249">
        <v>11200000</v>
      </c>
      <c r="G7" s="334">
        <v>1</v>
      </c>
      <c r="H7" s="250"/>
      <c r="I7" s="251"/>
      <c r="J7" s="251"/>
      <c r="K7" s="251"/>
      <c r="L7" s="251"/>
      <c r="M7" s="252"/>
      <c r="N7" s="253"/>
      <c r="O7" s="254"/>
      <c r="P7" s="255"/>
      <c r="Q7" s="235"/>
    </row>
    <row r="8" spans="1:17" ht="30" customHeight="1">
      <c r="A8" s="69"/>
      <c r="B8" s="107" t="s">
        <v>58</v>
      </c>
      <c r="C8" s="491"/>
      <c r="D8" s="492"/>
      <c r="E8" s="113" t="s">
        <v>59</v>
      </c>
      <c r="F8" s="249">
        <v>9792000</v>
      </c>
      <c r="G8" s="334">
        <v>0.87429999999999997</v>
      </c>
      <c r="H8" s="250">
        <v>3704357</v>
      </c>
      <c r="I8" s="251">
        <v>1514000</v>
      </c>
      <c r="J8" s="251">
        <v>1000040</v>
      </c>
      <c r="K8" s="251">
        <v>1759200</v>
      </c>
      <c r="L8" s="252">
        <v>903999</v>
      </c>
      <c r="M8" s="252"/>
      <c r="N8" s="253">
        <v>832000</v>
      </c>
      <c r="O8" s="254"/>
      <c r="P8" s="255"/>
      <c r="Q8" s="235"/>
    </row>
    <row r="9" spans="1:17" ht="30" customHeight="1">
      <c r="A9" s="69"/>
      <c r="B9" s="107" t="s">
        <v>21</v>
      </c>
      <c r="C9" s="491" t="s">
        <v>150</v>
      </c>
      <c r="D9" s="493"/>
      <c r="E9" s="114" t="s">
        <v>60</v>
      </c>
      <c r="F9" s="249">
        <v>7400000</v>
      </c>
      <c r="G9" s="334">
        <v>0.66069999999999995</v>
      </c>
      <c r="H9" s="250">
        <v>3614357</v>
      </c>
      <c r="I9" s="251">
        <v>1430000</v>
      </c>
      <c r="J9" s="251">
        <v>250040</v>
      </c>
      <c r="K9" s="251">
        <v>1591200</v>
      </c>
      <c r="L9" s="252">
        <v>515999</v>
      </c>
      <c r="M9" s="252"/>
      <c r="N9" s="253"/>
      <c r="O9" s="254"/>
      <c r="P9" s="365"/>
      <c r="Q9" s="366"/>
    </row>
    <row r="10" spans="1:17" ht="30" customHeight="1">
      <c r="A10" s="69"/>
      <c r="B10" s="107" t="s">
        <v>61</v>
      </c>
      <c r="C10" s="491" t="s">
        <v>146</v>
      </c>
      <c r="D10" s="493"/>
      <c r="E10" s="114" t="s">
        <v>62</v>
      </c>
      <c r="F10" s="249">
        <v>1560000</v>
      </c>
      <c r="G10" s="334">
        <v>0.13930000000000001</v>
      </c>
      <c r="H10" s="250">
        <v>90000</v>
      </c>
      <c r="I10" s="253">
        <v>84000</v>
      </c>
      <c r="J10" s="253">
        <v>750000</v>
      </c>
      <c r="K10" s="253">
        <v>168000</v>
      </c>
      <c r="L10" s="251">
        <v>388000</v>
      </c>
      <c r="M10" s="252"/>
      <c r="N10" s="253"/>
      <c r="O10" s="254"/>
      <c r="P10" s="365"/>
      <c r="Q10" s="256"/>
    </row>
    <row r="11" spans="1:17" ht="30" customHeight="1">
      <c r="A11" s="69"/>
      <c r="B11" s="107" t="s">
        <v>63</v>
      </c>
      <c r="C11" s="491"/>
      <c r="D11" s="493"/>
      <c r="E11" s="114" t="s">
        <v>64</v>
      </c>
      <c r="F11" s="249">
        <v>832000</v>
      </c>
      <c r="G11" s="334">
        <v>7.4300000000000005E-2</v>
      </c>
      <c r="H11" s="250"/>
      <c r="I11" s="253"/>
      <c r="J11" s="253"/>
      <c r="K11" s="253"/>
      <c r="L11" s="251"/>
      <c r="M11" s="252"/>
      <c r="N11" s="253">
        <v>832000</v>
      </c>
      <c r="O11" s="254"/>
      <c r="P11" s="365"/>
      <c r="Q11" s="256"/>
    </row>
    <row r="12" spans="1:17" ht="30" customHeight="1">
      <c r="A12" s="69"/>
      <c r="B12" s="107" t="s">
        <v>65</v>
      </c>
      <c r="C12" s="491" t="s">
        <v>186</v>
      </c>
      <c r="D12" s="492"/>
      <c r="E12" s="113" t="s">
        <v>66</v>
      </c>
      <c r="F12" s="249">
        <v>1408000</v>
      </c>
      <c r="G12" s="334">
        <v>0.12570000000000001</v>
      </c>
      <c r="H12" s="250"/>
      <c r="I12" s="253"/>
      <c r="J12" s="253"/>
      <c r="K12" s="253"/>
      <c r="L12" s="251"/>
      <c r="M12" s="252"/>
      <c r="N12" s="253"/>
      <c r="O12" s="254"/>
      <c r="P12" s="365"/>
      <c r="Q12" s="256"/>
    </row>
    <row r="13" spans="1:17" ht="30" customHeight="1">
      <c r="A13" s="69"/>
      <c r="B13" s="107" t="s">
        <v>67</v>
      </c>
      <c r="C13" s="491" t="s">
        <v>187</v>
      </c>
      <c r="D13" s="492"/>
      <c r="E13" s="169" t="s">
        <v>110</v>
      </c>
      <c r="F13" s="249">
        <v>728000</v>
      </c>
      <c r="G13" s="334">
        <v>6.5000000000000002E-2</v>
      </c>
      <c r="H13" s="250"/>
      <c r="I13" s="253"/>
      <c r="J13" s="253"/>
      <c r="K13" s="253"/>
      <c r="L13" s="251"/>
      <c r="M13" s="252"/>
      <c r="N13" s="253"/>
      <c r="O13" s="254"/>
      <c r="P13" s="365"/>
      <c r="Q13" s="256"/>
    </row>
    <row r="14" spans="1:17" ht="30" customHeight="1">
      <c r="A14" s="69"/>
      <c r="B14" s="107" t="s">
        <v>68</v>
      </c>
      <c r="C14" s="491" t="s">
        <v>188</v>
      </c>
      <c r="D14" s="493"/>
      <c r="E14" s="114" t="s">
        <v>111</v>
      </c>
      <c r="F14" s="249">
        <v>560000</v>
      </c>
      <c r="G14" s="334">
        <v>0.05</v>
      </c>
      <c r="H14" s="250"/>
      <c r="I14" s="253"/>
      <c r="J14" s="253"/>
      <c r="K14" s="253"/>
      <c r="L14" s="251"/>
      <c r="M14" s="252"/>
      <c r="N14" s="253"/>
      <c r="O14" s="254"/>
      <c r="P14" s="365"/>
      <c r="Q14" s="256"/>
    </row>
    <row r="15" spans="1:17" ht="30" customHeight="1">
      <c r="A15" s="69"/>
      <c r="B15" s="236" t="s">
        <v>22</v>
      </c>
      <c r="C15" s="494" t="s">
        <v>189</v>
      </c>
      <c r="D15" s="495"/>
      <c r="E15" s="114" t="s">
        <v>112</v>
      </c>
      <c r="F15" s="249">
        <v>168000</v>
      </c>
      <c r="G15" s="334">
        <v>1.4999999999999999E-2</v>
      </c>
      <c r="H15" s="250"/>
      <c r="I15" s="253"/>
      <c r="J15" s="253"/>
      <c r="K15" s="253"/>
      <c r="L15" s="251"/>
      <c r="M15" s="252"/>
      <c r="N15" s="253"/>
      <c r="O15" s="254"/>
      <c r="P15" s="362"/>
      <c r="Q15" s="256"/>
    </row>
    <row r="16" spans="1:17" ht="30" customHeight="1">
      <c r="A16" s="69"/>
      <c r="B16" s="107" t="s">
        <v>116</v>
      </c>
      <c r="C16" s="491" t="s">
        <v>189</v>
      </c>
      <c r="D16" s="493"/>
      <c r="E16" s="113" t="s">
        <v>113</v>
      </c>
      <c r="F16" s="249">
        <v>680000</v>
      </c>
      <c r="G16" s="334">
        <v>6.0699999999999997E-2</v>
      </c>
      <c r="H16" s="250"/>
      <c r="I16" s="253"/>
      <c r="J16" s="253"/>
      <c r="K16" s="253"/>
      <c r="L16" s="251"/>
      <c r="M16" s="252"/>
      <c r="N16" s="253"/>
      <c r="O16" s="254"/>
      <c r="P16" s="365"/>
      <c r="Q16" s="256"/>
    </row>
    <row r="17" spans="1:21" ht="30" customHeight="1">
      <c r="A17" s="69"/>
      <c r="B17" s="496" t="s">
        <v>70</v>
      </c>
      <c r="C17" s="499"/>
      <c r="D17" s="500"/>
      <c r="E17" s="113" t="s">
        <v>114</v>
      </c>
      <c r="F17" s="249">
        <v>112000</v>
      </c>
      <c r="G17" s="334">
        <v>0.01</v>
      </c>
      <c r="H17" s="250"/>
      <c r="I17" s="253"/>
      <c r="J17" s="253"/>
      <c r="K17" s="253"/>
      <c r="L17" s="251"/>
      <c r="M17" s="252"/>
      <c r="N17" s="253"/>
      <c r="O17" s="254"/>
      <c r="P17" s="365"/>
      <c r="Q17" s="256"/>
    </row>
    <row r="18" spans="1:21" ht="30" customHeight="1">
      <c r="A18" s="69"/>
      <c r="B18" s="497"/>
      <c r="C18" s="501"/>
      <c r="D18" s="502"/>
      <c r="E18" s="168" t="s">
        <v>115</v>
      </c>
      <c r="F18" s="249">
        <v>568000</v>
      </c>
      <c r="G18" s="334">
        <v>5.0700000000000002E-2</v>
      </c>
      <c r="H18" s="250"/>
      <c r="I18" s="253"/>
      <c r="J18" s="253"/>
      <c r="K18" s="253"/>
      <c r="L18" s="251"/>
      <c r="M18" s="252"/>
      <c r="N18" s="253"/>
      <c r="O18" s="254"/>
      <c r="P18" s="365"/>
      <c r="Q18" s="256"/>
    </row>
    <row r="19" spans="1:21" ht="184.5" customHeight="1" thickBot="1">
      <c r="A19" s="69"/>
      <c r="B19" s="498"/>
      <c r="C19" s="503"/>
      <c r="D19" s="504"/>
      <c r="E19" s="173" t="s">
        <v>69</v>
      </c>
      <c r="F19" s="488"/>
      <c r="G19" s="489"/>
      <c r="H19" s="489"/>
      <c r="I19" s="489"/>
      <c r="J19" s="489"/>
      <c r="K19" s="489"/>
      <c r="L19" s="489"/>
      <c r="M19" s="489"/>
      <c r="N19" s="489"/>
      <c r="O19" s="490"/>
      <c r="P19" s="362"/>
      <c r="Q19" s="256"/>
    </row>
    <row r="20" spans="1:21" s="103" customFormat="1">
      <c r="A20" s="362"/>
      <c r="B20" s="362"/>
      <c r="C20" s="362"/>
      <c r="D20" s="362"/>
      <c r="E20" s="362"/>
      <c r="F20" s="362"/>
      <c r="G20" s="362"/>
      <c r="H20" s="362"/>
      <c r="I20" s="362"/>
      <c r="J20" s="362"/>
      <c r="K20" s="362"/>
      <c r="L20" s="362"/>
      <c r="M20" s="362"/>
      <c r="N20" s="362"/>
      <c r="O20" s="367"/>
      <c r="P20" s="362"/>
      <c r="Q20" s="256"/>
      <c r="R20" s="256"/>
      <c r="S20" s="256"/>
      <c r="T20" s="256"/>
      <c r="U20" s="256"/>
    </row>
    <row r="21" spans="1:21">
      <c r="E21" s="256"/>
      <c r="F21" s="256"/>
      <c r="G21" s="256"/>
      <c r="H21" s="256"/>
      <c r="I21" s="256"/>
      <c r="J21" s="256"/>
      <c r="K21" s="256"/>
    </row>
    <row r="22" spans="1:21">
      <c r="E22" s="256"/>
      <c r="F22" s="256"/>
      <c r="G22" s="256"/>
      <c r="H22" s="256"/>
      <c r="I22" s="256"/>
      <c r="J22" s="256"/>
      <c r="K22" s="256"/>
    </row>
    <row r="23" spans="1:21">
      <c r="E23" s="141"/>
      <c r="F23" s="141"/>
      <c r="G23" s="141"/>
      <c r="H23" s="141"/>
    </row>
  </sheetData>
  <mergeCells count="21">
    <mergeCell ref="A2:P2"/>
    <mergeCell ref="M3:O3"/>
    <mergeCell ref="C4:O4"/>
    <mergeCell ref="C5:D5"/>
    <mergeCell ref="F5:G5"/>
    <mergeCell ref="I5:K5"/>
    <mergeCell ref="M5:O5"/>
    <mergeCell ref="B17:B19"/>
    <mergeCell ref="C17:D19"/>
    <mergeCell ref="C6:D6"/>
    <mergeCell ref="C7:D7"/>
    <mergeCell ref="C8:D8"/>
    <mergeCell ref="C9:D9"/>
    <mergeCell ref="C10:D10"/>
    <mergeCell ref="C11:D11"/>
    <mergeCell ref="F19:O19"/>
    <mergeCell ref="C12:D12"/>
    <mergeCell ref="C13:D13"/>
    <mergeCell ref="C14:D14"/>
    <mergeCell ref="C15:D15"/>
    <mergeCell ref="C16:D16"/>
  </mergeCells>
  <phoneticPr fontId="4"/>
  <pageMargins left="0.70866141732283472" right="0.43307086614173229" top="0.62992125984251968" bottom="0.47244094488188981" header="0.31496062992125984" footer="0.31496062992125984"/>
  <pageSetup paperSize="9" scale="70" fitToHeight="0" orientation="landscape" useFirstPageNumber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K74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143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147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55</v>
      </c>
      <c r="J5" s="117" t="s">
        <v>95</v>
      </c>
      <c r="K5" s="69"/>
    </row>
    <row r="6" spans="1:11" ht="15.6" customHeight="1">
      <c r="A6" s="69"/>
      <c r="B6" s="222" t="s">
        <v>190</v>
      </c>
      <c r="C6" s="166"/>
      <c r="D6" s="517"/>
      <c r="E6" s="519"/>
      <c r="F6" s="521"/>
      <c r="G6" s="523"/>
      <c r="H6" s="351"/>
      <c r="I6" s="525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/>
      <c r="I7" s="526"/>
      <c r="J7" s="226"/>
      <c r="K7" s="69" t="s">
        <v>96</v>
      </c>
    </row>
    <row r="8" spans="1:11" ht="15.6" customHeight="1">
      <c r="A8" s="69"/>
      <c r="B8" s="222" t="s">
        <v>191</v>
      </c>
      <c r="C8" s="166"/>
      <c r="D8" s="517" t="s">
        <v>169</v>
      </c>
      <c r="E8" s="519">
        <v>1</v>
      </c>
      <c r="F8" s="521">
        <v>40000</v>
      </c>
      <c r="G8" s="523">
        <v>40000</v>
      </c>
      <c r="H8" s="351" t="s">
        <v>193</v>
      </c>
      <c r="I8" s="525">
        <v>3.5000000000000001E-3</v>
      </c>
      <c r="J8" s="227"/>
      <c r="K8" s="69" t="s">
        <v>96</v>
      </c>
    </row>
    <row r="9" spans="1:11" ht="15.6" customHeight="1">
      <c r="A9" s="69"/>
      <c r="B9" s="224" t="s">
        <v>192</v>
      </c>
      <c r="C9" s="225"/>
      <c r="D9" s="518"/>
      <c r="E9" s="520"/>
      <c r="F9" s="522"/>
      <c r="G9" s="524"/>
      <c r="H9" s="352" t="s">
        <v>194</v>
      </c>
      <c r="I9" s="526"/>
      <c r="J9" s="227"/>
      <c r="K9" s="69" t="s">
        <v>96</v>
      </c>
    </row>
    <row r="10" spans="1:11" ht="15.6" customHeight="1">
      <c r="A10" s="69"/>
      <c r="B10" s="222" t="s">
        <v>195</v>
      </c>
      <c r="C10" s="166"/>
      <c r="D10" s="517" t="s">
        <v>170</v>
      </c>
      <c r="E10" s="519">
        <v>1391</v>
      </c>
      <c r="F10" s="521">
        <v>941</v>
      </c>
      <c r="G10" s="523">
        <v>1308931</v>
      </c>
      <c r="H10" s="351" t="s">
        <v>197</v>
      </c>
      <c r="I10" s="525">
        <v>0.1168</v>
      </c>
      <c r="J10" s="223"/>
      <c r="K10" s="69" t="s">
        <v>96</v>
      </c>
    </row>
    <row r="11" spans="1:11" ht="15.6" customHeight="1">
      <c r="A11" s="69"/>
      <c r="B11" s="224" t="s">
        <v>196</v>
      </c>
      <c r="C11" s="225"/>
      <c r="D11" s="518"/>
      <c r="E11" s="520"/>
      <c r="F11" s="522"/>
      <c r="G11" s="524"/>
      <c r="H11" s="352" t="s">
        <v>194</v>
      </c>
      <c r="I11" s="526"/>
      <c r="J11" s="226"/>
      <c r="K11" s="69" t="s">
        <v>96</v>
      </c>
    </row>
    <row r="12" spans="1:11" ht="15.6" customHeight="1">
      <c r="A12" s="69"/>
      <c r="B12" s="222" t="s">
        <v>198</v>
      </c>
      <c r="C12" s="166"/>
      <c r="D12" s="517" t="s">
        <v>170</v>
      </c>
      <c r="E12" s="519">
        <v>119</v>
      </c>
      <c r="F12" s="521">
        <v>2689</v>
      </c>
      <c r="G12" s="523">
        <v>319991</v>
      </c>
      <c r="H12" s="351" t="s">
        <v>199</v>
      </c>
      <c r="I12" s="525">
        <v>2.8500000000000001E-2</v>
      </c>
      <c r="J12" s="223"/>
      <c r="K12" s="69" t="s">
        <v>96</v>
      </c>
    </row>
    <row r="13" spans="1:11" ht="15.6" customHeight="1">
      <c r="A13" s="69"/>
      <c r="B13" s="224" t="s">
        <v>196</v>
      </c>
      <c r="C13" s="225"/>
      <c r="D13" s="518"/>
      <c r="E13" s="520"/>
      <c r="F13" s="522"/>
      <c r="G13" s="524"/>
      <c r="H13" s="352" t="s">
        <v>194</v>
      </c>
      <c r="I13" s="526"/>
      <c r="J13" s="226"/>
      <c r="K13" s="69" t="s">
        <v>96</v>
      </c>
    </row>
    <row r="14" spans="1:11" ht="15.6" customHeight="1">
      <c r="A14" s="69"/>
      <c r="B14" s="222" t="s">
        <v>200</v>
      </c>
      <c r="C14" s="166"/>
      <c r="D14" s="517" t="s">
        <v>170</v>
      </c>
      <c r="E14" s="519">
        <v>771</v>
      </c>
      <c r="F14" s="521">
        <v>3009</v>
      </c>
      <c r="G14" s="523">
        <v>2319939</v>
      </c>
      <c r="H14" s="351" t="s">
        <v>202</v>
      </c>
      <c r="I14" s="525">
        <v>0.20710000000000001</v>
      </c>
      <c r="J14" s="223"/>
      <c r="K14" s="69" t="s">
        <v>96</v>
      </c>
    </row>
    <row r="15" spans="1:11" ht="15.6" customHeight="1">
      <c r="A15" s="69"/>
      <c r="B15" s="224" t="s">
        <v>201</v>
      </c>
      <c r="C15" s="225"/>
      <c r="D15" s="518"/>
      <c r="E15" s="520"/>
      <c r="F15" s="522"/>
      <c r="G15" s="524"/>
      <c r="H15" s="352" t="s">
        <v>194</v>
      </c>
      <c r="I15" s="526"/>
      <c r="J15" s="226"/>
      <c r="K15" s="69" t="s">
        <v>96</v>
      </c>
    </row>
    <row r="16" spans="1:11" ht="15.6" customHeight="1">
      <c r="A16" s="69"/>
      <c r="B16" s="222" t="s">
        <v>203</v>
      </c>
      <c r="C16" s="166"/>
      <c r="D16" s="517" t="s">
        <v>170</v>
      </c>
      <c r="E16" s="519">
        <v>620</v>
      </c>
      <c r="F16" s="521">
        <v>2258</v>
      </c>
      <c r="G16" s="523">
        <v>1399960</v>
      </c>
      <c r="H16" s="351" t="s">
        <v>205</v>
      </c>
      <c r="I16" s="525">
        <v>0.1249</v>
      </c>
      <c r="J16" s="223"/>
      <c r="K16" s="69" t="s">
        <v>96</v>
      </c>
    </row>
    <row r="17" spans="1:11" ht="15.6" customHeight="1">
      <c r="A17" s="69"/>
      <c r="B17" s="224" t="s">
        <v>204</v>
      </c>
      <c r="C17" s="225"/>
      <c r="D17" s="518"/>
      <c r="E17" s="520"/>
      <c r="F17" s="522"/>
      <c r="G17" s="524"/>
      <c r="H17" s="352" t="s">
        <v>194</v>
      </c>
      <c r="I17" s="526"/>
      <c r="J17" s="226"/>
      <c r="K17" s="69" t="s">
        <v>96</v>
      </c>
    </row>
    <row r="18" spans="1:11" ht="15.6" customHeight="1">
      <c r="A18" s="69"/>
      <c r="B18" s="222" t="s">
        <v>206</v>
      </c>
      <c r="C18" s="166"/>
      <c r="D18" s="517" t="s">
        <v>170</v>
      </c>
      <c r="E18" s="519">
        <v>620</v>
      </c>
      <c r="F18" s="521">
        <v>2451</v>
      </c>
      <c r="G18" s="523">
        <v>1519620</v>
      </c>
      <c r="H18" s="351" t="s">
        <v>208</v>
      </c>
      <c r="I18" s="525">
        <v>0.1356</v>
      </c>
      <c r="J18" s="223"/>
      <c r="K18" s="69" t="s">
        <v>96</v>
      </c>
    </row>
    <row r="19" spans="1:11" ht="15.6" customHeight="1">
      <c r="A19" s="69"/>
      <c r="B19" s="224" t="s">
        <v>207</v>
      </c>
      <c r="C19" s="225"/>
      <c r="D19" s="518"/>
      <c r="E19" s="520"/>
      <c r="F19" s="522"/>
      <c r="G19" s="524"/>
      <c r="H19" s="352" t="s">
        <v>194</v>
      </c>
      <c r="I19" s="526"/>
      <c r="J19" s="226"/>
      <c r="K19" s="69" t="s">
        <v>96</v>
      </c>
    </row>
    <row r="20" spans="1:11" ht="15.6" customHeight="1">
      <c r="A20" s="69"/>
      <c r="B20" s="222" t="s">
        <v>209</v>
      </c>
      <c r="C20" s="166"/>
      <c r="D20" s="517" t="s">
        <v>169</v>
      </c>
      <c r="E20" s="519">
        <v>1</v>
      </c>
      <c r="F20" s="521">
        <v>270000</v>
      </c>
      <c r="G20" s="523">
        <v>270000</v>
      </c>
      <c r="H20" s="351" t="s">
        <v>210</v>
      </c>
      <c r="I20" s="525">
        <v>2.41E-2</v>
      </c>
      <c r="J20" s="223"/>
      <c r="K20" s="69" t="s">
        <v>96</v>
      </c>
    </row>
    <row r="21" spans="1:11" ht="15.6" customHeight="1">
      <c r="A21" s="69"/>
      <c r="B21" s="224" t="s">
        <v>196</v>
      </c>
      <c r="C21" s="225"/>
      <c r="D21" s="518"/>
      <c r="E21" s="520"/>
      <c r="F21" s="522"/>
      <c r="G21" s="524"/>
      <c r="H21" s="352" t="s">
        <v>194</v>
      </c>
      <c r="I21" s="526"/>
      <c r="J21" s="226"/>
      <c r="K21" s="69" t="s">
        <v>96</v>
      </c>
    </row>
    <row r="22" spans="1:11" ht="15.6" customHeight="1">
      <c r="A22" s="69"/>
      <c r="B22" s="222" t="s">
        <v>211</v>
      </c>
      <c r="C22" s="166"/>
      <c r="D22" s="517" t="s">
        <v>169</v>
      </c>
      <c r="E22" s="519">
        <v>1</v>
      </c>
      <c r="F22" s="521">
        <v>1559</v>
      </c>
      <c r="G22" s="523">
        <v>1559</v>
      </c>
      <c r="H22" s="351" t="s">
        <v>212</v>
      </c>
      <c r="I22" s="525">
        <v>1E-4</v>
      </c>
      <c r="J22" s="223"/>
      <c r="K22" s="69" t="s">
        <v>96</v>
      </c>
    </row>
    <row r="23" spans="1:11" ht="15.6" customHeight="1">
      <c r="A23" s="69"/>
      <c r="B23" s="224" t="s">
        <v>196</v>
      </c>
      <c r="C23" s="225"/>
      <c r="D23" s="518"/>
      <c r="E23" s="520"/>
      <c r="F23" s="522"/>
      <c r="G23" s="524"/>
      <c r="H23" s="352" t="s">
        <v>194</v>
      </c>
      <c r="I23" s="526"/>
      <c r="J23" s="226"/>
      <c r="K23" s="69" t="s">
        <v>96</v>
      </c>
    </row>
    <row r="24" spans="1:11" ht="15.6" customHeight="1">
      <c r="A24" s="69"/>
      <c r="B24" s="222" t="s">
        <v>213</v>
      </c>
      <c r="C24" s="166"/>
      <c r="D24" s="517" t="s">
        <v>170</v>
      </c>
      <c r="E24" s="519">
        <v>60</v>
      </c>
      <c r="F24" s="521">
        <v>3666</v>
      </c>
      <c r="G24" s="523">
        <v>219960</v>
      </c>
      <c r="H24" s="351" t="s">
        <v>215</v>
      </c>
      <c r="I24" s="525">
        <v>1.9599999999999999E-2</v>
      </c>
      <c r="J24" s="223"/>
      <c r="K24" s="69" t="s">
        <v>96</v>
      </c>
    </row>
    <row r="25" spans="1:11" ht="15.6" customHeight="1">
      <c r="A25" s="69"/>
      <c r="B25" s="224" t="s">
        <v>214</v>
      </c>
      <c r="C25" s="225"/>
      <c r="D25" s="518"/>
      <c r="E25" s="520"/>
      <c r="F25" s="522"/>
      <c r="G25" s="524"/>
      <c r="H25" s="352" t="s">
        <v>194</v>
      </c>
      <c r="I25" s="526"/>
      <c r="J25" s="226"/>
      <c r="K25" s="69" t="s">
        <v>96</v>
      </c>
    </row>
    <row r="26" spans="1:11" ht="15.6" customHeight="1">
      <c r="A26" s="69"/>
      <c r="B26" s="222" t="s">
        <v>216</v>
      </c>
      <c r="C26" s="166"/>
      <c r="D26" s="517" t="s">
        <v>169</v>
      </c>
      <c r="E26" s="519">
        <v>1</v>
      </c>
      <c r="F26" s="521">
        <v>40</v>
      </c>
      <c r="G26" s="523">
        <v>40</v>
      </c>
      <c r="H26" s="351" t="s">
        <v>217</v>
      </c>
      <c r="I26" s="525">
        <v>0</v>
      </c>
      <c r="J26" s="223"/>
      <c r="K26" s="69" t="s">
        <v>96</v>
      </c>
    </row>
    <row r="27" spans="1:11" ht="15.6" customHeight="1">
      <c r="A27" s="69"/>
      <c r="B27" s="224" t="s">
        <v>196</v>
      </c>
      <c r="C27" s="225"/>
      <c r="D27" s="518"/>
      <c r="E27" s="520"/>
      <c r="F27" s="522"/>
      <c r="G27" s="524"/>
      <c r="H27" s="352" t="s">
        <v>194</v>
      </c>
      <c r="I27" s="526"/>
      <c r="J27" s="226"/>
      <c r="K27" s="69" t="s">
        <v>96</v>
      </c>
    </row>
    <row r="28" spans="1:11" ht="15.6" customHeight="1">
      <c r="A28" s="69"/>
      <c r="B28" s="222" t="s">
        <v>218</v>
      </c>
      <c r="C28" s="166"/>
      <c r="D28" s="517"/>
      <c r="E28" s="519"/>
      <c r="F28" s="521"/>
      <c r="G28" s="523">
        <v>7400000</v>
      </c>
      <c r="H28" s="351"/>
      <c r="I28" s="525">
        <v>0.66069999999999995</v>
      </c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526"/>
      <c r="J29" s="226"/>
      <c r="K29" s="69" t="s">
        <v>96</v>
      </c>
    </row>
    <row r="30" spans="1:11" ht="15.6" customHeight="1">
      <c r="A30" s="69"/>
      <c r="B30" s="222"/>
      <c r="C30" s="166"/>
      <c r="D30" s="517"/>
      <c r="E30" s="519"/>
      <c r="F30" s="521"/>
      <c r="G30" s="523"/>
      <c r="H30" s="351"/>
      <c r="I30" s="525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526"/>
      <c r="J31" s="226"/>
      <c r="K31" s="69" t="s">
        <v>96</v>
      </c>
    </row>
    <row r="32" spans="1:11" ht="15.6" customHeight="1">
      <c r="A32" s="69"/>
      <c r="B32" s="222" t="s">
        <v>219</v>
      </c>
      <c r="C32" s="166"/>
      <c r="D32" s="532"/>
      <c r="E32" s="519"/>
      <c r="F32" s="521"/>
      <c r="G32" s="523"/>
      <c r="H32" s="351"/>
      <c r="I32" s="525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526"/>
      <c r="J33" s="226"/>
      <c r="K33" s="69" t="s">
        <v>96</v>
      </c>
    </row>
    <row r="34" spans="1:11" ht="15.6" customHeight="1">
      <c r="A34" s="69"/>
      <c r="B34" s="222" t="s">
        <v>220</v>
      </c>
      <c r="C34" s="166"/>
      <c r="D34" s="517" t="s">
        <v>169</v>
      </c>
      <c r="E34" s="519">
        <v>1</v>
      </c>
      <c r="F34" s="521">
        <v>1560000</v>
      </c>
      <c r="G34" s="523">
        <v>1560000</v>
      </c>
      <c r="H34" s="351"/>
      <c r="I34" s="525">
        <v>0.13930000000000001</v>
      </c>
      <c r="J34" s="223"/>
      <c r="K34" s="69" t="s">
        <v>96</v>
      </c>
    </row>
    <row r="35" spans="1:11" ht="15.6" customHeight="1">
      <c r="A35" s="69"/>
      <c r="B35" s="224" t="s">
        <v>196</v>
      </c>
      <c r="C35" s="225"/>
      <c r="D35" s="518"/>
      <c r="E35" s="520"/>
      <c r="F35" s="522"/>
      <c r="G35" s="524"/>
      <c r="H35" s="352"/>
      <c r="I35" s="526"/>
      <c r="J35" s="226"/>
      <c r="K35" s="69" t="s">
        <v>96</v>
      </c>
    </row>
    <row r="36" spans="1:11" ht="15.6" customHeight="1">
      <c r="A36" s="69"/>
      <c r="B36" s="301" t="s">
        <v>221</v>
      </c>
      <c r="C36" s="302"/>
      <c r="D36" s="517" t="s">
        <v>169</v>
      </c>
      <c r="E36" s="519">
        <v>1</v>
      </c>
      <c r="F36" s="521">
        <v>832000</v>
      </c>
      <c r="G36" s="523">
        <v>832000</v>
      </c>
      <c r="H36" s="351"/>
      <c r="I36" s="525">
        <v>7.4300000000000005E-2</v>
      </c>
      <c r="J36" s="223"/>
      <c r="K36" s="69" t="s">
        <v>96</v>
      </c>
    </row>
    <row r="37" spans="1:11" ht="15.6" customHeight="1" thickBot="1">
      <c r="A37" s="69"/>
      <c r="B37" s="228" t="s">
        <v>196</v>
      </c>
      <c r="C37" s="229"/>
      <c r="D37" s="527"/>
      <c r="E37" s="528"/>
      <c r="F37" s="529"/>
      <c r="G37" s="530"/>
      <c r="H37" s="353"/>
      <c r="I37" s="531"/>
      <c r="J37" s="230"/>
      <c r="K37" s="69" t="s">
        <v>96</v>
      </c>
    </row>
    <row r="38" spans="1:11" ht="30" customHeight="1" thickBot="1">
      <c r="A38" s="69"/>
      <c r="B38" s="142"/>
      <c r="C38" s="142"/>
      <c r="D38" s="533" t="s">
        <v>143</v>
      </c>
      <c r="E38" s="533"/>
      <c r="F38" s="533"/>
      <c r="G38" s="533"/>
      <c r="H38" s="69"/>
      <c r="I38" s="69"/>
      <c r="J38" s="69"/>
      <c r="K38" s="69"/>
    </row>
    <row r="39" spans="1:11" ht="15.95" customHeight="1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</row>
    <row r="40" spans="1:11" ht="30.95" customHeight="1">
      <c r="A40" s="144"/>
      <c r="B40" s="298" t="s">
        <v>89</v>
      </c>
      <c r="C40" s="219" t="s">
        <v>147</v>
      </c>
      <c r="D40" s="285"/>
      <c r="E40" s="299"/>
      <c r="F40" s="167"/>
      <c r="G40" s="167"/>
      <c r="H40" s="167"/>
      <c r="I40" s="167"/>
      <c r="J40" s="300"/>
      <c r="K40" s="144"/>
    </row>
    <row r="41" spans="1:11" ht="14.1" customHeight="1" thickBot="1">
      <c r="A41" s="69"/>
      <c r="B41" s="69"/>
      <c r="C41" s="69"/>
      <c r="D41" s="69"/>
      <c r="E41" s="69"/>
      <c r="F41" s="69"/>
      <c r="G41" s="69"/>
      <c r="H41" s="69"/>
      <c r="I41" s="69"/>
      <c r="J41" s="72"/>
      <c r="K41" s="69"/>
    </row>
    <row r="42" spans="1:11" ht="17.45" customHeight="1">
      <c r="A42" s="69"/>
      <c r="B42" s="534" t="s">
        <v>90</v>
      </c>
      <c r="C42" s="535"/>
      <c r="D42" s="220" t="s">
        <v>77</v>
      </c>
      <c r="E42" s="220" t="s">
        <v>91</v>
      </c>
      <c r="F42" s="220" t="s">
        <v>92</v>
      </c>
      <c r="G42" s="220" t="s">
        <v>73</v>
      </c>
      <c r="H42" s="221" t="s">
        <v>93</v>
      </c>
      <c r="I42" s="220" t="s">
        <v>55</v>
      </c>
      <c r="J42" s="117" t="s">
        <v>95</v>
      </c>
      <c r="K42" s="69"/>
    </row>
    <row r="43" spans="1:11" ht="15.6" customHeight="1">
      <c r="A43" s="69"/>
      <c r="B43" s="222" t="s">
        <v>222</v>
      </c>
      <c r="C43" s="166"/>
      <c r="D43" s="517"/>
      <c r="E43" s="519"/>
      <c r="F43" s="521"/>
      <c r="G43" s="523">
        <v>2392000</v>
      </c>
      <c r="H43" s="351"/>
      <c r="I43" s="525">
        <v>0.2135</v>
      </c>
      <c r="J43" s="223"/>
      <c r="K43" s="69" t="s">
        <v>96</v>
      </c>
    </row>
    <row r="44" spans="1:11" ht="15.6" customHeight="1">
      <c r="A44" s="69"/>
      <c r="B44" s="224"/>
      <c r="C44" s="225"/>
      <c r="D44" s="518"/>
      <c r="E44" s="520"/>
      <c r="F44" s="522"/>
      <c r="G44" s="524"/>
      <c r="H44" s="352"/>
      <c r="I44" s="526"/>
      <c r="J44" s="226"/>
      <c r="K44" s="69" t="s">
        <v>96</v>
      </c>
    </row>
    <row r="45" spans="1:11" ht="15.6" customHeight="1">
      <c r="A45" s="69"/>
      <c r="B45" s="222"/>
      <c r="C45" s="166"/>
      <c r="D45" s="517"/>
      <c r="E45" s="519"/>
      <c r="F45" s="521"/>
      <c r="G45" s="523"/>
      <c r="H45" s="351"/>
      <c r="I45" s="525"/>
      <c r="J45" s="227"/>
      <c r="K45" s="69" t="s">
        <v>96</v>
      </c>
    </row>
    <row r="46" spans="1:11" ht="15.6" customHeight="1">
      <c r="A46" s="69"/>
      <c r="B46" s="224"/>
      <c r="C46" s="225"/>
      <c r="D46" s="518"/>
      <c r="E46" s="520"/>
      <c r="F46" s="522"/>
      <c r="G46" s="524"/>
      <c r="H46" s="352"/>
      <c r="I46" s="526"/>
      <c r="J46" s="227"/>
      <c r="K46" s="69" t="s">
        <v>96</v>
      </c>
    </row>
    <row r="47" spans="1:11" ht="15.6" customHeight="1">
      <c r="A47" s="69"/>
      <c r="B47" s="222" t="s">
        <v>223</v>
      </c>
      <c r="C47" s="166"/>
      <c r="D47" s="517"/>
      <c r="E47" s="519"/>
      <c r="F47" s="521"/>
      <c r="G47" s="523">
        <v>9792000</v>
      </c>
      <c r="H47" s="351"/>
      <c r="I47" s="525">
        <v>0.87429999999999997</v>
      </c>
      <c r="J47" s="223"/>
      <c r="K47" s="69" t="s">
        <v>96</v>
      </c>
    </row>
    <row r="48" spans="1:11" ht="15.6" customHeight="1">
      <c r="A48" s="69"/>
      <c r="B48" s="224"/>
      <c r="C48" s="225"/>
      <c r="D48" s="518"/>
      <c r="E48" s="520"/>
      <c r="F48" s="522"/>
      <c r="G48" s="524"/>
      <c r="H48" s="352"/>
      <c r="I48" s="526"/>
      <c r="J48" s="226"/>
      <c r="K48" s="69" t="s">
        <v>96</v>
      </c>
    </row>
    <row r="49" spans="1:11" ht="15.6" customHeight="1">
      <c r="A49" s="69"/>
      <c r="B49" s="222"/>
      <c r="C49" s="166"/>
      <c r="D49" s="517"/>
      <c r="E49" s="519"/>
      <c r="F49" s="521"/>
      <c r="G49" s="523"/>
      <c r="H49" s="351"/>
      <c r="I49" s="525"/>
      <c r="J49" s="223"/>
      <c r="K49" s="69" t="s">
        <v>96</v>
      </c>
    </row>
    <row r="50" spans="1:11" ht="15.6" customHeight="1">
      <c r="A50" s="69"/>
      <c r="B50" s="224"/>
      <c r="C50" s="225"/>
      <c r="D50" s="518"/>
      <c r="E50" s="520"/>
      <c r="F50" s="522"/>
      <c r="G50" s="524"/>
      <c r="H50" s="352"/>
      <c r="I50" s="526"/>
      <c r="J50" s="226"/>
      <c r="K50" s="69" t="s">
        <v>96</v>
      </c>
    </row>
    <row r="51" spans="1:11" ht="15.6" customHeight="1">
      <c r="A51" s="69"/>
      <c r="B51" s="222" t="s">
        <v>224</v>
      </c>
      <c r="C51" s="166"/>
      <c r="D51" s="517"/>
      <c r="E51" s="519"/>
      <c r="F51" s="521"/>
      <c r="G51" s="523">
        <v>1408000</v>
      </c>
      <c r="H51" s="351"/>
      <c r="I51" s="525">
        <v>0.12570000000000001</v>
      </c>
      <c r="J51" s="223"/>
      <c r="K51" s="69" t="s">
        <v>96</v>
      </c>
    </row>
    <row r="52" spans="1:11" ht="15.6" customHeight="1">
      <c r="A52" s="69"/>
      <c r="B52" s="224"/>
      <c r="C52" s="225"/>
      <c r="D52" s="518"/>
      <c r="E52" s="520"/>
      <c r="F52" s="522"/>
      <c r="G52" s="524"/>
      <c r="H52" s="352"/>
      <c r="I52" s="526"/>
      <c r="J52" s="226"/>
      <c r="K52" s="69" t="s">
        <v>96</v>
      </c>
    </row>
    <row r="53" spans="1:11" ht="15.6" customHeight="1">
      <c r="A53" s="69"/>
      <c r="B53" s="222"/>
      <c r="C53" s="166"/>
      <c r="D53" s="517"/>
      <c r="E53" s="519"/>
      <c r="F53" s="521"/>
      <c r="G53" s="523"/>
      <c r="H53" s="351"/>
      <c r="I53" s="525"/>
      <c r="J53" s="223"/>
      <c r="K53" s="69" t="s">
        <v>96</v>
      </c>
    </row>
    <row r="54" spans="1:11" ht="15.6" customHeight="1">
      <c r="A54" s="69"/>
      <c r="B54" s="224"/>
      <c r="C54" s="225"/>
      <c r="D54" s="518"/>
      <c r="E54" s="520"/>
      <c r="F54" s="522"/>
      <c r="G54" s="524"/>
      <c r="H54" s="352"/>
      <c r="I54" s="526"/>
      <c r="J54" s="226"/>
      <c r="K54" s="69" t="s">
        <v>96</v>
      </c>
    </row>
    <row r="55" spans="1:11" ht="15.6" customHeight="1">
      <c r="A55" s="69"/>
      <c r="B55" s="222" t="s">
        <v>130</v>
      </c>
      <c r="C55" s="166"/>
      <c r="D55" s="517"/>
      <c r="E55" s="519"/>
      <c r="F55" s="521"/>
      <c r="G55" s="523">
        <v>11200000</v>
      </c>
      <c r="H55" s="351"/>
      <c r="I55" s="525">
        <v>1</v>
      </c>
      <c r="J55" s="223"/>
      <c r="K55" s="69" t="s">
        <v>96</v>
      </c>
    </row>
    <row r="56" spans="1:11" ht="15.6" customHeight="1">
      <c r="A56" s="69"/>
      <c r="B56" s="224"/>
      <c r="C56" s="225"/>
      <c r="D56" s="518"/>
      <c r="E56" s="520"/>
      <c r="F56" s="522"/>
      <c r="G56" s="524"/>
      <c r="H56" s="352"/>
      <c r="I56" s="526"/>
      <c r="J56" s="226"/>
      <c r="K56" s="69" t="s">
        <v>96</v>
      </c>
    </row>
    <row r="57" spans="1:11" ht="15.6" customHeight="1">
      <c r="A57" s="69"/>
      <c r="B57" s="222"/>
      <c r="C57" s="166"/>
      <c r="D57" s="517"/>
      <c r="E57" s="519"/>
      <c r="F57" s="521"/>
      <c r="G57" s="523"/>
      <c r="H57" s="351"/>
      <c r="I57" s="525"/>
      <c r="J57" s="223"/>
      <c r="K57" s="69" t="s">
        <v>96</v>
      </c>
    </row>
    <row r="58" spans="1:11" ht="15.6" customHeight="1">
      <c r="A58" s="69"/>
      <c r="B58" s="224"/>
      <c r="C58" s="225"/>
      <c r="D58" s="518"/>
      <c r="E58" s="520"/>
      <c r="F58" s="522"/>
      <c r="G58" s="524"/>
      <c r="H58" s="352"/>
      <c r="I58" s="526"/>
      <c r="J58" s="226"/>
      <c r="K58" s="69" t="s">
        <v>96</v>
      </c>
    </row>
    <row r="59" spans="1:11" ht="15.6" customHeight="1">
      <c r="A59" s="69"/>
      <c r="B59" s="222"/>
      <c r="C59" s="166"/>
      <c r="D59" s="517"/>
      <c r="E59" s="519"/>
      <c r="F59" s="521"/>
      <c r="G59" s="523"/>
      <c r="H59" s="351"/>
      <c r="I59" s="525"/>
      <c r="J59" s="223"/>
      <c r="K59" s="69" t="s">
        <v>96</v>
      </c>
    </row>
    <row r="60" spans="1:11" ht="15.6" customHeight="1">
      <c r="A60" s="69"/>
      <c r="B60" s="224"/>
      <c r="C60" s="225"/>
      <c r="D60" s="518"/>
      <c r="E60" s="520"/>
      <c r="F60" s="522"/>
      <c r="G60" s="524"/>
      <c r="H60" s="352"/>
      <c r="I60" s="526"/>
      <c r="J60" s="226"/>
      <c r="K60" s="69" t="s">
        <v>96</v>
      </c>
    </row>
    <row r="61" spans="1:11" ht="15.6" customHeight="1">
      <c r="A61" s="69"/>
      <c r="B61" s="222"/>
      <c r="C61" s="166"/>
      <c r="D61" s="517"/>
      <c r="E61" s="519"/>
      <c r="F61" s="521"/>
      <c r="G61" s="523"/>
      <c r="H61" s="351"/>
      <c r="I61" s="525"/>
      <c r="J61" s="223"/>
      <c r="K61" s="69" t="s">
        <v>96</v>
      </c>
    </row>
    <row r="62" spans="1:11" ht="15.6" customHeight="1">
      <c r="A62" s="69"/>
      <c r="B62" s="224"/>
      <c r="C62" s="225"/>
      <c r="D62" s="518"/>
      <c r="E62" s="520"/>
      <c r="F62" s="522"/>
      <c r="G62" s="524"/>
      <c r="H62" s="352"/>
      <c r="I62" s="526"/>
      <c r="J62" s="226"/>
      <c r="K62" s="69" t="s">
        <v>96</v>
      </c>
    </row>
    <row r="63" spans="1:11" ht="15.6" customHeight="1">
      <c r="A63" s="69"/>
      <c r="B63" s="222"/>
      <c r="C63" s="166"/>
      <c r="D63" s="517"/>
      <c r="E63" s="519"/>
      <c r="F63" s="521"/>
      <c r="G63" s="523"/>
      <c r="H63" s="351"/>
      <c r="I63" s="525"/>
      <c r="J63" s="223"/>
      <c r="K63" s="69" t="s">
        <v>96</v>
      </c>
    </row>
    <row r="64" spans="1:11" ht="15.6" customHeight="1">
      <c r="A64" s="69"/>
      <c r="B64" s="224"/>
      <c r="C64" s="225"/>
      <c r="D64" s="518"/>
      <c r="E64" s="520"/>
      <c r="F64" s="522"/>
      <c r="G64" s="524"/>
      <c r="H64" s="352"/>
      <c r="I64" s="526"/>
      <c r="J64" s="226"/>
      <c r="K64" s="69" t="s">
        <v>96</v>
      </c>
    </row>
    <row r="65" spans="1:11" ht="15.6" customHeight="1">
      <c r="A65" s="69"/>
      <c r="B65" s="222"/>
      <c r="C65" s="166"/>
      <c r="D65" s="517"/>
      <c r="E65" s="519"/>
      <c r="F65" s="521"/>
      <c r="G65" s="523"/>
      <c r="H65" s="351"/>
      <c r="I65" s="525"/>
      <c r="J65" s="223"/>
      <c r="K65" s="69" t="s">
        <v>96</v>
      </c>
    </row>
    <row r="66" spans="1:11" ht="15.6" customHeight="1">
      <c r="A66" s="69"/>
      <c r="B66" s="224"/>
      <c r="C66" s="225"/>
      <c r="D66" s="518"/>
      <c r="E66" s="520"/>
      <c r="F66" s="522"/>
      <c r="G66" s="524"/>
      <c r="H66" s="352"/>
      <c r="I66" s="526"/>
      <c r="J66" s="226"/>
      <c r="K66" s="69" t="s">
        <v>96</v>
      </c>
    </row>
    <row r="67" spans="1:11" ht="15.6" customHeight="1">
      <c r="A67" s="69"/>
      <c r="B67" s="222"/>
      <c r="C67" s="166"/>
      <c r="D67" s="517"/>
      <c r="E67" s="519"/>
      <c r="F67" s="521"/>
      <c r="G67" s="523"/>
      <c r="H67" s="351"/>
      <c r="I67" s="525"/>
      <c r="J67" s="223"/>
      <c r="K67" s="69" t="s">
        <v>96</v>
      </c>
    </row>
    <row r="68" spans="1:11" ht="15.6" customHeight="1">
      <c r="A68" s="69"/>
      <c r="B68" s="224"/>
      <c r="C68" s="225"/>
      <c r="D68" s="518"/>
      <c r="E68" s="520"/>
      <c r="F68" s="522"/>
      <c r="G68" s="524"/>
      <c r="H68" s="352"/>
      <c r="I68" s="526"/>
      <c r="J68" s="226"/>
      <c r="K68" s="69" t="s">
        <v>96</v>
      </c>
    </row>
    <row r="69" spans="1:11" ht="15.6" customHeight="1">
      <c r="A69" s="69"/>
      <c r="B69" s="222"/>
      <c r="C69" s="166"/>
      <c r="D69" s="532"/>
      <c r="E69" s="519"/>
      <c r="F69" s="521"/>
      <c r="G69" s="523"/>
      <c r="H69" s="351"/>
      <c r="I69" s="525"/>
      <c r="J69" s="223"/>
      <c r="K69" s="69" t="s">
        <v>96</v>
      </c>
    </row>
    <row r="70" spans="1:11" ht="15.6" customHeight="1">
      <c r="A70" s="69"/>
      <c r="B70" s="224"/>
      <c r="C70" s="225"/>
      <c r="D70" s="532"/>
      <c r="E70" s="520"/>
      <c r="F70" s="522"/>
      <c r="G70" s="524"/>
      <c r="H70" s="354"/>
      <c r="I70" s="526"/>
      <c r="J70" s="226"/>
      <c r="K70" s="69" t="s">
        <v>96</v>
      </c>
    </row>
    <row r="71" spans="1:11" ht="15.6" customHeight="1">
      <c r="A71" s="69"/>
      <c r="B71" s="222"/>
      <c r="C71" s="166"/>
      <c r="D71" s="517"/>
      <c r="E71" s="519"/>
      <c r="F71" s="521"/>
      <c r="G71" s="523"/>
      <c r="H71" s="351"/>
      <c r="I71" s="525"/>
      <c r="J71" s="223"/>
      <c r="K71" s="69" t="s">
        <v>96</v>
      </c>
    </row>
    <row r="72" spans="1:11" ht="15.6" customHeight="1">
      <c r="A72" s="69"/>
      <c r="B72" s="224"/>
      <c r="C72" s="225"/>
      <c r="D72" s="518"/>
      <c r="E72" s="520"/>
      <c r="F72" s="522"/>
      <c r="G72" s="524"/>
      <c r="H72" s="352"/>
      <c r="I72" s="526"/>
      <c r="J72" s="226"/>
      <c r="K72" s="69" t="s">
        <v>96</v>
      </c>
    </row>
    <row r="73" spans="1:11" ht="15.6" customHeight="1">
      <c r="A73" s="69"/>
      <c r="B73" s="301"/>
      <c r="C73" s="302"/>
      <c r="D73" s="517"/>
      <c r="E73" s="519"/>
      <c r="F73" s="521"/>
      <c r="G73" s="523"/>
      <c r="H73" s="351"/>
      <c r="I73" s="525"/>
      <c r="J73" s="223"/>
      <c r="K73" s="69" t="s">
        <v>96</v>
      </c>
    </row>
    <row r="74" spans="1:11" ht="15.6" customHeight="1" thickBot="1">
      <c r="A74" s="69"/>
      <c r="B74" s="228"/>
      <c r="C74" s="229"/>
      <c r="D74" s="527"/>
      <c r="E74" s="528"/>
      <c r="F74" s="529"/>
      <c r="G74" s="530"/>
      <c r="H74" s="353"/>
      <c r="I74" s="531"/>
      <c r="J74" s="230"/>
      <c r="K74" s="69" t="s">
        <v>96</v>
      </c>
    </row>
  </sheetData>
  <mergeCells count="164">
    <mergeCell ref="D73:D74"/>
    <mergeCell ref="E73:E74"/>
    <mergeCell ref="F73:F74"/>
    <mergeCell ref="G73:G74"/>
    <mergeCell ref="I73:I74"/>
    <mergeCell ref="D71:D72"/>
    <mergeCell ref="E71:E72"/>
    <mergeCell ref="F71:F72"/>
    <mergeCell ref="G71:G72"/>
    <mergeCell ref="I71:I72"/>
    <mergeCell ref="D69:D70"/>
    <mergeCell ref="E69:E70"/>
    <mergeCell ref="F69:F70"/>
    <mergeCell ref="G69:G70"/>
    <mergeCell ref="I69:I70"/>
    <mergeCell ref="D67:D68"/>
    <mergeCell ref="E67:E68"/>
    <mergeCell ref="F67:F68"/>
    <mergeCell ref="G67:G68"/>
    <mergeCell ref="I67:I68"/>
    <mergeCell ref="D65:D66"/>
    <mergeCell ref="E65:E66"/>
    <mergeCell ref="F65:F66"/>
    <mergeCell ref="G65:G66"/>
    <mergeCell ref="I65:I66"/>
    <mergeCell ref="D63:D64"/>
    <mergeCell ref="E63:E64"/>
    <mergeCell ref="F63:F64"/>
    <mergeCell ref="G63:G64"/>
    <mergeCell ref="I63:I64"/>
    <mergeCell ref="D61:D62"/>
    <mergeCell ref="E61:E62"/>
    <mergeCell ref="F61:F62"/>
    <mergeCell ref="G61:G62"/>
    <mergeCell ref="I61:I62"/>
    <mergeCell ref="D59:D60"/>
    <mergeCell ref="E59:E60"/>
    <mergeCell ref="F59:F60"/>
    <mergeCell ref="G59:G60"/>
    <mergeCell ref="I59:I60"/>
    <mergeCell ref="D57:D58"/>
    <mergeCell ref="E57:E58"/>
    <mergeCell ref="F57:F58"/>
    <mergeCell ref="G57:G58"/>
    <mergeCell ref="I57:I58"/>
    <mergeCell ref="D55:D56"/>
    <mergeCell ref="E55:E56"/>
    <mergeCell ref="F55:F56"/>
    <mergeCell ref="G55:G56"/>
    <mergeCell ref="I55:I56"/>
    <mergeCell ref="D53:D54"/>
    <mergeCell ref="E53:E54"/>
    <mergeCell ref="F53:F54"/>
    <mergeCell ref="G53:G54"/>
    <mergeCell ref="I53:I54"/>
    <mergeCell ref="D51:D52"/>
    <mergeCell ref="E51:E52"/>
    <mergeCell ref="F51:F52"/>
    <mergeCell ref="G51:G52"/>
    <mergeCell ref="I51:I52"/>
    <mergeCell ref="D49:D50"/>
    <mergeCell ref="E49:E50"/>
    <mergeCell ref="F49:F50"/>
    <mergeCell ref="G49:G50"/>
    <mergeCell ref="I49:I50"/>
    <mergeCell ref="D47:D48"/>
    <mergeCell ref="E47:E48"/>
    <mergeCell ref="F47:F48"/>
    <mergeCell ref="G47:G48"/>
    <mergeCell ref="I47:I48"/>
    <mergeCell ref="I43:I44"/>
    <mergeCell ref="D45:D46"/>
    <mergeCell ref="E45:E46"/>
    <mergeCell ref="F45:F46"/>
    <mergeCell ref="G45:G46"/>
    <mergeCell ref="I45:I46"/>
    <mergeCell ref="D38:G38"/>
    <mergeCell ref="B42:C42"/>
    <mergeCell ref="D43:D44"/>
    <mergeCell ref="E43:E44"/>
    <mergeCell ref="F43:F44"/>
    <mergeCell ref="G43:G44"/>
    <mergeCell ref="D36:D37"/>
    <mergeCell ref="E36:E37"/>
    <mergeCell ref="F36:F37"/>
    <mergeCell ref="G36:G37"/>
    <mergeCell ref="I36:I37"/>
    <mergeCell ref="D34:D35"/>
    <mergeCell ref="E34:E35"/>
    <mergeCell ref="F34:F35"/>
    <mergeCell ref="G34:G35"/>
    <mergeCell ref="I34:I35"/>
    <mergeCell ref="D32:D33"/>
    <mergeCell ref="E32:E33"/>
    <mergeCell ref="F32:F33"/>
    <mergeCell ref="G32:G33"/>
    <mergeCell ref="I32:I33"/>
    <mergeCell ref="D30:D31"/>
    <mergeCell ref="E30:E31"/>
    <mergeCell ref="F30:F31"/>
    <mergeCell ref="G30:G31"/>
    <mergeCell ref="I30:I31"/>
    <mergeCell ref="D28:D29"/>
    <mergeCell ref="E28:E29"/>
    <mergeCell ref="F28:F29"/>
    <mergeCell ref="G28:G29"/>
    <mergeCell ref="I28:I29"/>
    <mergeCell ref="D26:D27"/>
    <mergeCell ref="E26:E27"/>
    <mergeCell ref="F26:F27"/>
    <mergeCell ref="G26:G27"/>
    <mergeCell ref="I26:I27"/>
    <mergeCell ref="D24:D25"/>
    <mergeCell ref="E24:E25"/>
    <mergeCell ref="F24:F25"/>
    <mergeCell ref="G24:G25"/>
    <mergeCell ref="I24:I25"/>
    <mergeCell ref="D22:D23"/>
    <mergeCell ref="E22:E23"/>
    <mergeCell ref="F22:F23"/>
    <mergeCell ref="G22:G23"/>
    <mergeCell ref="I22:I23"/>
    <mergeCell ref="D20:D21"/>
    <mergeCell ref="E20:E21"/>
    <mergeCell ref="F20:F21"/>
    <mergeCell ref="G20:G21"/>
    <mergeCell ref="I20:I21"/>
    <mergeCell ref="D18:D19"/>
    <mergeCell ref="E18:E19"/>
    <mergeCell ref="F18:F19"/>
    <mergeCell ref="G18:G19"/>
    <mergeCell ref="I18:I19"/>
    <mergeCell ref="D16:D17"/>
    <mergeCell ref="E16:E17"/>
    <mergeCell ref="F16:F17"/>
    <mergeCell ref="G16:G17"/>
    <mergeCell ref="I16:I17"/>
    <mergeCell ref="D14:D15"/>
    <mergeCell ref="E14:E15"/>
    <mergeCell ref="F14:F15"/>
    <mergeCell ref="G14:G15"/>
    <mergeCell ref="I14:I15"/>
    <mergeCell ref="D12:D13"/>
    <mergeCell ref="E12:E13"/>
    <mergeCell ref="F12:F13"/>
    <mergeCell ref="G12:G13"/>
    <mergeCell ref="I12:I13"/>
    <mergeCell ref="D10:D11"/>
    <mergeCell ref="E10:E11"/>
    <mergeCell ref="F10:F11"/>
    <mergeCell ref="G10:G11"/>
    <mergeCell ref="I10:I11"/>
    <mergeCell ref="I6:I7"/>
    <mergeCell ref="D8:D9"/>
    <mergeCell ref="E8:E9"/>
    <mergeCell ref="F8:F9"/>
    <mergeCell ref="G8:G9"/>
    <mergeCell ref="I8:I9"/>
    <mergeCell ref="D1:G1"/>
    <mergeCell ref="B5:C5"/>
    <mergeCell ref="D6:D7"/>
    <mergeCell ref="E6:E7"/>
    <mergeCell ref="F6:F7"/>
    <mergeCell ref="G6:G7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447BF-E5D7-459E-9F1E-3C28DC211487}">
  <sheetPr codeName="Sheet4">
    <pageSetUpPr fitToPage="1"/>
  </sheetPr>
  <dimension ref="A1:K37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60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226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94</v>
      </c>
      <c r="J5" s="117" t="s">
        <v>95</v>
      </c>
      <c r="K5" s="69"/>
    </row>
    <row r="6" spans="1:11" ht="15.6" customHeight="1">
      <c r="A6" s="69"/>
      <c r="B6" s="222" t="s">
        <v>153</v>
      </c>
      <c r="C6" s="166"/>
      <c r="D6" s="517" t="s">
        <v>169</v>
      </c>
      <c r="E6" s="519">
        <v>1</v>
      </c>
      <c r="F6" s="521">
        <v>40000</v>
      </c>
      <c r="G6" s="523">
        <v>40000</v>
      </c>
      <c r="H6" s="351" t="s">
        <v>193</v>
      </c>
      <c r="I6" s="351"/>
      <c r="J6" s="223"/>
      <c r="K6" s="69" t="s">
        <v>96</v>
      </c>
    </row>
    <row r="7" spans="1:11" ht="15.6" customHeight="1">
      <c r="A7" s="69"/>
      <c r="B7" s="224" t="s">
        <v>168</v>
      </c>
      <c r="C7" s="225"/>
      <c r="D7" s="518"/>
      <c r="E7" s="520"/>
      <c r="F7" s="522"/>
      <c r="G7" s="524"/>
      <c r="H7" s="352" t="s">
        <v>194</v>
      </c>
      <c r="I7" s="352"/>
      <c r="J7" s="226"/>
      <c r="K7" s="69" t="s">
        <v>96</v>
      </c>
    </row>
    <row r="8" spans="1:11" ht="15.6" customHeight="1">
      <c r="A8" s="69"/>
      <c r="B8" s="222" t="s">
        <v>154</v>
      </c>
      <c r="C8" s="166"/>
      <c r="D8" s="517" t="s">
        <v>170</v>
      </c>
      <c r="E8" s="519">
        <v>1391</v>
      </c>
      <c r="F8" s="521">
        <v>941</v>
      </c>
      <c r="G8" s="523">
        <v>1308931</v>
      </c>
      <c r="H8" s="351" t="s">
        <v>197</v>
      </c>
      <c r="I8" s="351"/>
      <c r="J8" s="227"/>
      <c r="K8" s="69" t="s">
        <v>96</v>
      </c>
    </row>
    <row r="9" spans="1:11" ht="15.6" customHeight="1">
      <c r="A9" s="69"/>
      <c r="B9" s="224"/>
      <c r="C9" s="225"/>
      <c r="D9" s="518"/>
      <c r="E9" s="520"/>
      <c r="F9" s="522"/>
      <c r="G9" s="524"/>
      <c r="H9" s="352" t="s">
        <v>194</v>
      </c>
      <c r="I9" s="352"/>
      <c r="J9" s="227"/>
      <c r="K9" s="69" t="s">
        <v>96</v>
      </c>
    </row>
    <row r="10" spans="1:11" ht="15.6" customHeight="1">
      <c r="A10" s="69"/>
      <c r="B10" s="222" t="s">
        <v>155</v>
      </c>
      <c r="C10" s="166"/>
      <c r="D10" s="517" t="s">
        <v>170</v>
      </c>
      <c r="E10" s="519">
        <v>119</v>
      </c>
      <c r="F10" s="521">
        <v>2689</v>
      </c>
      <c r="G10" s="523">
        <v>319991</v>
      </c>
      <c r="H10" s="351" t="s">
        <v>199</v>
      </c>
      <c r="I10" s="351"/>
      <c r="J10" s="223"/>
      <c r="K10" s="69" t="s">
        <v>96</v>
      </c>
    </row>
    <row r="11" spans="1:11" ht="15.6" customHeight="1">
      <c r="A11" s="69"/>
      <c r="B11" s="224"/>
      <c r="C11" s="225"/>
      <c r="D11" s="518"/>
      <c r="E11" s="520"/>
      <c r="F11" s="522"/>
      <c r="G11" s="524"/>
      <c r="H11" s="352" t="s">
        <v>194</v>
      </c>
      <c r="I11" s="352"/>
      <c r="J11" s="226"/>
      <c r="K11" s="69" t="s">
        <v>96</v>
      </c>
    </row>
    <row r="12" spans="1:11" ht="15.6" customHeight="1">
      <c r="A12" s="69"/>
      <c r="B12" s="222" t="s">
        <v>156</v>
      </c>
      <c r="C12" s="166"/>
      <c r="D12" s="517" t="s">
        <v>170</v>
      </c>
      <c r="E12" s="519">
        <v>771</v>
      </c>
      <c r="F12" s="521">
        <v>3009</v>
      </c>
      <c r="G12" s="523">
        <v>2319939</v>
      </c>
      <c r="H12" s="351" t="s">
        <v>202</v>
      </c>
      <c r="I12" s="351"/>
      <c r="J12" s="223"/>
      <c r="K12" s="69" t="s">
        <v>96</v>
      </c>
    </row>
    <row r="13" spans="1:11" ht="15.6" customHeight="1">
      <c r="A13" s="69"/>
      <c r="B13" s="224" t="s">
        <v>171</v>
      </c>
      <c r="C13" s="225"/>
      <c r="D13" s="518"/>
      <c r="E13" s="520"/>
      <c r="F13" s="522"/>
      <c r="G13" s="524"/>
      <c r="H13" s="352" t="s">
        <v>194</v>
      </c>
      <c r="I13" s="352"/>
      <c r="J13" s="226"/>
      <c r="K13" s="69" t="s">
        <v>96</v>
      </c>
    </row>
    <row r="14" spans="1:11" ht="15.6" customHeight="1">
      <c r="A14" s="69"/>
      <c r="B14" s="222" t="s">
        <v>157</v>
      </c>
      <c r="C14" s="166"/>
      <c r="D14" s="517" t="s">
        <v>170</v>
      </c>
      <c r="E14" s="519">
        <v>620</v>
      </c>
      <c r="F14" s="521">
        <v>2258</v>
      </c>
      <c r="G14" s="523">
        <v>1399960</v>
      </c>
      <c r="H14" s="351" t="s">
        <v>205</v>
      </c>
      <c r="I14" s="351"/>
      <c r="J14" s="223"/>
      <c r="K14" s="69" t="s">
        <v>96</v>
      </c>
    </row>
    <row r="15" spans="1:11" ht="15.6" customHeight="1">
      <c r="A15" s="69"/>
      <c r="B15" s="224" t="s">
        <v>172</v>
      </c>
      <c r="C15" s="225"/>
      <c r="D15" s="518"/>
      <c r="E15" s="520"/>
      <c r="F15" s="522"/>
      <c r="G15" s="524"/>
      <c r="H15" s="352" t="s">
        <v>194</v>
      </c>
      <c r="I15" s="352"/>
      <c r="J15" s="226"/>
      <c r="K15" s="69" t="s">
        <v>96</v>
      </c>
    </row>
    <row r="16" spans="1:11" ht="15.6" customHeight="1">
      <c r="A16" s="69"/>
      <c r="B16" s="222" t="s">
        <v>158</v>
      </c>
      <c r="C16" s="166"/>
      <c r="D16" s="517" t="s">
        <v>170</v>
      </c>
      <c r="E16" s="519">
        <v>620</v>
      </c>
      <c r="F16" s="521">
        <v>2451</v>
      </c>
      <c r="G16" s="523">
        <v>1519620</v>
      </c>
      <c r="H16" s="351" t="s">
        <v>208</v>
      </c>
      <c r="I16" s="351"/>
      <c r="J16" s="223"/>
      <c r="K16" s="69" t="s">
        <v>96</v>
      </c>
    </row>
    <row r="17" spans="1:11" ht="15.6" customHeight="1">
      <c r="A17" s="69"/>
      <c r="B17" s="224" t="s">
        <v>173</v>
      </c>
      <c r="C17" s="225"/>
      <c r="D17" s="518"/>
      <c r="E17" s="520"/>
      <c r="F17" s="522"/>
      <c r="G17" s="524"/>
      <c r="H17" s="352" t="s">
        <v>194</v>
      </c>
      <c r="I17" s="352"/>
      <c r="J17" s="226"/>
      <c r="K17" s="69" t="s">
        <v>96</v>
      </c>
    </row>
    <row r="18" spans="1:11" ht="15.6" customHeight="1">
      <c r="A18" s="69"/>
      <c r="B18" s="222" t="s">
        <v>159</v>
      </c>
      <c r="C18" s="166"/>
      <c r="D18" s="517" t="s">
        <v>169</v>
      </c>
      <c r="E18" s="519">
        <v>1</v>
      </c>
      <c r="F18" s="521">
        <v>270000</v>
      </c>
      <c r="G18" s="523">
        <v>270000</v>
      </c>
      <c r="H18" s="351" t="s">
        <v>210</v>
      </c>
      <c r="I18" s="351"/>
      <c r="J18" s="223"/>
      <c r="K18" s="69" t="s">
        <v>96</v>
      </c>
    </row>
    <row r="19" spans="1:11" ht="15.6" customHeight="1">
      <c r="A19" s="69"/>
      <c r="B19" s="224"/>
      <c r="C19" s="225"/>
      <c r="D19" s="518"/>
      <c r="E19" s="520"/>
      <c r="F19" s="522"/>
      <c r="G19" s="524"/>
      <c r="H19" s="352" t="s">
        <v>194</v>
      </c>
      <c r="I19" s="352"/>
      <c r="J19" s="226"/>
      <c r="K19" s="69" t="s">
        <v>96</v>
      </c>
    </row>
    <row r="20" spans="1:11" ht="15.6" customHeight="1">
      <c r="A20" s="69"/>
      <c r="B20" s="222" t="s">
        <v>160</v>
      </c>
      <c r="C20" s="166"/>
      <c r="D20" s="517" t="s">
        <v>169</v>
      </c>
      <c r="E20" s="519">
        <v>1</v>
      </c>
      <c r="F20" s="521">
        <v>1559</v>
      </c>
      <c r="G20" s="523">
        <v>1559</v>
      </c>
      <c r="H20" s="351" t="s">
        <v>212</v>
      </c>
      <c r="I20" s="351"/>
      <c r="J20" s="223"/>
      <c r="K20" s="69" t="s">
        <v>96</v>
      </c>
    </row>
    <row r="21" spans="1:11" ht="15.6" customHeight="1">
      <c r="A21" s="69"/>
      <c r="B21" s="224"/>
      <c r="C21" s="225"/>
      <c r="D21" s="518"/>
      <c r="E21" s="520"/>
      <c r="F21" s="522"/>
      <c r="G21" s="524"/>
      <c r="H21" s="352" t="s">
        <v>194</v>
      </c>
      <c r="I21" s="352"/>
      <c r="J21" s="226"/>
      <c r="K21" s="69" t="s">
        <v>96</v>
      </c>
    </row>
    <row r="22" spans="1:11" ht="15.6" customHeight="1">
      <c r="A22" s="69"/>
      <c r="B22" s="222" t="s">
        <v>161</v>
      </c>
      <c r="C22" s="166"/>
      <c r="D22" s="517" t="s">
        <v>170</v>
      </c>
      <c r="E22" s="519">
        <v>60</v>
      </c>
      <c r="F22" s="521">
        <v>3666</v>
      </c>
      <c r="G22" s="523">
        <v>219960</v>
      </c>
      <c r="H22" s="351" t="s">
        <v>215</v>
      </c>
      <c r="I22" s="351"/>
      <c r="J22" s="223"/>
      <c r="K22" s="69" t="s">
        <v>96</v>
      </c>
    </row>
    <row r="23" spans="1:11" ht="15.6" customHeight="1">
      <c r="A23" s="69"/>
      <c r="B23" s="224" t="s">
        <v>174</v>
      </c>
      <c r="C23" s="225"/>
      <c r="D23" s="518"/>
      <c r="E23" s="520"/>
      <c r="F23" s="522"/>
      <c r="G23" s="524"/>
      <c r="H23" s="352" t="s">
        <v>194</v>
      </c>
      <c r="I23" s="352"/>
      <c r="J23" s="226"/>
      <c r="K23" s="69" t="s">
        <v>96</v>
      </c>
    </row>
    <row r="24" spans="1:11" ht="15.6" customHeight="1">
      <c r="A24" s="69"/>
      <c r="B24" s="222" t="s">
        <v>162</v>
      </c>
      <c r="C24" s="166"/>
      <c r="D24" s="517" t="s">
        <v>169</v>
      </c>
      <c r="E24" s="519">
        <v>1</v>
      </c>
      <c r="F24" s="521">
        <v>40</v>
      </c>
      <c r="G24" s="523">
        <v>40</v>
      </c>
      <c r="H24" s="351" t="s">
        <v>217</v>
      </c>
      <c r="I24" s="351"/>
      <c r="J24" s="223"/>
      <c r="K24" s="69" t="s">
        <v>96</v>
      </c>
    </row>
    <row r="25" spans="1:11" ht="15.6" customHeight="1">
      <c r="A25" s="69"/>
      <c r="B25" s="224"/>
      <c r="C25" s="225"/>
      <c r="D25" s="518"/>
      <c r="E25" s="520"/>
      <c r="F25" s="522"/>
      <c r="G25" s="524"/>
      <c r="H25" s="352" t="s">
        <v>194</v>
      </c>
      <c r="I25" s="352"/>
      <c r="J25" s="226"/>
      <c r="K25" s="69" t="s">
        <v>96</v>
      </c>
    </row>
    <row r="26" spans="1:11" ht="15.6" customHeight="1">
      <c r="A26" s="69"/>
      <c r="B26" s="222"/>
      <c r="C26" s="166"/>
      <c r="D26" s="517"/>
      <c r="E26" s="519"/>
      <c r="F26" s="521"/>
      <c r="G26" s="523"/>
      <c r="H26" s="351"/>
      <c r="I26" s="351"/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352"/>
      <c r="J27" s="226"/>
      <c r="K27" s="69" t="s">
        <v>96</v>
      </c>
    </row>
    <row r="28" spans="1:11" ht="15.6" customHeight="1">
      <c r="A28" s="69"/>
      <c r="B28" s="222" t="s">
        <v>225</v>
      </c>
      <c r="C28" s="166"/>
      <c r="D28" s="517"/>
      <c r="E28" s="519"/>
      <c r="F28" s="521"/>
      <c r="G28" s="523">
        <v>7400000</v>
      </c>
      <c r="H28" s="351"/>
      <c r="I28" s="351"/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352"/>
      <c r="J29" s="226"/>
      <c r="K29" s="69" t="s">
        <v>96</v>
      </c>
    </row>
    <row r="30" spans="1:11" ht="15.6" customHeight="1">
      <c r="A30" s="69"/>
      <c r="B30" s="222"/>
      <c r="C30" s="166"/>
      <c r="D30" s="517"/>
      <c r="E30" s="519"/>
      <c r="F30" s="521"/>
      <c r="G30" s="523"/>
      <c r="H30" s="351"/>
      <c r="I30" s="351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352"/>
      <c r="J31" s="226"/>
      <c r="K31" s="69" t="s">
        <v>96</v>
      </c>
    </row>
    <row r="32" spans="1:11" ht="15.6" customHeight="1">
      <c r="A32" s="69"/>
      <c r="B32" s="222"/>
      <c r="C32" s="166"/>
      <c r="D32" s="532"/>
      <c r="E32" s="519"/>
      <c r="F32" s="521"/>
      <c r="G32" s="523"/>
      <c r="H32" s="351"/>
      <c r="I32" s="351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352"/>
      <c r="J33" s="226"/>
      <c r="K33" s="69" t="s">
        <v>96</v>
      </c>
    </row>
    <row r="34" spans="1:11" ht="15.6" customHeight="1">
      <c r="A34" s="69"/>
      <c r="B34" s="222"/>
      <c r="C34" s="166"/>
      <c r="D34" s="517"/>
      <c r="E34" s="519"/>
      <c r="F34" s="521"/>
      <c r="G34" s="523"/>
      <c r="H34" s="351"/>
      <c r="I34" s="351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352"/>
      <c r="J35" s="226"/>
      <c r="K35" s="69" t="s">
        <v>96</v>
      </c>
    </row>
    <row r="36" spans="1:11" ht="15.6" customHeight="1">
      <c r="A36" s="69"/>
      <c r="B36" s="301"/>
      <c r="C36" s="302"/>
      <c r="D36" s="517"/>
      <c r="E36" s="519"/>
      <c r="F36" s="521"/>
      <c r="G36" s="523"/>
      <c r="H36" s="351"/>
      <c r="I36" s="351"/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353"/>
      <c r="J37" s="230"/>
      <c r="K37" s="69" t="s">
        <v>96</v>
      </c>
    </row>
  </sheetData>
  <mergeCells count="66">
    <mergeCell ref="D34:D35"/>
    <mergeCell ref="E34:E35"/>
    <mergeCell ref="F34:F35"/>
    <mergeCell ref="G34:G35"/>
    <mergeCell ref="D36:D37"/>
    <mergeCell ref="E36:E37"/>
    <mergeCell ref="F36:F37"/>
    <mergeCell ref="G36:G37"/>
    <mergeCell ref="D30:D31"/>
    <mergeCell ref="E30:E31"/>
    <mergeCell ref="F30:F31"/>
    <mergeCell ref="G30:G31"/>
    <mergeCell ref="D32:D33"/>
    <mergeCell ref="E32:E33"/>
    <mergeCell ref="F32:F33"/>
    <mergeCell ref="G32:G33"/>
    <mergeCell ref="D26:D27"/>
    <mergeCell ref="E26:E27"/>
    <mergeCell ref="F26:F27"/>
    <mergeCell ref="G26:G27"/>
    <mergeCell ref="D28:D29"/>
    <mergeCell ref="E28:E29"/>
    <mergeCell ref="F28:F29"/>
    <mergeCell ref="G28:G29"/>
    <mergeCell ref="D22:D23"/>
    <mergeCell ref="E22:E23"/>
    <mergeCell ref="F22:F23"/>
    <mergeCell ref="G22:G23"/>
    <mergeCell ref="D24:D25"/>
    <mergeCell ref="E24:E25"/>
    <mergeCell ref="F24:F25"/>
    <mergeCell ref="G24:G25"/>
    <mergeCell ref="D18:D19"/>
    <mergeCell ref="E18:E19"/>
    <mergeCell ref="F18:F19"/>
    <mergeCell ref="G18:G19"/>
    <mergeCell ref="D20:D21"/>
    <mergeCell ref="E20:E21"/>
    <mergeCell ref="F20:F21"/>
    <mergeCell ref="G20:G21"/>
    <mergeCell ref="D14:D15"/>
    <mergeCell ref="E14:E15"/>
    <mergeCell ref="F14:F15"/>
    <mergeCell ref="G14:G15"/>
    <mergeCell ref="D16:D17"/>
    <mergeCell ref="E16:E17"/>
    <mergeCell ref="F16:F17"/>
    <mergeCell ref="G16:G17"/>
    <mergeCell ref="D10:D11"/>
    <mergeCell ref="E10:E11"/>
    <mergeCell ref="F10:F11"/>
    <mergeCell ref="G10:G11"/>
    <mergeCell ref="D12:D13"/>
    <mergeCell ref="E12:E13"/>
    <mergeCell ref="F12:F13"/>
    <mergeCell ref="G12:G13"/>
    <mergeCell ref="D6:D7"/>
    <mergeCell ref="E6:E7"/>
    <mergeCell ref="F6:F7"/>
    <mergeCell ref="G6:G7"/>
    <mergeCell ref="D8:D9"/>
    <mergeCell ref="E8:E9"/>
    <mergeCell ref="F8:F9"/>
    <mergeCell ref="G8:G9"/>
    <mergeCell ref="D1:G1"/>
    <mergeCell ref="B5:C5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pageSetUpPr fitToPage="1"/>
  </sheetPr>
  <dimension ref="A1:AF89"/>
  <sheetViews>
    <sheetView tabSelected="1" zoomScaleNormal="100" zoomScaleSheetLayoutView="85" workbookViewId="0">
      <pane xSplit="4" ySplit="4" topLeftCell="E62" activePane="bottomRight" state="frozen"/>
      <selection pane="topRight"/>
      <selection pane="bottomLeft"/>
      <selection pane="bottomRight" activeCell="AE7" sqref="AE7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23-0226　★R4 電線地中化促進工事 公共 R5 電線地中化促進工事 県単 合併</v>
      </c>
      <c r="G1" s="306"/>
      <c r="H1" s="190" t="s">
        <v>139</v>
      </c>
      <c r="I1" s="333">
        <v>11200000</v>
      </c>
      <c r="J1" s="339">
        <f>I4/I$1</f>
        <v>0.87428571428571433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140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382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227</v>
      </c>
      <c r="D4" s="340" t="s">
        <v>184</v>
      </c>
      <c r="E4" s="342"/>
      <c r="F4" s="345" t="s">
        <v>169</v>
      </c>
      <c r="G4" s="308">
        <v>1</v>
      </c>
      <c r="H4" s="309">
        <v>9792000</v>
      </c>
      <c r="I4" s="309">
        <v>9792000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10">
        <v>0</v>
      </c>
      <c r="P4" s="311">
        <v>0</v>
      </c>
      <c r="Q4" s="311">
        <v>0</v>
      </c>
      <c r="R4" s="211">
        <v>0</v>
      </c>
      <c r="S4" s="212"/>
      <c r="T4" s="213" t="e">
        <v>#DIV/0!</v>
      </c>
      <c r="U4" s="214"/>
      <c r="V4" s="215"/>
      <c r="W4" s="310">
        <v>0</v>
      </c>
      <c r="X4" s="311">
        <v>0</v>
      </c>
      <c r="Y4" s="311">
        <v>0</v>
      </c>
      <c r="Z4" s="211">
        <v>0</v>
      </c>
      <c r="AA4" s="212"/>
      <c r="AB4" s="213" t="e">
        <v>#DIV/0!</v>
      </c>
      <c r="AC4" s="214"/>
      <c r="AD4" s="215"/>
      <c r="AE4" s="342"/>
      <c r="AF4" s="341"/>
    </row>
    <row r="5" spans="1:32">
      <c r="A5" s="307">
        <v>1</v>
      </c>
      <c r="B5" s="342"/>
      <c r="C5" s="342" t="s">
        <v>228</v>
      </c>
      <c r="D5" s="340" t="s">
        <v>229</v>
      </c>
      <c r="E5" s="342"/>
      <c r="F5" s="345" t="s">
        <v>169</v>
      </c>
      <c r="G5" s="308">
        <v>1</v>
      </c>
      <c r="H5" s="309">
        <v>7400000</v>
      </c>
      <c r="I5" s="309">
        <v>7400000</v>
      </c>
      <c r="J5" s="211"/>
      <c r="K5" s="212" t="str">
        <f>IF(OR(J5="",G5=J5),"","*")</f>
        <v/>
      </c>
      <c r="L5" s="338">
        <f>IF($A5&lt;=L$1,I5/I$4,"")</f>
        <v>0.75571895424836599</v>
      </c>
      <c r="M5" s="343"/>
      <c r="N5" s="344"/>
      <c r="O5" s="310">
        <v>0</v>
      </c>
      <c r="P5" s="311">
        <v>0</v>
      </c>
      <c r="Q5" s="311">
        <v>0</v>
      </c>
      <c r="R5" s="211">
        <v>0</v>
      </c>
      <c r="S5" s="212"/>
      <c r="T5" s="213" t="e">
        <v>#DIV/0!</v>
      </c>
      <c r="U5" s="214"/>
      <c r="V5" s="215"/>
      <c r="W5" s="310">
        <v>0</v>
      </c>
      <c r="X5" s="311">
        <v>0</v>
      </c>
      <c r="Y5" s="311">
        <v>0</v>
      </c>
      <c r="Z5" s="211">
        <v>0</v>
      </c>
      <c r="AA5" s="212"/>
      <c r="AB5" s="213" t="e">
        <v>#DIV/0!</v>
      </c>
      <c r="AC5" s="214"/>
      <c r="AD5" s="215"/>
      <c r="AE5" s="342"/>
      <c r="AF5" s="341"/>
    </row>
    <row r="6" spans="1:32">
      <c r="A6" s="307">
        <v>2</v>
      </c>
      <c r="B6" s="342"/>
      <c r="C6" s="342" t="s">
        <v>230</v>
      </c>
      <c r="D6" s="340" t="s">
        <v>231</v>
      </c>
      <c r="E6" s="342" t="s">
        <v>168</v>
      </c>
      <c r="F6" s="345" t="s">
        <v>169</v>
      </c>
      <c r="G6" s="308">
        <v>1</v>
      </c>
      <c r="H6" s="309">
        <v>40000</v>
      </c>
      <c r="I6" s="309">
        <v>40000</v>
      </c>
      <c r="J6" s="211">
        <v>1</v>
      </c>
      <c r="K6" s="212" t="str">
        <f>IF(OR(J6="",G6=J6),"","*")</f>
        <v/>
      </c>
      <c r="L6" s="338">
        <f>IF($A6&lt;=L$1,I6/I$4,"")</f>
        <v>4.0849673202614381E-3</v>
      </c>
      <c r="M6" s="343"/>
      <c r="N6" s="344" t="s">
        <v>232</v>
      </c>
      <c r="O6" s="310">
        <v>0</v>
      </c>
      <c r="P6" s="311">
        <v>0</v>
      </c>
      <c r="Q6" s="311">
        <v>0</v>
      </c>
      <c r="R6" s="211">
        <v>0</v>
      </c>
      <c r="S6" s="212"/>
      <c r="T6" s="213" t="e">
        <v>#DIV/0!</v>
      </c>
      <c r="U6" s="214"/>
      <c r="V6" s="215"/>
      <c r="W6" s="310">
        <v>0</v>
      </c>
      <c r="X6" s="311">
        <v>0</v>
      </c>
      <c r="Y6" s="311">
        <v>0</v>
      </c>
      <c r="Z6" s="211">
        <v>0</v>
      </c>
      <c r="AA6" s="212"/>
      <c r="AB6" s="213" t="e">
        <v>#DIV/0!</v>
      </c>
      <c r="AC6" s="214"/>
      <c r="AD6" s="215"/>
      <c r="AE6" s="342"/>
      <c r="AF6" s="341"/>
    </row>
    <row r="7" spans="1:32">
      <c r="A7" s="307">
        <v>3</v>
      </c>
      <c r="B7" s="342"/>
      <c r="C7" s="342" t="s">
        <v>178</v>
      </c>
      <c r="D7" s="340" t="s">
        <v>233</v>
      </c>
      <c r="E7" s="342" t="s">
        <v>234</v>
      </c>
      <c r="F7" s="345" t="s">
        <v>169</v>
      </c>
      <c r="G7" s="308">
        <v>1</v>
      </c>
      <c r="H7" s="309">
        <v>13000</v>
      </c>
      <c r="I7" s="309">
        <v>13000</v>
      </c>
      <c r="J7" s="211"/>
      <c r="K7" s="212" t="str">
        <f>IF(OR(J7="",G7=J7),"","*")</f>
        <v/>
      </c>
      <c r="L7" s="338">
        <f>IF($A7&lt;=L$1,I7/I$4,"")</f>
        <v>1.3276143790849674E-3</v>
      </c>
      <c r="M7" s="343"/>
      <c r="N7" s="344"/>
      <c r="O7" s="310">
        <v>0</v>
      </c>
      <c r="P7" s="311">
        <v>0</v>
      </c>
      <c r="Q7" s="311">
        <v>0</v>
      </c>
      <c r="R7" s="211">
        <v>0</v>
      </c>
      <c r="S7" s="212"/>
      <c r="T7" s="213" t="e">
        <v>#DIV/0!</v>
      </c>
      <c r="U7" s="214"/>
      <c r="V7" s="215"/>
      <c r="W7" s="310">
        <v>0</v>
      </c>
      <c r="X7" s="311">
        <v>0</v>
      </c>
      <c r="Y7" s="311">
        <v>0</v>
      </c>
      <c r="Z7" s="211">
        <v>0</v>
      </c>
      <c r="AA7" s="212"/>
      <c r="AB7" s="213" t="e">
        <v>#DIV/0!</v>
      </c>
      <c r="AC7" s="214"/>
      <c r="AD7" s="215"/>
      <c r="AE7" s="342" t="s">
        <v>235</v>
      </c>
      <c r="AF7" s="341"/>
    </row>
    <row r="8" spans="1:32">
      <c r="A8" s="307">
        <v>3</v>
      </c>
      <c r="B8" s="342"/>
      <c r="C8" s="342" t="s">
        <v>178</v>
      </c>
      <c r="D8" s="340" t="s">
        <v>236</v>
      </c>
      <c r="E8" s="342" t="s">
        <v>234</v>
      </c>
      <c r="F8" s="345" t="s">
        <v>169</v>
      </c>
      <c r="G8" s="308">
        <v>1</v>
      </c>
      <c r="H8" s="309">
        <v>12000</v>
      </c>
      <c r="I8" s="309">
        <v>12000</v>
      </c>
      <c r="J8" s="211"/>
      <c r="K8" s="212" t="str">
        <f>IF(OR(J8="",G8=J8),"","*")</f>
        <v/>
      </c>
      <c r="L8" s="338">
        <f>IF($A8&lt;=L$1,I8/I$4,"")</f>
        <v>1.2254901960784314E-3</v>
      </c>
      <c r="M8" s="343"/>
      <c r="N8" s="344"/>
      <c r="O8" s="310">
        <v>0</v>
      </c>
      <c r="P8" s="311">
        <v>0</v>
      </c>
      <c r="Q8" s="311">
        <v>0</v>
      </c>
      <c r="R8" s="211">
        <v>0</v>
      </c>
      <c r="S8" s="212"/>
      <c r="T8" s="213" t="e">
        <v>#DIV/0!</v>
      </c>
      <c r="U8" s="214"/>
      <c r="V8" s="215"/>
      <c r="W8" s="310">
        <v>0</v>
      </c>
      <c r="X8" s="311">
        <v>0</v>
      </c>
      <c r="Y8" s="311">
        <v>0</v>
      </c>
      <c r="Z8" s="211">
        <v>0</v>
      </c>
      <c r="AA8" s="212"/>
      <c r="AB8" s="213" t="e">
        <v>#DIV/0!</v>
      </c>
      <c r="AC8" s="214"/>
      <c r="AD8" s="215"/>
      <c r="AE8" s="342" t="s">
        <v>237</v>
      </c>
      <c r="AF8" s="341"/>
    </row>
    <row r="9" spans="1:32">
      <c r="A9" s="307">
        <v>3</v>
      </c>
      <c r="B9" s="342"/>
      <c r="C9" s="342" t="s">
        <v>178</v>
      </c>
      <c r="D9" s="340" t="s">
        <v>238</v>
      </c>
      <c r="E9" s="342"/>
      <c r="F9" s="345" t="s">
        <v>169</v>
      </c>
      <c r="G9" s="308">
        <v>1</v>
      </c>
      <c r="H9" s="309">
        <v>10000</v>
      </c>
      <c r="I9" s="309">
        <v>10000</v>
      </c>
      <c r="J9" s="211"/>
      <c r="K9" s="212" t="str">
        <f>IF(OR(J9="",G9=J9),"","*")</f>
        <v/>
      </c>
      <c r="L9" s="338">
        <f>IF($A9&lt;=L$1,I9/I$4,"")</f>
        <v>1.0212418300653595E-3</v>
      </c>
      <c r="M9" s="343"/>
      <c r="N9" s="344"/>
      <c r="O9" s="310">
        <v>0</v>
      </c>
      <c r="P9" s="311">
        <v>0</v>
      </c>
      <c r="Q9" s="311">
        <v>0</v>
      </c>
      <c r="R9" s="211">
        <v>0</v>
      </c>
      <c r="S9" s="212"/>
      <c r="T9" s="213" t="e">
        <v>#DIV/0!</v>
      </c>
      <c r="U9" s="214"/>
      <c r="V9" s="215"/>
      <c r="W9" s="310">
        <v>0</v>
      </c>
      <c r="X9" s="311">
        <v>0</v>
      </c>
      <c r="Y9" s="311">
        <v>0</v>
      </c>
      <c r="Z9" s="211">
        <v>0</v>
      </c>
      <c r="AA9" s="212"/>
      <c r="AB9" s="213" t="e">
        <v>#DIV/0!</v>
      </c>
      <c r="AC9" s="214"/>
      <c r="AD9" s="215"/>
      <c r="AE9" s="342" t="s">
        <v>239</v>
      </c>
      <c r="AF9" s="341"/>
    </row>
    <row r="10" spans="1:32">
      <c r="A10" s="307">
        <v>3</v>
      </c>
      <c r="B10" s="342"/>
      <c r="C10" s="342" t="s">
        <v>176</v>
      </c>
      <c r="D10" s="340" t="s">
        <v>240</v>
      </c>
      <c r="E10" s="342"/>
      <c r="F10" s="345" t="s">
        <v>169</v>
      </c>
      <c r="G10" s="308">
        <v>1</v>
      </c>
      <c r="H10" s="309">
        <v>5000</v>
      </c>
      <c r="I10" s="309">
        <v>5000</v>
      </c>
      <c r="J10" s="211"/>
      <c r="K10" s="212" t="str">
        <f>IF(OR(J10="",G10=J10),"","*")</f>
        <v/>
      </c>
      <c r="L10" s="338">
        <f>IF($A10&lt;=L$1,I10/I$4,"")</f>
        <v>5.1062091503267977E-4</v>
      </c>
      <c r="M10" s="343"/>
      <c r="N10" s="344"/>
      <c r="O10" s="310">
        <v>0</v>
      </c>
      <c r="P10" s="311">
        <v>0</v>
      </c>
      <c r="Q10" s="311">
        <v>0</v>
      </c>
      <c r="R10" s="211">
        <v>0</v>
      </c>
      <c r="S10" s="212"/>
      <c r="T10" s="213" t="e">
        <v>#DIV/0!</v>
      </c>
      <c r="U10" s="214"/>
      <c r="V10" s="215"/>
      <c r="W10" s="310">
        <v>0</v>
      </c>
      <c r="X10" s="311">
        <v>0</v>
      </c>
      <c r="Y10" s="311">
        <v>0</v>
      </c>
      <c r="Z10" s="211">
        <v>0</v>
      </c>
      <c r="AA10" s="212"/>
      <c r="AB10" s="213" t="e">
        <v>#DIV/0!</v>
      </c>
      <c r="AC10" s="214"/>
      <c r="AD10" s="215"/>
      <c r="AE10" s="342" t="s">
        <v>241</v>
      </c>
      <c r="AF10" s="341"/>
    </row>
    <row r="11" spans="1:32">
      <c r="A11" s="307">
        <v>2</v>
      </c>
      <c r="B11" s="342"/>
      <c r="C11" s="342" t="s">
        <v>230</v>
      </c>
      <c r="D11" s="340" t="s">
        <v>242</v>
      </c>
      <c r="E11" s="342"/>
      <c r="F11" s="345" t="s">
        <v>170</v>
      </c>
      <c r="G11" s="308">
        <v>1391</v>
      </c>
      <c r="H11" s="309">
        <v>941</v>
      </c>
      <c r="I11" s="309">
        <v>1308931</v>
      </c>
      <c r="J11" s="211">
        <v>1391</v>
      </c>
      <c r="K11" s="212" t="str">
        <f>IF(OR(J11="",G11=J11),"","*")</f>
        <v/>
      </c>
      <c r="L11" s="338">
        <f>IF($A11&lt;=L$1,I11/I$4,"")</f>
        <v>0.13367350898692809</v>
      </c>
      <c r="M11" s="343"/>
      <c r="N11" s="344" t="s">
        <v>243</v>
      </c>
      <c r="O11" s="310">
        <v>0</v>
      </c>
      <c r="P11" s="311">
        <v>0</v>
      </c>
      <c r="Q11" s="311">
        <v>0</v>
      </c>
      <c r="R11" s="211">
        <v>0</v>
      </c>
      <c r="S11" s="212"/>
      <c r="T11" s="213" t="e">
        <v>#DIV/0!</v>
      </c>
      <c r="U11" s="214"/>
      <c r="V11" s="215"/>
      <c r="W11" s="310">
        <v>0</v>
      </c>
      <c r="X11" s="311">
        <v>0</v>
      </c>
      <c r="Y11" s="311">
        <v>0</v>
      </c>
      <c r="Z11" s="211">
        <v>0</v>
      </c>
      <c r="AA11" s="212"/>
      <c r="AB11" s="213" t="e">
        <v>#DIV/0!</v>
      </c>
      <c r="AC11" s="214"/>
      <c r="AD11" s="215"/>
      <c r="AE11" s="342"/>
      <c r="AF11" s="341"/>
    </row>
    <row r="12" spans="1:32">
      <c r="A12" s="307">
        <v>3</v>
      </c>
      <c r="B12" s="342"/>
      <c r="C12" s="342" t="s">
        <v>176</v>
      </c>
      <c r="D12" s="340" t="s">
        <v>244</v>
      </c>
      <c r="E12" s="342"/>
      <c r="F12" s="345" t="s">
        <v>245</v>
      </c>
      <c r="G12" s="308">
        <v>80</v>
      </c>
      <c r="H12" s="309">
        <v>150</v>
      </c>
      <c r="I12" s="309">
        <v>12000</v>
      </c>
      <c r="J12" s="211"/>
      <c r="K12" s="212" t="str">
        <f>IF(OR(J12="",G12=J12),"","*")</f>
        <v/>
      </c>
      <c r="L12" s="338">
        <f>IF($A12&lt;=L$1,I12/I$4,"")</f>
        <v>1.2254901960784314E-3</v>
      </c>
      <c r="M12" s="343"/>
      <c r="N12" s="344"/>
      <c r="O12" s="310">
        <v>0</v>
      </c>
      <c r="P12" s="311">
        <v>0</v>
      </c>
      <c r="Q12" s="311">
        <v>0</v>
      </c>
      <c r="R12" s="211">
        <v>0</v>
      </c>
      <c r="S12" s="212"/>
      <c r="T12" s="213" t="e">
        <v>#DIV/0!</v>
      </c>
      <c r="U12" s="214"/>
      <c r="V12" s="215"/>
      <c r="W12" s="310">
        <v>0</v>
      </c>
      <c r="X12" s="311">
        <v>0</v>
      </c>
      <c r="Y12" s="311">
        <v>0</v>
      </c>
      <c r="Z12" s="211">
        <v>0</v>
      </c>
      <c r="AA12" s="212"/>
      <c r="AB12" s="213" t="e">
        <v>#DIV/0!</v>
      </c>
      <c r="AC12" s="214"/>
      <c r="AD12" s="215"/>
      <c r="AE12" s="342" t="s">
        <v>246</v>
      </c>
      <c r="AF12" s="341" t="s">
        <v>247</v>
      </c>
    </row>
    <row r="13" spans="1:32">
      <c r="A13" s="307">
        <v>3</v>
      </c>
      <c r="B13" s="342"/>
      <c r="C13" s="342" t="s">
        <v>176</v>
      </c>
      <c r="D13" s="340" t="s">
        <v>240</v>
      </c>
      <c r="E13" s="342"/>
      <c r="F13" s="345" t="s">
        <v>169</v>
      </c>
      <c r="G13" s="308">
        <v>1</v>
      </c>
      <c r="H13" s="309">
        <v>4700</v>
      </c>
      <c r="I13" s="309">
        <v>4700</v>
      </c>
      <c r="J13" s="211"/>
      <c r="K13" s="212" t="str">
        <f>IF(OR(J13="",G13=J13),"","*")</f>
        <v/>
      </c>
      <c r="L13" s="338">
        <f>IF($A13&lt;=L$1,I13/I$4,"")</f>
        <v>4.7998366013071893E-4</v>
      </c>
      <c r="M13" s="343"/>
      <c r="N13" s="344"/>
      <c r="O13" s="310">
        <v>0</v>
      </c>
      <c r="P13" s="311">
        <v>0</v>
      </c>
      <c r="Q13" s="311">
        <v>0</v>
      </c>
      <c r="R13" s="211">
        <v>0</v>
      </c>
      <c r="S13" s="212"/>
      <c r="T13" s="213" t="e">
        <v>#DIV/0!</v>
      </c>
      <c r="U13" s="214"/>
      <c r="V13" s="215"/>
      <c r="W13" s="310">
        <v>0</v>
      </c>
      <c r="X13" s="311">
        <v>0</v>
      </c>
      <c r="Y13" s="311">
        <v>0</v>
      </c>
      <c r="Z13" s="211">
        <v>0</v>
      </c>
      <c r="AA13" s="212"/>
      <c r="AB13" s="213" t="e">
        <v>#DIV/0!</v>
      </c>
      <c r="AC13" s="214"/>
      <c r="AD13" s="215"/>
      <c r="AE13" s="342" t="s">
        <v>241</v>
      </c>
      <c r="AF13" s="341"/>
    </row>
    <row r="14" spans="1:32">
      <c r="A14" s="307">
        <v>3</v>
      </c>
      <c r="B14" s="342"/>
      <c r="C14" s="342" t="s">
        <v>177</v>
      </c>
      <c r="D14" s="340" t="s">
        <v>248</v>
      </c>
      <c r="E14" s="342" t="s">
        <v>249</v>
      </c>
      <c r="F14" s="345" t="s">
        <v>250</v>
      </c>
      <c r="G14" s="308">
        <v>8</v>
      </c>
      <c r="H14" s="309">
        <v>26000</v>
      </c>
      <c r="I14" s="309">
        <v>208000</v>
      </c>
      <c r="J14" s="211"/>
      <c r="K14" s="212" t="str">
        <f>IF(OR(J14="",G14=J14),"","*")</f>
        <v/>
      </c>
      <c r="L14" s="338">
        <f>IF($A14&lt;=L$1,I14/I$4,"")</f>
        <v>2.1241830065359478E-2</v>
      </c>
      <c r="M14" s="343"/>
      <c r="N14" s="344"/>
      <c r="O14" s="310">
        <v>0</v>
      </c>
      <c r="P14" s="311">
        <v>0</v>
      </c>
      <c r="Q14" s="311">
        <v>0</v>
      </c>
      <c r="R14" s="211">
        <v>0</v>
      </c>
      <c r="S14" s="212"/>
      <c r="T14" s="213" t="e">
        <v>#DIV/0!</v>
      </c>
      <c r="U14" s="214"/>
      <c r="V14" s="215"/>
      <c r="W14" s="310">
        <v>0</v>
      </c>
      <c r="X14" s="311">
        <v>0</v>
      </c>
      <c r="Y14" s="311">
        <v>0</v>
      </c>
      <c r="Z14" s="211">
        <v>0</v>
      </c>
      <c r="AA14" s="212"/>
      <c r="AB14" s="213" t="e">
        <v>#DIV/0!</v>
      </c>
      <c r="AC14" s="214"/>
      <c r="AD14" s="215"/>
      <c r="AE14" s="342" t="s">
        <v>251</v>
      </c>
      <c r="AF14" s="341" t="s">
        <v>252</v>
      </c>
    </row>
    <row r="15" spans="1:32">
      <c r="A15" s="307">
        <v>3</v>
      </c>
      <c r="B15" s="342"/>
      <c r="C15" s="342" t="s">
        <v>179</v>
      </c>
      <c r="D15" s="340" t="s">
        <v>253</v>
      </c>
      <c r="E15" s="342" t="s">
        <v>254</v>
      </c>
      <c r="F15" s="345" t="s">
        <v>255</v>
      </c>
      <c r="G15" s="308">
        <v>1</v>
      </c>
      <c r="H15" s="309">
        <v>300000</v>
      </c>
      <c r="I15" s="309">
        <v>300000</v>
      </c>
      <c r="J15" s="211"/>
      <c r="K15" s="212" t="str">
        <f>IF(OR(J15="",G15=J15),"","*")</f>
        <v/>
      </c>
      <c r="L15" s="338">
        <f>IF($A15&lt;=L$1,I15/I$4,"")</f>
        <v>3.0637254901960783E-2</v>
      </c>
      <c r="M15" s="343"/>
      <c r="N15" s="344"/>
      <c r="O15" s="310">
        <v>0</v>
      </c>
      <c r="P15" s="311">
        <v>0</v>
      </c>
      <c r="Q15" s="311">
        <v>0</v>
      </c>
      <c r="R15" s="211">
        <v>0</v>
      </c>
      <c r="S15" s="212"/>
      <c r="T15" s="213" t="e">
        <v>#DIV/0!</v>
      </c>
      <c r="U15" s="214"/>
      <c r="V15" s="215"/>
      <c r="W15" s="310">
        <v>0</v>
      </c>
      <c r="X15" s="311">
        <v>0</v>
      </c>
      <c r="Y15" s="311">
        <v>0</v>
      </c>
      <c r="Z15" s="211">
        <v>0</v>
      </c>
      <c r="AA15" s="212"/>
      <c r="AB15" s="213" t="e">
        <v>#DIV/0!</v>
      </c>
      <c r="AC15" s="214"/>
      <c r="AD15" s="215"/>
      <c r="AE15" s="342" t="s">
        <v>256</v>
      </c>
      <c r="AF15" s="341" t="s">
        <v>257</v>
      </c>
    </row>
    <row r="16" spans="1:32">
      <c r="A16" s="307">
        <v>3</v>
      </c>
      <c r="B16" s="342"/>
      <c r="C16" s="342" t="s">
        <v>179</v>
      </c>
      <c r="D16" s="340" t="s">
        <v>258</v>
      </c>
      <c r="E16" s="342" t="s">
        <v>259</v>
      </c>
      <c r="F16" s="345" t="s">
        <v>255</v>
      </c>
      <c r="G16" s="308">
        <v>1</v>
      </c>
      <c r="H16" s="309">
        <v>120000</v>
      </c>
      <c r="I16" s="309">
        <v>120000</v>
      </c>
      <c r="J16" s="211"/>
      <c r="K16" s="212" t="str">
        <f>IF(OR(J16="",G16=J16),"","*")</f>
        <v/>
      </c>
      <c r="L16" s="338">
        <f>IF($A16&lt;=L$1,I16/I$4,"")</f>
        <v>1.2254901960784314E-2</v>
      </c>
      <c r="M16" s="343"/>
      <c r="N16" s="344"/>
      <c r="O16" s="310">
        <v>0</v>
      </c>
      <c r="P16" s="311">
        <v>0</v>
      </c>
      <c r="Q16" s="311">
        <v>0</v>
      </c>
      <c r="R16" s="211">
        <v>0</v>
      </c>
      <c r="S16" s="212"/>
      <c r="T16" s="213" t="e">
        <v>#DIV/0!</v>
      </c>
      <c r="U16" s="214"/>
      <c r="V16" s="215"/>
      <c r="W16" s="310">
        <v>0</v>
      </c>
      <c r="X16" s="311">
        <v>0</v>
      </c>
      <c r="Y16" s="311">
        <v>0</v>
      </c>
      <c r="Z16" s="211">
        <v>0</v>
      </c>
      <c r="AA16" s="212"/>
      <c r="AB16" s="213" t="e">
        <v>#DIV/0!</v>
      </c>
      <c r="AC16" s="214"/>
      <c r="AD16" s="215"/>
      <c r="AE16" s="342" t="s">
        <v>260</v>
      </c>
      <c r="AF16" s="341" t="s">
        <v>257</v>
      </c>
    </row>
    <row r="17" spans="1:32">
      <c r="A17" s="307">
        <v>3</v>
      </c>
      <c r="B17" s="342"/>
      <c r="C17" s="342" t="s">
        <v>179</v>
      </c>
      <c r="D17" s="340" t="s">
        <v>261</v>
      </c>
      <c r="E17" s="342" t="s">
        <v>262</v>
      </c>
      <c r="F17" s="345" t="s">
        <v>255</v>
      </c>
      <c r="G17" s="308">
        <v>1</v>
      </c>
      <c r="H17" s="309">
        <v>90000</v>
      </c>
      <c r="I17" s="309">
        <v>90000</v>
      </c>
      <c r="J17" s="211"/>
      <c r="K17" s="212" t="str">
        <f>IF(OR(J17="",G17=J17),"","*")</f>
        <v/>
      </c>
      <c r="L17" s="338">
        <f>IF($A17&lt;=L$1,I17/I$4,"")</f>
        <v>9.1911764705882356E-3</v>
      </c>
      <c r="M17" s="343"/>
      <c r="N17" s="344"/>
      <c r="O17" s="310">
        <v>0</v>
      </c>
      <c r="P17" s="311">
        <v>0</v>
      </c>
      <c r="Q17" s="311">
        <v>0</v>
      </c>
      <c r="R17" s="211">
        <v>0</v>
      </c>
      <c r="S17" s="212"/>
      <c r="T17" s="213" t="e">
        <v>#DIV/0!</v>
      </c>
      <c r="U17" s="214"/>
      <c r="V17" s="215"/>
      <c r="W17" s="310">
        <v>0</v>
      </c>
      <c r="X17" s="311">
        <v>0</v>
      </c>
      <c r="Y17" s="311">
        <v>0</v>
      </c>
      <c r="Z17" s="211">
        <v>0</v>
      </c>
      <c r="AA17" s="212"/>
      <c r="AB17" s="213" t="e">
        <v>#DIV/0!</v>
      </c>
      <c r="AC17" s="214"/>
      <c r="AD17" s="215"/>
      <c r="AE17" s="342" t="s">
        <v>263</v>
      </c>
      <c r="AF17" s="341" t="s">
        <v>257</v>
      </c>
    </row>
    <row r="18" spans="1:32">
      <c r="A18" s="307">
        <v>3</v>
      </c>
      <c r="B18" s="342"/>
      <c r="C18" s="342" t="s">
        <v>179</v>
      </c>
      <c r="D18" s="340" t="s">
        <v>258</v>
      </c>
      <c r="E18" s="342" t="s">
        <v>264</v>
      </c>
      <c r="F18" s="345" t="s">
        <v>255</v>
      </c>
      <c r="G18" s="308">
        <v>1</v>
      </c>
      <c r="H18" s="309">
        <v>180000</v>
      </c>
      <c r="I18" s="309">
        <v>180000</v>
      </c>
      <c r="J18" s="211"/>
      <c r="K18" s="212" t="str">
        <f>IF(OR(J18="",G18=J18),"","*")</f>
        <v/>
      </c>
      <c r="L18" s="338">
        <f>IF($A18&lt;=L$1,I18/I$4,"")</f>
        <v>1.8382352941176471E-2</v>
      </c>
      <c r="M18" s="343"/>
      <c r="N18" s="344"/>
      <c r="O18" s="310">
        <v>0</v>
      </c>
      <c r="P18" s="311">
        <v>0</v>
      </c>
      <c r="Q18" s="311">
        <v>0</v>
      </c>
      <c r="R18" s="211">
        <v>0</v>
      </c>
      <c r="S18" s="212"/>
      <c r="T18" s="213" t="e">
        <v>#DIV/0!</v>
      </c>
      <c r="U18" s="214"/>
      <c r="V18" s="215"/>
      <c r="W18" s="310">
        <v>0</v>
      </c>
      <c r="X18" s="311">
        <v>0</v>
      </c>
      <c r="Y18" s="311">
        <v>0</v>
      </c>
      <c r="Z18" s="211">
        <v>0</v>
      </c>
      <c r="AA18" s="212"/>
      <c r="AB18" s="213" t="e">
        <v>#DIV/0!</v>
      </c>
      <c r="AC18" s="214"/>
      <c r="AD18" s="215"/>
      <c r="AE18" s="342" t="s">
        <v>265</v>
      </c>
      <c r="AF18" s="341" t="s">
        <v>257</v>
      </c>
    </row>
    <row r="19" spans="1:32">
      <c r="A19" s="307">
        <v>3</v>
      </c>
      <c r="B19" s="342"/>
      <c r="C19" s="342" t="s">
        <v>179</v>
      </c>
      <c r="D19" s="340" t="s">
        <v>266</v>
      </c>
      <c r="E19" s="342"/>
      <c r="F19" s="345" t="s">
        <v>255</v>
      </c>
      <c r="G19" s="308">
        <v>1</v>
      </c>
      <c r="H19" s="309">
        <v>4300</v>
      </c>
      <c r="I19" s="309">
        <v>4300</v>
      </c>
      <c r="J19" s="211"/>
      <c r="K19" s="212" t="str">
        <f>IF(OR(J19="",G19=J19),"","*")</f>
        <v/>
      </c>
      <c r="L19" s="338">
        <f>IF($A19&lt;=L$1,I19/I$4,"")</f>
        <v>4.3913398692810459E-4</v>
      </c>
      <c r="M19" s="343"/>
      <c r="N19" s="344"/>
      <c r="O19" s="310">
        <v>0</v>
      </c>
      <c r="P19" s="311">
        <v>0</v>
      </c>
      <c r="Q19" s="311">
        <v>0</v>
      </c>
      <c r="R19" s="211">
        <v>0</v>
      </c>
      <c r="S19" s="212"/>
      <c r="T19" s="213" t="e">
        <v>#DIV/0!</v>
      </c>
      <c r="U19" s="214"/>
      <c r="V19" s="215"/>
      <c r="W19" s="310">
        <v>0</v>
      </c>
      <c r="X19" s="311">
        <v>0</v>
      </c>
      <c r="Y19" s="311">
        <v>0</v>
      </c>
      <c r="Z19" s="211">
        <v>0</v>
      </c>
      <c r="AA19" s="212"/>
      <c r="AB19" s="213" t="e">
        <v>#DIV/0!</v>
      </c>
      <c r="AC19" s="214"/>
      <c r="AD19" s="215"/>
      <c r="AE19" s="342" t="s">
        <v>267</v>
      </c>
      <c r="AF19" s="341" t="s">
        <v>257</v>
      </c>
    </row>
    <row r="20" spans="1:32">
      <c r="A20" s="307">
        <v>3</v>
      </c>
      <c r="B20" s="342"/>
      <c r="C20" s="342" t="s">
        <v>179</v>
      </c>
      <c r="D20" s="340" t="s">
        <v>268</v>
      </c>
      <c r="E20" s="342" t="s">
        <v>269</v>
      </c>
      <c r="F20" s="345" t="s">
        <v>255</v>
      </c>
      <c r="G20" s="308">
        <v>1</v>
      </c>
      <c r="H20" s="309">
        <v>15000</v>
      </c>
      <c r="I20" s="309">
        <v>15000</v>
      </c>
      <c r="J20" s="211"/>
      <c r="K20" s="212" t="str">
        <f>IF(OR(J20="",G20=J20),"","*")</f>
        <v/>
      </c>
      <c r="L20" s="338">
        <f>IF($A20&lt;=L$1,I20/I$4,"")</f>
        <v>1.5318627450980392E-3</v>
      </c>
      <c r="M20" s="343"/>
      <c r="N20" s="344"/>
      <c r="O20" s="310">
        <v>0</v>
      </c>
      <c r="P20" s="311">
        <v>0</v>
      </c>
      <c r="Q20" s="311">
        <v>0</v>
      </c>
      <c r="R20" s="211">
        <v>0</v>
      </c>
      <c r="S20" s="212"/>
      <c r="T20" s="213" t="e">
        <v>#DIV/0!</v>
      </c>
      <c r="U20" s="214"/>
      <c r="V20" s="215"/>
      <c r="W20" s="310">
        <v>0</v>
      </c>
      <c r="X20" s="311">
        <v>0</v>
      </c>
      <c r="Y20" s="311">
        <v>0</v>
      </c>
      <c r="Z20" s="211">
        <v>0</v>
      </c>
      <c r="AA20" s="212"/>
      <c r="AB20" s="213" t="e">
        <v>#DIV/0!</v>
      </c>
      <c r="AC20" s="214"/>
      <c r="AD20" s="215"/>
      <c r="AE20" s="342" t="s">
        <v>270</v>
      </c>
      <c r="AF20" s="341" t="s">
        <v>257</v>
      </c>
    </row>
    <row r="21" spans="1:32">
      <c r="A21" s="307">
        <v>3</v>
      </c>
      <c r="B21" s="342"/>
      <c r="C21" s="342" t="s">
        <v>180</v>
      </c>
      <c r="D21" s="340" t="s">
        <v>271</v>
      </c>
      <c r="E21" s="342"/>
      <c r="F21" s="345" t="s">
        <v>272</v>
      </c>
      <c r="G21" s="308">
        <v>90</v>
      </c>
      <c r="H21" s="309">
        <v>500</v>
      </c>
      <c r="I21" s="309">
        <v>45000</v>
      </c>
      <c r="J21" s="211"/>
      <c r="K21" s="212" t="str">
        <f>IF(OR(J21="",G21=J21),"","*")</f>
        <v/>
      </c>
      <c r="L21" s="338">
        <f>IF($A21&lt;=L$1,I21/I$4,"")</f>
        <v>4.5955882352941178E-3</v>
      </c>
      <c r="M21" s="343"/>
      <c r="N21" s="344"/>
      <c r="O21" s="310">
        <v>0</v>
      </c>
      <c r="P21" s="311">
        <v>0</v>
      </c>
      <c r="Q21" s="311">
        <v>0</v>
      </c>
      <c r="R21" s="211">
        <v>0</v>
      </c>
      <c r="S21" s="212"/>
      <c r="T21" s="213" t="e">
        <v>#DIV/0!</v>
      </c>
      <c r="U21" s="214"/>
      <c r="V21" s="215"/>
      <c r="W21" s="310">
        <v>0</v>
      </c>
      <c r="X21" s="311">
        <v>0</v>
      </c>
      <c r="Y21" s="311">
        <v>0</v>
      </c>
      <c r="Z21" s="211">
        <v>0</v>
      </c>
      <c r="AA21" s="212"/>
      <c r="AB21" s="213" t="e">
        <v>#DIV/0!</v>
      </c>
      <c r="AC21" s="214"/>
      <c r="AD21" s="215"/>
      <c r="AE21" s="342" t="s">
        <v>273</v>
      </c>
      <c r="AF21" s="341" t="s">
        <v>274</v>
      </c>
    </row>
    <row r="22" spans="1:32">
      <c r="A22" s="307">
        <v>3</v>
      </c>
      <c r="B22" s="342"/>
      <c r="C22" s="342" t="s">
        <v>180</v>
      </c>
      <c r="D22" s="340" t="s">
        <v>275</v>
      </c>
      <c r="E22" s="342"/>
      <c r="F22" s="345" t="s">
        <v>272</v>
      </c>
      <c r="G22" s="308">
        <v>73</v>
      </c>
      <c r="H22" s="309">
        <v>1000</v>
      </c>
      <c r="I22" s="309">
        <v>73000</v>
      </c>
      <c r="J22" s="211"/>
      <c r="K22" s="212" t="str">
        <f>IF(OR(J22="",G22=J22),"","*")</f>
        <v/>
      </c>
      <c r="L22" s="338">
        <f>IF($A22&lt;=L$1,I22/I$4,"")</f>
        <v>7.4550653594771246E-3</v>
      </c>
      <c r="M22" s="343"/>
      <c r="N22" s="344"/>
      <c r="O22" s="310">
        <v>0</v>
      </c>
      <c r="P22" s="311">
        <v>0</v>
      </c>
      <c r="Q22" s="311">
        <v>0</v>
      </c>
      <c r="R22" s="211">
        <v>0</v>
      </c>
      <c r="S22" s="212"/>
      <c r="T22" s="213" t="e">
        <v>#DIV/0!</v>
      </c>
      <c r="U22" s="214"/>
      <c r="V22" s="215"/>
      <c r="W22" s="310">
        <v>0</v>
      </c>
      <c r="X22" s="311">
        <v>0</v>
      </c>
      <c r="Y22" s="311">
        <v>0</v>
      </c>
      <c r="Z22" s="211">
        <v>0</v>
      </c>
      <c r="AA22" s="212"/>
      <c r="AB22" s="213" t="e">
        <v>#DIV/0!</v>
      </c>
      <c r="AC22" s="214"/>
      <c r="AD22" s="215"/>
      <c r="AE22" s="342" t="s">
        <v>276</v>
      </c>
      <c r="AF22" s="341" t="s">
        <v>277</v>
      </c>
    </row>
    <row r="23" spans="1:32">
      <c r="A23" s="307">
        <v>3</v>
      </c>
      <c r="B23" s="342"/>
      <c r="C23" s="342" t="s">
        <v>180</v>
      </c>
      <c r="D23" s="340" t="s">
        <v>278</v>
      </c>
      <c r="E23" s="342" t="s">
        <v>279</v>
      </c>
      <c r="F23" s="345" t="s">
        <v>255</v>
      </c>
      <c r="G23" s="308">
        <v>6</v>
      </c>
      <c r="H23" s="309">
        <v>43000</v>
      </c>
      <c r="I23" s="309">
        <v>258000</v>
      </c>
      <c r="J23" s="211"/>
      <c r="K23" s="212" t="str">
        <f>IF(OR(J23="",G23=J23),"","*")</f>
        <v/>
      </c>
      <c r="L23" s="338">
        <f>IF($A23&lt;=L$1,I23/I$4,"")</f>
        <v>2.6348039215686275E-2</v>
      </c>
      <c r="M23" s="343"/>
      <c r="N23" s="344"/>
      <c r="O23" s="310">
        <v>0</v>
      </c>
      <c r="P23" s="311">
        <v>0</v>
      </c>
      <c r="Q23" s="311">
        <v>0</v>
      </c>
      <c r="R23" s="211">
        <v>0</v>
      </c>
      <c r="S23" s="212"/>
      <c r="T23" s="213" t="e">
        <v>#DIV/0!</v>
      </c>
      <c r="U23" s="214"/>
      <c r="V23" s="215"/>
      <c r="W23" s="310">
        <v>0</v>
      </c>
      <c r="X23" s="311">
        <v>0</v>
      </c>
      <c r="Y23" s="311">
        <v>0</v>
      </c>
      <c r="Z23" s="211">
        <v>0</v>
      </c>
      <c r="AA23" s="212"/>
      <c r="AB23" s="213" t="e">
        <v>#DIV/0!</v>
      </c>
      <c r="AC23" s="214"/>
      <c r="AD23" s="215"/>
      <c r="AE23" s="342" t="s">
        <v>280</v>
      </c>
      <c r="AF23" s="341" t="s">
        <v>281</v>
      </c>
    </row>
    <row r="24" spans="1:32">
      <c r="A24" s="307">
        <v>2</v>
      </c>
      <c r="B24" s="342"/>
      <c r="C24" s="342" t="s">
        <v>230</v>
      </c>
      <c r="D24" s="340" t="s">
        <v>282</v>
      </c>
      <c r="E24" s="342"/>
      <c r="F24" s="345" t="s">
        <v>170</v>
      </c>
      <c r="G24" s="308">
        <v>119</v>
      </c>
      <c r="H24" s="309">
        <v>2689</v>
      </c>
      <c r="I24" s="309">
        <v>319991</v>
      </c>
      <c r="J24" s="211">
        <v>119</v>
      </c>
      <c r="K24" s="212" t="str">
        <f>IF(OR(J24="",G24=J24),"","*")</f>
        <v/>
      </c>
      <c r="L24" s="338">
        <f>IF($A24&lt;=L$1,I24/I$4,"")</f>
        <v>3.2678819444444444E-2</v>
      </c>
      <c r="M24" s="343"/>
      <c r="N24" s="344" t="s">
        <v>283</v>
      </c>
      <c r="O24" s="310">
        <v>0</v>
      </c>
      <c r="P24" s="311">
        <v>0</v>
      </c>
      <c r="Q24" s="311">
        <v>0</v>
      </c>
      <c r="R24" s="211">
        <v>0</v>
      </c>
      <c r="S24" s="212"/>
      <c r="T24" s="213" t="e">
        <v>#DIV/0!</v>
      </c>
      <c r="U24" s="214"/>
      <c r="V24" s="215"/>
      <c r="W24" s="310">
        <v>0</v>
      </c>
      <c r="X24" s="311">
        <v>0</v>
      </c>
      <c r="Y24" s="311">
        <v>0</v>
      </c>
      <c r="Z24" s="211">
        <v>0</v>
      </c>
      <c r="AA24" s="212"/>
      <c r="AB24" s="213" t="e">
        <v>#DIV/0!</v>
      </c>
      <c r="AC24" s="214"/>
      <c r="AD24" s="215"/>
      <c r="AE24" s="342"/>
      <c r="AF24" s="341"/>
    </row>
    <row r="25" spans="1:32">
      <c r="A25" s="307">
        <v>3</v>
      </c>
      <c r="B25" s="342"/>
      <c r="C25" s="342" t="s">
        <v>176</v>
      </c>
      <c r="D25" s="340" t="s">
        <v>284</v>
      </c>
      <c r="E25" s="342" t="s">
        <v>285</v>
      </c>
      <c r="F25" s="345" t="s">
        <v>272</v>
      </c>
      <c r="G25" s="308">
        <v>8</v>
      </c>
      <c r="H25" s="309">
        <v>13200</v>
      </c>
      <c r="I25" s="309">
        <v>105600</v>
      </c>
      <c r="J25" s="211"/>
      <c r="K25" s="212" t="str">
        <f>IF(OR(J25="",G25=J25),"","*")</f>
        <v/>
      </c>
      <c r="L25" s="338">
        <f>IF($A25&lt;=L$1,I25/I$4,"")</f>
        <v>1.0784313725490196E-2</v>
      </c>
      <c r="M25" s="343"/>
      <c r="N25" s="344"/>
      <c r="O25" s="310">
        <v>0</v>
      </c>
      <c r="P25" s="311">
        <v>0</v>
      </c>
      <c r="Q25" s="311">
        <v>0</v>
      </c>
      <c r="R25" s="211">
        <v>0</v>
      </c>
      <c r="S25" s="212"/>
      <c r="T25" s="213" t="e">
        <v>#DIV/0!</v>
      </c>
      <c r="U25" s="214"/>
      <c r="V25" s="215"/>
      <c r="W25" s="310">
        <v>0</v>
      </c>
      <c r="X25" s="311">
        <v>0</v>
      </c>
      <c r="Y25" s="311">
        <v>0</v>
      </c>
      <c r="Z25" s="211">
        <v>0</v>
      </c>
      <c r="AA25" s="212"/>
      <c r="AB25" s="213" t="e">
        <v>#DIV/0!</v>
      </c>
      <c r="AC25" s="214"/>
      <c r="AD25" s="215"/>
      <c r="AE25" s="342" t="s">
        <v>286</v>
      </c>
      <c r="AF25" s="341" t="s">
        <v>287</v>
      </c>
    </row>
    <row r="26" spans="1:32">
      <c r="A26" s="307">
        <v>3</v>
      </c>
      <c r="B26" s="342"/>
      <c r="C26" s="342" t="s">
        <v>176</v>
      </c>
      <c r="D26" s="340" t="s">
        <v>288</v>
      </c>
      <c r="E26" s="342" t="s">
        <v>289</v>
      </c>
      <c r="F26" s="345" t="s">
        <v>290</v>
      </c>
      <c r="G26" s="308">
        <v>2</v>
      </c>
      <c r="H26" s="309">
        <v>5400</v>
      </c>
      <c r="I26" s="309">
        <v>10800</v>
      </c>
      <c r="J26" s="211"/>
      <c r="K26" s="212" t="str">
        <f>IF(OR(J26="",G26=J26),"","*")</f>
        <v/>
      </c>
      <c r="L26" s="338">
        <f>IF($A26&lt;=L$1,I26/I$4,"")</f>
        <v>1.1029411764705882E-3</v>
      </c>
      <c r="M26" s="343"/>
      <c r="N26" s="344"/>
      <c r="O26" s="310">
        <v>0</v>
      </c>
      <c r="P26" s="311">
        <v>0</v>
      </c>
      <c r="Q26" s="311">
        <v>0</v>
      </c>
      <c r="R26" s="211">
        <v>0</v>
      </c>
      <c r="S26" s="212"/>
      <c r="T26" s="213" t="e">
        <v>#DIV/0!</v>
      </c>
      <c r="U26" s="214"/>
      <c r="V26" s="215"/>
      <c r="W26" s="310">
        <v>0</v>
      </c>
      <c r="X26" s="311">
        <v>0</v>
      </c>
      <c r="Y26" s="311">
        <v>0</v>
      </c>
      <c r="Z26" s="211">
        <v>0</v>
      </c>
      <c r="AA26" s="212"/>
      <c r="AB26" s="213" t="e">
        <v>#DIV/0!</v>
      </c>
      <c r="AC26" s="214"/>
      <c r="AD26" s="215"/>
      <c r="AE26" s="342" t="s">
        <v>291</v>
      </c>
      <c r="AF26" s="341"/>
    </row>
    <row r="27" spans="1:32">
      <c r="A27" s="307">
        <v>3</v>
      </c>
      <c r="B27" s="342"/>
      <c r="C27" s="342" t="s">
        <v>176</v>
      </c>
      <c r="D27" s="340" t="s">
        <v>244</v>
      </c>
      <c r="E27" s="342"/>
      <c r="F27" s="345" t="s">
        <v>245</v>
      </c>
      <c r="G27" s="308">
        <v>160</v>
      </c>
      <c r="H27" s="309">
        <v>150</v>
      </c>
      <c r="I27" s="309">
        <v>24000</v>
      </c>
      <c r="J27" s="211"/>
      <c r="K27" s="212" t="str">
        <f>IF(OR(J27="",G27=J27),"","*")</f>
        <v/>
      </c>
      <c r="L27" s="338">
        <f>IF($A27&lt;=L$1,I27/I$4,"")</f>
        <v>2.4509803921568627E-3</v>
      </c>
      <c r="M27" s="343"/>
      <c r="N27" s="344"/>
      <c r="O27" s="310">
        <v>0</v>
      </c>
      <c r="P27" s="311">
        <v>0</v>
      </c>
      <c r="Q27" s="311">
        <v>0</v>
      </c>
      <c r="R27" s="211">
        <v>0</v>
      </c>
      <c r="S27" s="212"/>
      <c r="T27" s="213" t="e">
        <v>#DIV/0!</v>
      </c>
      <c r="U27" s="214"/>
      <c r="V27" s="215"/>
      <c r="W27" s="310">
        <v>0</v>
      </c>
      <c r="X27" s="311">
        <v>0</v>
      </c>
      <c r="Y27" s="311">
        <v>0</v>
      </c>
      <c r="Z27" s="211">
        <v>0</v>
      </c>
      <c r="AA27" s="212"/>
      <c r="AB27" s="213" t="e">
        <v>#DIV/0!</v>
      </c>
      <c r="AC27" s="214"/>
      <c r="AD27" s="215"/>
      <c r="AE27" s="342" t="s">
        <v>246</v>
      </c>
      <c r="AF27" s="341" t="s">
        <v>292</v>
      </c>
    </row>
    <row r="28" spans="1:32">
      <c r="A28" s="307">
        <v>3</v>
      </c>
      <c r="B28" s="342"/>
      <c r="C28" s="342" t="s">
        <v>176</v>
      </c>
      <c r="D28" s="340" t="s">
        <v>240</v>
      </c>
      <c r="E28" s="342"/>
      <c r="F28" s="345" t="s">
        <v>169</v>
      </c>
      <c r="G28" s="308">
        <v>1</v>
      </c>
      <c r="H28" s="309">
        <v>5700</v>
      </c>
      <c r="I28" s="309">
        <v>5700</v>
      </c>
      <c r="J28" s="211"/>
      <c r="K28" s="212" t="str">
        <f>IF(OR(J28="",G28=J28),"","*")</f>
        <v/>
      </c>
      <c r="L28" s="338">
        <f>IF($A28&lt;=L$1,I28/I$4,"")</f>
        <v>5.8210784313725489E-4</v>
      </c>
      <c r="M28" s="343"/>
      <c r="N28" s="344"/>
      <c r="O28" s="310">
        <v>0</v>
      </c>
      <c r="P28" s="311">
        <v>0</v>
      </c>
      <c r="Q28" s="311">
        <v>0</v>
      </c>
      <c r="R28" s="211">
        <v>0</v>
      </c>
      <c r="S28" s="212"/>
      <c r="T28" s="213" t="e">
        <v>#DIV/0!</v>
      </c>
      <c r="U28" s="214"/>
      <c r="V28" s="215"/>
      <c r="W28" s="310">
        <v>0</v>
      </c>
      <c r="X28" s="311">
        <v>0</v>
      </c>
      <c r="Y28" s="311">
        <v>0</v>
      </c>
      <c r="Z28" s="211">
        <v>0</v>
      </c>
      <c r="AA28" s="212"/>
      <c r="AB28" s="213" t="e">
        <v>#DIV/0!</v>
      </c>
      <c r="AC28" s="214"/>
      <c r="AD28" s="215"/>
      <c r="AE28" s="342" t="s">
        <v>241</v>
      </c>
      <c r="AF28" s="341"/>
    </row>
    <row r="29" spans="1:32">
      <c r="A29" s="307">
        <v>3</v>
      </c>
      <c r="B29" s="342"/>
      <c r="C29" s="342" t="s">
        <v>179</v>
      </c>
      <c r="D29" s="340" t="s">
        <v>293</v>
      </c>
      <c r="E29" s="342"/>
      <c r="F29" s="345" t="s">
        <v>255</v>
      </c>
      <c r="G29" s="308">
        <v>1</v>
      </c>
      <c r="H29" s="309">
        <v>25000</v>
      </c>
      <c r="I29" s="309">
        <v>25000</v>
      </c>
      <c r="J29" s="211"/>
      <c r="K29" s="212" t="str">
        <f>IF(OR(J29="",G29=J29),"","*")</f>
        <v/>
      </c>
      <c r="L29" s="338">
        <f>IF($A29&lt;=L$1,I29/I$4,"")</f>
        <v>2.5531045751633987E-3</v>
      </c>
      <c r="M29" s="343"/>
      <c r="N29" s="344"/>
      <c r="O29" s="310">
        <v>0</v>
      </c>
      <c r="P29" s="311">
        <v>0</v>
      </c>
      <c r="Q29" s="311">
        <v>0</v>
      </c>
      <c r="R29" s="211">
        <v>0</v>
      </c>
      <c r="S29" s="212"/>
      <c r="T29" s="213" t="e">
        <v>#DIV/0!</v>
      </c>
      <c r="U29" s="214"/>
      <c r="V29" s="215"/>
      <c r="W29" s="310">
        <v>0</v>
      </c>
      <c r="X29" s="311">
        <v>0</v>
      </c>
      <c r="Y29" s="311">
        <v>0</v>
      </c>
      <c r="Z29" s="211">
        <v>0</v>
      </c>
      <c r="AA29" s="212"/>
      <c r="AB29" s="213" t="e">
        <v>#DIV/0!</v>
      </c>
      <c r="AC29" s="214"/>
      <c r="AD29" s="215"/>
      <c r="AE29" s="342" t="s">
        <v>294</v>
      </c>
      <c r="AF29" s="341" t="s">
        <v>257</v>
      </c>
    </row>
    <row r="30" spans="1:32">
      <c r="A30" s="307">
        <v>3</v>
      </c>
      <c r="B30" s="342"/>
      <c r="C30" s="342" t="s">
        <v>179</v>
      </c>
      <c r="D30" s="340" t="s">
        <v>268</v>
      </c>
      <c r="E30" s="342" t="s">
        <v>269</v>
      </c>
      <c r="F30" s="345" t="s">
        <v>255</v>
      </c>
      <c r="G30" s="308">
        <v>3</v>
      </c>
      <c r="H30" s="309">
        <v>15000</v>
      </c>
      <c r="I30" s="309">
        <v>45000</v>
      </c>
      <c r="J30" s="211"/>
      <c r="K30" s="212" t="str">
        <f>IF(OR(J30="",G30=J30),"","*")</f>
        <v/>
      </c>
      <c r="L30" s="338">
        <f>IF($A30&lt;=L$1,I30/I$4,"")</f>
        <v>4.5955882352941178E-3</v>
      </c>
      <c r="M30" s="343"/>
      <c r="N30" s="344"/>
      <c r="O30" s="310">
        <v>0</v>
      </c>
      <c r="P30" s="311">
        <v>0</v>
      </c>
      <c r="Q30" s="311">
        <v>0</v>
      </c>
      <c r="R30" s="211">
        <v>0</v>
      </c>
      <c r="S30" s="212"/>
      <c r="T30" s="213" t="e">
        <v>#DIV/0!</v>
      </c>
      <c r="U30" s="214"/>
      <c r="V30" s="215"/>
      <c r="W30" s="310">
        <v>0</v>
      </c>
      <c r="X30" s="311">
        <v>0</v>
      </c>
      <c r="Y30" s="311">
        <v>0</v>
      </c>
      <c r="Z30" s="211">
        <v>0</v>
      </c>
      <c r="AA30" s="212"/>
      <c r="AB30" s="213" t="e">
        <v>#DIV/0!</v>
      </c>
      <c r="AC30" s="214"/>
      <c r="AD30" s="215"/>
      <c r="AE30" s="342" t="s">
        <v>270</v>
      </c>
      <c r="AF30" s="341" t="s">
        <v>295</v>
      </c>
    </row>
    <row r="31" spans="1:32">
      <c r="A31" s="307">
        <v>3</v>
      </c>
      <c r="B31" s="342"/>
      <c r="C31" s="342" t="s">
        <v>179</v>
      </c>
      <c r="D31" s="340" t="s">
        <v>266</v>
      </c>
      <c r="E31" s="342"/>
      <c r="F31" s="345" t="s">
        <v>255</v>
      </c>
      <c r="G31" s="308">
        <v>3</v>
      </c>
      <c r="H31" s="309">
        <v>4300</v>
      </c>
      <c r="I31" s="309">
        <v>12900</v>
      </c>
      <c r="J31" s="211"/>
      <c r="K31" s="212" t="str">
        <f>IF(OR(J31="",G31=J31),"","*")</f>
        <v/>
      </c>
      <c r="L31" s="338">
        <f>IF($A31&lt;=L$1,I31/I$4,"")</f>
        <v>1.3174019607843138E-3</v>
      </c>
      <c r="M31" s="343"/>
      <c r="N31" s="344"/>
      <c r="O31" s="310">
        <v>0</v>
      </c>
      <c r="P31" s="311">
        <v>0</v>
      </c>
      <c r="Q31" s="311">
        <v>0</v>
      </c>
      <c r="R31" s="211">
        <v>0</v>
      </c>
      <c r="S31" s="212"/>
      <c r="T31" s="213" t="e">
        <v>#DIV/0!</v>
      </c>
      <c r="U31" s="214"/>
      <c r="V31" s="215"/>
      <c r="W31" s="310">
        <v>0</v>
      </c>
      <c r="X31" s="311">
        <v>0</v>
      </c>
      <c r="Y31" s="311">
        <v>0</v>
      </c>
      <c r="Z31" s="211">
        <v>0</v>
      </c>
      <c r="AA31" s="212"/>
      <c r="AB31" s="213" t="e">
        <v>#DIV/0!</v>
      </c>
      <c r="AC31" s="214"/>
      <c r="AD31" s="215"/>
      <c r="AE31" s="342" t="s">
        <v>267</v>
      </c>
      <c r="AF31" s="341" t="s">
        <v>295</v>
      </c>
    </row>
    <row r="32" spans="1:32">
      <c r="A32" s="307">
        <v>3</v>
      </c>
      <c r="B32" s="342"/>
      <c r="C32" s="342" t="s">
        <v>179</v>
      </c>
      <c r="D32" s="340" t="s">
        <v>266</v>
      </c>
      <c r="E32" s="342" t="s">
        <v>296</v>
      </c>
      <c r="F32" s="345" t="s">
        <v>255</v>
      </c>
      <c r="G32" s="308">
        <v>3</v>
      </c>
      <c r="H32" s="309">
        <v>15000</v>
      </c>
      <c r="I32" s="309">
        <v>45000</v>
      </c>
      <c r="J32" s="211"/>
      <c r="K32" s="212" t="str">
        <f>IF(OR(J32="",G32=J32),"","*")</f>
        <v/>
      </c>
      <c r="L32" s="338">
        <f>IF($A32&lt;=L$1,I32/I$4,"")</f>
        <v>4.5955882352941178E-3</v>
      </c>
      <c r="M32" s="343"/>
      <c r="N32" s="344"/>
      <c r="O32" s="310">
        <v>0</v>
      </c>
      <c r="P32" s="311">
        <v>0</v>
      </c>
      <c r="Q32" s="311">
        <v>0</v>
      </c>
      <c r="R32" s="211">
        <v>0</v>
      </c>
      <c r="S32" s="212"/>
      <c r="T32" s="213" t="e">
        <v>#DIV/0!</v>
      </c>
      <c r="U32" s="214"/>
      <c r="V32" s="215"/>
      <c r="W32" s="310">
        <v>0</v>
      </c>
      <c r="X32" s="311">
        <v>0</v>
      </c>
      <c r="Y32" s="311">
        <v>0</v>
      </c>
      <c r="Z32" s="211">
        <v>0</v>
      </c>
      <c r="AA32" s="212"/>
      <c r="AB32" s="213" t="e">
        <v>#DIV/0!</v>
      </c>
      <c r="AC32" s="214"/>
      <c r="AD32" s="215"/>
      <c r="AE32" s="342" t="s">
        <v>267</v>
      </c>
      <c r="AF32" s="341" t="s">
        <v>295</v>
      </c>
    </row>
    <row r="33" spans="1:32">
      <c r="A33" s="307">
        <v>3</v>
      </c>
      <c r="B33" s="342"/>
      <c r="C33" s="342" t="s">
        <v>180</v>
      </c>
      <c r="D33" s="340" t="s">
        <v>297</v>
      </c>
      <c r="E33" s="342" t="s">
        <v>298</v>
      </c>
      <c r="F33" s="345" t="s">
        <v>255</v>
      </c>
      <c r="G33" s="308">
        <v>3</v>
      </c>
      <c r="H33" s="309">
        <v>14000</v>
      </c>
      <c r="I33" s="309">
        <v>42000</v>
      </c>
      <c r="J33" s="211"/>
      <c r="K33" s="212" t="str">
        <f>IF(OR(J33="",G33=J33),"","*")</f>
        <v/>
      </c>
      <c r="L33" s="338">
        <f>IF($A33&lt;=L$1,I33/I$4,"")</f>
        <v>4.2892156862745102E-3</v>
      </c>
      <c r="M33" s="343"/>
      <c r="N33" s="344"/>
      <c r="O33" s="310">
        <v>0</v>
      </c>
      <c r="P33" s="311">
        <v>0</v>
      </c>
      <c r="Q33" s="311">
        <v>0</v>
      </c>
      <c r="R33" s="211">
        <v>0</v>
      </c>
      <c r="S33" s="212"/>
      <c r="T33" s="213" t="e">
        <v>#DIV/0!</v>
      </c>
      <c r="U33" s="214"/>
      <c r="V33" s="215"/>
      <c r="W33" s="310">
        <v>0</v>
      </c>
      <c r="X33" s="311">
        <v>0</v>
      </c>
      <c r="Y33" s="311">
        <v>0</v>
      </c>
      <c r="Z33" s="211">
        <v>0</v>
      </c>
      <c r="AA33" s="212"/>
      <c r="AB33" s="213" t="e">
        <v>#DIV/0!</v>
      </c>
      <c r="AC33" s="214"/>
      <c r="AD33" s="215"/>
      <c r="AE33" s="342" t="s">
        <v>299</v>
      </c>
      <c r="AF33" s="341" t="s">
        <v>295</v>
      </c>
    </row>
    <row r="34" spans="1:32">
      <c r="A34" s="307">
        <v>3</v>
      </c>
      <c r="B34" s="342"/>
      <c r="C34" s="342" t="s">
        <v>180</v>
      </c>
      <c r="D34" s="340" t="s">
        <v>271</v>
      </c>
      <c r="E34" s="342"/>
      <c r="F34" s="345" t="s">
        <v>272</v>
      </c>
      <c r="G34" s="308">
        <v>8</v>
      </c>
      <c r="H34" s="309">
        <v>500</v>
      </c>
      <c r="I34" s="309">
        <v>4000</v>
      </c>
      <c r="J34" s="211"/>
      <c r="K34" s="212" t="str">
        <f>IF(OR(J34="",G34=J34),"","*")</f>
        <v/>
      </c>
      <c r="L34" s="338">
        <f>IF($A34&lt;=L$1,I34/I$4,"")</f>
        <v>4.084967320261438E-4</v>
      </c>
      <c r="M34" s="343"/>
      <c r="N34" s="344"/>
      <c r="O34" s="310">
        <v>0</v>
      </c>
      <c r="P34" s="311">
        <v>0</v>
      </c>
      <c r="Q34" s="311">
        <v>0</v>
      </c>
      <c r="R34" s="211">
        <v>0</v>
      </c>
      <c r="S34" s="212"/>
      <c r="T34" s="213" t="e">
        <v>#DIV/0!</v>
      </c>
      <c r="U34" s="214"/>
      <c r="V34" s="215"/>
      <c r="W34" s="310">
        <v>0</v>
      </c>
      <c r="X34" s="311">
        <v>0</v>
      </c>
      <c r="Y34" s="311">
        <v>0</v>
      </c>
      <c r="Z34" s="211">
        <v>0</v>
      </c>
      <c r="AA34" s="212"/>
      <c r="AB34" s="213" t="e">
        <v>#DIV/0!</v>
      </c>
      <c r="AC34" s="214"/>
      <c r="AD34" s="215"/>
      <c r="AE34" s="342" t="s">
        <v>273</v>
      </c>
      <c r="AF34" s="341"/>
    </row>
    <row r="35" spans="1:32">
      <c r="A35" s="307">
        <v>2</v>
      </c>
      <c r="B35" s="342"/>
      <c r="C35" s="342" t="s">
        <v>230</v>
      </c>
      <c r="D35" s="340" t="s">
        <v>300</v>
      </c>
      <c r="E35" s="342" t="s">
        <v>171</v>
      </c>
      <c r="F35" s="345" t="s">
        <v>170</v>
      </c>
      <c r="G35" s="308">
        <v>771</v>
      </c>
      <c r="H35" s="309">
        <v>3009</v>
      </c>
      <c r="I35" s="309">
        <v>2319939</v>
      </c>
      <c r="J35" s="211">
        <v>771</v>
      </c>
      <c r="K35" s="212" t="str">
        <f>IF(OR(J35="",G35=J35),"","*")</f>
        <v/>
      </c>
      <c r="L35" s="338">
        <f>IF($A35&lt;=L$1,I35/I$4,"")</f>
        <v>0.236921875</v>
      </c>
      <c r="M35" s="343"/>
      <c r="N35" s="344" t="s">
        <v>301</v>
      </c>
      <c r="O35" s="310">
        <v>0</v>
      </c>
      <c r="P35" s="311">
        <v>0</v>
      </c>
      <c r="Q35" s="311">
        <v>0</v>
      </c>
      <c r="R35" s="211">
        <v>0</v>
      </c>
      <c r="S35" s="212"/>
      <c r="T35" s="213" t="e">
        <v>#DIV/0!</v>
      </c>
      <c r="U35" s="214"/>
      <c r="V35" s="215"/>
      <c r="W35" s="310">
        <v>0</v>
      </c>
      <c r="X35" s="311">
        <v>0</v>
      </c>
      <c r="Y35" s="311">
        <v>0</v>
      </c>
      <c r="Z35" s="211">
        <v>0</v>
      </c>
      <c r="AA35" s="212"/>
      <c r="AB35" s="213" t="e">
        <v>#DIV/0!</v>
      </c>
      <c r="AC35" s="214"/>
      <c r="AD35" s="215"/>
      <c r="AE35" s="342"/>
      <c r="AF35" s="341"/>
    </row>
    <row r="36" spans="1:32">
      <c r="A36" s="307">
        <v>3</v>
      </c>
      <c r="B36" s="342"/>
      <c r="C36" s="342" t="s">
        <v>176</v>
      </c>
      <c r="D36" s="340" t="s">
        <v>302</v>
      </c>
      <c r="E36" s="342" t="s">
        <v>303</v>
      </c>
      <c r="F36" s="345" t="s">
        <v>272</v>
      </c>
      <c r="G36" s="308">
        <v>98</v>
      </c>
      <c r="H36" s="309">
        <v>13700</v>
      </c>
      <c r="I36" s="309">
        <v>1342600</v>
      </c>
      <c r="J36" s="211"/>
      <c r="K36" s="212" t="str">
        <f>IF(OR(J36="",G36=J36),"","*")</f>
        <v/>
      </c>
      <c r="L36" s="338">
        <f>IF($A36&lt;=L$1,I36/I$4,"")</f>
        <v>0.13711192810457518</v>
      </c>
      <c r="M36" s="343"/>
      <c r="N36" s="344"/>
      <c r="O36" s="310">
        <v>0</v>
      </c>
      <c r="P36" s="311">
        <v>0</v>
      </c>
      <c r="Q36" s="311">
        <v>0</v>
      </c>
      <c r="R36" s="211">
        <v>0</v>
      </c>
      <c r="S36" s="212"/>
      <c r="T36" s="213" t="e">
        <v>#DIV/0!</v>
      </c>
      <c r="U36" s="214"/>
      <c r="V36" s="215"/>
      <c r="W36" s="310">
        <v>0</v>
      </c>
      <c r="X36" s="311">
        <v>0</v>
      </c>
      <c r="Y36" s="311">
        <v>0</v>
      </c>
      <c r="Z36" s="211">
        <v>0</v>
      </c>
      <c r="AA36" s="212"/>
      <c r="AB36" s="213" t="e">
        <v>#DIV/0!</v>
      </c>
      <c r="AC36" s="214"/>
      <c r="AD36" s="215"/>
      <c r="AE36" s="342" t="s">
        <v>304</v>
      </c>
      <c r="AF36" s="341" t="s">
        <v>305</v>
      </c>
    </row>
    <row r="37" spans="1:32">
      <c r="A37" s="307">
        <v>3</v>
      </c>
      <c r="B37" s="342"/>
      <c r="C37" s="342" t="s">
        <v>176</v>
      </c>
      <c r="D37" s="340" t="s">
        <v>306</v>
      </c>
      <c r="E37" s="342" t="s">
        <v>307</v>
      </c>
      <c r="F37" s="345" t="s">
        <v>272</v>
      </c>
      <c r="G37" s="308">
        <v>10</v>
      </c>
      <c r="H37" s="309">
        <v>1800</v>
      </c>
      <c r="I37" s="309">
        <v>18000</v>
      </c>
      <c r="J37" s="211"/>
      <c r="K37" s="212" t="str">
        <f>IF(OR(J37="",G37=J37),"","*")</f>
        <v/>
      </c>
      <c r="L37" s="338">
        <f>IF($A37&lt;=L$1,I37/I$4,"")</f>
        <v>1.838235294117647E-3</v>
      </c>
      <c r="M37" s="343"/>
      <c r="N37" s="344"/>
      <c r="O37" s="310">
        <v>0</v>
      </c>
      <c r="P37" s="311">
        <v>0</v>
      </c>
      <c r="Q37" s="311">
        <v>0</v>
      </c>
      <c r="R37" s="211">
        <v>0</v>
      </c>
      <c r="S37" s="212"/>
      <c r="T37" s="213" t="e">
        <v>#DIV/0!</v>
      </c>
      <c r="U37" s="214"/>
      <c r="V37" s="215"/>
      <c r="W37" s="310">
        <v>0</v>
      </c>
      <c r="X37" s="311">
        <v>0</v>
      </c>
      <c r="Y37" s="311">
        <v>0</v>
      </c>
      <c r="Z37" s="211">
        <v>0</v>
      </c>
      <c r="AA37" s="212"/>
      <c r="AB37" s="213" t="e">
        <v>#DIV/0!</v>
      </c>
      <c r="AC37" s="214"/>
      <c r="AD37" s="215"/>
      <c r="AE37" s="342" t="s">
        <v>308</v>
      </c>
      <c r="AF37" s="341" t="s">
        <v>309</v>
      </c>
    </row>
    <row r="38" spans="1:32">
      <c r="A38" s="307">
        <v>3</v>
      </c>
      <c r="B38" s="342"/>
      <c r="C38" s="342" t="s">
        <v>176</v>
      </c>
      <c r="D38" s="340" t="s">
        <v>310</v>
      </c>
      <c r="E38" s="342"/>
      <c r="F38" s="345" t="s">
        <v>272</v>
      </c>
      <c r="G38" s="308">
        <v>0.35</v>
      </c>
      <c r="H38" s="309">
        <v>154500</v>
      </c>
      <c r="I38" s="309">
        <v>54075</v>
      </c>
      <c r="J38" s="211"/>
      <c r="K38" s="212" t="str">
        <f>IF(OR(J38="",G38=J38),"","*")</f>
        <v/>
      </c>
      <c r="L38" s="338">
        <f>IF($A38&lt;=L$1,I38/I$4,"")</f>
        <v>5.5223651960784317E-3</v>
      </c>
      <c r="M38" s="343"/>
      <c r="N38" s="344"/>
      <c r="O38" s="310">
        <v>0</v>
      </c>
      <c r="P38" s="311">
        <v>0</v>
      </c>
      <c r="Q38" s="311">
        <v>0</v>
      </c>
      <c r="R38" s="211">
        <v>0</v>
      </c>
      <c r="S38" s="212"/>
      <c r="T38" s="213" t="e">
        <v>#DIV/0!</v>
      </c>
      <c r="U38" s="214"/>
      <c r="V38" s="215"/>
      <c r="W38" s="310">
        <v>0</v>
      </c>
      <c r="X38" s="311">
        <v>0</v>
      </c>
      <c r="Y38" s="311">
        <v>0</v>
      </c>
      <c r="Z38" s="211">
        <v>0</v>
      </c>
      <c r="AA38" s="212"/>
      <c r="AB38" s="213" t="e">
        <v>#DIV/0!</v>
      </c>
      <c r="AC38" s="214"/>
      <c r="AD38" s="215"/>
      <c r="AE38" s="342" t="s">
        <v>311</v>
      </c>
      <c r="AF38" s="341" t="s">
        <v>312</v>
      </c>
    </row>
    <row r="39" spans="1:32">
      <c r="A39" s="307">
        <v>3</v>
      </c>
      <c r="B39" s="342"/>
      <c r="C39" s="342" t="s">
        <v>176</v>
      </c>
      <c r="D39" s="340" t="s">
        <v>244</v>
      </c>
      <c r="E39" s="342"/>
      <c r="F39" s="345" t="s">
        <v>245</v>
      </c>
      <c r="G39" s="308">
        <v>160</v>
      </c>
      <c r="H39" s="309">
        <v>150</v>
      </c>
      <c r="I39" s="309">
        <v>24000</v>
      </c>
      <c r="J39" s="211"/>
      <c r="K39" s="212" t="str">
        <f>IF(OR(J39="",G39=J39),"","*")</f>
        <v/>
      </c>
      <c r="L39" s="338">
        <f>IF($A39&lt;=L$1,I39/I$4,"")</f>
        <v>2.4509803921568627E-3</v>
      </c>
      <c r="M39" s="343"/>
      <c r="N39" s="344"/>
      <c r="O39" s="310">
        <v>0</v>
      </c>
      <c r="P39" s="311">
        <v>0</v>
      </c>
      <c r="Q39" s="311">
        <v>0</v>
      </c>
      <c r="R39" s="211">
        <v>0</v>
      </c>
      <c r="S39" s="212"/>
      <c r="T39" s="213" t="e">
        <v>#DIV/0!</v>
      </c>
      <c r="U39" s="214"/>
      <c r="V39" s="215"/>
      <c r="W39" s="310">
        <v>0</v>
      </c>
      <c r="X39" s="311">
        <v>0</v>
      </c>
      <c r="Y39" s="311">
        <v>0</v>
      </c>
      <c r="Z39" s="211">
        <v>0</v>
      </c>
      <c r="AA39" s="212"/>
      <c r="AB39" s="213" t="e">
        <v>#DIV/0!</v>
      </c>
      <c r="AC39" s="214"/>
      <c r="AD39" s="215"/>
      <c r="AE39" s="342" t="s">
        <v>246</v>
      </c>
      <c r="AF39" s="341" t="s">
        <v>313</v>
      </c>
    </row>
    <row r="40" spans="1:32">
      <c r="A40" s="307">
        <v>3</v>
      </c>
      <c r="B40" s="342"/>
      <c r="C40" s="342" t="s">
        <v>176</v>
      </c>
      <c r="D40" s="340" t="s">
        <v>240</v>
      </c>
      <c r="E40" s="342"/>
      <c r="F40" s="345" t="s">
        <v>169</v>
      </c>
      <c r="G40" s="308">
        <v>1</v>
      </c>
      <c r="H40" s="309">
        <v>9325</v>
      </c>
      <c r="I40" s="309">
        <v>9325</v>
      </c>
      <c r="J40" s="211"/>
      <c r="K40" s="212" t="str">
        <f>IF(OR(J40="",G40=J40),"","*")</f>
        <v/>
      </c>
      <c r="L40" s="338">
        <f>IF($A40&lt;=L$1,I40/I$4,"")</f>
        <v>9.5230800653594769E-4</v>
      </c>
      <c r="M40" s="343"/>
      <c r="N40" s="344"/>
      <c r="O40" s="310">
        <v>0</v>
      </c>
      <c r="P40" s="311">
        <v>0</v>
      </c>
      <c r="Q40" s="311">
        <v>0</v>
      </c>
      <c r="R40" s="211">
        <v>0</v>
      </c>
      <c r="S40" s="212"/>
      <c r="T40" s="213" t="e">
        <v>#DIV/0!</v>
      </c>
      <c r="U40" s="214"/>
      <c r="V40" s="215"/>
      <c r="W40" s="310">
        <v>0</v>
      </c>
      <c r="X40" s="311">
        <v>0</v>
      </c>
      <c r="Y40" s="311">
        <v>0</v>
      </c>
      <c r="Z40" s="211">
        <v>0</v>
      </c>
      <c r="AA40" s="212"/>
      <c r="AB40" s="213" t="e">
        <v>#DIV/0!</v>
      </c>
      <c r="AC40" s="214"/>
      <c r="AD40" s="215"/>
      <c r="AE40" s="342" t="s">
        <v>241</v>
      </c>
      <c r="AF40" s="341"/>
    </row>
    <row r="41" spans="1:32">
      <c r="A41" s="307">
        <v>3</v>
      </c>
      <c r="B41" s="342"/>
      <c r="C41" s="342" t="s">
        <v>177</v>
      </c>
      <c r="D41" s="340" t="s">
        <v>248</v>
      </c>
      <c r="E41" s="342" t="s">
        <v>249</v>
      </c>
      <c r="F41" s="345" t="s">
        <v>250</v>
      </c>
      <c r="G41" s="308">
        <v>18</v>
      </c>
      <c r="H41" s="309">
        <v>26000</v>
      </c>
      <c r="I41" s="309">
        <v>468000</v>
      </c>
      <c r="J41" s="211"/>
      <c r="K41" s="212" t="str">
        <f>IF(OR(J41="",G41=J41),"","*")</f>
        <v/>
      </c>
      <c r="L41" s="338">
        <f>IF($A41&lt;=L$1,I41/I$4,"")</f>
        <v>4.779411764705882E-2</v>
      </c>
      <c r="M41" s="343"/>
      <c r="N41" s="344"/>
      <c r="O41" s="310">
        <v>0</v>
      </c>
      <c r="P41" s="311">
        <v>0</v>
      </c>
      <c r="Q41" s="311">
        <v>0</v>
      </c>
      <c r="R41" s="211">
        <v>0</v>
      </c>
      <c r="S41" s="212"/>
      <c r="T41" s="213" t="e">
        <v>#DIV/0!</v>
      </c>
      <c r="U41" s="214"/>
      <c r="V41" s="215"/>
      <c r="W41" s="310">
        <v>0</v>
      </c>
      <c r="X41" s="311">
        <v>0</v>
      </c>
      <c r="Y41" s="311">
        <v>0</v>
      </c>
      <c r="Z41" s="211">
        <v>0</v>
      </c>
      <c r="AA41" s="212"/>
      <c r="AB41" s="213" t="e">
        <v>#DIV/0!</v>
      </c>
      <c r="AC41" s="214"/>
      <c r="AD41" s="215"/>
      <c r="AE41" s="342" t="s">
        <v>251</v>
      </c>
      <c r="AF41" s="341" t="s">
        <v>314</v>
      </c>
    </row>
    <row r="42" spans="1:32">
      <c r="A42" s="307">
        <v>3</v>
      </c>
      <c r="B42" s="342"/>
      <c r="C42" s="342" t="s">
        <v>179</v>
      </c>
      <c r="D42" s="340" t="s">
        <v>315</v>
      </c>
      <c r="E42" s="342" t="s">
        <v>316</v>
      </c>
      <c r="F42" s="345" t="s">
        <v>255</v>
      </c>
      <c r="G42" s="308">
        <v>2</v>
      </c>
      <c r="H42" s="309">
        <v>5500</v>
      </c>
      <c r="I42" s="309">
        <v>11000</v>
      </c>
      <c r="J42" s="211"/>
      <c r="K42" s="212" t="str">
        <f>IF(OR(J42="",G42=J42),"","*")</f>
        <v/>
      </c>
      <c r="L42" s="338">
        <f>IF($A42&lt;=L$1,I42/I$4,"")</f>
        <v>1.1233660130718953E-3</v>
      </c>
      <c r="M42" s="343"/>
      <c r="N42" s="344"/>
      <c r="O42" s="310">
        <v>0</v>
      </c>
      <c r="P42" s="311">
        <v>0</v>
      </c>
      <c r="Q42" s="311">
        <v>0</v>
      </c>
      <c r="R42" s="211">
        <v>0</v>
      </c>
      <c r="S42" s="212"/>
      <c r="T42" s="213" t="e">
        <v>#DIV/0!</v>
      </c>
      <c r="U42" s="214"/>
      <c r="V42" s="215"/>
      <c r="W42" s="310">
        <v>0</v>
      </c>
      <c r="X42" s="311">
        <v>0</v>
      </c>
      <c r="Y42" s="311">
        <v>0</v>
      </c>
      <c r="Z42" s="211">
        <v>0</v>
      </c>
      <c r="AA42" s="212"/>
      <c r="AB42" s="213" t="e">
        <v>#DIV/0!</v>
      </c>
      <c r="AC42" s="214"/>
      <c r="AD42" s="215"/>
      <c r="AE42" s="342" t="s">
        <v>317</v>
      </c>
      <c r="AF42" s="341" t="s">
        <v>318</v>
      </c>
    </row>
    <row r="43" spans="1:32">
      <c r="A43" s="307">
        <v>3</v>
      </c>
      <c r="B43" s="342"/>
      <c r="C43" s="342" t="s">
        <v>179</v>
      </c>
      <c r="D43" s="340" t="s">
        <v>319</v>
      </c>
      <c r="E43" s="342"/>
      <c r="F43" s="345" t="s">
        <v>255</v>
      </c>
      <c r="G43" s="308">
        <v>2</v>
      </c>
      <c r="H43" s="309">
        <v>5500</v>
      </c>
      <c r="I43" s="309">
        <v>11000</v>
      </c>
      <c r="J43" s="211"/>
      <c r="K43" s="212" t="str">
        <f>IF(OR(J43="",G43=J43),"","*")</f>
        <v/>
      </c>
      <c r="L43" s="338">
        <f>IF($A43&lt;=L$1,I43/I$4,"")</f>
        <v>1.1233660130718953E-3</v>
      </c>
      <c r="M43" s="343"/>
      <c r="N43" s="344"/>
      <c r="O43" s="310">
        <v>0</v>
      </c>
      <c r="P43" s="311">
        <v>0</v>
      </c>
      <c r="Q43" s="311">
        <v>0</v>
      </c>
      <c r="R43" s="211">
        <v>0</v>
      </c>
      <c r="S43" s="212"/>
      <c r="T43" s="213" t="e">
        <v>#DIV/0!</v>
      </c>
      <c r="U43" s="214"/>
      <c r="V43" s="215"/>
      <c r="W43" s="310">
        <v>0</v>
      </c>
      <c r="X43" s="311">
        <v>0</v>
      </c>
      <c r="Y43" s="311">
        <v>0</v>
      </c>
      <c r="Z43" s="211">
        <v>0</v>
      </c>
      <c r="AA43" s="212"/>
      <c r="AB43" s="213" t="e">
        <v>#DIV/0!</v>
      </c>
      <c r="AC43" s="214"/>
      <c r="AD43" s="215"/>
      <c r="AE43" s="342" t="s">
        <v>320</v>
      </c>
      <c r="AF43" s="341" t="s">
        <v>318</v>
      </c>
    </row>
    <row r="44" spans="1:32">
      <c r="A44" s="307">
        <v>3</v>
      </c>
      <c r="B44" s="342"/>
      <c r="C44" s="342" t="s">
        <v>179</v>
      </c>
      <c r="D44" s="340" t="s">
        <v>321</v>
      </c>
      <c r="E44" s="342" t="s">
        <v>322</v>
      </c>
      <c r="F44" s="345" t="s">
        <v>255</v>
      </c>
      <c r="G44" s="308">
        <v>2</v>
      </c>
      <c r="H44" s="309">
        <v>111000</v>
      </c>
      <c r="I44" s="309">
        <v>222000</v>
      </c>
      <c r="J44" s="211"/>
      <c r="K44" s="212" t="str">
        <f>IF(OR(J44="",G44=J44),"","*")</f>
        <v/>
      </c>
      <c r="L44" s="338">
        <f>IF($A44&lt;=L$1,I44/I$4,"")</f>
        <v>2.267156862745098E-2</v>
      </c>
      <c r="M44" s="343"/>
      <c r="N44" s="344"/>
      <c r="O44" s="310">
        <v>0</v>
      </c>
      <c r="P44" s="311">
        <v>0</v>
      </c>
      <c r="Q44" s="311">
        <v>0</v>
      </c>
      <c r="R44" s="211">
        <v>0</v>
      </c>
      <c r="S44" s="212"/>
      <c r="T44" s="213" t="e">
        <v>#DIV/0!</v>
      </c>
      <c r="U44" s="214"/>
      <c r="V44" s="215"/>
      <c r="W44" s="310">
        <v>0</v>
      </c>
      <c r="X44" s="311">
        <v>0</v>
      </c>
      <c r="Y44" s="311">
        <v>0</v>
      </c>
      <c r="Z44" s="211">
        <v>0</v>
      </c>
      <c r="AA44" s="212"/>
      <c r="AB44" s="213" t="e">
        <v>#DIV/0!</v>
      </c>
      <c r="AC44" s="214"/>
      <c r="AD44" s="215"/>
      <c r="AE44" s="342" t="s">
        <v>323</v>
      </c>
      <c r="AF44" s="341" t="s">
        <v>318</v>
      </c>
    </row>
    <row r="45" spans="1:32">
      <c r="A45" s="307">
        <v>3</v>
      </c>
      <c r="B45" s="342"/>
      <c r="C45" s="342" t="s">
        <v>179</v>
      </c>
      <c r="D45" s="340" t="s">
        <v>324</v>
      </c>
      <c r="E45" s="342" t="s">
        <v>325</v>
      </c>
      <c r="F45" s="345" t="s">
        <v>255</v>
      </c>
      <c r="G45" s="308">
        <v>2</v>
      </c>
      <c r="H45" s="309">
        <v>4000</v>
      </c>
      <c r="I45" s="309">
        <v>8000</v>
      </c>
      <c r="J45" s="211"/>
      <c r="K45" s="212" t="str">
        <f>IF(OR(J45="",G45=J45),"","*")</f>
        <v/>
      </c>
      <c r="L45" s="338">
        <f>IF($A45&lt;=L$1,I45/I$4,"")</f>
        <v>8.1699346405228761E-4</v>
      </c>
      <c r="M45" s="343"/>
      <c r="N45" s="344"/>
      <c r="O45" s="310">
        <v>0</v>
      </c>
      <c r="P45" s="311">
        <v>0</v>
      </c>
      <c r="Q45" s="311">
        <v>0</v>
      </c>
      <c r="R45" s="211">
        <v>0</v>
      </c>
      <c r="S45" s="212"/>
      <c r="T45" s="213" t="e">
        <v>#DIV/0!</v>
      </c>
      <c r="U45" s="214"/>
      <c r="V45" s="215"/>
      <c r="W45" s="310">
        <v>0</v>
      </c>
      <c r="X45" s="311">
        <v>0</v>
      </c>
      <c r="Y45" s="311">
        <v>0</v>
      </c>
      <c r="Z45" s="211">
        <v>0</v>
      </c>
      <c r="AA45" s="212"/>
      <c r="AB45" s="213" t="e">
        <v>#DIV/0!</v>
      </c>
      <c r="AC45" s="214"/>
      <c r="AD45" s="215"/>
      <c r="AE45" s="342" t="s">
        <v>326</v>
      </c>
      <c r="AF45" s="341" t="s">
        <v>318</v>
      </c>
    </row>
    <row r="46" spans="1:32">
      <c r="A46" s="307">
        <v>3</v>
      </c>
      <c r="B46" s="342"/>
      <c r="C46" s="342" t="s">
        <v>179</v>
      </c>
      <c r="D46" s="340" t="s">
        <v>327</v>
      </c>
      <c r="E46" s="342"/>
      <c r="F46" s="345" t="s">
        <v>255</v>
      </c>
      <c r="G46" s="308">
        <v>2</v>
      </c>
      <c r="H46" s="309">
        <v>55000</v>
      </c>
      <c r="I46" s="309">
        <v>110000</v>
      </c>
      <c r="J46" s="211"/>
      <c r="K46" s="212" t="str">
        <f>IF(OR(J46="",G46=J46),"","*")</f>
        <v/>
      </c>
      <c r="L46" s="338">
        <f>IF($A46&lt;=L$1,I46/I$4,"")</f>
        <v>1.1233660130718954E-2</v>
      </c>
      <c r="M46" s="343"/>
      <c r="N46" s="344"/>
      <c r="O46" s="310">
        <v>0</v>
      </c>
      <c r="P46" s="311">
        <v>0</v>
      </c>
      <c r="Q46" s="311">
        <v>0</v>
      </c>
      <c r="R46" s="211">
        <v>0</v>
      </c>
      <c r="S46" s="212"/>
      <c r="T46" s="213" t="e">
        <v>#DIV/0!</v>
      </c>
      <c r="U46" s="214"/>
      <c r="V46" s="215"/>
      <c r="W46" s="310">
        <v>0</v>
      </c>
      <c r="X46" s="311">
        <v>0</v>
      </c>
      <c r="Y46" s="311">
        <v>0</v>
      </c>
      <c r="Z46" s="211">
        <v>0</v>
      </c>
      <c r="AA46" s="212"/>
      <c r="AB46" s="213" t="e">
        <v>#DIV/0!</v>
      </c>
      <c r="AC46" s="214"/>
      <c r="AD46" s="215"/>
      <c r="AE46" s="342" t="s">
        <v>328</v>
      </c>
      <c r="AF46" s="341" t="s">
        <v>318</v>
      </c>
    </row>
    <row r="47" spans="1:32">
      <c r="A47" s="307">
        <v>3</v>
      </c>
      <c r="B47" s="342"/>
      <c r="C47" s="342" t="s">
        <v>179</v>
      </c>
      <c r="D47" s="340" t="s">
        <v>329</v>
      </c>
      <c r="E47" s="342"/>
      <c r="F47" s="345" t="s">
        <v>255</v>
      </c>
      <c r="G47" s="308">
        <v>2</v>
      </c>
      <c r="H47" s="309">
        <v>3000</v>
      </c>
      <c r="I47" s="309">
        <v>6000</v>
      </c>
      <c r="J47" s="211"/>
      <c r="K47" s="212" t="str">
        <f>IF(OR(J47="",G47=J47),"","*")</f>
        <v/>
      </c>
      <c r="L47" s="338">
        <f>IF($A47&lt;=L$1,I47/I$4,"")</f>
        <v>6.1274509803921568E-4</v>
      </c>
      <c r="M47" s="343"/>
      <c r="N47" s="344"/>
      <c r="O47" s="310">
        <v>0</v>
      </c>
      <c r="P47" s="311">
        <v>0</v>
      </c>
      <c r="Q47" s="311">
        <v>0</v>
      </c>
      <c r="R47" s="211">
        <v>0</v>
      </c>
      <c r="S47" s="212"/>
      <c r="T47" s="213" t="e">
        <v>#DIV/0!</v>
      </c>
      <c r="U47" s="214"/>
      <c r="V47" s="215"/>
      <c r="W47" s="310">
        <v>0</v>
      </c>
      <c r="X47" s="311">
        <v>0</v>
      </c>
      <c r="Y47" s="311">
        <v>0</v>
      </c>
      <c r="Z47" s="211">
        <v>0</v>
      </c>
      <c r="AA47" s="212"/>
      <c r="AB47" s="213" t="e">
        <v>#DIV/0!</v>
      </c>
      <c r="AC47" s="214"/>
      <c r="AD47" s="215"/>
      <c r="AE47" s="342" t="s">
        <v>330</v>
      </c>
      <c r="AF47" s="341" t="s">
        <v>318</v>
      </c>
    </row>
    <row r="48" spans="1:32">
      <c r="A48" s="307">
        <v>3</v>
      </c>
      <c r="B48" s="342"/>
      <c r="C48" s="342" t="s">
        <v>180</v>
      </c>
      <c r="D48" s="340" t="s">
        <v>331</v>
      </c>
      <c r="E48" s="342"/>
      <c r="F48" s="345" t="s">
        <v>255</v>
      </c>
      <c r="G48" s="308">
        <v>4</v>
      </c>
      <c r="H48" s="309">
        <v>5000</v>
      </c>
      <c r="I48" s="309">
        <v>20000</v>
      </c>
      <c r="J48" s="211"/>
      <c r="K48" s="212" t="str">
        <f>IF(OR(J48="",G48=J48),"","*")</f>
        <v/>
      </c>
      <c r="L48" s="338">
        <f>IF($A48&lt;=L$1,I48/I$4,"")</f>
        <v>2.0424836601307191E-3</v>
      </c>
      <c r="M48" s="343"/>
      <c r="N48" s="344"/>
      <c r="O48" s="310">
        <v>0</v>
      </c>
      <c r="P48" s="311">
        <v>0</v>
      </c>
      <c r="Q48" s="311">
        <v>0</v>
      </c>
      <c r="R48" s="211">
        <v>0</v>
      </c>
      <c r="S48" s="212"/>
      <c r="T48" s="213" t="e">
        <v>#DIV/0!</v>
      </c>
      <c r="U48" s="214"/>
      <c r="V48" s="215"/>
      <c r="W48" s="310">
        <v>0</v>
      </c>
      <c r="X48" s="311">
        <v>0</v>
      </c>
      <c r="Y48" s="311">
        <v>0</v>
      </c>
      <c r="Z48" s="211">
        <v>0</v>
      </c>
      <c r="AA48" s="212"/>
      <c r="AB48" s="213" t="e">
        <v>#DIV/0!</v>
      </c>
      <c r="AC48" s="214"/>
      <c r="AD48" s="215"/>
      <c r="AE48" s="342" t="s">
        <v>332</v>
      </c>
      <c r="AF48" s="341" t="s">
        <v>333</v>
      </c>
    </row>
    <row r="49" spans="1:32">
      <c r="A49" s="307">
        <v>3</v>
      </c>
      <c r="B49" s="342"/>
      <c r="C49" s="342" t="s">
        <v>180</v>
      </c>
      <c r="D49" s="340" t="s">
        <v>334</v>
      </c>
      <c r="E49" s="342" t="s">
        <v>335</v>
      </c>
      <c r="F49" s="345" t="s">
        <v>255</v>
      </c>
      <c r="G49" s="308">
        <v>4</v>
      </c>
      <c r="H49" s="309">
        <v>4000</v>
      </c>
      <c r="I49" s="309">
        <v>16000</v>
      </c>
      <c r="J49" s="211"/>
      <c r="K49" s="212" t="str">
        <f>IF(OR(J49="",G49=J49),"","*")</f>
        <v/>
      </c>
      <c r="L49" s="338">
        <f>IF($A49&lt;=L$1,I49/I$4,"")</f>
        <v>1.6339869281045752E-3</v>
      </c>
      <c r="M49" s="343"/>
      <c r="N49" s="344"/>
      <c r="O49" s="310">
        <v>0</v>
      </c>
      <c r="P49" s="311">
        <v>0</v>
      </c>
      <c r="Q49" s="311">
        <v>0</v>
      </c>
      <c r="R49" s="211">
        <v>0</v>
      </c>
      <c r="S49" s="212"/>
      <c r="T49" s="213" t="e">
        <v>#DIV/0!</v>
      </c>
      <c r="U49" s="214"/>
      <c r="V49" s="215"/>
      <c r="W49" s="310">
        <v>0</v>
      </c>
      <c r="X49" s="311">
        <v>0</v>
      </c>
      <c r="Y49" s="311">
        <v>0</v>
      </c>
      <c r="Z49" s="211">
        <v>0</v>
      </c>
      <c r="AA49" s="212"/>
      <c r="AB49" s="213" t="e">
        <v>#DIV/0!</v>
      </c>
      <c r="AC49" s="214"/>
      <c r="AD49" s="215"/>
      <c r="AE49" s="342" t="s">
        <v>336</v>
      </c>
      <c r="AF49" s="341" t="s">
        <v>333</v>
      </c>
    </row>
    <row r="50" spans="1:32">
      <c r="A50" s="307">
        <v>2</v>
      </c>
      <c r="B50" s="342"/>
      <c r="C50" s="342" t="s">
        <v>230</v>
      </c>
      <c r="D50" s="340" t="s">
        <v>337</v>
      </c>
      <c r="E50" s="342" t="s">
        <v>172</v>
      </c>
      <c r="F50" s="345" t="s">
        <v>170</v>
      </c>
      <c r="G50" s="308">
        <v>620</v>
      </c>
      <c r="H50" s="309">
        <v>2258</v>
      </c>
      <c r="I50" s="309">
        <v>1399960</v>
      </c>
      <c r="J50" s="211">
        <v>620</v>
      </c>
      <c r="K50" s="212" t="str">
        <f>IF(OR(J50="",G50=J50),"","*")</f>
        <v/>
      </c>
      <c r="L50" s="338">
        <f>IF($A50&lt;=L$1,I50/I$4,"")</f>
        <v>0.14296977124183008</v>
      </c>
      <c r="M50" s="343"/>
      <c r="N50" s="344" t="s">
        <v>338</v>
      </c>
      <c r="O50" s="310">
        <v>0</v>
      </c>
      <c r="P50" s="311">
        <v>0</v>
      </c>
      <c r="Q50" s="311">
        <v>0</v>
      </c>
      <c r="R50" s="211">
        <v>0</v>
      </c>
      <c r="S50" s="212"/>
      <c r="T50" s="213" t="e">
        <v>#DIV/0!</v>
      </c>
      <c r="U50" s="214"/>
      <c r="V50" s="215"/>
      <c r="W50" s="310">
        <v>0</v>
      </c>
      <c r="X50" s="311">
        <v>0</v>
      </c>
      <c r="Y50" s="311">
        <v>0</v>
      </c>
      <c r="Z50" s="211">
        <v>0</v>
      </c>
      <c r="AA50" s="212"/>
      <c r="AB50" s="213" t="e">
        <v>#DIV/0!</v>
      </c>
      <c r="AC50" s="214"/>
      <c r="AD50" s="215"/>
      <c r="AE50" s="342"/>
      <c r="AF50" s="341"/>
    </row>
    <row r="51" spans="1:32">
      <c r="A51" s="307">
        <v>3</v>
      </c>
      <c r="B51" s="342"/>
      <c r="C51" s="342" t="s">
        <v>176</v>
      </c>
      <c r="D51" s="340" t="s">
        <v>339</v>
      </c>
      <c r="E51" s="342" t="s">
        <v>303</v>
      </c>
      <c r="F51" s="345" t="s">
        <v>272</v>
      </c>
      <c r="G51" s="308">
        <v>67</v>
      </c>
      <c r="H51" s="309">
        <v>13200</v>
      </c>
      <c r="I51" s="309">
        <v>884400</v>
      </c>
      <c r="J51" s="211"/>
      <c r="K51" s="212" t="str">
        <f>IF(OR(J51="",G51=J51),"","*")</f>
        <v/>
      </c>
      <c r="L51" s="338">
        <f>IF($A51&lt;=L$1,I51/I$4,"")</f>
        <v>9.031862745098039E-2</v>
      </c>
      <c r="M51" s="343"/>
      <c r="N51" s="344"/>
      <c r="O51" s="310">
        <v>0</v>
      </c>
      <c r="P51" s="311">
        <v>0</v>
      </c>
      <c r="Q51" s="311">
        <v>0</v>
      </c>
      <c r="R51" s="211">
        <v>0</v>
      </c>
      <c r="S51" s="212"/>
      <c r="T51" s="213" t="e">
        <v>#DIV/0!</v>
      </c>
      <c r="U51" s="214"/>
      <c r="V51" s="215"/>
      <c r="W51" s="310">
        <v>0</v>
      </c>
      <c r="X51" s="311">
        <v>0</v>
      </c>
      <c r="Y51" s="311">
        <v>0</v>
      </c>
      <c r="Z51" s="211">
        <v>0</v>
      </c>
      <c r="AA51" s="212"/>
      <c r="AB51" s="213" t="e">
        <v>#DIV/0!</v>
      </c>
      <c r="AC51" s="214"/>
      <c r="AD51" s="215"/>
      <c r="AE51" s="342" t="s">
        <v>340</v>
      </c>
      <c r="AF51" s="341" t="s">
        <v>341</v>
      </c>
    </row>
    <row r="52" spans="1:32">
      <c r="A52" s="307">
        <v>3</v>
      </c>
      <c r="B52" s="342"/>
      <c r="C52" s="342" t="s">
        <v>176</v>
      </c>
      <c r="D52" s="340" t="s">
        <v>306</v>
      </c>
      <c r="E52" s="342" t="s">
        <v>307</v>
      </c>
      <c r="F52" s="345" t="s">
        <v>272</v>
      </c>
      <c r="G52" s="308">
        <v>10</v>
      </c>
      <c r="H52" s="309">
        <v>1800</v>
      </c>
      <c r="I52" s="309">
        <v>18000</v>
      </c>
      <c r="J52" s="211"/>
      <c r="K52" s="212" t="str">
        <f>IF(OR(J52="",G52=J52),"","*")</f>
        <v/>
      </c>
      <c r="L52" s="338">
        <f>IF($A52&lt;=L$1,I52/I$4,"")</f>
        <v>1.838235294117647E-3</v>
      </c>
      <c r="M52" s="343"/>
      <c r="N52" s="344"/>
      <c r="O52" s="310">
        <v>0</v>
      </c>
      <c r="P52" s="311">
        <v>0</v>
      </c>
      <c r="Q52" s="311">
        <v>0</v>
      </c>
      <c r="R52" s="211">
        <v>0</v>
      </c>
      <c r="S52" s="212"/>
      <c r="T52" s="213" t="e">
        <v>#DIV/0!</v>
      </c>
      <c r="U52" s="214"/>
      <c r="V52" s="215"/>
      <c r="W52" s="310">
        <v>0</v>
      </c>
      <c r="X52" s="311">
        <v>0</v>
      </c>
      <c r="Y52" s="311">
        <v>0</v>
      </c>
      <c r="Z52" s="211">
        <v>0</v>
      </c>
      <c r="AA52" s="212"/>
      <c r="AB52" s="213" t="e">
        <v>#DIV/0!</v>
      </c>
      <c r="AC52" s="214"/>
      <c r="AD52" s="215"/>
      <c r="AE52" s="342" t="s">
        <v>308</v>
      </c>
      <c r="AF52" s="341" t="s">
        <v>342</v>
      </c>
    </row>
    <row r="53" spans="1:32">
      <c r="A53" s="307">
        <v>3</v>
      </c>
      <c r="B53" s="342"/>
      <c r="C53" s="342" t="s">
        <v>176</v>
      </c>
      <c r="D53" s="340" t="s">
        <v>310</v>
      </c>
      <c r="E53" s="342"/>
      <c r="F53" s="345" t="s">
        <v>272</v>
      </c>
      <c r="G53" s="308">
        <v>0.28999999999999998</v>
      </c>
      <c r="H53" s="309">
        <v>154500</v>
      </c>
      <c r="I53" s="309">
        <v>44805</v>
      </c>
      <c r="J53" s="211"/>
      <c r="K53" s="212" t="str">
        <f>IF(OR(J53="",G53=J53),"","*")</f>
        <v/>
      </c>
      <c r="L53" s="338">
        <f>IF($A53&lt;=L$1,I53/I$4,"")</f>
        <v>4.5756740196078432E-3</v>
      </c>
      <c r="M53" s="343"/>
      <c r="N53" s="344"/>
      <c r="O53" s="310">
        <v>0</v>
      </c>
      <c r="P53" s="311">
        <v>0</v>
      </c>
      <c r="Q53" s="311">
        <v>0</v>
      </c>
      <c r="R53" s="211">
        <v>0</v>
      </c>
      <c r="S53" s="212"/>
      <c r="T53" s="213" t="e">
        <v>#DIV/0!</v>
      </c>
      <c r="U53" s="214"/>
      <c r="V53" s="215"/>
      <c r="W53" s="310">
        <v>0</v>
      </c>
      <c r="X53" s="311">
        <v>0</v>
      </c>
      <c r="Y53" s="311">
        <v>0</v>
      </c>
      <c r="Z53" s="211">
        <v>0</v>
      </c>
      <c r="AA53" s="212"/>
      <c r="AB53" s="213" t="e">
        <v>#DIV/0!</v>
      </c>
      <c r="AC53" s="214"/>
      <c r="AD53" s="215"/>
      <c r="AE53" s="342" t="s">
        <v>311</v>
      </c>
      <c r="AF53" s="341" t="s">
        <v>343</v>
      </c>
    </row>
    <row r="54" spans="1:32">
      <c r="A54" s="307">
        <v>3</v>
      </c>
      <c r="B54" s="342"/>
      <c r="C54" s="342" t="s">
        <v>176</v>
      </c>
      <c r="D54" s="340" t="s">
        <v>244</v>
      </c>
      <c r="E54" s="342"/>
      <c r="F54" s="345" t="s">
        <v>245</v>
      </c>
      <c r="G54" s="308">
        <v>80</v>
      </c>
      <c r="H54" s="309">
        <v>150</v>
      </c>
      <c r="I54" s="309">
        <v>12000</v>
      </c>
      <c r="J54" s="211"/>
      <c r="K54" s="212" t="str">
        <f>IF(OR(J54="",G54=J54),"","*")</f>
        <v/>
      </c>
      <c r="L54" s="338">
        <f>IF($A54&lt;=L$1,I54/I$4,"")</f>
        <v>1.2254901960784314E-3</v>
      </c>
      <c r="M54" s="343"/>
      <c r="N54" s="344"/>
      <c r="O54" s="310">
        <v>0</v>
      </c>
      <c r="P54" s="311">
        <v>0</v>
      </c>
      <c r="Q54" s="311">
        <v>0</v>
      </c>
      <c r="R54" s="211">
        <v>0</v>
      </c>
      <c r="S54" s="212"/>
      <c r="T54" s="213" t="e">
        <v>#DIV/0!</v>
      </c>
      <c r="U54" s="214"/>
      <c r="V54" s="215"/>
      <c r="W54" s="310">
        <v>0</v>
      </c>
      <c r="X54" s="311">
        <v>0</v>
      </c>
      <c r="Y54" s="311">
        <v>0</v>
      </c>
      <c r="Z54" s="211">
        <v>0</v>
      </c>
      <c r="AA54" s="212"/>
      <c r="AB54" s="213" t="e">
        <v>#DIV/0!</v>
      </c>
      <c r="AC54" s="214"/>
      <c r="AD54" s="215"/>
      <c r="AE54" s="342" t="s">
        <v>246</v>
      </c>
      <c r="AF54" s="341" t="s">
        <v>247</v>
      </c>
    </row>
    <row r="55" spans="1:32">
      <c r="A55" s="307">
        <v>3</v>
      </c>
      <c r="B55" s="342"/>
      <c r="C55" s="342" t="s">
        <v>176</v>
      </c>
      <c r="D55" s="340" t="s">
        <v>240</v>
      </c>
      <c r="E55" s="342"/>
      <c r="F55" s="345" t="s">
        <v>169</v>
      </c>
      <c r="G55" s="308">
        <v>1</v>
      </c>
      <c r="H55" s="309">
        <v>8795</v>
      </c>
      <c r="I55" s="309">
        <v>8795</v>
      </c>
      <c r="J55" s="211"/>
      <c r="K55" s="212" t="str">
        <f>IF(OR(J55="",G55=J55),"","*")</f>
        <v/>
      </c>
      <c r="L55" s="338">
        <f>IF($A55&lt;=L$1,I55/I$4,"")</f>
        <v>8.9818218954248368E-4</v>
      </c>
      <c r="M55" s="343"/>
      <c r="N55" s="344"/>
      <c r="O55" s="310">
        <v>0</v>
      </c>
      <c r="P55" s="311">
        <v>0</v>
      </c>
      <c r="Q55" s="311">
        <v>0</v>
      </c>
      <c r="R55" s="211">
        <v>0</v>
      </c>
      <c r="S55" s="212"/>
      <c r="T55" s="213" t="e">
        <v>#DIV/0!</v>
      </c>
      <c r="U55" s="214"/>
      <c r="V55" s="215"/>
      <c r="W55" s="310">
        <v>0</v>
      </c>
      <c r="X55" s="311">
        <v>0</v>
      </c>
      <c r="Y55" s="311">
        <v>0</v>
      </c>
      <c r="Z55" s="211">
        <v>0</v>
      </c>
      <c r="AA55" s="212"/>
      <c r="AB55" s="213" t="e">
        <v>#DIV/0!</v>
      </c>
      <c r="AC55" s="214"/>
      <c r="AD55" s="215"/>
      <c r="AE55" s="342" t="s">
        <v>241</v>
      </c>
      <c r="AF55" s="341"/>
    </row>
    <row r="56" spans="1:32">
      <c r="A56" s="307">
        <v>3</v>
      </c>
      <c r="B56" s="342"/>
      <c r="C56" s="342" t="s">
        <v>177</v>
      </c>
      <c r="D56" s="340" t="s">
        <v>248</v>
      </c>
      <c r="E56" s="342" t="s">
        <v>249</v>
      </c>
      <c r="F56" s="345" t="s">
        <v>250</v>
      </c>
      <c r="G56" s="308">
        <v>9</v>
      </c>
      <c r="H56" s="309">
        <v>26000</v>
      </c>
      <c r="I56" s="309">
        <v>234000</v>
      </c>
      <c r="J56" s="211"/>
      <c r="K56" s="212" t="str">
        <f>IF(OR(J56="",G56=J56),"","*")</f>
        <v/>
      </c>
      <c r="L56" s="338">
        <f>IF($A56&lt;=L$1,I56/I$4,"")</f>
        <v>2.389705882352941E-2</v>
      </c>
      <c r="M56" s="343"/>
      <c r="N56" s="344"/>
      <c r="O56" s="310">
        <v>0</v>
      </c>
      <c r="P56" s="311">
        <v>0</v>
      </c>
      <c r="Q56" s="311">
        <v>0</v>
      </c>
      <c r="R56" s="211">
        <v>0</v>
      </c>
      <c r="S56" s="212"/>
      <c r="T56" s="213" t="e">
        <v>#DIV/0!</v>
      </c>
      <c r="U56" s="214"/>
      <c r="V56" s="215"/>
      <c r="W56" s="310">
        <v>0</v>
      </c>
      <c r="X56" s="311">
        <v>0</v>
      </c>
      <c r="Y56" s="311">
        <v>0</v>
      </c>
      <c r="Z56" s="211">
        <v>0</v>
      </c>
      <c r="AA56" s="212"/>
      <c r="AB56" s="213" t="e">
        <v>#DIV/0!</v>
      </c>
      <c r="AC56" s="214"/>
      <c r="AD56" s="215"/>
      <c r="AE56" s="342" t="s">
        <v>251</v>
      </c>
      <c r="AF56" s="341" t="s">
        <v>344</v>
      </c>
    </row>
    <row r="57" spans="1:32">
      <c r="A57" s="307">
        <v>3</v>
      </c>
      <c r="B57" s="342"/>
      <c r="C57" s="342" t="s">
        <v>179</v>
      </c>
      <c r="D57" s="340" t="s">
        <v>321</v>
      </c>
      <c r="E57" s="342" t="s">
        <v>322</v>
      </c>
      <c r="F57" s="345" t="s">
        <v>255</v>
      </c>
      <c r="G57" s="308">
        <v>1</v>
      </c>
      <c r="H57" s="309">
        <v>111000</v>
      </c>
      <c r="I57" s="309">
        <v>111000</v>
      </c>
      <c r="J57" s="211"/>
      <c r="K57" s="212" t="str">
        <f>IF(OR(J57="",G57=J57),"","*")</f>
        <v/>
      </c>
      <c r="L57" s="338">
        <f>IF($A57&lt;=L$1,I57/I$4,"")</f>
        <v>1.133578431372549E-2</v>
      </c>
      <c r="M57" s="343"/>
      <c r="N57" s="344"/>
      <c r="O57" s="310">
        <v>0</v>
      </c>
      <c r="P57" s="311">
        <v>0</v>
      </c>
      <c r="Q57" s="311">
        <v>0</v>
      </c>
      <c r="R57" s="211">
        <v>0</v>
      </c>
      <c r="S57" s="212"/>
      <c r="T57" s="213" t="e">
        <v>#DIV/0!</v>
      </c>
      <c r="U57" s="214"/>
      <c r="V57" s="215"/>
      <c r="W57" s="310">
        <v>0</v>
      </c>
      <c r="X57" s="311">
        <v>0</v>
      </c>
      <c r="Y57" s="311">
        <v>0</v>
      </c>
      <c r="Z57" s="211">
        <v>0</v>
      </c>
      <c r="AA57" s="212"/>
      <c r="AB57" s="213" t="e">
        <v>#DIV/0!</v>
      </c>
      <c r="AC57" s="214"/>
      <c r="AD57" s="215"/>
      <c r="AE57" s="342" t="s">
        <v>323</v>
      </c>
      <c r="AF57" s="341" t="s">
        <v>257</v>
      </c>
    </row>
    <row r="58" spans="1:32">
      <c r="A58" s="307">
        <v>3</v>
      </c>
      <c r="B58" s="342"/>
      <c r="C58" s="342" t="s">
        <v>179</v>
      </c>
      <c r="D58" s="340" t="s">
        <v>315</v>
      </c>
      <c r="E58" s="342" t="s">
        <v>316</v>
      </c>
      <c r="F58" s="345" t="s">
        <v>255</v>
      </c>
      <c r="G58" s="308">
        <v>1</v>
      </c>
      <c r="H58" s="309">
        <v>5500</v>
      </c>
      <c r="I58" s="309">
        <v>5500</v>
      </c>
      <c r="J58" s="211"/>
      <c r="K58" s="212" t="str">
        <f>IF(OR(J58="",G58=J58),"","*")</f>
        <v/>
      </c>
      <c r="L58" s="338">
        <f>IF($A58&lt;=L$1,I58/I$4,"")</f>
        <v>5.6168300653594767E-4</v>
      </c>
      <c r="M58" s="343"/>
      <c r="N58" s="344"/>
      <c r="O58" s="310">
        <v>0</v>
      </c>
      <c r="P58" s="311">
        <v>0</v>
      </c>
      <c r="Q58" s="311">
        <v>0</v>
      </c>
      <c r="R58" s="211">
        <v>0</v>
      </c>
      <c r="S58" s="212"/>
      <c r="T58" s="213" t="e">
        <v>#DIV/0!</v>
      </c>
      <c r="U58" s="214"/>
      <c r="V58" s="215"/>
      <c r="W58" s="310">
        <v>0</v>
      </c>
      <c r="X58" s="311">
        <v>0</v>
      </c>
      <c r="Y58" s="311">
        <v>0</v>
      </c>
      <c r="Z58" s="211">
        <v>0</v>
      </c>
      <c r="AA58" s="212"/>
      <c r="AB58" s="213" t="e">
        <v>#DIV/0!</v>
      </c>
      <c r="AC58" s="214"/>
      <c r="AD58" s="215"/>
      <c r="AE58" s="342" t="s">
        <v>317</v>
      </c>
      <c r="AF58" s="341" t="s">
        <v>257</v>
      </c>
    </row>
    <row r="59" spans="1:32">
      <c r="A59" s="307">
        <v>3</v>
      </c>
      <c r="B59" s="342"/>
      <c r="C59" s="342" t="s">
        <v>179</v>
      </c>
      <c r="D59" s="340" t="s">
        <v>319</v>
      </c>
      <c r="E59" s="342"/>
      <c r="F59" s="345" t="s">
        <v>255</v>
      </c>
      <c r="G59" s="308">
        <v>1</v>
      </c>
      <c r="H59" s="309">
        <v>5500</v>
      </c>
      <c r="I59" s="309">
        <v>5500</v>
      </c>
      <c r="J59" s="211"/>
      <c r="K59" s="212" t="str">
        <f>IF(OR(J59="",G59=J59),"","*")</f>
        <v/>
      </c>
      <c r="L59" s="338">
        <f>IF($A59&lt;=L$1,I59/I$4,"")</f>
        <v>5.6168300653594767E-4</v>
      </c>
      <c r="M59" s="343"/>
      <c r="N59" s="344"/>
      <c r="O59" s="310">
        <v>0</v>
      </c>
      <c r="P59" s="311">
        <v>0</v>
      </c>
      <c r="Q59" s="311">
        <v>0</v>
      </c>
      <c r="R59" s="211">
        <v>0</v>
      </c>
      <c r="S59" s="212"/>
      <c r="T59" s="213" t="e">
        <v>#DIV/0!</v>
      </c>
      <c r="U59" s="214"/>
      <c r="V59" s="215"/>
      <c r="W59" s="310">
        <v>0</v>
      </c>
      <c r="X59" s="311">
        <v>0</v>
      </c>
      <c r="Y59" s="311">
        <v>0</v>
      </c>
      <c r="Z59" s="211">
        <v>0</v>
      </c>
      <c r="AA59" s="212"/>
      <c r="AB59" s="213" t="e">
        <v>#DIV/0!</v>
      </c>
      <c r="AC59" s="214"/>
      <c r="AD59" s="215"/>
      <c r="AE59" s="342" t="s">
        <v>320</v>
      </c>
      <c r="AF59" s="341" t="s">
        <v>257</v>
      </c>
    </row>
    <row r="60" spans="1:32">
      <c r="A60" s="307">
        <v>3</v>
      </c>
      <c r="B60" s="342"/>
      <c r="C60" s="342" t="s">
        <v>179</v>
      </c>
      <c r="D60" s="340" t="s">
        <v>327</v>
      </c>
      <c r="E60" s="342"/>
      <c r="F60" s="345" t="s">
        <v>255</v>
      </c>
      <c r="G60" s="308">
        <v>1</v>
      </c>
      <c r="H60" s="309">
        <v>55000</v>
      </c>
      <c r="I60" s="309">
        <v>55000</v>
      </c>
      <c r="J60" s="211"/>
      <c r="K60" s="212" t="str">
        <f>IF(OR(J60="",G60=J60),"","*")</f>
        <v/>
      </c>
      <c r="L60" s="338">
        <f>IF($A60&lt;=L$1,I60/I$4,"")</f>
        <v>5.6168300653594771E-3</v>
      </c>
      <c r="M60" s="343"/>
      <c r="N60" s="344"/>
      <c r="O60" s="310">
        <v>0</v>
      </c>
      <c r="P60" s="311">
        <v>0</v>
      </c>
      <c r="Q60" s="311">
        <v>0</v>
      </c>
      <c r="R60" s="211">
        <v>0</v>
      </c>
      <c r="S60" s="212"/>
      <c r="T60" s="213" t="e">
        <v>#DIV/0!</v>
      </c>
      <c r="U60" s="214"/>
      <c r="V60" s="215"/>
      <c r="W60" s="310">
        <v>0</v>
      </c>
      <c r="X60" s="311">
        <v>0</v>
      </c>
      <c r="Y60" s="311">
        <v>0</v>
      </c>
      <c r="Z60" s="211">
        <v>0</v>
      </c>
      <c r="AA60" s="212"/>
      <c r="AB60" s="213" t="e">
        <v>#DIV/0!</v>
      </c>
      <c r="AC60" s="214"/>
      <c r="AD60" s="215"/>
      <c r="AE60" s="342" t="s">
        <v>328</v>
      </c>
      <c r="AF60" s="341" t="s">
        <v>257</v>
      </c>
    </row>
    <row r="61" spans="1:32">
      <c r="A61" s="307">
        <v>3</v>
      </c>
      <c r="B61" s="342"/>
      <c r="C61" s="342" t="s">
        <v>179</v>
      </c>
      <c r="D61" s="340" t="s">
        <v>329</v>
      </c>
      <c r="E61" s="342"/>
      <c r="F61" s="345" t="s">
        <v>255</v>
      </c>
      <c r="G61" s="308">
        <v>1</v>
      </c>
      <c r="H61" s="309">
        <v>3000</v>
      </c>
      <c r="I61" s="309">
        <v>3000</v>
      </c>
      <c r="J61" s="211"/>
      <c r="K61" s="212" t="str">
        <f>IF(OR(J61="",G61=J61),"","*")</f>
        <v/>
      </c>
      <c r="L61" s="338">
        <f>IF($A61&lt;=L$1,I61/I$4,"")</f>
        <v>3.0637254901960784E-4</v>
      </c>
      <c r="M61" s="343"/>
      <c r="N61" s="344"/>
      <c r="O61" s="310">
        <v>0</v>
      </c>
      <c r="P61" s="311">
        <v>0</v>
      </c>
      <c r="Q61" s="311">
        <v>0</v>
      </c>
      <c r="R61" s="211">
        <v>0</v>
      </c>
      <c r="S61" s="212"/>
      <c r="T61" s="213" t="e">
        <v>#DIV/0!</v>
      </c>
      <c r="U61" s="214"/>
      <c r="V61" s="215"/>
      <c r="W61" s="310">
        <v>0</v>
      </c>
      <c r="X61" s="311">
        <v>0</v>
      </c>
      <c r="Y61" s="311">
        <v>0</v>
      </c>
      <c r="Z61" s="211">
        <v>0</v>
      </c>
      <c r="AA61" s="212"/>
      <c r="AB61" s="213" t="e">
        <v>#DIV/0!</v>
      </c>
      <c r="AC61" s="214"/>
      <c r="AD61" s="215"/>
      <c r="AE61" s="342" t="s">
        <v>330</v>
      </c>
      <c r="AF61" s="341" t="s">
        <v>257</v>
      </c>
    </row>
    <row r="62" spans="1:32">
      <c r="A62" s="307">
        <v>3</v>
      </c>
      <c r="B62" s="342"/>
      <c r="C62" s="342" t="s">
        <v>180</v>
      </c>
      <c r="D62" s="340" t="s">
        <v>331</v>
      </c>
      <c r="E62" s="342"/>
      <c r="F62" s="345" t="s">
        <v>255</v>
      </c>
      <c r="G62" s="308">
        <v>2</v>
      </c>
      <c r="H62" s="309">
        <v>5000</v>
      </c>
      <c r="I62" s="309">
        <v>10000</v>
      </c>
      <c r="J62" s="211"/>
      <c r="K62" s="212" t="str">
        <f>IF(OR(J62="",G62=J62),"","*")</f>
        <v/>
      </c>
      <c r="L62" s="338">
        <f>IF($A62&lt;=L$1,I62/I$4,"")</f>
        <v>1.0212418300653595E-3</v>
      </c>
      <c r="M62" s="343"/>
      <c r="N62" s="344"/>
      <c r="O62" s="310">
        <v>0</v>
      </c>
      <c r="P62" s="311">
        <v>0</v>
      </c>
      <c r="Q62" s="311">
        <v>0</v>
      </c>
      <c r="R62" s="211">
        <v>0</v>
      </c>
      <c r="S62" s="212"/>
      <c r="T62" s="213" t="e">
        <v>#DIV/0!</v>
      </c>
      <c r="U62" s="214"/>
      <c r="V62" s="215"/>
      <c r="W62" s="310">
        <v>0</v>
      </c>
      <c r="X62" s="311">
        <v>0</v>
      </c>
      <c r="Y62" s="311">
        <v>0</v>
      </c>
      <c r="Z62" s="211">
        <v>0</v>
      </c>
      <c r="AA62" s="212"/>
      <c r="AB62" s="213" t="e">
        <v>#DIV/0!</v>
      </c>
      <c r="AC62" s="214"/>
      <c r="AD62" s="215"/>
      <c r="AE62" s="342" t="s">
        <v>332</v>
      </c>
      <c r="AF62" s="341" t="s">
        <v>345</v>
      </c>
    </row>
    <row r="63" spans="1:32">
      <c r="A63" s="307">
        <v>3</v>
      </c>
      <c r="B63" s="342"/>
      <c r="C63" s="342" t="s">
        <v>180</v>
      </c>
      <c r="D63" s="340" t="s">
        <v>334</v>
      </c>
      <c r="E63" s="342" t="s">
        <v>335</v>
      </c>
      <c r="F63" s="345" t="s">
        <v>255</v>
      </c>
      <c r="G63" s="308">
        <v>2</v>
      </c>
      <c r="H63" s="309">
        <v>4000</v>
      </c>
      <c r="I63" s="309">
        <v>8000</v>
      </c>
      <c r="J63" s="211"/>
      <c r="K63" s="212" t="str">
        <f>IF(OR(J63="",G63=J63),"","*")</f>
        <v/>
      </c>
      <c r="L63" s="338">
        <f>IF($A63&lt;=L$1,I63/I$4,"")</f>
        <v>8.1699346405228761E-4</v>
      </c>
      <c r="M63" s="343"/>
      <c r="N63" s="344"/>
      <c r="O63" s="310">
        <v>0</v>
      </c>
      <c r="P63" s="311">
        <v>0</v>
      </c>
      <c r="Q63" s="311">
        <v>0</v>
      </c>
      <c r="R63" s="211">
        <v>0</v>
      </c>
      <c r="S63" s="212"/>
      <c r="T63" s="213" t="e">
        <v>#DIV/0!</v>
      </c>
      <c r="U63" s="214"/>
      <c r="V63" s="215"/>
      <c r="W63" s="310">
        <v>0</v>
      </c>
      <c r="X63" s="311">
        <v>0</v>
      </c>
      <c r="Y63" s="311">
        <v>0</v>
      </c>
      <c r="Z63" s="211">
        <v>0</v>
      </c>
      <c r="AA63" s="212"/>
      <c r="AB63" s="213" t="e">
        <v>#DIV/0!</v>
      </c>
      <c r="AC63" s="214"/>
      <c r="AD63" s="215"/>
      <c r="AE63" s="342" t="s">
        <v>336</v>
      </c>
      <c r="AF63" s="341" t="s">
        <v>345</v>
      </c>
    </row>
    <row r="64" spans="1:32">
      <c r="A64" s="307">
        <v>2</v>
      </c>
      <c r="B64" s="342"/>
      <c r="C64" s="342" t="s">
        <v>230</v>
      </c>
      <c r="D64" s="340" t="s">
        <v>346</v>
      </c>
      <c r="E64" s="342" t="s">
        <v>173</v>
      </c>
      <c r="F64" s="345" t="s">
        <v>170</v>
      </c>
      <c r="G64" s="308">
        <v>620</v>
      </c>
      <c r="H64" s="309">
        <v>2451</v>
      </c>
      <c r="I64" s="309">
        <v>1519620</v>
      </c>
      <c r="J64" s="211">
        <v>620</v>
      </c>
      <c r="K64" s="212" t="str">
        <f>IF(OR(J64="",G64=J64),"","*")</f>
        <v/>
      </c>
      <c r="L64" s="338">
        <f>IF($A64&lt;=L$1,I64/I$4,"")</f>
        <v>0.15518995098039215</v>
      </c>
      <c r="M64" s="343"/>
      <c r="N64" s="344" t="s">
        <v>347</v>
      </c>
      <c r="O64" s="310">
        <v>0</v>
      </c>
      <c r="P64" s="311">
        <v>0</v>
      </c>
      <c r="Q64" s="311">
        <v>0</v>
      </c>
      <c r="R64" s="211">
        <v>0</v>
      </c>
      <c r="S64" s="212"/>
      <c r="T64" s="213" t="e">
        <v>#DIV/0!</v>
      </c>
      <c r="U64" s="214"/>
      <c r="V64" s="215"/>
      <c r="W64" s="310">
        <v>0</v>
      </c>
      <c r="X64" s="311">
        <v>0</v>
      </c>
      <c r="Y64" s="311">
        <v>0</v>
      </c>
      <c r="Z64" s="211">
        <v>0</v>
      </c>
      <c r="AA64" s="212"/>
      <c r="AB64" s="213" t="e">
        <v>#DIV/0!</v>
      </c>
      <c r="AC64" s="214"/>
      <c r="AD64" s="215"/>
      <c r="AE64" s="342"/>
      <c r="AF64" s="341"/>
    </row>
    <row r="65" spans="1:32">
      <c r="A65" s="307">
        <v>3</v>
      </c>
      <c r="B65" s="342"/>
      <c r="C65" s="342" t="s">
        <v>176</v>
      </c>
      <c r="D65" s="340" t="s">
        <v>348</v>
      </c>
      <c r="E65" s="342"/>
      <c r="F65" s="345" t="s">
        <v>349</v>
      </c>
      <c r="G65" s="308">
        <v>374</v>
      </c>
      <c r="H65" s="309">
        <v>2200</v>
      </c>
      <c r="I65" s="309">
        <v>822800</v>
      </c>
      <c r="J65" s="211"/>
      <c r="K65" s="212" t="str">
        <f>IF(OR(J65="",G65=J65),"","*")</f>
        <v/>
      </c>
      <c r="L65" s="338">
        <f>IF($A65&lt;=L$1,I65/I$4,"")</f>
        <v>8.4027777777777785E-2</v>
      </c>
      <c r="M65" s="343"/>
      <c r="N65" s="344"/>
      <c r="O65" s="310">
        <v>0</v>
      </c>
      <c r="P65" s="311">
        <v>0</v>
      </c>
      <c r="Q65" s="311">
        <v>0</v>
      </c>
      <c r="R65" s="211">
        <v>0</v>
      </c>
      <c r="S65" s="212"/>
      <c r="T65" s="213" t="e">
        <v>#DIV/0!</v>
      </c>
      <c r="U65" s="214"/>
      <c r="V65" s="215"/>
      <c r="W65" s="310">
        <v>0</v>
      </c>
      <c r="X65" s="311">
        <v>0</v>
      </c>
      <c r="Y65" s="311">
        <v>0</v>
      </c>
      <c r="Z65" s="211">
        <v>0</v>
      </c>
      <c r="AA65" s="212"/>
      <c r="AB65" s="213" t="e">
        <v>#DIV/0!</v>
      </c>
      <c r="AC65" s="214"/>
      <c r="AD65" s="215"/>
      <c r="AE65" s="342" t="s">
        <v>350</v>
      </c>
      <c r="AF65" s="341"/>
    </row>
    <row r="66" spans="1:32">
      <c r="A66" s="307">
        <v>3</v>
      </c>
      <c r="B66" s="342"/>
      <c r="C66" s="342" t="s">
        <v>176</v>
      </c>
      <c r="D66" s="340" t="s">
        <v>244</v>
      </c>
      <c r="E66" s="342"/>
      <c r="F66" s="345" t="s">
        <v>245</v>
      </c>
      <c r="G66" s="308">
        <v>80</v>
      </c>
      <c r="H66" s="309">
        <v>150</v>
      </c>
      <c r="I66" s="309">
        <v>12000</v>
      </c>
      <c r="J66" s="211"/>
      <c r="K66" s="212" t="str">
        <f>IF(OR(J66="",G66=J66),"","*")</f>
        <v/>
      </c>
      <c r="L66" s="338">
        <f>IF($A66&lt;=L$1,I66/I$4,"")</f>
        <v>1.2254901960784314E-3</v>
      </c>
      <c r="M66" s="343"/>
      <c r="N66" s="344"/>
      <c r="O66" s="310">
        <v>0</v>
      </c>
      <c r="P66" s="311">
        <v>0</v>
      </c>
      <c r="Q66" s="311">
        <v>0</v>
      </c>
      <c r="R66" s="211">
        <v>0</v>
      </c>
      <c r="S66" s="212"/>
      <c r="T66" s="213" t="e">
        <v>#DIV/0!</v>
      </c>
      <c r="U66" s="214"/>
      <c r="V66" s="215"/>
      <c r="W66" s="310">
        <v>0</v>
      </c>
      <c r="X66" s="311">
        <v>0</v>
      </c>
      <c r="Y66" s="311">
        <v>0</v>
      </c>
      <c r="Z66" s="211">
        <v>0</v>
      </c>
      <c r="AA66" s="212"/>
      <c r="AB66" s="213" t="e">
        <v>#DIV/0!</v>
      </c>
      <c r="AC66" s="214"/>
      <c r="AD66" s="215"/>
      <c r="AE66" s="342" t="s">
        <v>246</v>
      </c>
      <c r="AF66" s="341" t="s">
        <v>351</v>
      </c>
    </row>
    <row r="67" spans="1:32">
      <c r="A67" s="307">
        <v>3</v>
      </c>
      <c r="B67" s="342"/>
      <c r="C67" s="342" t="s">
        <v>176</v>
      </c>
      <c r="D67" s="340" t="s">
        <v>240</v>
      </c>
      <c r="E67" s="342"/>
      <c r="F67" s="345" t="s">
        <v>169</v>
      </c>
      <c r="G67" s="308">
        <v>1</v>
      </c>
      <c r="H67" s="309">
        <v>27200</v>
      </c>
      <c r="I67" s="309">
        <v>27200</v>
      </c>
      <c r="J67" s="211"/>
      <c r="K67" s="212" t="str">
        <f>IF(OR(J67="",G67=J67),"","*")</f>
        <v/>
      </c>
      <c r="L67" s="338">
        <f>IF($A67&lt;=L$1,I67/I$4,"")</f>
        <v>2.7777777777777779E-3</v>
      </c>
      <c r="M67" s="343"/>
      <c r="N67" s="344"/>
      <c r="O67" s="310">
        <v>0</v>
      </c>
      <c r="P67" s="311">
        <v>0</v>
      </c>
      <c r="Q67" s="311">
        <v>0</v>
      </c>
      <c r="R67" s="211">
        <v>0</v>
      </c>
      <c r="S67" s="212"/>
      <c r="T67" s="213" t="e">
        <v>#DIV/0!</v>
      </c>
      <c r="U67" s="214"/>
      <c r="V67" s="215"/>
      <c r="W67" s="310">
        <v>0</v>
      </c>
      <c r="X67" s="311">
        <v>0</v>
      </c>
      <c r="Y67" s="311">
        <v>0</v>
      </c>
      <c r="Z67" s="211">
        <v>0</v>
      </c>
      <c r="AA67" s="212"/>
      <c r="AB67" s="213" t="e">
        <v>#DIV/0!</v>
      </c>
      <c r="AC67" s="214"/>
      <c r="AD67" s="215"/>
      <c r="AE67" s="342" t="s">
        <v>241</v>
      </c>
      <c r="AF67" s="341"/>
    </row>
    <row r="68" spans="1:32">
      <c r="A68" s="307">
        <v>3</v>
      </c>
      <c r="B68" s="342"/>
      <c r="C68" s="342" t="s">
        <v>177</v>
      </c>
      <c r="D68" s="340" t="s">
        <v>248</v>
      </c>
      <c r="E68" s="342" t="s">
        <v>249</v>
      </c>
      <c r="F68" s="345" t="s">
        <v>250</v>
      </c>
      <c r="G68" s="308">
        <v>16</v>
      </c>
      <c r="H68" s="309">
        <v>26000</v>
      </c>
      <c r="I68" s="309">
        <v>416000</v>
      </c>
      <c r="J68" s="211"/>
      <c r="K68" s="212" t="str">
        <f>IF(OR(J68="",G68=J68),"","*")</f>
        <v/>
      </c>
      <c r="L68" s="338">
        <f>IF($A68&lt;=L$1,I68/I$4,"")</f>
        <v>4.2483660130718956E-2</v>
      </c>
      <c r="M68" s="343"/>
      <c r="N68" s="344"/>
      <c r="O68" s="310">
        <v>0</v>
      </c>
      <c r="P68" s="311">
        <v>0</v>
      </c>
      <c r="Q68" s="311">
        <v>0</v>
      </c>
      <c r="R68" s="211">
        <v>0</v>
      </c>
      <c r="S68" s="212"/>
      <c r="T68" s="213" t="e">
        <v>#DIV/0!</v>
      </c>
      <c r="U68" s="214"/>
      <c r="V68" s="215"/>
      <c r="W68" s="310">
        <v>0</v>
      </c>
      <c r="X68" s="311">
        <v>0</v>
      </c>
      <c r="Y68" s="311">
        <v>0</v>
      </c>
      <c r="Z68" s="211">
        <v>0</v>
      </c>
      <c r="AA68" s="212"/>
      <c r="AB68" s="213" t="e">
        <v>#DIV/0!</v>
      </c>
      <c r="AC68" s="214"/>
      <c r="AD68" s="215"/>
      <c r="AE68" s="342" t="s">
        <v>251</v>
      </c>
      <c r="AF68" s="341" t="s">
        <v>352</v>
      </c>
    </row>
    <row r="69" spans="1:32">
      <c r="A69" s="307">
        <v>3</v>
      </c>
      <c r="B69" s="342"/>
      <c r="C69" s="342" t="s">
        <v>179</v>
      </c>
      <c r="D69" s="340" t="s">
        <v>353</v>
      </c>
      <c r="E69" s="342" t="s">
        <v>354</v>
      </c>
      <c r="F69" s="345" t="s">
        <v>255</v>
      </c>
      <c r="G69" s="308">
        <v>2</v>
      </c>
      <c r="H69" s="309">
        <v>100000</v>
      </c>
      <c r="I69" s="309">
        <v>200000</v>
      </c>
      <c r="J69" s="211"/>
      <c r="K69" s="212" t="str">
        <f>IF(OR(J69="",G69=J69),"","*")</f>
        <v/>
      </c>
      <c r="L69" s="338">
        <f>IF($A69&lt;=L$1,I69/I$4,"")</f>
        <v>2.042483660130719E-2</v>
      </c>
      <c r="M69" s="343"/>
      <c r="N69" s="344"/>
      <c r="O69" s="310">
        <v>0</v>
      </c>
      <c r="P69" s="311">
        <v>0</v>
      </c>
      <c r="Q69" s="311">
        <v>0</v>
      </c>
      <c r="R69" s="211">
        <v>0</v>
      </c>
      <c r="S69" s="212"/>
      <c r="T69" s="213" t="e">
        <v>#DIV/0!</v>
      </c>
      <c r="U69" s="214"/>
      <c r="V69" s="215"/>
      <c r="W69" s="310">
        <v>0</v>
      </c>
      <c r="X69" s="311">
        <v>0</v>
      </c>
      <c r="Y69" s="311">
        <v>0</v>
      </c>
      <c r="Z69" s="211">
        <v>0</v>
      </c>
      <c r="AA69" s="212"/>
      <c r="AB69" s="213" t="e">
        <v>#DIV/0!</v>
      </c>
      <c r="AC69" s="214"/>
      <c r="AD69" s="215"/>
      <c r="AE69" s="342" t="s">
        <v>355</v>
      </c>
      <c r="AF69" s="341" t="s">
        <v>318</v>
      </c>
    </row>
    <row r="70" spans="1:32">
      <c r="A70" s="307">
        <v>3</v>
      </c>
      <c r="B70" s="342"/>
      <c r="C70" s="342" t="s">
        <v>179</v>
      </c>
      <c r="D70" s="340" t="s">
        <v>329</v>
      </c>
      <c r="E70" s="342"/>
      <c r="F70" s="345" t="s">
        <v>255</v>
      </c>
      <c r="G70" s="308">
        <v>2</v>
      </c>
      <c r="H70" s="309">
        <v>3000</v>
      </c>
      <c r="I70" s="309">
        <v>6000</v>
      </c>
      <c r="J70" s="211"/>
      <c r="K70" s="212" t="str">
        <f>IF(OR(J70="",G70=J70),"","*")</f>
        <v/>
      </c>
      <c r="L70" s="338">
        <f>IF($A70&lt;=L$1,I70/I$4,"")</f>
        <v>6.1274509803921568E-4</v>
      </c>
      <c r="M70" s="343"/>
      <c r="N70" s="344"/>
      <c r="O70" s="310">
        <v>0</v>
      </c>
      <c r="P70" s="311">
        <v>0</v>
      </c>
      <c r="Q70" s="311">
        <v>0</v>
      </c>
      <c r="R70" s="211">
        <v>0</v>
      </c>
      <c r="S70" s="212"/>
      <c r="T70" s="213" t="e">
        <v>#DIV/0!</v>
      </c>
      <c r="U70" s="214"/>
      <c r="V70" s="215"/>
      <c r="W70" s="310">
        <v>0</v>
      </c>
      <c r="X70" s="311">
        <v>0</v>
      </c>
      <c r="Y70" s="311">
        <v>0</v>
      </c>
      <c r="Z70" s="211">
        <v>0</v>
      </c>
      <c r="AA70" s="212"/>
      <c r="AB70" s="213" t="e">
        <v>#DIV/0!</v>
      </c>
      <c r="AC70" s="214"/>
      <c r="AD70" s="215"/>
      <c r="AE70" s="342" t="s">
        <v>330</v>
      </c>
      <c r="AF70" s="341" t="s">
        <v>318</v>
      </c>
    </row>
    <row r="71" spans="1:32">
      <c r="A71" s="307">
        <v>3</v>
      </c>
      <c r="B71" s="342"/>
      <c r="C71" s="342" t="s">
        <v>180</v>
      </c>
      <c r="D71" s="340" t="s">
        <v>331</v>
      </c>
      <c r="E71" s="342"/>
      <c r="F71" s="345" t="s">
        <v>255</v>
      </c>
      <c r="G71" s="308">
        <v>4</v>
      </c>
      <c r="H71" s="309">
        <v>5000</v>
      </c>
      <c r="I71" s="309">
        <v>20000</v>
      </c>
      <c r="J71" s="211"/>
      <c r="K71" s="212" t="str">
        <f>IF(OR(J71="",G71=J71),"","*")</f>
        <v/>
      </c>
      <c r="L71" s="338">
        <f>IF($A71&lt;=L$1,I71/I$4,"")</f>
        <v>2.0424836601307191E-3</v>
      </c>
      <c r="M71" s="343"/>
      <c r="N71" s="344"/>
      <c r="O71" s="310">
        <v>0</v>
      </c>
      <c r="P71" s="311">
        <v>0</v>
      </c>
      <c r="Q71" s="311">
        <v>0</v>
      </c>
      <c r="R71" s="211">
        <v>0</v>
      </c>
      <c r="S71" s="212"/>
      <c r="T71" s="213" t="e">
        <v>#DIV/0!</v>
      </c>
      <c r="U71" s="214"/>
      <c r="V71" s="215"/>
      <c r="W71" s="310">
        <v>0</v>
      </c>
      <c r="X71" s="311">
        <v>0</v>
      </c>
      <c r="Y71" s="311">
        <v>0</v>
      </c>
      <c r="Z71" s="211">
        <v>0</v>
      </c>
      <c r="AA71" s="212"/>
      <c r="AB71" s="213" t="e">
        <v>#DIV/0!</v>
      </c>
      <c r="AC71" s="214"/>
      <c r="AD71" s="215"/>
      <c r="AE71" s="342" t="s">
        <v>332</v>
      </c>
      <c r="AF71" s="341" t="s">
        <v>333</v>
      </c>
    </row>
    <row r="72" spans="1:32">
      <c r="A72" s="307">
        <v>3</v>
      </c>
      <c r="B72" s="342"/>
      <c r="C72" s="342" t="s">
        <v>180</v>
      </c>
      <c r="D72" s="340" t="s">
        <v>334</v>
      </c>
      <c r="E72" s="342" t="s">
        <v>335</v>
      </c>
      <c r="F72" s="345" t="s">
        <v>255</v>
      </c>
      <c r="G72" s="308">
        <v>4</v>
      </c>
      <c r="H72" s="309">
        <v>4000</v>
      </c>
      <c r="I72" s="309">
        <v>16000</v>
      </c>
      <c r="J72" s="211"/>
      <c r="K72" s="212" t="str">
        <f>IF(OR(J72="",G72=J72),"","*")</f>
        <v/>
      </c>
      <c r="L72" s="338">
        <f>IF($A72&lt;=L$1,I72/I$4,"")</f>
        <v>1.6339869281045752E-3</v>
      </c>
      <c r="M72" s="343"/>
      <c r="N72" s="344"/>
      <c r="O72" s="310">
        <v>0</v>
      </c>
      <c r="P72" s="311">
        <v>0</v>
      </c>
      <c r="Q72" s="311">
        <v>0</v>
      </c>
      <c r="R72" s="211">
        <v>0</v>
      </c>
      <c r="S72" s="212"/>
      <c r="T72" s="213" t="e">
        <v>#DIV/0!</v>
      </c>
      <c r="U72" s="214"/>
      <c r="V72" s="215"/>
      <c r="W72" s="310">
        <v>0</v>
      </c>
      <c r="X72" s="311">
        <v>0</v>
      </c>
      <c r="Y72" s="311">
        <v>0</v>
      </c>
      <c r="Z72" s="211">
        <v>0</v>
      </c>
      <c r="AA72" s="212"/>
      <c r="AB72" s="213" t="e">
        <v>#DIV/0!</v>
      </c>
      <c r="AC72" s="214"/>
      <c r="AD72" s="215"/>
      <c r="AE72" s="342" t="s">
        <v>336</v>
      </c>
      <c r="AF72" s="341" t="s">
        <v>333</v>
      </c>
    </row>
    <row r="73" spans="1:32">
      <c r="A73" s="307">
        <v>2</v>
      </c>
      <c r="B73" s="342"/>
      <c r="C73" s="342" t="s">
        <v>230</v>
      </c>
      <c r="D73" s="340" t="s">
        <v>356</v>
      </c>
      <c r="E73" s="342"/>
      <c r="F73" s="345" t="s">
        <v>169</v>
      </c>
      <c r="G73" s="308">
        <v>1</v>
      </c>
      <c r="H73" s="309">
        <v>270000</v>
      </c>
      <c r="I73" s="309">
        <v>270000</v>
      </c>
      <c r="J73" s="211">
        <v>1</v>
      </c>
      <c r="K73" s="212" t="str">
        <f>IF(OR(J73="",G73=J73),"","*")</f>
        <v/>
      </c>
      <c r="L73" s="338">
        <f>IF($A73&lt;=L$1,I73/I$4,"")</f>
        <v>2.7573529411764705E-2</v>
      </c>
      <c r="M73" s="343"/>
      <c r="N73" s="344" t="s">
        <v>357</v>
      </c>
      <c r="O73" s="310">
        <v>0</v>
      </c>
      <c r="P73" s="311">
        <v>0</v>
      </c>
      <c r="Q73" s="311">
        <v>0</v>
      </c>
      <c r="R73" s="211">
        <v>0</v>
      </c>
      <c r="S73" s="212"/>
      <c r="T73" s="213" t="e">
        <v>#DIV/0!</v>
      </c>
      <c r="U73" s="214"/>
      <c r="V73" s="215"/>
      <c r="W73" s="310">
        <v>0</v>
      </c>
      <c r="X73" s="311">
        <v>0</v>
      </c>
      <c r="Y73" s="311">
        <v>0</v>
      </c>
      <c r="Z73" s="211">
        <v>0</v>
      </c>
      <c r="AA73" s="212"/>
      <c r="AB73" s="213" t="e">
        <v>#DIV/0!</v>
      </c>
      <c r="AC73" s="214"/>
      <c r="AD73" s="215"/>
      <c r="AE73" s="342"/>
      <c r="AF73" s="341"/>
    </row>
    <row r="74" spans="1:32">
      <c r="A74" s="307">
        <v>3</v>
      </c>
      <c r="B74" s="342"/>
      <c r="C74" s="342" t="s">
        <v>178</v>
      </c>
      <c r="D74" s="340" t="s">
        <v>358</v>
      </c>
      <c r="E74" s="342" t="s">
        <v>359</v>
      </c>
      <c r="F74" s="345" t="s">
        <v>360</v>
      </c>
      <c r="G74" s="308">
        <v>83</v>
      </c>
      <c r="H74" s="309">
        <v>280</v>
      </c>
      <c r="I74" s="309">
        <v>23240</v>
      </c>
      <c r="J74" s="211"/>
      <c r="K74" s="212" t="str">
        <f>IF(OR(J74="",G74=J74),"","*")</f>
        <v/>
      </c>
      <c r="L74" s="338">
        <f>IF($A74&lt;=L$1,I74/I$4,"")</f>
        <v>2.3733660130718956E-3</v>
      </c>
      <c r="M74" s="343"/>
      <c r="N74" s="344"/>
      <c r="O74" s="310">
        <v>0</v>
      </c>
      <c r="P74" s="311">
        <v>0</v>
      </c>
      <c r="Q74" s="311">
        <v>0</v>
      </c>
      <c r="R74" s="211">
        <v>0</v>
      </c>
      <c r="S74" s="212"/>
      <c r="T74" s="213" t="e">
        <v>#DIV/0!</v>
      </c>
      <c r="U74" s="214"/>
      <c r="V74" s="215"/>
      <c r="W74" s="310">
        <v>0</v>
      </c>
      <c r="X74" s="311">
        <v>0</v>
      </c>
      <c r="Y74" s="311">
        <v>0</v>
      </c>
      <c r="Z74" s="211">
        <v>0</v>
      </c>
      <c r="AA74" s="212"/>
      <c r="AB74" s="213" t="e">
        <v>#DIV/0!</v>
      </c>
      <c r="AC74" s="214"/>
      <c r="AD74" s="215"/>
      <c r="AE74" s="342" t="s">
        <v>361</v>
      </c>
      <c r="AF74" s="341"/>
    </row>
    <row r="75" spans="1:32">
      <c r="A75" s="307">
        <v>3</v>
      </c>
      <c r="B75" s="342"/>
      <c r="C75" s="342" t="s">
        <v>178</v>
      </c>
      <c r="D75" s="340" t="s">
        <v>358</v>
      </c>
      <c r="E75" s="342" t="s">
        <v>362</v>
      </c>
      <c r="F75" s="345" t="s">
        <v>360</v>
      </c>
      <c r="G75" s="308">
        <v>199</v>
      </c>
      <c r="H75" s="309">
        <v>780</v>
      </c>
      <c r="I75" s="309">
        <v>155220</v>
      </c>
      <c r="J75" s="211"/>
      <c r="K75" s="212" t="str">
        <f>IF(OR(J75="",G75=J75),"","*")</f>
        <v/>
      </c>
      <c r="L75" s="338">
        <f>IF($A75&lt;=L$1,I75/I$4,"")</f>
        <v>1.5851715686274508E-2</v>
      </c>
      <c r="M75" s="343"/>
      <c r="N75" s="344"/>
      <c r="O75" s="310">
        <v>0</v>
      </c>
      <c r="P75" s="311">
        <v>0</v>
      </c>
      <c r="Q75" s="311">
        <v>0</v>
      </c>
      <c r="R75" s="211">
        <v>0</v>
      </c>
      <c r="S75" s="212"/>
      <c r="T75" s="213" t="e">
        <v>#DIV/0!</v>
      </c>
      <c r="U75" s="214"/>
      <c r="V75" s="215"/>
      <c r="W75" s="310">
        <v>0</v>
      </c>
      <c r="X75" s="311">
        <v>0</v>
      </c>
      <c r="Y75" s="311">
        <v>0</v>
      </c>
      <c r="Z75" s="211">
        <v>0</v>
      </c>
      <c r="AA75" s="212"/>
      <c r="AB75" s="213" t="e">
        <v>#DIV/0!</v>
      </c>
      <c r="AC75" s="214"/>
      <c r="AD75" s="215"/>
      <c r="AE75" s="342" t="s">
        <v>363</v>
      </c>
      <c r="AF75" s="341"/>
    </row>
    <row r="76" spans="1:32">
      <c r="A76" s="307">
        <v>3</v>
      </c>
      <c r="B76" s="342"/>
      <c r="C76" s="342" t="s">
        <v>178</v>
      </c>
      <c r="D76" s="340" t="s">
        <v>364</v>
      </c>
      <c r="E76" s="342"/>
      <c r="F76" s="345" t="s">
        <v>360</v>
      </c>
      <c r="G76" s="308">
        <v>62</v>
      </c>
      <c r="H76" s="309">
        <v>590</v>
      </c>
      <c r="I76" s="309">
        <v>36580</v>
      </c>
      <c r="J76" s="211"/>
      <c r="K76" s="212" t="str">
        <f>IF(OR(J76="",G76=J76),"","*")</f>
        <v/>
      </c>
      <c r="L76" s="338">
        <f>IF($A76&lt;=L$1,I76/I$4,"")</f>
        <v>3.735702614379085E-3</v>
      </c>
      <c r="M76" s="343"/>
      <c r="N76" s="344"/>
      <c r="O76" s="310">
        <v>0</v>
      </c>
      <c r="P76" s="311">
        <v>0</v>
      </c>
      <c r="Q76" s="311">
        <v>0</v>
      </c>
      <c r="R76" s="211">
        <v>0</v>
      </c>
      <c r="S76" s="212"/>
      <c r="T76" s="213" t="e">
        <v>#DIV/0!</v>
      </c>
      <c r="U76" s="214"/>
      <c r="V76" s="215"/>
      <c r="W76" s="310">
        <v>0</v>
      </c>
      <c r="X76" s="311">
        <v>0</v>
      </c>
      <c r="Y76" s="311">
        <v>0</v>
      </c>
      <c r="Z76" s="211">
        <v>0</v>
      </c>
      <c r="AA76" s="212"/>
      <c r="AB76" s="213" t="e">
        <v>#DIV/0!</v>
      </c>
      <c r="AC76" s="214"/>
      <c r="AD76" s="215"/>
      <c r="AE76" s="342" t="s">
        <v>365</v>
      </c>
      <c r="AF76" s="341"/>
    </row>
    <row r="77" spans="1:32">
      <c r="A77" s="307">
        <v>3</v>
      </c>
      <c r="B77" s="342"/>
      <c r="C77" s="342" t="s">
        <v>176</v>
      </c>
      <c r="D77" s="340" t="s">
        <v>366</v>
      </c>
      <c r="E77" s="342"/>
      <c r="F77" s="345" t="s">
        <v>360</v>
      </c>
      <c r="G77" s="308">
        <v>6</v>
      </c>
      <c r="H77" s="309">
        <v>7300</v>
      </c>
      <c r="I77" s="309">
        <v>43800</v>
      </c>
      <c r="J77" s="211"/>
      <c r="K77" s="212" t="str">
        <f>IF(OR(J77="",G77=J77),"","*")</f>
        <v/>
      </c>
      <c r="L77" s="338">
        <f>IF($A77&lt;=L$1,I77/I$4,"")</f>
        <v>4.4730392156862742E-3</v>
      </c>
      <c r="M77" s="343"/>
      <c r="N77" s="344"/>
      <c r="O77" s="310">
        <v>0</v>
      </c>
      <c r="P77" s="311">
        <v>0</v>
      </c>
      <c r="Q77" s="311">
        <v>0</v>
      </c>
      <c r="R77" s="211">
        <v>0</v>
      </c>
      <c r="S77" s="212"/>
      <c r="T77" s="213" t="e">
        <v>#DIV/0!</v>
      </c>
      <c r="U77" s="214"/>
      <c r="V77" s="215"/>
      <c r="W77" s="310">
        <v>0</v>
      </c>
      <c r="X77" s="311">
        <v>0</v>
      </c>
      <c r="Y77" s="311">
        <v>0</v>
      </c>
      <c r="Z77" s="211">
        <v>0</v>
      </c>
      <c r="AA77" s="212"/>
      <c r="AB77" s="213" t="e">
        <v>#DIV/0!</v>
      </c>
      <c r="AC77" s="214"/>
      <c r="AD77" s="215"/>
      <c r="AE77" s="342" t="s">
        <v>367</v>
      </c>
      <c r="AF77" s="341" t="s">
        <v>368</v>
      </c>
    </row>
    <row r="78" spans="1:32">
      <c r="A78" s="307">
        <v>3</v>
      </c>
      <c r="B78" s="342"/>
      <c r="C78" s="342" t="s">
        <v>176</v>
      </c>
      <c r="D78" s="340" t="s">
        <v>369</v>
      </c>
      <c r="E78" s="342" t="s">
        <v>370</v>
      </c>
      <c r="F78" s="345" t="s">
        <v>371</v>
      </c>
      <c r="G78" s="308">
        <v>1</v>
      </c>
      <c r="H78" s="309">
        <v>10000</v>
      </c>
      <c r="I78" s="309">
        <v>10000</v>
      </c>
      <c r="J78" s="211"/>
      <c r="K78" s="212" t="str">
        <f>IF(OR(J78="",G78=J78),"","*")</f>
        <v/>
      </c>
      <c r="L78" s="338">
        <f>IF($A78&lt;=L$1,I78/I$4,"")</f>
        <v>1.0212418300653595E-3</v>
      </c>
      <c r="M78" s="343"/>
      <c r="N78" s="344"/>
      <c r="O78" s="310">
        <v>0</v>
      </c>
      <c r="P78" s="311">
        <v>0</v>
      </c>
      <c r="Q78" s="311">
        <v>0</v>
      </c>
      <c r="R78" s="211">
        <v>0</v>
      </c>
      <c r="S78" s="212"/>
      <c r="T78" s="213" t="e">
        <v>#DIV/0!</v>
      </c>
      <c r="U78" s="214"/>
      <c r="V78" s="215"/>
      <c r="W78" s="310">
        <v>0</v>
      </c>
      <c r="X78" s="311">
        <v>0</v>
      </c>
      <c r="Y78" s="311">
        <v>0</v>
      </c>
      <c r="Z78" s="211">
        <v>0</v>
      </c>
      <c r="AA78" s="212"/>
      <c r="AB78" s="213" t="e">
        <v>#DIV/0!</v>
      </c>
      <c r="AC78" s="214"/>
      <c r="AD78" s="215"/>
      <c r="AE78" s="342" t="s">
        <v>372</v>
      </c>
      <c r="AF78" s="341"/>
    </row>
    <row r="79" spans="1:32">
      <c r="A79" s="307">
        <v>3</v>
      </c>
      <c r="B79" s="342"/>
      <c r="C79" s="342" t="s">
        <v>176</v>
      </c>
      <c r="D79" s="340" t="s">
        <v>240</v>
      </c>
      <c r="E79" s="342"/>
      <c r="F79" s="345" t="s">
        <v>169</v>
      </c>
      <c r="G79" s="308">
        <v>1</v>
      </c>
      <c r="H79" s="309">
        <v>1160</v>
      </c>
      <c r="I79" s="309">
        <v>1160</v>
      </c>
      <c r="J79" s="211"/>
      <c r="K79" s="212" t="str">
        <f>IF(OR(J79="",G79=J79),"","*")</f>
        <v/>
      </c>
      <c r="L79" s="338">
        <f>IF($A79&lt;=L$1,I79/I$4,"")</f>
        <v>1.184640522875817E-4</v>
      </c>
      <c r="M79" s="343"/>
      <c r="N79" s="344"/>
      <c r="O79" s="310">
        <v>0</v>
      </c>
      <c r="P79" s="311">
        <v>0</v>
      </c>
      <c r="Q79" s="311">
        <v>0</v>
      </c>
      <c r="R79" s="211">
        <v>0</v>
      </c>
      <c r="S79" s="212"/>
      <c r="T79" s="213" t="e">
        <v>#DIV/0!</v>
      </c>
      <c r="U79" s="214"/>
      <c r="V79" s="215"/>
      <c r="W79" s="310">
        <v>0</v>
      </c>
      <c r="X79" s="311">
        <v>0</v>
      </c>
      <c r="Y79" s="311">
        <v>0</v>
      </c>
      <c r="Z79" s="211">
        <v>0</v>
      </c>
      <c r="AA79" s="212"/>
      <c r="AB79" s="213" t="e">
        <v>#DIV/0!</v>
      </c>
      <c r="AC79" s="214"/>
      <c r="AD79" s="215"/>
      <c r="AE79" s="342" t="s">
        <v>241</v>
      </c>
      <c r="AF79" s="341"/>
    </row>
    <row r="80" spans="1:32">
      <c r="A80" s="307">
        <v>2</v>
      </c>
      <c r="B80" s="342"/>
      <c r="C80" s="342" t="s">
        <v>230</v>
      </c>
      <c r="D80" s="340" t="s">
        <v>373</v>
      </c>
      <c r="E80" s="342"/>
      <c r="F80" s="345" t="s">
        <v>169</v>
      </c>
      <c r="G80" s="308">
        <v>1</v>
      </c>
      <c r="H80" s="309">
        <v>1559</v>
      </c>
      <c r="I80" s="309">
        <v>1559</v>
      </c>
      <c r="J80" s="211">
        <v>1</v>
      </c>
      <c r="K80" s="212" t="str">
        <f>IF(OR(J80="",G80=J80),"","*")</f>
        <v/>
      </c>
      <c r="L80" s="338">
        <f>IF($A80&lt;=L$1,I80/I$4,"")</f>
        <v>1.5921160130718954E-4</v>
      </c>
      <c r="M80" s="343"/>
      <c r="N80" s="344" t="s">
        <v>374</v>
      </c>
      <c r="O80" s="310">
        <v>0</v>
      </c>
      <c r="P80" s="311">
        <v>0</v>
      </c>
      <c r="Q80" s="311">
        <v>0</v>
      </c>
      <c r="R80" s="211">
        <v>0</v>
      </c>
      <c r="S80" s="212"/>
      <c r="T80" s="213" t="e">
        <v>#DIV/0!</v>
      </c>
      <c r="U80" s="214"/>
      <c r="V80" s="215"/>
      <c r="W80" s="310">
        <v>0</v>
      </c>
      <c r="X80" s="311">
        <v>0</v>
      </c>
      <c r="Y80" s="311">
        <v>0</v>
      </c>
      <c r="Z80" s="211">
        <v>0</v>
      </c>
      <c r="AA80" s="212"/>
      <c r="AB80" s="213" t="e">
        <v>#DIV/0!</v>
      </c>
      <c r="AC80" s="214"/>
      <c r="AD80" s="215"/>
      <c r="AE80" s="342"/>
      <c r="AF80" s="341"/>
    </row>
    <row r="81" spans="1:32">
      <c r="A81" s="307">
        <v>3</v>
      </c>
      <c r="B81" s="342"/>
      <c r="C81" s="342" t="s">
        <v>176</v>
      </c>
      <c r="D81" s="340" t="s">
        <v>240</v>
      </c>
      <c r="E81" s="342"/>
      <c r="F81" s="345" t="s">
        <v>169</v>
      </c>
      <c r="G81" s="308">
        <v>1</v>
      </c>
      <c r="H81" s="309">
        <v>1559</v>
      </c>
      <c r="I81" s="309">
        <v>1559</v>
      </c>
      <c r="J81" s="211"/>
      <c r="K81" s="212" t="str">
        <f>IF(OR(J81="",G81=J81),"","*")</f>
        <v/>
      </c>
      <c r="L81" s="338">
        <f>IF($A81&lt;=L$1,I81/I$4,"")</f>
        <v>1.5921160130718954E-4</v>
      </c>
      <c r="M81" s="343"/>
      <c r="N81" s="344"/>
      <c r="O81" s="310">
        <v>0</v>
      </c>
      <c r="P81" s="311">
        <v>0</v>
      </c>
      <c r="Q81" s="311">
        <v>0</v>
      </c>
      <c r="R81" s="211">
        <v>0</v>
      </c>
      <c r="S81" s="212"/>
      <c r="T81" s="213" t="e">
        <v>#DIV/0!</v>
      </c>
      <c r="U81" s="214"/>
      <c r="V81" s="215"/>
      <c r="W81" s="310">
        <v>0</v>
      </c>
      <c r="X81" s="311">
        <v>0</v>
      </c>
      <c r="Y81" s="311">
        <v>0</v>
      </c>
      <c r="Z81" s="211">
        <v>0</v>
      </c>
      <c r="AA81" s="212"/>
      <c r="AB81" s="213" t="e">
        <v>#DIV/0!</v>
      </c>
      <c r="AC81" s="214"/>
      <c r="AD81" s="215"/>
      <c r="AE81" s="342" t="s">
        <v>241</v>
      </c>
      <c r="AF81" s="341"/>
    </row>
    <row r="82" spans="1:32">
      <c r="A82" s="307">
        <v>2</v>
      </c>
      <c r="B82" s="342"/>
      <c r="C82" s="342" t="s">
        <v>230</v>
      </c>
      <c r="D82" s="340" t="s">
        <v>375</v>
      </c>
      <c r="E82" s="342" t="s">
        <v>174</v>
      </c>
      <c r="F82" s="345" t="s">
        <v>170</v>
      </c>
      <c r="G82" s="308">
        <v>60</v>
      </c>
      <c r="H82" s="309">
        <v>3666</v>
      </c>
      <c r="I82" s="309">
        <v>219960</v>
      </c>
      <c r="J82" s="211">
        <v>60</v>
      </c>
      <c r="K82" s="212" t="str">
        <f>IF(OR(J82="",G82=J82),"","*")</f>
        <v/>
      </c>
      <c r="L82" s="338">
        <f>IF($A82&lt;=L$1,I82/I$4,"")</f>
        <v>2.2463235294117648E-2</v>
      </c>
      <c r="M82" s="343"/>
      <c r="N82" s="344" t="s">
        <v>376</v>
      </c>
      <c r="O82" s="310">
        <v>0</v>
      </c>
      <c r="P82" s="311">
        <v>0</v>
      </c>
      <c r="Q82" s="311">
        <v>0</v>
      </c>
      <c r="R82" s="211">
        <v>0</v>
      </c>
      <c r="S82" s="212"/>
      <c r="T82" s="213" t="e">
        <v>#DIV/0!</v>
      </c>
      <c r="U82" s="214"/>
      <c r="V82" s="215"/>
      <c r="W82" s="310">
        <v>0</v>
      </c>
      <c r="X82" s="311">
        <v>0</v>
      </c>
      <c r="Y82" s="311">
        <v>0</v>
      </c>
      <c r="Z82" s="211">
        <v>0</v>
      </c>
      <c r="AA82" s="212"/>
      <c r="AB82" s="213" t="e">
        <v>#DIV/0!</v>
      </c>
      <c r="AC82" s="214"/>
      <c r="AD82" s="215"/>
      <c r="AE82" s="342"/>
      <c r="AF82" s="341"/>
    </row>
    <row r="83" spans="1:32">
      <c r="A83" s="307">
        <v>3</v>
      </c>
      <c r="B83" s="342"/>
      <c r="C83" s="342" t="s">
        <v>176</v>
      </c>
      <c r="D83" s="340" t="s">
        <v>302</v>
      </c>
      <c r="E83" s="342" t="s">
        <v>377</v>
      </c>
      <c r="F83" s="345" t="s">
        <v>272</v>
      </c>
      <c r="G83" s="308">
        <v>8</v>
      </c>
      <c r="H83" s="309">
        <v>13700</v>
      </c>
      <c r="I83" s="309">
        <v>109600</v>
      </c>
      <c r="J83" s="211"/>
      <c r="K83" s="212" t="str">
        <f>IF(OR(J83="",G83=J83),"","*")</f>
        <v/>
      </c>
      <c r="L83" s="338">
        <f>IF($A83&lt;=L$1,I83/I$4,"")</f>
        <v>1.119281045751634E-2</v>
      </c>
      <c r="M83" s="343"/>
      <c r="N83" s="344"/>
      <c r="O83" s="310">
        <v>0</v>
      </c>
      <c r="P83" s="311">
        <v>0</v>
      </c>
      <c r="Q83" s="311">
        <v>0</v>
      </c>
      <c r="R83" s="211">
        <v>0</v>
      </c>
      <c r="S83" s="212"/>
      <c r="T83" s="213" t="e">
        <v>#DIV/0!</v>
      </c>
      <c r="U83" s="214"/>
      <c r="V83" s="215"/>
      <c r="W83" s="310">
        <v>0</v>
      </c>
      <c r="X83" s="311">
        <v>0</v>
      </c>
      <c r="Y83" s="311">
        <v>0</v>
      </c>
      <c r="Z83" s="211">
        <v>0</v>
      </c>
      <c r="AA83" s="212"/>
      <c r="AB83" s="213" t="e">
        <v>#DIV/0!</v>
      </c>
      <c r="AC83" s="214"/>
      <c r="AD83" s="215"/>
      <c r="AE83" s="342" t="s">
        <v>304</v>
      </c>
      <c r="AF83" s="341" t="s">
        <v>378</v>
      </c>
    </row>
    <row r="84" spans="1:32">
      <c r="A84" s="307">
        <v>3</v>
      </c>
      <c r="B84" s="342"/>
      <c r="C84" s="342" t="s">
        <v>180</v>
      </c>
      <c r="D84" s="340" t="s">
        <v>271</v>
      </c>
      <c r="E84" s="342"/>
      <c r="F84" s="345" t="s">
        <v>272</v>
      </c>
      <c r="G84" s="308">
        <v>8</v>
      </c>
      <c r="H84" s="309">
        <v>500</v>
      </c>
      <c r="I84" s="309">
        <v>4000</v>
      </c>
      <c r="J84" s="211"/>
      <c r="K84" s="212" t="str">
        <f>IF(OR(J84="",G84=J84),"","*")</f>
        <v/>
      </c>
      <c r="L84" s="338">
        <f>IF($A84&lt;=L$1,I84/I$4,"")</f>
        <v>4.084967320261438E-4</v>
      </c>
      <c r="M84" s="343"/>
      <c r="N84" s="344"/>
      <c r="O84" s="310">
        <v>0</v>
      </c>
      <c r="P84" s="311">
        <v>0</v>
      </c>
      <c r="Q84" s="311">
        <v>0</v>
      </c>
      <c r="R84" s="211">
        <v>0</v>
      </c>
      <c r="S84" s="212"/>
      <c r="T84" s="213" t="e">
        <v>#DIV/0!</v>
      </c>
      <c r="U84" s="214"/>
      <c r="V84" s="215"/>
      <c r="W84" s="310">
        <v>0</v>
      </c>
      <c r="X84" s="311">
        <v>0</v>
      </c>
      <c r="Y84" s="311">
        <v>0</v>
      </c>
      <c r="Z84" s="211">
        <v>0</v>
      </c>
      <c r="AA84" s="212"/>
      <c r="AB84" s="213" t="e">
        <v>#DIV/0!</v>
      </c>
      <c r="AC84" s="214"/>
      <c r="AD84" s="215"/>
      <c r="AE84" s="342" t="s">
        <v>273</v>
      </c>
      <c r="AF84" s="341" t="s">
        <v>378</v>
      </c>
    </row>
    <row r="85" spans="1:32">
      <c r="A85" s="307">
        <v>3</v>
      </c>
      <c r="B85" s="342"/>
      <c r="C85" s="342" t="s">
        <v>177</v>
      </c>
      <c r="D85" s="340" t="s">
        <v>248</v>
      </c>
      <c r="E85" s="342" t="s">
        <v>249</v>
      </c>
      <c r="F85" s="345" t="s">
        <v>250</v>
      </c>
      <c r="G85" s="308">
        <v>4</v>
      </c>
      <c r="H85" s="309">
        <v>26000</v>
      </c>
      <c r="I85" s="309">
        <v>104000</v>
      </c>
      <c r="J85" s="211"/>
      <c r="K85" s="212" t="str">
        <f>IF(OR(J85="",G85=J85),"","*")</f>
        <v/>
      </c>
      <c r="L85" s="338">
        <f>IF($A85&lt;=L$1,I85/I$4,"")</f>
        <v>1.0620915032679739E-2</v>
      </c>
      <c r="M85" s="343"/>
      <c r="N85" s="344"/>
      <c r="O85" s="310">
        <v>0</v>
      </c>
      <c r="P85" s="311">
        <v>0</v>
      </c>
      <c r="Q85" s="311">
        <v>0</v>
      </c>
      <c r="R85" s="211">
        <v>0</v>
      </c>
      <c r="S85" s="212"/>
      <c r="T85" s="213" t="e">
        <v>#DIV/0!</v>
      </c>
      <c r="U85" s="214"/>
      <c r="V85" s="215"/>
      <c r="W85" s="310">
        <v>0</v>
      </c>
      <c r="X85" s="311">
        <v>0</v>
      </c>
      <c r="Y85" s="311">
        <v>0</v>
      </c>
      <c r="Z85" s="211">
        <v>0</v>
      </c>
      <c r="AA85" s="212"/>
      <c r="AB85" s="213" t="e">
        <v>#DIV/0!</v>
      </c>
      <c r="AC85" s="214"/>
      <c r="AD85" s="215"/>
      <c r="AE85" s="342" t="s">
        <v>251</v>
      </c>
      <c r="AF85" s="341" t="s">
        <v>379</v>
      </c>
    </row>
    <row r="86" spans="1:32">
      <c r="A86" s="307">
        <v>3</v>
      </c>
      <c r="B86" s="342"/>
      <c r="C86" s="342" t="s">
        <v>176</v>
      </c>
      <c r="D86" s="340" t="s">
        <v>240</v>
      </c>
      <c r="E86" s="342"/>
      <c r="F86" s="345" t="s">
        <v>169</v>
      </c>
      <c r="G86" s="308">
        <v>1</v>
      </c>
      <c r="H86" s="309">
        <v>2400</v>
      </c>
      <c r="I86" s="309">
        <v>2400</v>
      </c>
      <c r="J86" s="211"/>
      <c r="K86" s="212" t="str">
        <f>IF(OR(J86="",G86=J86),"","*")</f>
        <v/>
      </c>
      <c r="L86" s="338">
        <f>IF($A86&lt;=L$1,I86/I$4,"")</f>
        <v>2.4509803921568627E-4</v>
      </c>
      <c r="M86" s="343"/>
      <c r="N86" s="344"/>
      <c r="O86" s="310">
        <v>0</v>
      </c>
      <c r="P86" s="311">
        <v>0</v>
      </c>
      <c r="Q86" s="311">
        <v>0</v>
      </c>
      <c r="R86" s="211">
        <v>0</v>
      </c>
      <c r="S86" s="212"/>
      <c r="T86" s="213" t="e">
        <v>#DIV/0!</v>
      </c>
      <c r="U86" s="214"/>
      <c r="V86" s="215"/>
      <c r="W86" s="310">
        <v>0</v>
      </c>
      <c r="X86" s="311">
        <v>0</v>
      </c>
      <c r="Y86" s="311">
        <v>0</v>
      </c>
      <c r="Z86" s="211">
        <v>0</v>
      </c>
      <c r="AA86" s="212"/>
      <c r="AB86" s="213" t="e">
        <v>#DIV/0!</v>
      </c>
      <c r="AC86" s="214"/>
      <c r="AD86" s="215"/>
      <c r="AE86" s="342" t="s">
        <v>241</v>
      </c>
      <c r="AF86" s="341"/>
    </row>
    <row r="87" spans="1:32">
      <c r="A87" s="307">
        <v>2</v>
      </c>
      <c r="B87" s="342"/>
      <c r="C87" s="342" t="s">
        <v>230</v>
      </c>
      <c r="D87" s="340" t="s">
        <v>380</v>
      </c>
      <c r="E87" s="342"/>
      <c r="F87" s="345" t="s">
        <v>169</v>
      </c>
      <c r="G87" s="308">
        <v>1</v>
      </c>
      <c r="H87" s="309">
        <v>40</v>
      </c>
      <c r="I87" s="309">
        <v>40</v>
      </c>
      <c r="J87" s="211">
        <v>1</v>
      </c>
      <c r="K87" s="212" t="str">
        <f>IF(OR(J87="",G87=J87),"","*")</f>
        <v/>
      </c>
      <c r="L87" s="338">
        <f>IF($A87&lt;=L$1,I87/I$4,"")</f>
        <v>4.0849673202614383E-6</v>
      </c>
      <c r="M87" s="343"/>
      <c r="N87" s="344" t="s">
        <v>381</v>
      </c>
      <c r="O87" s="310">
        <v>0</v>
      </c>
      <c r="P87" s="311">
        <v>0</v>
      </c>
      <c r="Q87" s="311">
        <v>0</v>
      </c>
      <c r="R87" s="211">
        <v>0</v>
      </c>
      <c r="S87" s="212"/>
      <c r="T87" s="213" t="e">
        <v>#DIV/0!</v>
      </c>
      <c r="U87" s="214"/>
      <c r="V87" s="215"/>
      <c r="W87" s="310">
        <v>0</v>
      </c>
      <c r="X87" s="311">
        <v>0</v>
      </c>
      <c r="Y87" s="311">
        <v>0</v>
      </c>
      <c r="Z87" s="211">
        <v>0</v>
      </c>
      <c r="AA87" s="212"/>
      <c r="AB87" s="213" t="e">
        <v>#DIV/0!</v>
      </c>
      <c r="AC87" s="214"/>
      <c r="AD87" s="215"/>
      <c r="AE87" s="342"/>
      <c r="AF87" s="341"/>
    </row>
    <row r="88" spans="1:32">
      <c r="A88" s="307">
        <v>3</v>
      </c>
      <c r="B88" s="342"/>
      <c r="C88" s="342" t="s">
        <v>176</v>
      </c>
      <c r="D88" s="340" t="s">
        <v>240</v>
      </c>
      <c r="E88" s="342"/>
      <c r="F88" s="345" t="s">
        <v>169</v>
      </c>
      <c r="G88" s="308">
        <v>1</v>
      </c>
      <c r="H88" s="309">
        <v>40</v>
      </c>
      <c r="I88" s="309">
        <v>40</v>
      </c>
      <c r="J88" s="211"/>
      <c r="K88" s="212" t="str">
        <f>IF(OR(J88="",G88=J88),"","*")</f>
        <v/>
      </c>
      <c r="L88" s="338">
        <f>IF($A88&lt;=L$1,I88/I$4,"")</f>
        <v>4.0849673202614383E-6</v>
      </c>
      <c r="M88" s="343"/>
      <c r="N88" s="344"/>
      <c r="O88" s="310">
        <v>0</v>
      </c>
      <c r="P88" s="311">
        <v>0</v>
      </c>
      <c r="Q88" s="311">
        <v>0</v>
      </c>
      <c r="R88" s="211">
        <v>0</v>
      </c>
      <c r="S88" s="212"/>
      <c r="T88" s="213" t="e">
        <v>#DIV/0!</v>
      </c>
      <c r="U88" s="214"/>
      <c r="V88" s="215"/>
      <c r="W88" s="310">
        <v>0</v>
      </c>
      <c r="X88" s="311">
        <v>0</v>
      </c>
      <c r="Y88" s="311">
        <v>0</v>
      </c>
      <c r="Z88" s="211">
        <v>0</v>
      </c>
      <c r="AA88" s="212"/>
      <c r="AB88" s="213" t="e">
        <v>#DIV/0!</v>
      </c>
      <c r="AC88" s="214"/>
      <c r="AD88" s="215"/>
      <c r="AE88" s="342" t="s">
        <v>241</v>
      </c>
      <c r="AF88" s="341"/>
    </row>
    <row r="89" spans="1:32">
      <c r="A89" s="217"/>
      <c r="B89" s="217"/>
      <c r="C89" s="312"/>
      <c r="D89" s="217"/>
      <c r="E89" s="217"/>
      <c r="F89" s="218"/>
      <c r="G89" s="217"/>
      <c r="H89" s="217"/>
      <c r="I89" s="217"/>
      <c r="J89" s="217"/>
      <c r="K89" s="218"/>
      <c r="L89" s="217"/>
      <c r="M89" s="217"/>
      <c r="N89" s="217"/>
      <c r="O89" s="217"/>
      <c r="P89" s="217"/>
      <c r="Q89" s="217"/>
      <c r="R89" s="217"/>
      <c r="S89" s="218"/>
      <c r="T89" s="217"/>
      <c r="U89" s="217"/>
      <c r="V89" s="217"/>
      <c r="W89" s="217"/>
      <c r="X89" s="217"/>
      <c r="Y89" s="217"/>
      <c r="Z89" s="217"/>
      <c r="AA89" s="218"/>
      <c r="AB89" s="217"/>
      <c r="AC89" s="217"/>
      <c r="AD89" s="217"/>
      <c r="AE89" s="217"/>
      <c r="AF89" s="313"/>
    </row>
  </sheetData>
  <autoFilter ref="A3:AE3" xr:uid="{00000000-0009-0000-0000-000006000000}"/>
  <mergeCells count="4">
    <mergeCell ref="G2:N2"/>
    <mergeCell ref="O2:V2"/>
    <mergeCell ref="W2:AD2"/>
    <mergeCell ref="AF2:AF3"/>
  </mergeCells>
  <phoneticPr fontId="4"/>
  <conditionalFormatting sqref="A4:AD88 AF4:AF88">
    <cfRule type="expression" dxfId="29" priority="46" stopIfTrue="1">
      <formula>$A4&lt;=1</formula>
    </cfRule>
    <cfRule type="expression" dxfId="28" priority="47" stopIfTrue="1">
      <formula>$A4=2</formula>
    </cfRule>
    <cfRule type="expression" dxfId="27" priority="48" stopIfTrue="1">
      <formula>$A4=3</formula>
    </cfRule>
    <cfRule type="expression" dxfId="26" priority="49" stopIfTrue="1">
      <formula>$A4=4</formula>
    </cfRule>
    <cfRule type="expression" dxfId="25" priority="50" stopIfTrue="1">
      <formula>$A4=5</formula>
    </cfRule>
  </conditionalFormatting>
  <conditionalFormatting sqref="AE4:AE88">
    <cfRule type="expression" dxfId="24" priority="16" stopIfTrue="1">
      <formula>$A4&lt;=1</formula>
    </cfRule>
    <cfRule type="expression" dxfId="23" priority="17" stopIfTrue="1">
      <formula>$A4=2</formula>
    </cfRule>
    <cfRule type="expression" dxfId="22" priority="18" stopIfTrue="1">
      <formula>$A4=3</formula>
    </cfRule>
    <cfRule type="expression" dxfId="21" priority="19" stopIfTrue="1">
      <formula>$A4=4</formula>
    </cfRule>
    <cfRule type="expression" dxfId="20" priority="2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>
    <pageSetUpPr fitToPage="1"/>
  </sheetPr>
  <dimension ref="A1:H40"/>
  <sheetViews>
    <sheetView zoomScaleNormal="100" workbookViewId="0"/>
  </sheetViews>
  <sheetFormatPr defaultColWidth="8.25" defaultRowHeight="13.5"/>
  <cols>
    <col min="1" max="1" width="3.375" style="73" customWidth="1"/>
    <col min="2" max="2" width="0.875" style="73" customWidth="1"/>
    <col min="3" max="3" width="41.875" style="73" customWidth="1"/>
    <col min="4" max="4" width="18.875" style="73" customWidth="1"/>
    <col min="5" max="5" width="0.875" style="73" customWidth="1"/>
    <col min="6" max="6" width="41.875" style="73" customWidth="1"/>
    <col min="7" max="7" width="18.875" style="73" customWidth="1"/>
    <col min="8" max="8" width="3.375" style="73" customWidth="1"/>
    <col min="9" max="16384" width="8.25" style="73"/>
  </cols>
  <sheetData>
    <row r="1" spans="1:8" ht="21" customHeight="1">
      <c r="B1" s="541" t="s">
        <v>71</v>
      </c>
      <c r="C1" s="541"/>
      <c r="D1" s="541"/>
      <c r="E1" s="541"/>
      <c r="F1" s="541"/>
      <c r="G1" s="541"/>
      <c r="H1" s="237"/>
    </row>
    <row r="2" spans="1:8" ht="14.25" customHeight="1" thickBot="1">
      <c r="A2" s="69"/>
      <c r="B2" s="69"/>
      <c r="C2" s="69"/>
      <c r="D2" s="69"/>
      <c r="E2" s="69"/>
      <c r="F2" s="69"/>
      <c r="G2" s="72"/>
      <c r="H2" s="69"/>
    </row>
    <row r="3" spans="1:8" ht="20.25" customHeight="1">
      <c r="A3" s="69"/>
      <c r="B3" s="534" t="s">
        <v>72</v>
      </c>
      <c r="C3" s="542"/>
      <c r="D3" s="116" t="s">
        <v>73</v>
      </c>
      <c r="E3" s="543" t="s">
        <v>74</v>
      </c>
      <c r="F3" s="544"/>
      <c r="G3" s="117" t="s">
        <v>73</v>
      </c>
      <c r="H3" s="69"/>
    </row>
    <row r="4" spans="1:8" ht="27" customHeight="1">
      <c r="A4" s="69"/>
      <c r="B4" s="118"/>
      <c r="C4" s="119" t="s">
        <v>163</v>
      </c>
      <c r="D4" s="315">
        <v>380000</v>
      </c>
      <c r="E4" s="120"/>
      <c r="F4" s="119" t="s">
        <v>167</v>
      </c>
      <c r="G4" s="316">
        <v>832000</v>
      </c>
      <c r="H4" s="69"/>
    </row>
    <row r="5" spans="1:8" ht="27" customHeight="1">
      <c r="A5" s="69"/>
      <c r="B5" s="118"/>
      <c r="C5" s="119" t="s">
        <v>164</v>
      </c>
      <c r="D5" s="315">
        <v>650000</v>
      </c>
      <c r="E5" s="120"/>
      <c r="F5" s="119" t="s">
        <v>383</v>
      </c>
      <c r="G5" s="316"/>
      <c r="H5" s="69"/>
    </row>
    <row r="6" spans="1:8" ht="27" customHeight="1">
      <c r="A6" s="69"/>
      <c r="B6" s="118"/>
      <c r="C6" s="119" t="s">
        <v>165</v>
      </c>
      <c r="D6" s="315">
        <v>330000</v>
      </c>
      <c r="E6" s="120"/>
      <c r="F6" s="119" t="s">
        <v>384</v>
      </c>
      <c r="G6" s="316"/>
      <c r="H6" s="69"/>
    </row>
    <row r="7" spans="1:8" ht="27" customHeight="1">
      <c r="A7" s="69"/>
      <c r="B7" s="118"/>
      <c r="C7" s="119" t="s">
        <v>166</v>
      </c>
      <c r="D7" s="315">
        <v>200000</v>
      </c>
      <c r="E7" s="120"/>
      <c r="F7" s="119" t="s">
        <v>385</v>
      </c>
      <c r="G7" s="316"/>
      <c r="H7" s="69"/>
    </row>
    <row r="8" spans="1:8" ht="27" customHeight="1">
      <c r="A8" s="69"/>
      <c r="B8" s="118"/>
      <c r="C8" s="119"/>
      <c r="D8" s="315"/>
      <c r="E8" s="120"/>
      <c r="F8" s="119" t="s">
        <v>386</v>
      </c>
      <c r="G8" s="316"/>
      <c r="H8" s="69"/>
    </row>
    <row r="9" spans="1:8" ht="27" customHeight="1">
      <c r="A9" s="69"/>
      <c r="B9" s="118"/>
      <c r="C9" s="119" t="s">
        <v>225</v>
      </c>
      <c r="D9" s="315">
        <v>1560000</v>
      </c>
      <c r="E9" s="120"/>
      <c r="F9" s="119" t="s">
        <v>387</v>
      </c>
      <c r="G9" s="316"/>
      <c r="H9" s="69"/>
    </row>
    <row r="10" spans="1:8" ht="27" customHeight="1">
      <c r="A10" s="69"/>
      <c r="B10" s="118"/>
      <c r="C10" s="119"/>
      <c r="D10" s="315"/>
      <c r="E10" s="120"/>
      <c r="F10" s="119" t="s">
        <v>388</v>
      </c>
      <c r="G10" s="316"/>
      <c r="H10" s="69"/>
    </row>
    <row r="11" spans="1:8" ht="27" customHeight="1">
      <c r="A11" s="69"/>
      <c r="B11" s="118"/>
      <c r="C11" s="119"/>
      <c r="D11" s="315"/>
      <c r="E11" s="120"/>
      <c r="F11" s="119" t="s">
        <v>389</v>
      </c>
      <c r="G11" s="316"/>
      <c r="H11" s="69"/>
    </row>
    <row r="12" spans="1:8" ht="27" customHeight="1">
      <c r="A12" s="69"/>
      <c r="B12" s="118"/>
      <c r="C12" s="119"/>
      <c r="D12" s="315"/>
      <c r="E12" s="120"/>
      <c r="F12" s="119"/>
      <c r="G12" s="316"/>
      <c r="H12" s="69"/>
    </row>
    <row r="13" spans="1:8" ht="27" customHeight="1">
      <c r="A13" s="69"/>
      <c r="B13" s="118"/>
      <c r="C13" s="119"/>
      <c r="D13" s="315"/>
      <c r="E13" s="120"/>
      <c r="F13" s="119" t="s">
        <v>225</v>
      </c>
      <c r="G13" s="316">
        <v>832000</v>
      </c>
      <c r="H13" s="69"/>
    </row>
    <row r="14" spans="1:8" ht="27" customHeight="1">
      <c r="A14" s="69"/>
      <c r="B14" s="118"/>
      <c r="C14" s="119"/>
      <c r="D14" s="315"/>
      <c r="E14" s="120"/>
      <c r="F14" s="119"/>
      <c r="G14" s="316"/>
      <c r="H14" s="69"/>
    </row>
    <row r="15" spans="1:8" ht="27" customHeight="1">
      <c r="A15" s="69"/>
      <c r="B15" s="118"/>
      <c r="C15" s="119"/>
      <c r="D15" s="315"/>
      <c r="E15" s="120"/>
      <c r="F15" s="119"/>
      <c r="G15" s="316"/>
      <c r="H15" s="69"/>
    </row>
    <row r="16" spans="1:8" ht="27" customHeight="1">
      <c r="A16" s="69"/>
      <c r="B16" s="118"/>
      <c r="C16" s="119"/>
      <c r="D16" s="315"/>
      <c r="E16" s="120"/>
      <c r="F16" s="119"/>
      <c r="G16" s="316"/>
      <c r="H16" s="69"/>
    </row>
    <row r="17" spans="1:8" ht="27" customHeight="1">
      <c r="A17" s="69"/>
      <c r="B17" s="118"/>
      <c r="C17" s="119"/>
      <c r="D17" s="315"/>
      <c r="E17" s="120"/>
      <c r="F17" s="119"/>
      <c r="G17" s="316"/>
      <c r="H17" s="69"/>
    </row>
    <row r="18" spans="1:8" ht="27" customHeight="1">
      <c r="A18" s="69"/>
      <c r="B18" s="118"/>
      <c r="C18" s="119"/>
      <c r="D18" s="315"/>
      <c r="E18" s="120"/>
      <c r="F18" s="119"/>
      <c r="G18" s="316"/>
      <c r="H18" s="69"/>
    </row>
    <row r="19" spans="1:8" ht="27" customHeight="1" thickBot="1">
      <c r="A19" s="69"/>
      <c r="B19" s="121"/>
      <c r="C19" s="122"/>
      <c r="D19" s="317"/>
      <c r="E19" s="123"/>
      <c r="F19" s="122"/>
      <c r="G19" s="318"/>
      <c r="H19" s="69"/>
    </row>
    <row r="20" spans="1:8">
      <c r="F20" s="174"/>
      <c r="G20" s="174"/>
    </row>
    <row r="21" spans="1:8" ht="21" customHeight="1"/>
    <row r="22" spans="1:8" ht="14.25" customHeight="1"/>
    <row r="23" spans="1:8" ht="20.25" customHeight="1"/>
    <row r="24" spans="1:8" ht="27" customHeight="1"/>
    <row r="25" spans="1:8" ht="27" customHeight="1"/>
    <row r="26" spans="1:8" ht="27" customHeight="1"/>
    <row r="27" spans="1:8" ht="27" customHeight="1"/>
    <row r="28" spans="1:8" ht="27" customHeight="1"/>
    <row r="29" spans="1:8" ht="27" customHeight="1"/>
    <row r="30" spans="1:8" ht="27" customHeight="1"/>
    <row r="31" spans="1:8" ht="27" customHeight="1"/>
    <row r="32" spans="1:8" ht="27" customHeight="1"/>
    <row r="33" ht="27" customHeight="1"/>
    <row r="34" ht="27" customHeight="1"/>
    <row r="35" ht="27" customHeight="1"/>
    <row r="36" ht="27" customHeight="1"/>
    <row r="37" ht="27" customHeight="1"/>
    <row r="38" ht="27" customHeight="1"/>
    <row r="39" ht="27" customHeight="1"/>
    <row r="40" ht="13.5" customHeight="1"/>
  </sheetData>
  <mergeCells count="3">
    <mergeCell ref="B1:G1"/>
    <mergeCell ref="B3:C3"/>
    <mergeCell ref="E3:F3"/>
  </mergeCells>
  <phoneticPr fontId="4"/>
  <pageMargins left="0.70866141732283472" right="0.43307086614173229" top="0.62992125984251968" bottom="0.47244094488188981" header="0.31496062992125984" footer="0.31496062992125984"/>
  <pageSetup paperSize="9" scale="95" fitToHeight="0" orientation="landscape" useFirstPageNumber="1" r:id="rId1"/>
  <headerFooter>
    <oddFooter>&amp;C&amp;"ＭＳ 明朝,標準"&amp;P ページ</oddFooter>
  </headerFooter>
  <rowBreaks count="1" manualBreakCount="1">
    <brk id="20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>
    <pageSetUpPr fitToPage="1"/>
  </sheetPr>
  <dimension ref="A1:O46"/>
  <sheetViews>
    <sheetView zoomScaleNormal="100" zoomScaleSheetLayoutView="100" workbookViewId="0"/>
  </sheetViews>
  <sheetFormatPr defaultColWidth="8.25" defaultRowHeight="13.5"/>
  <cols>
    <col min="1" max="1" width="2.125" style="73" customWidth="1"/>
    <col min="2" max="2" width="31.625" style="73" customWidth="1"/>
    <col min="3" max="3" width="5.875" style="73" customWidth="1"/>
    <col min="4" max="4" width="10.625" style="73" customWidth="1"/>
    <col min="5" max="5" width="12.625" style="73" customWidth="1"/>
    <col min="6" max="6" width="15.125" style="135" customWidth="1"/>
    <col min="7" max="14" width="10" style="135" customWidth="1"/>
    <col min="15" max="15" width="2.125" style="73" customWidth="1"/>
    <col min="16" max="16384" width="8.25" style="73"/>
  </cols>
  <sheetData>
    <row r="1" spans="1:15" s="319" customFormat="1" ht="27" customHeight="1" thickBot="1">
      <c r="A1" s="124"/>
      <c r="B1" s="125"/>
      <c r="C1" s="545" t="s">
        <v>75</v>
      </c>
      <c r="D1" s="545"/>
      <c r="E1" s="545"/>
      <c r="F1" s="545"/>
      <c r="G1" s="545"/>
      <c r="H1" s="545"/>
      <c r="I1" s="126"/>
      <c r="J1" s="126"/>
      <c r="K1" s="126"/>
      <c r="L1" s="126"/>
      <c r="M1" s="508"/>
      <c r="N1" s="508"/>
      <c r="O1" s="255"/>
    </row>
    <row r="2" spans="1:15" ht="18" customHeight="1">
      <c r="A2" s="69"/>
      <c r="B2" s="546" t="s">
        <v>76</v>
      </c>
      <c r="C2" s="548" t="s">
        <v>77</v>
      </c>
      <c r="D2" s="550" t="s">
        <v>78</v>
      </c>
      <c r="E2" s="548" t="s">
        <v>79</v>
      </c>
      <c r="F2" s="552" t="s">
        <v>80</v>
      </c>
      <c r="G2" s="554" t="s">
        <v>81</v>
      </c>
      <c r="H2" s="555"/>
      <c r="I2" s="555"/>
      <c r="J2" s="555"/>
      <c r="K2" s="555"/>
      <c r="L2" s="555"/>
      <c r="M2" s="555"/>
      <c r="N2" s="556"/>
      <c r="O2" s="69"/>
    </row>
    <row r="3" spans="1:15" ht="19.5" customHeight="1">
      <c r="A3" s="69"/>
      <c r="B3" s="547"/>
      <c r="C3" s="549"/>
      <c r="D3" s="551"/>
      <c r="E3" s="549"/>
      <c r="F3" s="553"/>
      <c r="G3" s="127" t="s">
        <v>176</v>
      </c>
      <c r="H3" s="128" t="s">
        <v>177</v>
      </c>
      <c r="I3" s="128" t="s">
        <v>178</v>
      </c>
      <c r="J3" s="128" t="s">
        <v>179</v>
      </c>
      <c r="K3" s="128" t="s">
        <v>180</v>
      </c>
      <c r="L3" s="128" t="s">
        <v>181</v>
      </c>
      <c r="M3" s="128" t="s">
        <v>182</v>
      </c>
      <c r="N3" s="129" t="s">
        <v>183</v>
      </c>
      <c r="O3" s="69"/>
    </row>
    <row r="4" spans="1:15" ht="30" customHeight="1">
      <c r="A4" s="69"/>
      <c r="B4" s="130" t="s">
        <v>163</v>
      </c>
      <c r="C4" s="131" t="s">
        <v>169</v>
      </c>
      <c r="D4" s="320">
        <v>1</v>
      </c>
      <c r="E4" s="321">
        <v>380000</v>
      </c>
      <c r="F4" s="322">
        <v>380000</v>
      </c>
      <c r="G4" s="323"/>
      <c r="H4" s="324"/>
      <c r="I4" s="324"/>
      <c r="J4" s="324"/>
      <c r="K4" s="324">
        <v>380000</v>
      </c>
      <c r="L4" s="324"/>
      <c r="M4" s="324"/>
      <c r="N4" s="325"/>
      <c r="O4" s="69"/>
    </row>
    <row r="5" spans="1:15" ht="30" customHeight="1">
      <c r="A5" s="69"/>
      <c r="B5" s="130" t="s">
        <v>164</v>
      </c>
      <c r="C5" s="131" t="s">
        <v>169</v>
      </c>
      <c r="D5" s="326">
        <v>1</v>
      </c>
      <c r="E5" s="321">
        <v>650000</v>
      </c>
      <c r="F5" s="322">
        <v>650000</v>
      </c>
      <c r="G5" s="323"/>
      <c r="H5" s="324"/>
      <c r="I5" s="324">
        <v>650000</v>
      </c>
      <c r="J5" s="324"/>
      <c r="K5" s="324"/>
      <c r="L5" s="324"/>
      <c r="M5" s="324"/>
      <c r="N5" s="325"/>
      <c r="O5" s="69"/>
    </row>
    <row r="6" spans="1:15" ht="30" customHeight="1">
      <c r="A6" s="69"/>
      <c r="B6" s="130" t="s">
        <v>165</v>
      </c>
      <c r="C6" s="131" t="s">
        <v>169</v>
      </c>
      <c r="D6" s="326">
        <v>1</v>
      </c>
      <c r="E6" s="321">
        <v>330000</v>
      </c>
      <c r="F6" s="322">
        <v>330000</v>
      </c>
      <c r="G6" s="323">
        <v>82000</v>
      </c>
      <c r="H6" s="324"/>
      <c r="I6" s="324"/>
      <c r="J6" s="324">
        <v>168000</v>
      </c>
      <c r="K6" s="324"/>
      <c r="L6" s="324"/>
      <c r="M6" s="324"/>
      <c r="N6" s="325"/>
      <c r="O6" s="69"/>
    </row>
    <row r="7" spans="1:15" ht="30" customHeight="1">
      <c r="A7" s="69"/>
      <c r="B7" s="130" t="s">
        <v>166</v>
      </c>
      <c r="C7" s="131" t="s">
        <v>169</v>
      </c>
      <c r="D7" s="326">
        <v>1</v>
      </c>
      <c r="E7" s="321">
        <v>200000</v>
      </c>
      <c r="F7" s="322">
        <v>200000</v>
      </c>
      <c r="G7" s="323">
        <v>8000</v>
      </c>
      <c r="H7" s="324">
        <v>84000</v>
      </c>
      <c r="I7" s="324">
        <v>100000</v>
      </c>
      <c r="J7" s="324"/>
      <c r="K7" s="324">
        <v>8000</v>
      </c>
      <c r="L7" s="324"/>
      <c r="M7" s="324"/>
      <c r="N7" s="325"/>
      <c r="O7" s="69"/>
    </row>
    <row r="8" spans="1:15" ht="30" customHeight="1">
      <c r="A8" s="69"/>
      <c r="B8" s="130"/>
      <c r="C8" s="131"/>
      <c r="D8" s="326"/>
      <c r="E8" s="321"/>
      <c r="F8" s="322"/>
      <c r="G8" s="323"/>
      <c r="H8" s="324"/>
      <c r="I8" s="324"/>
      <c r="J8" s="324"/>
      <c r="K8" s="324"/>
      <c r="L8" s="324"/>
      <c r="M8" s="324"/>
      <c r="N8" s="325"/>
      <c r="O8" s="69"/>
    </row>
    <row r="9" spans="1:15" ht="30" customHeight="1">
      <c r="A9" s="69"/>
      <c r="B9" s="130" t="s">
        <v>225</v>
      </c>
      <c r="C9" s="131"/>
      <c r="D9" s="326"/>
      <c r="E9" s="321"/>
      <c r="F9" s="322">
        <v>1560000</v>
      </c>
      <c r="G9" s="323">
        <v>90000</v>
      </c>
      <c r="H9" s="324">
        <v>84000</v>
      </c>
      <c r="I9" s="324">
        <v>750000</v>
      </c>
      <c r="J9" s="324">
        <v>168000</v>
      </c>
      <c r="K9" s="324">
        <v>388000</v>
      </c>
      <c r="L9" s="324"/>
      <c r="M9" s="324"/>
      <c r="N9" s="325"/>
      <c r="O9" s="69"/>
    </row>
    <row r="10" spans="1:15" ht="30" customHeight="1">
      <c r="A10" s="69"/>
      <c r="B10" s="130"/>
      <c r="C10" s="131"/>
      <c r="D10" s="326"/>
      <c r="E10" s="321"/>
      <c r="F10" s="322"/>
      <c r="G10" s="323"/>
      <c r="H10" s="324"/>
      <c r="I10" s="324"/>
      <c r="J10" s="324"/>
      <c r="K10" s="324"/>
      <c r="L10" s="324"/>
      <c r="M10" s="324"/>
      <c r="N10" s="325"/>
      <c r="O10" s="69"/>
    </row>
    <row r="11" spans="1:15" ht="30" customHeight="1">
      <c r="A11" s="69"/>
      <c r="B11" s="130"/>
      <c r="C11" s="131"/>
      <c r="D11" s="326"/>
      <c r="E11" s="321"/>
      <c r="F11" s="322"/>
      <c r="G11" s="323"/>
      <c r="H11" s="324"/>
      <c r="I11" s="324"/>
      <c r="J11" s="324"/>
      <c r="K11" s="324"/>
      <c r="L11" s="324"/>
      <c r="M11" s="324"/>
      <c r="N11" s="325"/>
      <c r="O11" s="69"/>
    </row>
    <row r="12" spans="1:15" ht="30" customHeight="1">
      <c r="A12" s="69"/>
      <c r="B12" s="130"/>
      <c r="C12" s="131"/>
      <c r="D12" s="326"/>
      <c r="E12" s="321"/>
      <c r="F12" s="322"/>
      <c r="G12" s="323"/>
      <c r="H12" s="324"/>
      <c r="I12" s="324"/>
      <c r="J12" s="324"/>
      <c r="K12" s="324"/>
      <c r="L12" s="324"/>
      <c r="M12" s="324"/>
      <c r="N12" s="325"/>
      <c r="O12" s="69"/>
    </row>
    <row r="13" spans="1:15" ht="30" customHeight="1">
      <c r="A13" s="69"/>
      <c r="B13" s="130"/>
      <c r="C13" s="131"/>
      <c r="D13" s="326"/>
      <c r="E13" s="321"/>
      <c r="F13" s="322"/>
      <c r="G13" s="323"/>
      <c r="H13" s="324"/>
      <c r="I13" s="324"/>
      <c r="J13" s="324"/>
      <c r="K13" s="324"/>
      <c r="L13" s="324"/>
      <c r="M13" s="324"/>
      <c r="N13" s="325"/>
      <c r="O13" s="69"/>
    </row>
    <row r="14" spans="1:15" ht="30" customHeight="1">
      <c r="A14" s="69"/>
      <c r="B14" s="130"/>
      <c r="C14" s="131"/>
      <c r="D14" s="326"/>
      <c r="E14" s="321"/>
      <c r="F14" s="322"/>
      <c r="G14" s="323"/>
      <c r="H14" s="324"/>
      <c r="I14" s="324"/>
      <c r="J14" s="324"/>
      <c r="K14" s="324"/>
      <c r="L14" s="324"/>
      <c r="M14" s="324"/>
      <c r="N14" s="325"/>
      <c r="O14" s="69"/>
    </row>
    <row r="15" spans="1:15" ht="30" customHeight="1">
      <c r="A15" s="69"/>
      <c r="B15" s="130"/>
      <c r="C15" s="131"/>
      <c r="D15" s="326"/>
      <c r="E15" s="321"/>
      <c r="F15" s="322"/>
      <c r="G15" s="323"/>
      <c r="H15" s="324"/>
      <c r="I15" s="324"/>
      <c r="J15" s="324"/>
      <c r="K15" s="324"/>
      <c r="L15" s="324"/>
      <c r="M15" s="324"/>
      <c r="N15" s="325"/>
      <c r="O15" s="69"/>
    </row>
    <row r="16" spans="1:15" ht="30" customHeight="1">
      <c r="A16" s="69"/>
      <c r="B16" s="130"/>
      <c r="C16" s="131"/>
      <c r="D16" s="326"/>
      <c r="E16" s="321"/>
      <c r="F16" s="322"/>
      <c r="G16" s="323"/>
      <c r="H16" s="324"/>
      <c r="I16" s="324"/>
      <c r="J16" s="324"/>
      <c r="K16" s="324"/>
      <c r="L16" s="324"/>
      <c r="M16" s="324"/>
      <c r="N16" s="325"/>
      <c r="O16" s="69"/>
    </row>
    <row r="17" spans="1:15" ht="30" customHeight="1">
      <c r="A17" s="69"/>
      <c r="B17" s="130"/>
      <c r="C17" s="131"/>
      <c r="D17" s="326"/>
      <c r="E17" s="321"/>
      <c r="F17" s="322"/>
      <c r="G17" s="323"/>
      <c r="H17" s="324"/>
      <c r="I17" s="324"/>
      <c r="J17" s="324"/>
      <c r="K17" s="324"/>
      <c r="L17" s="324"/>
      <c r="M17" s="324"/>
      <c r="N17" s="325"/>
      <c r="O17" s="69"/>
    </row>
    <row r="18" spans="1:15" ht="30" customHeight="1">
      <c r="A18" s="69"/>
      <c r="B18" s="130"/>
      <c r="C18" s="131"/>
      <c r="D18" s="326"/>
      <c r="E18" s="321"/>
      <c r="F18" s="322"/>
      <c r="G18" s="323"/>
      <c r="H18" s="324"/>
      <c r="I18" s="324"/>
      <c r="J18" s="324"/>
      <c r="K18" s="324"/>
      <c r="L18" s="324"/>
      <c r="M18" s="324"/>
      <c r="N18" s="325"/>
      <c r="O18" s="69"/>
    </row>
    <row r="19" spans="1:15" ht="30" customHeight="1">
      <c r="A19" s="69"/>
      <c r="B19" s="130"/>
      <c r="C19" s="131"/>
      <c r="D19" s="326"/>
      <c r="E19" s="321"/>
      <c r="F19" s="322"/>
      <c r="G19" s="323"/>
      <c r="H19" s="324"/>
      <c r="I19" s="324"/>
      <c r="J19" s="324"/>
      <c r="K19" s="324"/>
      <c r="L19" s="324"/>
      <c r="M19" s="324"/>
      <c r="N19" s="325"/>
      <c r="O19" s="69"/>
    </row>
    <row r="20" spans="1:15" ht="30" customHeight="1">
      <c r="A20" s="69"/>
      <c r="B20" s="130"/>
      <c r="C20" s="131"/>
      <c r="D20" s="326"/>
      <c r="E20" s="321"/>
      <c r="F20" s="322"/>
      <c r="G20" s="323"/>
      <c r="H20" s="324"/>
      <c r="I20" s="324"/>
      <c r="J20" s="324"/>
      <c r="K20" s="324"/>
      <c r="L20" s="324"/>
      <c r="M20" s="324"/>
      <c r="N20" s="325"/>
      <c r="O20" s="69"/>
    </row>
    <row r="21" spans="1:15" ht="30" customHeight="1">
      <c r="A21" s="69"/>
      <c r="B21" s="130"/>
      <c r="C21" s="131"/>
      <c r="D21" s="326"/>
      <c r="E21" s="321"/>
      <c r="F21" s="322"/>
      <c r="G21" s="323"/>
      <c r="H21" s="324"/>
      <c r="I21" s="324"/>
      <c r="J21" s="324"/>
      <c r="K21" s="324"/>
      <c r="L21" s="324"/>
      <c r="M21" s="324"/>
      <c r="N21" s="325"/>
      <c r="O21" s="69"/>
    </row>
    <row r="22" spans="1:15" ht="30" customHeight="1" thickBot="1">
      <c r="A22" s="69"/>
      <c r="B22" s="132"/>
      <c r="C22" s="133"/>
      <c r="D22" s="327"/>
      <c r="E22" s="328"/>
      <c r="F22" s="329"/>
      <c r="G22" s="330"/>
      <c r="H22" s="331"/>
      <c r="I22" s="331"/>
      <c r="J22" s="331"/>
      <c r="K22" s="331"/>
      <c r="L22" s="331"/>
      <c r="M22" s="331"/>
      <c r="N22" s="332"/>
      <c r="O22" s="69"/>
    </row>
    <row r="23" spans="1:15" s="103" customFormat="1" ht="18" customHeight="1">
      <c r="A23" s="101"/>
      <c r="B23" s="101"/>
      <c r="C23" s="101"/>
      <c r="D23" s="101"/>
      <c r="E23" s="101"/>
      <c r="F23" s="134"/>
      <c r="G23" s="134"/>
      <c r="H23" s="134"/>
      <c r="I23" s="134"/>
      <c r="J23" s="134"/>
      <c r="K23" s="134"/>
      <c r="L23" s="134"/>
      <c r="M23" s="102"/>
      <c r="N23" s="102"/>
      <c r="O23" s="101"/>
    </row>
    <row r="24" spans="1:15" ht="27" customHeight="1"/>
    <row r="25" spans="1:15" ht="18" customHeight="1"/>
    <row r="26" spans="1:15" ht="19.5" customHeight="1"/>
    <row r="27" spans="1:15" ht="30" customHeight="1"/>
    <row r="28" spans="1:15" ht="30" customHeight="1"/>
    <row r="29" spans="1:15" ht="30" customHeight="1"/>
    <row r="30" spans="1:15" ht="30" customHeight="1"/>
    <row r="31" spans="1:15" ht="30" customHeight="1"/>
    <row r="32" spans="1:15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18" customHeight="1"/>
  </sheetData>
  <mergeCells count="8">
    <mergeCell ref="C1:H1"/>
    <mergeCell ref="M1:N1"/>
    <mergeCell ref="B2:B3"/>
    <mergeCell ref="C2:C3"/>
    <mergeCell ref="D2:D3"/>
    <mergeCell ref="E2:E3"/>
    <mergeCell ref="F2:F3"/>
    <mergeCell ref="G2:N2"/>
  </mergeCells>
  <phoneticPr fontId="4"/>
  <pageMargins left="0.70866141732283472" right="0.43307086614173229" top="0.62992125984251968" bottom="0.47244094488188981" header="0.31496062992125984" footer="0.31496062992125984"/>
  <pageSetup paperSize="9" scale="77" fitToHeight="0" orientation="landscape" useFirstPageNumber="1" r:id="rId1"/>
  <headerFooter>
    <oddFooter>&amp;C&amp;"ＭＳ 明朝,標準"&amp;Pページ</oddFooter>
  </headerFooter>
  <rowBreaks count="1" manualBreakCount="1">
    <brk id="23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>
    <pageSetUpPr fitToPage="1"/>
  </sheetPr>
  <dimension ref="A1:AF27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23-0226　★R4 電線地中化促進工事 公共 R5 電線地中化促進工事 県単 合併</v>
      </c>
      <c r="G1" s="306"/>
      <c r="H1" s="190" t="s">
        <v>130</v>
      </c>
      <c r="I1" s="333">
        <v>11200000</v>
      </c>
      <c r="J1" s="339">
        <f>I4/I$1</f>
        <v>0.87428571428571433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141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382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227</v>
      </c>
      <c r="D4" s="340" t="s">
        <v>184</v>
      </c>
      <c r="E4" s="342"/>
      <c r="F4" s="345" t="s">
        <v>169</v>
      </c>
      <c r="G4" s="308">
        <v>1</v>
      </c>
      <c r="H4" s="309">
        <v>9792000</v>
      </c>
      <c r="I4" s="309">
        <v>9792000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390</v>
      </c>
      <c r="P4" s="347" t="s">
        <v>390</v>
      </c>
      <c r="Q4" s="347" t="s">
        <v>390</v>
      </c>
      <c r="R4" s="348" t="s">
        <v>390</v>
      </c>
      <c r="S4" s="349"/>
      <c r="T4" s="343" t="s">
        <v>391</v>
      </c>
      <c r="U4" s="343"/>
      <c r="V4" s="344"/>
      <c r="W4" s="346" t="s">
        <v>390</v>
      </c>
      <c r="X4" s="347" t="s">
        <v>390</v>
      </c>
      <c r="Y4" s="347" t="s">
        <v>390</v>
      </c>
      <c r="Z4" s="348" t="s">
        <v>390</v>
      </c>
      <c r="AA4" s="349"/>
      <c r="AB4" s="343" t="s">
        <v>391</v>
      </c>
      <c r="AC4" s="343"/>
      <c r="AD4" s="344"/>
      <c r="AE4" s="342"/>
      <c r="AF4" s="341"/>
    </row>
    <row r="5" spans="1:32">
      <c r="A5" s="307">
        <v>1</v>
      </c>
      <c r="B5" s="342"/>
      <c r="C5" s="342" t="s">
        <v>228</v>
      </c>
      <c r="D5" s="340" t="s">
        <v>392</v>
      </c>
      <c r="E5" s="342"/>
      <c r="F5" s="345" t="s">
        <v>169</v>
      </c>
      <c r="G5" s="308">
        <v>1</v>
      </c>
      <c r="H5" s="309">
        <v>1560000</v>
      </c>
      <c r="I5" s="309">
        <v>1560000</v>
      </c>
      <c r="J5" s="211"/>
      <c r="K5" s="212" t="str">
        <f>IF(OR(J5="",G5=J5),"","*")</f>
        <v/>
      </c>
      <c r="L5" s="338">
        <f>IF($A5&lt;=L$1,I5/I$4,"")</f>
        <v>0.15931372549019607</v>
      </c>
      <c r="M5" s="343"/>
      <c r="N5" s="344"/>
      <c r="O5" s="346" t="s">
        <v>390</v>
      </c>
      <c r="P5" s="347" t="s">
        <v>390</v>
      </c>
      <c r="Q5" s="347" t="s">
        <v>390</v>
      </c>
      <c r="R5" s="348" t="s">
        <v>390</v>
      </c>
      <c r="S5" s="349"/>
      <c r="T5" s="343" t="s">
        <v>391</v>
      </c>
      <c r="U5" s="343"/>
      <c r="V5" s="344"/>
      <c r="W5" s="346" t="s">
        <v>390</v>
      </c>
      <c r="X5" s="347" t="s">
        <v>390</v>
      </c>
      <c r="Y5" s="347" t="s">
        <v>390</v>
      </c>
      <c r="Z5" s="348" t="s">
        <v>390</v>
      </c>
      <c r="AA5" s="349"/>
      <c r="AB5" s="343" t="s">
        <v>391</v>
      </c>
      <c r="AC5" s="343"/>
      <c r="AD5" s="344"/>
      <c r="AE5" s="342"/>
      <c r="AF5" s="341"/>
    </row>
    <row r="6" spans="1:32">
      <c r="A6" s="307">
        <v>2</v>
      </c>
      <c r="B6" s="342"/>
      <c r="C6" s="342" t="s">
        <v>230</v>
      </c>
      <c r="D6" s="340" t="s">
        <v>393</v>
      </c>
      <c r="E6" s="342"/>
      <c r="F6" s="345" t="s">
        <v>169</v>
      </c>
      <c r="G6" s="308">
        <v>1</v>
      </c>
      <c r="H6" s="309">
        <v>380000</v>
      </c>
      <c r="I6" s="309">
        <v>380000</v>
      </c>
      <c r="J6" s="211">
        <v>1</v>
      </c>
      <c r="K6" s="212" t="str">
        <f>IF(OR(J6="",G6=J6),"","*")</f>
        <v/>
      </c>
      <c r="L6" s="338">
        <f>IF($A6&lt;=L$1,I6/I$4,"")</f>
        <v>3.8807189542483661E-2</v>
      </c>
      <c r="M6" s="343"/>
      <c r="N6" s="344" t="s">
        <v>394</v>
      </c>
      <c r="O6" s="346" t="s">
        <v>390</v>
      </c>
      <c r="P6" s="347" t="s">
        <v>390</v>
      </c>
      <c r="Q6" s="347" t="s">
        <v>390</v>
      </c>
      <c r="R6" s="348" t="s">
        <v>390</v>
      </c>
      <c r="S6" s="349"/>
      <c r="T6" s="343" t="s">
        <v>391</v>
      </c>
      <c r="U6" s="343"/>
      <c r="V6" s="344"/>
      <c r="W6" s="346" t="s">
        <v>390</v>
      </c>
      <c r="X6" s="347" t="s">
        <v>390</v>
      </c>
      <c r="Y6" s="347" t="s">
        <v>390</v>
      </c>
      <c r="Z6" s="348" t="s">
        <v>390</v>
      </c>
      <c r="AA6" s="349"/>
      <c r="AB6" s="343" t="s">
        <v>391</v>
      </c>
      <c r="AC6" s="343"/>
      <c r="AD6" s="344"/>
      <c r="AE6" s="342"/>
      <c r="AF6" s="341"/>
    </row>
    <row r="7" spans="1:32">
      <c r="A7" s="307">
        <v>3</v>
      </c>
      <c r="B7" s="342"/>
      <c r="C7" s="342" t="s">
        <v>180</v>
      </c>
      <c r="D7" s="340" t="s">
        <v>395</v>
      </c>
      <c r="E7" s="342"/>
      <c r="F7" s="345" t="s">
        <v>371</v>
      </c>
      <c r="G7" s="308">
        <v>2</v>
      </c>
      <c r="H7" s="309">
        <v>60000</v>
      </c>
      <c r="I7" s="309">
        <v>120000</v>
      </c>
      <c r="J7" s="211"/>
      <c r="K7" s="212" t="str">
        <f>IF(OR(J7="",G7=J7),"","*")</f>
        <v/>
      </c>
      <c r="L7" s="338">
        <f>IF($A7&lt;=L$1,I7/I$4,"")</f>
        <v>1.2254901960784314E-2</v>
      </c>
      <c r="M7" s="343"/>
      <c r="N7" s="344"/>
      <c r="O7" s="346" t="s">
        <v>390</v>
      </c>
      <c r="P7" s="347" t="s">
        <v>390</v>
      </c>
      <c r="Q7" s="347" t="s">
        <v>390</v>
      </c>
      <c r="R7" s="348" t="s">
        <v>390</v>
      </c>
      <c r="S7" s="349"/>
      <c r="T7" s="343" t="s">
        <v>391</v>
      </c>
      <c r="U7" s="343"/>
      <c r="V7" s="344"/>
      <c r="W7" s="346" t="s">
        <v>390</v>
      </c>
      <c r="X7" s="347" t="s">
        <v>390</v>
      </c>
      <c r="Y7" s="347" t="s">
        <v>390</v>
      </c>
      <c r="Z7" s="348" t="s">
        <v>390</v>
      </c>
      <c r="AA7" s="349"/>
      <c r="AB7" s="343" t="s">
        <v>391</v>
      </c>
      <c r="AC7" s="343"/>
      <c r="AD7" s="344"/>
      <c r="AE7" s="342" t="s">
        <v>396</v>
      </c>
      <c r="AF7" s="341" t="s">
        <v>318</v>
      </c>
    </row>
    <row r="8" spans="1:32">
      <c r="A8" s="307">
        <v>3</v>
      </c>
      <c r="B8" s="342"/>
      <c r="C8" s="342" t="s">
        <v>180</v>
      </c>
      <c r="D8" s="340" t="s">
        <v>397</v>
      </c>
      <c r="E8" s="342"/>
      <c r="F8" s="345" t="s">
        <v>371</v>
      </c>
      <c r="G8" s="308">
        <v>2</v>
      </c>
      <c r="H8" s="309">
        <v>24000</v>
      </c>
      <c r="I8" s="309">
        <v>48000</v>
      </c>
      <c r="J8" s="211"/>
      <c r="K8" s="212" t="str">
        <f>IF(OR(J8="",G8=J8),"","*")</f>
        <v/>
      </c>
      <c r="L8" s="338">
        <f>IF($A8&lt;=L$1,I8/I$4,"")</f>
        <v>4.9019607843137254E-3</v>
      </c>
      <c r="M8" s="343"/>
      <c r="N8" s="344"/>
      <c r="O8" s="346" t="s">
        <v>390</v>
      </c>
      <c r="P8" s="347" t="s">
        <v>390</v>
      </c>
      <c r="Q8" s="347" t="s">
        <v>390</v>
      </c>
      <c r="R8" s="348" t="s">
        <v>390</v>
      </c>
      <c r="S8" s="349"/>
      <c r="T8" s="343" t="s">
        <v>391</v>
      </c>
      <c r="U8" s="343"/>
      <c r="V8" s="344"/>
      <c r="W8" s="346" t="s">
        <v>390</v>
      </c>
      <c r="X8" s="347" t="s">
        <v>390</v>
      </c>
      <c r="Y8" s="347" t="s">
        <v>390</v>
      </c>
      <c r="Z8" s="348" t="s">
        <v>390</v>
      </c>
      <c r="AA8" s="349"/>
      <c r="AB8" s="343" t="s">
        <v>391</v>
      </c>
      <c r="AC8" s="343"/>
      <c r="AD8" s="344"/>
      <c r="AE8" s="342" t="s">
        <v>398</v>
      </c>
      <c r="AF8" s="341" t="s">
        <v>318</v>
      </c>
    </row>
    <row r="9" spans="1:32">
      <c r="A9" s="307">
        <v>3</v>
      </c>
      <c r="B9" s="342"/>
      <c r="C9" s="342" t="s">
        <v>180</v>
      </c>
      <c r="D9" s="340" t="s">
        <v>399</v>
      </c>
      <c r="E9" s="342" t="s">
        <v>400</v>
      </c>
      <c r="F9" s="345" t="s">
        <v>371</v>
      </c>
      <c r="G9" s="308">
        <v>2</v>
      </c>
      <c r="H9" s="309">
        <v>30000</v>
      </c>
      <c r="I9" s="309">
        <v>60000</v>
      </c>
      <c r="J9" s="211"/>
      <c r="K9" s="212" t="str">
        <f>IF(OR(J9="",G9=J9),"","*")</f>
        <v/>
      </c>
      <c r="L9" s="338">
        <f>IF($A9&lt;=L$1,I9/I$4,"")</f>
        <v>6.1274509803921568E-3</v>
      </c>
      <c r="M9" s="343"/>
      <c r="N9" s="344"/>
      <c r="O9" s="346" t="s">
        <v>390</v>
      </c>
      <c r="P9" s="347" t="s">
        <v>390</v>
      </c>
      <c r="Q9" s="347" t="s">
        <v>390</v>
      </c>
      <c r="R9" s="348" t="s">
        <v>390</v>
      </c>
      <c r="S9" s="349"/>
      <c r="T9" s="343" t="s">
        <v>391</v>
      </c>
      <c r="U9" s="343"/>
      <c r="V9" s="344"/>
      <c r="W9" s="346" t="s">
        <v>390</v>
      </c>
      <c r="X9" s="347" t="s">
        <v>390</v>
      </c>
      <c r="Y9" s="347" t="s">
        <v>390</v>
      </c>
      <c r="Z9" s="348" t="s">
        <v>390</v>
      </c>
      <c r="AA9" s="349"/>
      <c r="AB9" s="343" t="s">
        <v>391</v>
      </c>
      <c r="AC9" s="343"/>
      <c r="AD9" s="344"/>
      <c r="AE9" s="342" t="s">
        <v>401</v>
      </c>
      <c r="AF9" s="341" t="s">
        <v>318</v>
      </c>
    </row>
    <row r="10" spans="1:32">
      <c r="A10" s="307">
        <v>3</v>
      </c>
      <c r="B10" s="342"/>
      <c r="C10" s="342" t="s">
        <v>180</v>
      </c>
      <c r="D10" s="340" t="s">
        <v>402</v>
      </c>
      <c r="E10" s="342" t="s">
        <v>403</v>
      </c>
      <c r="F10" s="345" t="s">
        <v>371</v>
      </c>
      <c r="G10" s="308">
        <v>4</v>
      </c>
      <c r="H10" s="309">
        <v>18000</v>
      </c>
      <c r="I10" s="309">
        <v>72000</v>
      </c>
      <c r="J10" s="211"/>
      <c r="K10" s="212" t="str">
        <f>IF(OR(J10="",G10=J10),"","*")</f>
        <v/>
      </c>
      <c r="L10" s="338">
        <f>IF($A10&lt;=L$1,I10/I$4,"")</f>
        <v>7.3529411764705881E-3</v>
      </c>
      <c r="M10" s="343"/>
      <c r="N10" s="344"/>
      <c r="O10" s="346" t="s">
        <v>390</v>
      </c>
      <c r="P10" s="347" t="s">
        <v>390</v>
      </c>
      <c r="Q10" s="347" t="s">
        <v>390</v>
      </c>
      <c r="R10" s="348" t="s">
        <v>390</v>
      </c>
      <c r="S10" s="349"/>
      <c r="T10" s="343" t="s">
        <v>391</v>
      </c>
      <c r="U10" s="343"/>
      <c r="V10" s="344"/>
      <c r="W10" s="346" t="s">
        <v>390</v>
      </c>
      <c r="X10" s="347" t="s">
        <v>390</v>
      </c>
      <c r="Y10" s="347" t="s">
        <v>390</v>
      </c>
      <c r="Z10" s="348" t="s">
        <v>390</v>
      </c>
      <c r="AA10" s="349"/>
      <c r="AB10" s="343" t="s">
        <v>391</v>
      </c>
      <c r="AC10" s="343"/>
      <c r="AD10" s="344"/>
      <c r="AE10" s="342" t="s">
        <v>404</v>
      </c>
      <c r="AF10" s="341" t="s">
        <v>333</v>
      </c>
    </row>
    <row r="11" spans="1:32">
      <c r="A11" s="307">
        <v>3</v>
      </c>
      <c r="B11" s="342"/>
      <c r="C11" s="342" t="s">
        <v>180</v>
      </c>
      <c r="D11" s="340" t="s">
        <v>405</v>
      </c>
      <c r="E11" s="342" t="s">
        <v>406</v>
      </c>
      <c r="F11" s="345" t="s">
        <v>371</v>
      </c>
      <c r="G11" s="308">
        <v>8</v>
      </c>
      <c r="H11" s="309">
        <v>10000</v>
      </c>
      <c r="I11" s="309">
        <v>80000</v>
      </c>
      <c r="J11" s="211"/>
      <c r="K11" s="212" t="str">
        <f>IF(OR(J11="",G11=J11),"","*")</f>
        <v/>
      </c>
      <c r="L11" s="338">
        <f>IF($A11&lt;=L$1,I11/I$4,"")</f>
        <v>8.1699346405228763E-3</v>
      </c>
      <c r="M11" s="343"/>
      <c r="N11" s="344"/>
      <c r="O11" s="346" t="s">
        <v>390</v>
      </c>
      <c r="P11" s="347" t="s">
        <v>390</v>
      </c>
      <c r="Q11" s="347" t="s">
        <v>390</v>
      </c>
      <c r="R11" s="348" t="s">
        <v>390</v>
      </c>
      <c r="S11" s="349"/>
      <c r="T11" s="343" t="s">
        <v>391</v>
      </c>
      <c r="U11" s="343"/>
      <c r="V11" s="344"/>
      <c r="W11" s="346" t="s">
        <v>390</v>
      </c>
      <c r="X11" s="347" t="s">
        <v>390</v>
      </c>
      <c r="Y11" s="347" t="s">
        <v>390</v>
      </c>
      <c r="Z11" s="348" t="s">
        <v>390</v>
      </c>
      <c r="AA11" s="349"/>
      <c r="AB11" s="343" t="s">
        <v>391</v>
      </c>
      <c r="AC11" s="343"/>
      <c r="AD11" s="344"/>
      <c r="AE11" s="342" t="s">
        <v>407</v>
      </c>
      <c r="AF11" s="341" t="s">
        <v>408</v>
      </c>
    </row>
    <row r="12" spans="1:32">
      <c r="A12" s="307">
        <v>2</v>
      </c>
      <c r="B12" s="342"/>
      <c r="C12" s="342" t="s">
        <v>230</v>
      </c>
      <c r="D12" s="340" t="s">
        <v>409</v>
      </c>
      <c r="E12" s="342"/>
      <c r="F12" s="345" t="s">
        <v>169</v>
      </c>
      <c r="G12" s="308">
        <v>1</v>
      </c>
      <c r="H12" s="309">
        <v>650000</v>
      </c>
      <c r="I12" s="309">
        <v>650000</v>
      </c>
      <c r="J12" s="211">
        <v>1</v>
      </c>
      <c r="K12" s="212" t="str">
        <f>IF(OR(J12="",G12=J12),"","*")</f>
        <v/>
      </c>
      <c r="L12" s="338">
        <f>IF($A12&lt;=L$1,I12/I$4,"")</f>
        <v>6.6380718954248366E-2</v>
      </c>
      <c r="M12" s="343"/>
      <c r="N12" s="344" t="s">
        <v>410</v>
      </c>
      <c r="O12" s="346" t="s">
        <v>390</v>
      </c>
      <c r="P12" s="347" t="s">
        <v>390</v>
      </c>
      <c r="Q12" s="347" t="s">
        <v>390</v>
      </c>
      <c r="R12" s="348" t="s">
        <v>390</v>
      </c>
      <c r="S12" s="349"/>
      <c r="T12" s="343" t="s">
        <v>391</v>
      </c>
      <c r="U12" s="343"/>
      <c r="V12" s="344"/>
      <c r="W12" s="346" t="s">
        <v>390</v>
      </c>
      <c r="X12" s="347" t="s">
        <v>390</v>
      </c>
      <c r="Y12" s="347" t="s">
        <v>390</v>
      </c>
      <c r="Z12" s="348" t="s">
        <v>390</v>
      </c>
      <c r="AA12" s="349"/>
      <c r="AB12" s="343" t="s">
        <v>391</v>
      </c>
      <c r="AC12" s="343"/>
      <c r="AD12" s="344"/>
      <c r="AE12" s="342"/>
      <c r="AF12" s="341"/>
    </row>
    <row r="13" spans="1:32">
      <c r="A13" s="307">
        <v>3</v>
      </c>
      <c r="B13" s="342"/>
      <c r="C13" s="342" t="s">
        <v>178</v>
      </c>
      <c r="D13" s="340" t="s">
        <v>411</v>
      </c>
      <c r="E13" s="342"/>
      <c r="F13" s="345" t="s">
        <v>169</v>
      </c>
      <c r="G13" s="308">
        <v>1</v>
      </c>
      <c r="H13" s="309">
        <v>420000</v>
      </c>
      <c r="I13" s="309">
        <v>420000</v>
      </c>
      <c r="J13" s="211"/>
      <c r="K13" s="212" t="str">
        <f>IF(OR(J13="",G13=J13),"","*")</f>
        <v/>
      </c>
      <c r="L13" s="338">
        <f>IF($A13&lt;=L$1,I13/I$4,"")</f>
        <v>4.2892156862745098E-2</v>
      </c>
      <c r="M13" s="343"/>
      <c r="N13" s="344"/>
      <c r="O13" s="346" t="s">
        <v>390</v>
      </c>
      <c r="P13" s="347" t="s">
        <v>390</v>
      </c>
      <c r="Q13" s="347" t="s">
        <v>390</v>
      </c>
      <c r="R13" s="348" t="s">
        <v>390</v>
      </c>
      <c r="S13" s="349"/>
      <c r="T13" s="343" t="s">
        <v>391</v>
      </c>
      <c r="U13" s="343"/>
      <c r="V13" s="344"/>
      <c r="W13" s="346" t="s">
        <v>390</v>
      </c>
      <c r="X13" s="347" t="s">
        <v>390</v>
      </c>
      <c r="Y13" s="347" t="s">
        <v>390</v>
      </c>
      <c r="Z13" s="348" t="s">
        <v>390</v>
      </c>
      <c r="AA13" s="349"/>
      <c r="AB13" s="343" t="s">
        <v>391</v>
      </c>
      <c r="AC13" s="343"/>
      <c r="AD13" s="344"/>
      <c r="AE13" s="342" t="s">
        <v>412</v>
      </c>
      <c r="AF13" s="341"/>
    </row>
    <row r="14" spans="1:32">
      <c r="A14" s="307">
        <v>3</v>
      </c>
      <c r="B14" s="342"/>
      <c r="C14" s="342" t="s">
        <v>178</v>
      </c>
      <c r="D14" s="340" t="s">
        <v>413</v>
      </c>
      <c r="E14" s="342"/>
      <c r="F14" s="345" t="s">
        <v>169</v>
      </c>
      <c r="G14" s="308">
        <v>1</v>
      </c>
      <c r="H14" s="309">
        <v>230000</v>
      </c>
      <c r="I14" s="309">
        <v>230000</v>
      </c>
      <c r="J14" s="211"/>
      <c r="K14" s="212" t="str">
        <f>IF(OR(J14="",G14=J14),"","*")</f>
        <v/>
      </c>
      <c r="L14" s="338">
        <f>IF($A14&lt;=L$1,I14/I$4,"")</f>
        <v>2.3488562091503268E-2</v>
      </c>
      <c r="M14" s="343"/>
      <c r="N14" s="344"/>
      <c r="O14" s="346" t="s">
        <v>390</v>
      </c>
      <c r="P14" s="347" t="s">
        <v>390</v>
      </c>
      <c r="Q14" s="347" t="s">
        <v>390</v>
      </c>
      <c r="R14" s="348" t="s">
        <v>390</v>
      </c>
      <c r="S14" s="349"/>
      <c r="T14" s="343" t="s">
        <v>391</v>
      </c>
      <c r="U14" s="343"/>
      <c r="V14" s="344"/>
      <c r="W14" s="346" t="s">
        <v>390</v>
      </c>
      <c r="X14" s="347" t="s">
        <v>390</v>
      </c>
      <c r="Y14" s="347" t="s">
        <v>390</v>
      </c>
      <c r="Z14" s="348" t="s">
        <v>390</v>
      </c>
      <c r="AA14" s="349"/>
      <c r="AB14" s="343" t="s">
        <v>391</v>
      </c>
      <c r="AC14" s="343"/>
      <c r="AD14" s="344"/>
      <c r="AE14" s="342" t="s">
        <v>414</v>
      </c>
      <c r="AF14" s="341"/>
    </row>
    <row r="15" spans="1:32">
      <c r="A15" s="307">
        <v>2</v>
      </c>
      <c r="B15" s="342"/>
      <c r="C15" s="342" t="s">
        <v>230</v>
      </c>
      <c r="D15" s="340" t="s">
        <v>415</v>
      </c>
      <c r="E15" s="342" t="s">
        <v>175</v>
      </c>
      <c r="F15" s="345" t="s">
        <v>169</v>
      </c>
      <c r="G15" s="308">
        <v>1</v>
      </c>
      <c r="H15" s="309">
        <v>330000</v>
      </c>
      <c r="I15" s="309">
        <v>330000</v>
      </c>
      <c r="J15" s="211">
        <v>1</v>
      </c>
      <c r="K15" s="212" t="str">
        <f>IF(OR(J15="",G15=J15),"","*")</f>
        <v/>
      </c>
      <c r="L15" s="338">
        <f>IF($A15&lt;=L$1,I15/I$4,"")</f>
        <v>3.3700980392156861E-2</v>
      </c>
      <c r="M15" s="343"/>
      <c r="N15" s="344" t="s">
        <v>416</v>
      </c>
      <c r="O15" s="346" t="s">
        <v>390</v>
      </c>
      <c r="P15" s="347" t="s">
        <v>390</v>
      </c>
      <c r="Q15" s="347" t="s">
        <v>390</v>
      </c>
      <c r="R15" s="348" t="s">
        <v>390</v>
      </c>
      <c r="S15" s="349"/>
      <c r="T15" s="343" t="s">
        <v>391</v>
      </c>
      <c r="U15" s="343"/>
      <c r="V15" s="344"/>
      <c r="W15" s="346" t="s">
        <v>390</v>
      </c>
      <c r="X15" s="347" t="s">
        <v>390</v>
      </c>
      <c r="Y15" s="347" t="s">
        <v>390</v>
      </c>
      <c r="Z15" s="348" t="s">
        <v>390</v>
      </c>
      <c r="AA15" s="349"/>
      <c r="AB15" s="343" t="s">
        <v>391</v>
      </c>
      <c r="AC15" s="343"/>
      <c r="AD15" s="344"/>
      <c r="AE15" s="342"/>
      <c r="AF15" s="341"/>
    </row>
    <row r="16" spans="1:32">
      <c r="A16" s="307">
        <v>3</v>
      </c>
      <c r="B16" s="342"/>
      <c r="C16" s="342" t="s">
        <v>179</v>
      </c>
      <c r="D16" s="340" t="s">
        <v>417</v>
      </c>
      <c r="E16" s="342"/>
      <c r="F16" s="345" t="s">
        <v>255</v>
      </c>
      <c r="G16" s="308">
        <v>48</v>
      </c>
      <c r="H16" s="309">
        <v>3500</v>
      </c>
      <c r="I16" s="309">
        <v>168000</v>
      </c>
      <c r="J16" s="211"/>
      <c r="K16" s="212" t="str">
        <f>IF(OR(J16="",G16=J16),"","*")</f>
        <v/>
      </c>
      <c r="L16" s="338">
        <f>IF($A16&lt;=L$1,I16/I$4,"")</f>
        <v>1.7156862745098041E-2</v>
      </c>
      <c r="M16" s="343"/>
      <c r="N16" s="344"/>
      <c r="O16" s="346" t="s">
        <v>390</v>
      </c>
      <c r="P16" s="347" t="s">
        <v>390</v>
      </c>
      <c r="Q16" s="347" t="s">
        <v>390</v>
      </c>
      <c r="R16" s="348" t="s">
        <v>390</v>
      </c>
      <c r="S16" s="349"/>
      <c r="T16" s="343" t="s">
        <v>391</v>
      </c>
      <c r="U16" s="343"/>
      <c r="V16" s="344"/>
      <c r="W16" s="346" t="s">
        <v>390</v>
      </c>
      <c r="X16" s="347" t="s">
        <v>390</v>
      </c>
      <c r="Y16" s="347" t="s">
        <v>390</v>
      </c>
      <c r="Z16" s="348" t="s">
        <v>390</v>
      </c>
      <c r="AA16" s="349"/>
      <c r="AB16" s="343" t="s">
        <v>391</v>
      </c>
      <c r="AC16" s="343"/>
      <c r="AD16" s="344"/>
      <c r="AE16" s="342" t="s">
        <v>418</v>
      </c>
      <c r="AF16" s="341" t="s">
        <v>419</v>
      </c>
    </row>
    <row r="17" spans="1:32">
      <c r="A17" s="307">
        <v>3</v>
      </c>
      <c r="B17" s="342"/>
      <c r="C17" s="342" t="s">
        <v>176</v>
      </c>
      <c r="D17" s="340" t="s">
        <v>244</v>
      </c>
      <c r="E17" s="342"/>
      <c r="F17" s="345" t="s">
        <v>245</v>
      </c>
      <c r="G17" s="308">
        <v>480</v>
      </c>
      <c r="H17" s="309">
        <v>150</v>
      </c>
      <c r="I17" s="309">
        <v>72000</v>
      </c>
      <c r="J17" s="211"/>
      <c r="K17" s="212" t="str">
        <f>IF(OR(J17="",G17=J17),"","*")</f>
        <v/>
      </c>
      <c r="L17" s="338">
        <f>IF($A17&lt;=L$1,I17/I$4,"")</f>
        <v>7.3529411764705881E-3</v>
      </c>
      <c r="M17" s="343"/>
      <c r="N17" s="344"/>
      <c r="O17" s="346" t="s">
        <v>390</v>
      </c>
      <c r="P17" s="347" t="s">
        <v>390</v>
      </c>
      <c r="Q17" s="347" t="s">
        <v>390</v>
      </c>
      <c r="R17" s="348" t="s">
        <v>390</v>
      </c>
      <c r="S17" s="349"/>
      <c r="T17" s="343" t="s">
        <v>391</v>
      </c>
      <c r="U17" s="343"/>
      <c r="V17" s="344"/>
      <c r="W17" s="346" t="s">
        <v>390</v>
      </c>
      <c r="X17" s="347" t="s">
        <v>390</v>
      </c>
      <c r="Y17" s="347" t="s">
        <v>390</v>
      </c>
      <c r="Z17" s="348" t="s">
        <v>390</v>
      </c>
      <c r="AA17" s="349"/>
      <c r="AB17" s="343" t="s">
        <v>391</v>
      </c>
      <c r="AC17" s="343"/>
      <c r="AD17" s="344"/>
      <c r="AE17" s="342" t="s">
        <v>246</v>
      </c>
      <c r="AF17" s="341" t="s">
        <v>420</v>
      </c>
    </row>
    <row r="18" spans="1:32">
      <c r="A18" s="307">
        <v>3</v>
      </c>
      <c r="B18" s="342"/>
      <c r="C18" s="342" t="s">
        <v>176</v>
      </c>
      <c r="D18" s="340" t="s">
        <v>240</v>
      </c>
      <c r="E18" s="342"/>
      <c r="F18" s="345" t="s">
        <v>169</v>
      </c>
      <c r="G18" s="308">
        <v>1</v>
      </c>
      <c r="H18" s="309">
        <v>10000</v>
      </c>
      <c r="I18" s="309">
        <v>10000</v>
      </c>
      <c r="J18" s="211"/>
      <c r="K18" s="212" t="str">
        <f>IF(OR(J18="",G18=J18),"","*")</f>
        <v/>
      </c>
      <c r="L18" s="338">
        <f>IF($A18&lt;=L$1,I18/I$4,"")</f>
        <v>1.0212418300653595E-3</v>
      </c>
      <c r="M18" s="343"/>
      <c r="N18" s="344"/>
      <c r="O18" s="346" t="s">
        <v>390</v>
      </c>
      <c r="P18" s="347" t="s">
        <v>390</v>
      </c>
      <c r="Q18" s="347" t="s">
        <v>390</v>
      </c>
      <c r="R18" s="348" t="s">
        <v>390</v>
      </c>
      <c r="S18" s="349"/>
      <c r="T18" s="343" t="s">
        <v>391</v>
      </c>
      <c r="U18" s="343"/>
      <c r="V18" s="344"/>
      <c r="W18" s="346" t="s">
        <v>390</v>
      </c>
      <c r="X18" s="347" t="s">
        <v>390</v>
      </c>
      <c r="Y18" s="347" t="s">
        <v>390</v>
      </c>
      <c r="Z18" s="348" t="s">
        <v>390</v>
      </c>
      <c r="AA18" s="349"/>
      <c r="AB18" s="343" t="s">
        <v>391</v>
      </c>
      <c r="AC18" s="343"/>
      <c r="AD18" s="344"/>
      <c r="AE18" s="342" t="s">
        <v>241</v>
      </c>
      <c r="AF18" s="341"/>
    </row>
    <row r="19" spans="1:32">
      <c r="A19" s="307">
        <v>3</v>
      </c>
      <c r="B19" s="342"/>
      <c r="C19" s="342"/>
      <c r="D19" s="340" t="s">
        <v>421</v>
      </c>
      <c r="E19" s="342"/>
      <c r="F19" s="345" t="s">
        <v>169</v>
      </c>
      <c r="G19" s="308">
        <v>1</v>
      </c>
      <c r="H19" s="309">
        <v>80000</v>
      </c>
      <c r="I19" s="309">
        <v>80000</v>
      </c>
      <c r="J19" s="211"/>
      <c r="K19" s="212" t="str">
        <f>IF(OR(J19="",G19=J19),"","*")</f>
        <v/>
      </c>
      <c r="L19" s="338">
        <f>IF($A19&lt;=L$1,I19/I$4,"")</f>
        <v>8.1699346405228763E-3</v>
      </c>
      <c r="M19" s="343"/>
      <c r="N19" s="344"/>
      <c r="O19" s="346" t="s">
        <v>390</v>
      </c>
      <c r="P19" s="347" t="s">
        <v>390</v>
      </c>
      <c r="Q19" s="347" t="s">
        <v>390</v>
      </c>
      <c r="R19" s="348" t="s">
        <v>390</v>
      </c>
      <c r="S19" s="349"/>
      <c r="T19" s="343" t="s">
        <v>391</v>
      </c>
      <c r="U19" s="343"/>
      <c r="V19" s="344"/>
      <c r="W19" s="346" t="s">
        <v>390</v>
      </c>
      <c r="X19" s="347" t="s">
        <v>390</v>
      </c>
      <c r="Y19" s="347" t="s">
        <v>390</v>
      </c>
      <c r="Z19" s="348" t="s">
        <v>390</v>
      </c>
      <c r="AA19" s="349"/>
      <c r="AB19" s="343" t="s">
        <v>391</v>
      </c>
      <c r="AC19" s="343"/>
      <c r="AD19" s="344"/>
      <c r="AE19" s="342"/>
      <c r="AF19" s="341"/>
    </row>
    <row r="20" spans="1:32">
      <c r="A20" s="307">
        <v>2</v>
      </c>
      <c r="B20" s="342"/>
      <c r="C20" s="342" t="s">
        <v>230</v>
      </c>
      <c r="D20" s="340" t="s">
        <v>422</v>
      </c>
      <c r="E20" s="342"/>
      <c r="F20" s="345" t="s">
        <v>169</v>
      </c>
      <c r="G20" s="308">
        <v>1</v>
      </c>
      <c r="H20" s="309">
        <v>200000</v>
      </c>
      <c r="I20" s="309">
        <v>200000</v>
      </c>
      <c r="J20" s="211">
        <v>1</v>
      </c>
      <c r="K20" s="212" t="str">
        <f>IF(OR(J20="",G20=J20),"","*")</f>
        <v/>
      </c>
      <c r="L20" s="338">
        <f>IF($A20&lt;=L$1,I20/I$4,"")</f>
        <v>2.042483660130719E-2</v>
      </c>
      <c r="M20" s="343"/>
      <c r="N20" s="344" t="s">
        <v>423</v>
      </c>
      <c r="O20" s="346" t="s">
        <v>390</v>
      </c>
      <c r="P20" s="347" t="s">
        <v>390</v>
      </c>
      <c r="Q20" s="347" t="s">
        <v>390</v>
      </c>
      <c r="R20" s="348" t="s">
        <v>390</v>
      </c>
      <c r="S20" s="349"/>
      <c r="T20" s="343" t="s">
        <v>391</v>
      </c>
      <c r="U20" s="343"/>
      <c r="V20" s="344"/>
      <c r="W20" s="346" t="s">
        <v>390</v>
      </c>
      <c r="X20" s="347" t="s">
        <v>390</v>
      </c>
      <c r="Y20" s="347" t="s">
        <v>390</v>
      </c>
      <c r="Z20" s="348" t="s">
        <v>390</v>
      </c>
      <c r="AA20" s="349"/>
      <c r="AB20" s="343" t="s">
        <v>391</v>
      </c>
      <c r="AC20" s="343"/>
      <c r="AD20" s="344"/>
      <c r="AE20" s="342"/>
      <c r="AF20" s="341"/>
    </row>
    <row r="21" spans="1:32">
      <c r="A21" s="307">
        <v>3</v>
      </c>
      <c r="B21" s="342"/>
      <c r="C21" s="342" t="s">
        <v>177</v>
      </c>
      <c r="D21" s="340" t="s">
        <v>424</v>
      </c>
      <c r="E21" s="342"/>
      <c r="F21" s="345" t="s">
        <v>250</v>
      </c>
      <c r="G21" s="308">
        <v>4</v>
      </c>
      <c r="H21" s="309">
        <v>21000</v>
      </c>
      <c r="I21" s="309">
        <v>84000</v>
      </c>
      <c r="J21" s="211"/>
      <c r="K21" s="212" t="str">
        <f>IF(OR(J21="",G21=J21),"","*")</f>
        <v/>
      </c>
      <c r="L21" s="338">
        <f>IF($A21&lt;=L$1,I21/I$4,"")</f>
        <v>8.5784313725490204E-3</v>
      </c>
      <c r="M21" s="343"/>
      <c r="N21" s="344"/>
      <c r="O21" s="346" t="s">
        <v>390</v>
      </c>
      <c r="P21" s="347" t="s">
        <v>390</v>
      </c>
      <c r="Q21" s="347" t="s">
        <v>390</v>
      </c>
      <c r="R21" s="348" t="s">
        <v>390</v>
      </c>
      <c r="S21" s="349"/>
      <c r="T21" s="343" t="s">
        <v>391</v>
      </c>
      <c r="U21" s="343"/>
      <c r="V21" s="344"/>
      <c r="W21" s="346" t="s">
        <v>390</v>
      </c>
      <c r="X21" s="347" t="s">
        <v>390</v>
      </c>
      <c r="Y21" s="347" t="s">
        <v>390</v>
      </c>
      <c r="Z21" s="348" t="s">
        <v>390</v>
      </c>
      <c r="AA21" s="349"/>
      <c r="AB21" s="343" t="s">
        <v>391</v>
      </c>
      <c r="AC21" s="343"/>
      <c r="AD21" s="344"/>
      <c r="AE21" s="342" t="s">
        <v>425</v>
      </c>
      <c r="AF21" s="341" t="s">
        <v>333</v>
      </c>
    </row>
    <row r="22" spans="1:32">
      <c r="A22" s="307">
        <v>3</v>
      </c>
      <c r="B22" s="342"/>
      <c r="C22" s="342" t="s">
        <v>178</v>
      </c>
      <c r="D22" s="340" t="s">
        <v>426</v>
      </c>
      <c r="E22" s="342" t="s">
        <v>234</v>
      </c>
      <c r="F22" s="345" t="s">
        <v>169</v>
      </c>
      <c r="G22" s="308">
        <v>1</v>
      </c>
      <c r="H22" s="309">
        <v>20000</v>
      </c>
      <c r="I22" s="309">
        <v>20000</v>
      </c>
      <c r="J22" s="211"/>
      <c r="K22" s="212" t="str">
        <f>IF(OR(J22="",G22=J22),"","*")</f>
        <v/>
      </c>
      <c r="L22" s="338">
        <f>IF($A22&lt;=L$1,I22/I$4,"")</f>
        <v>2.0424836601307191E-3</v>
      </c>
      <c r="M22" s="343"/>
      <c r="N22" s="344"/>
      <c r="O22" s="346" t="s">
        <v>390</v>
      </c>
      <c r="P22" s="347" t="s">
        <v>390</v>
      </c>
      <c r="Q22" s="347" t="s">
        <v>390</v>
      </c>
      <c r="R22" s="348" t="s">
        <v>390</v>
      </c>
      <c r="S22" s="349"/>
      <c r="T22" s="343" t="s">
        <v>391</v>
      </c>
      <c r="U22" s="343"/>
      <c r="V22" s="344"/>
      <c r="W22" s="346" t="s">
        <v>390</v>
      </c>
      <c r="X22" s="347" t="s">
        <v>390</v>
      </c>
      <c r="Y22" s="347" t="s">
        <v>390</v>
      </c>
      <c r="Z22" s="348" t="s">
        <v>390</v>
      </c>
      <c r="AA22" s="349"/>
      <c r="AB22" s="343" t="s">
        <v>391</v>
      </c>
      <c r="AC22" s="343"/>
      <c r="AD22" s="344"/>
      <c r="AE22" s="342" t="s">
        <v>427</v>
      </c>
      <c r="AF22" s="341"/>
    </row>
    <row r="23" spans="1:32">
      <c r="A23" s="307">
        <v>3</v>
      </c>
      <c r="B23" s="342"/>
      <c r="C23" s="342" t="s">
        <v>178</v>
      </c>
      <c r="D23" s="340" t="s">
        <v>428</v>
      </c>
      <c r="E23" s="342"/>
      <c r="F23" s="345" t="s">
        <v>169</v>
      </c>
      <c r="G23" s="308">
        <v>1</v>
      </c>
      <c r="H23" s="309">
        <v>30000</v>
      </c>
      <c r="I23" s="309">
        <v>30000</v>
      </c>
      <c r="J23" s="211"/>
      <c r="K23" s="212" t="str">
        <f>IF(OR(J23="",G23=J23),"","*")</f>
        <v/>
      </c>
      <c r="L23" s="338">
        <f>IF($A23&lt;=L$1,I23/I$4,"")</f>
        <v>3.0637254901960784E-3</v>
      </c>
      <c r="M23" s="343"/>
      <c r="N23" s="344"/>
      <c r="O23" s="346" t="s">
        <v>390</v>
      </c>
      <c r="P23" s="347" t="s">
        <v>390</v>
      </c>
      <c r="Q23" s="347" t="s">
        <v>390</v>
      </c>
      <c r="R23" s="348" t="s">
        <v>390</v>
      </c>
      <c r="S23" s="349"/>
      <c r="T23" s="343" t="s">
        <v>391</v>
      </c>
      <c r="U23" s="343"/>
      <c r="V23" s="344"/>
      <c r="W23" s="346" t="s">
        <v>390</v>
      </c>
      <c r="X23" s="347" t="s">
        <v>390</v>
      </c>
      <c r="Y23" s="347" t="s">
        <v>390</v>
      </c>
      <c r="Z23" s="348" t="s">
        <v>390</v>
      </c>
      <c r="AA23" s="349"/>
      <c r="AB23" s="343" t="s">
        <v>391</v>
      </c>
      <c r="AC23" s="343"/>
      <c r="AD23" s="344"/>
      <c r="AE23" s="342" t="s">
        <v>429</v>
      </c>
      <c r="AF23" s="341"/>
    </row>
    <row r="24" spans="1:32">
      <c r="A24" s="307">
        <v>3</v>
      </c>
      <c r="B24" s="342"/>
      <c r="C24" s="342" t="s">
        <v>178</v>
      </c>
      <c r="D24" s="340" t="s">
        <v>430</v>
      </c>
      <c r="E24" s="342"/>
      <c r="F24" s="345" t="s">
        <v>169</v>
      </c>
      <c r="G24" s="308">
        <v>1</v>
      </c>
      <c r="H24" s="309">
        <v>50000</v>
      </c>
      <c r="I24" s="309">
        <v>50000</v>
      </c>
      <c r="J24" s="211"/>
      <c r="K24" s="212" t="str">
        <f>IF(OR(J24="",G24=J24),"","*")</f>
        <v/>
      </c>
      <c r="L24" s="338">
        <f>IF($A24&lt;=L$1,I24/I$4,"")</f>
        <v>5.1062091503267975E-3</v>
      </c>
      <c r="M24" s="343"/>
      <c r="N24" s="344"/>
      <c r="O24" s="346" t="s">
        <v>390</v>
      </c>
      <c r="P24" s="347" t="s">
        <v>390</v>
      </c>
      <c r="Q24" s="347" t="s">
        <v>390</v>
      </c>
      <c r="R24" s="348" t="s">
        <v>390</v>
      </c>
      <c r="S24" s="349"/>
      <c r="T24" s="343" t="s">
        <v>391</v>
      </c>
      <c r="U24" s="343"/>
      <c r="V24" s="344"/>
      <c r="W24" s="346" t="s">
        <v>390</v>
      </c>
      <c r="X24" s="347" t="s">
        <v>390</v>
      </c>
      <c r="Y24" s="347" t="s">
        <v>390</v>
      </c>
      <c r="Z24" s="348" t="s">
        <v>390</v>
      </c>
      <c r="AA24" s="349"/>
      <c r="AB24" s="343" t="s">
        <v>391</v>
      </c>
      <c r="AC24" s="343"/>
      <c r="AD24" s="344"/>
      <c r="AE24" s="342" t="s">
        <v>429</v>
      </c>
      <c r="AF24" s="341"/>
    </row>
    <row r="25" spans="1:32">
      <c r="A25" s="307">
        <v>3</v>
      </c>
      <c r="B25" s="342"/>
      <c r="C25" s="342" t="s">
        <v>180</v>
      </c>
      <c r="D25" s="340" t="s">
        <v>334</v>
      </c>
      <c r="E25" s="342" t="s">
        <v>335</v>
      </c>
      <c r="F25" s="345" t="s">
        <v>255</v>
      </c>
      <c r="G25" s="308">
        <v>2</v>
      </c>
      <c r="H25" s="309">
        <v>4000</v>
      </c>
      <c r="I25" s="309">
        <v>8000</v>
      </c>
      <c r="J25" s="211"/>
      <c r="K25" s="212" t="str">
        <f>IF(OR(J25="",G25=J25),"","*")</f>
        <v/>
      </c>
      <c r="L25" s="338">
        <f>IF($A25&lt;=L$1,I25/I$4,"")</f>
        <v>8.1699346405228761E-4</v>
      </c>
      <c r="M25" s="343"/>
      <c r="N25" s="344"/>
      <c r="O25" s="346" t="s">
        <v>390</v>
      </c>
      <c r="P25" s="347" t="s">
        <v>390</v>
      </c>
      <c r="Q25" s="347" t="s">
        <v>390</v>
      </c>
      <c r="R25" s="348" t="s">
        <v>390</v>
      </c>
      <c r="S25" s="349"/>
      <c r="T25" s="343" t="s">
        <v>391</v>
      </c>
      <c r="U25" s="343"/>
      <c r="V25" s="344"/>
      <c r="W25" s="346" t="s">
        <v>390</v>
      </c>
      <c r="X25" s="347" t="s">
        <v>390</v>
      </c>
      <c r="Y25" s="347" t="s">
        <v>390</v>
      </c>
      <c r="Z25" s="348" t="s">
        <v>390</v>
      </c>
      <c r="AA25" s="349"/>
      <c r="AB25" s="343" t="s">
        <v>391</v>
      </c>
      <c r="AC25" s="343"/>
      <c r="AD25" s="344"/>
      <c r="AE25" s="342" t="s">
        <v>336</v>
      </c>
      <c r="AF25" s="341" t="s">
        <v>318</v>
      </c>
    </row>
    <row r="26" spans="1:32">
      <c r="A26" s="307">
        <v>3</v>
      </c>
      <c r="B26" s="342"/>
      <c r="C26" s="342" t="s">
        <v>176</v>
      </c>
      <c r="D26" s="340" t="s">
        <v>240</v>
      </c>
      <c r="E26" s="342"/>
      <c r="F26" s="345" t="s">
        <v>169</v>
      </c>
      <c r="G26" s="308">
        <v>1</v>
      </c>
      <c r="H26" s="309">
        <v>8000</v>
      </c>
      <c r="I26" s="309">
        <v>8000</v>
      </c>
      <c r="J26" s="211"/>
      <c r="K26" s="212" t="str">
        <f>IF(OR(J26="",G26=J26),"","*")</f>
        <v/>
      </c>
      <c r="L26" s="338">
        <f>IF($A26&lt;=L$1,I26/I$4,"")</f>
        <v>8.1699346405228761E-4</v>
      </c>
      <c r="M26" s="343"/>
      <c r="N26" s="344"/>
      <c r="O26" s="346" t="s">
        <v>390</v>
      </c>
      <c r="P26" s="347" t="s">
        <v>390</v>
      </c>
      <c r="Q26" s="347" t="s">
        <v>390</v>
      </c>
      <c r="R26" s="348" t="s">
        <v>390</v>
      </c>
      <c r="S26" s="349"/>
      <c r="T26" s="343" t="s">
        <v>391</v>
      </c>
      <c r="U26" s="343"/>
      <c r="V26" s="344"/>
      <c r="W26" s="346" t="s">
        <v>390</v>
      </c>
      <c r="X26" s="347" t="s">
        <v>390</v>
      </c>
      <c r="Y26" s="347" t="s">
        <v>390</v>
      </c>
      <c r="Z26" s="348" t="s">
        <v>390</v>
      </c>
      <c r="AA26" s="349"/>
      <c r="AB26" s="343" t="s">
        <v>391</v>
      </c>
      <c r="AC26" s="343"/>
      <c r="AD26" s="344"/>
      <c r="AE26" s="342" t="s">
        <v>241</v>
      </c>
      <c r="AF26" s="341"/>
    </row>
    <row r="27" spans="1:32">
      <c r="A27" s="217"/>
      <c r="B27" s="217"/>
      <c r="C27" s="312"/>
      <c r="D27" s="217"/>
      <c r="E27" s="217"/>
      <c r="F27" s="218"/>
      <c r="G27" s="217"/>
      <c r="H27" s="217"/>
      <c r="I27" s="217"/>
      <c r="J27" s="217"/>
      <c r="K27" s="218"/>
      <c r="L27" s="217"/>
      <c r="M27" s="217"/>
      <c r="N27" s="217"/>
      <c r="O27" s="217"/>
      <c r="P27" s="217"/>
      <c r="Q27" s="217"/>
      <c r="R27" s="217"/>
      <c r="S27" s="218"/>
      <c r="T27" s="217"/>
      <c r="U27" s="217"/>
      <c r="V27" s="217"/>
      <c r="W27" s="217"/>
      <c r="X27" s="217"/>
      <c r="Y27" s="217"/>
      <c r="Z27" s="217"/>
      <c r="AA27" s="218"/>
      <c r="AB27" s="217"/>
      <c r="AC27" s="217"/>
      <c r="AD27" s="217"/>
      <c r="AE27" s="217"/>
      <c r="AF27" s="313"/>
    </row>
  </sheetData>
  <autoFilter ref="A3:AE3" xr:uid="{00000000-0009-0000-0000-000009000000}"/>
  <mergeCells count="4">
    <mergeCell ref="G2:N2"/>
    <mergeCell ref="O2:V2"/>
    <mergeCell ref="W2:AD2"/>
    <mergeCell ref="AF2:AF3"/>
  </mergeCells>
  <phoneticPr fontId="4"/>
  <conditionalFormatting sqref="A4:AD26 AF4:AF26">
    <cfRule type="expression" dxfId="19" priority="16" stopIfTrue="1">
      <formula>$A4&lt;=1</formula>
    </cfRule>
    <cfRule type="expression" dxfId="18" priority="17" stopIfTrue="1">
      <formula>$A4=2</formula>
    </cfRule>
    <cfRule type="expression" dxfId="17" priority="18" stopIfTrue="1">
      <formula>$A4=3</formula>
    </cfRule>
    <cfRule type="expression" dxfId="16" priority="19" stopIfTrue="1">
      <formula>$A4=4</formula>
    </cfRule>
    <cfRule type="expression" dxfId="15" priority="20" stopIfTrue="1">
      <formula>$A4=5</formula>
    </cfRule>
  </conditionalFormatting>
  <conditionalFormatting sqref="AE4:AE26">
    <cfRule type="expression" dxfId="14" priority="6" stopIfTrue="1">
      <formula>$A4&lt;=1</formula>
    </cfRule>
    <cfRule type="expression" dxfId="13" priority="7" stopIfTrue="1">
      <formula>$A4=2</formula>
    </cfRule>
    <cfRule type="expression" dxfId="12" priority="8" stopIfTrue="1">
      <formula>$A4=3</formula>
    </cfRule>
    <cfRule type="expression" dxfId="11" priority="9" stopIfTrue="1">
      <formula>$A4=4</formula>
    </cfRule>
    <cfRule type="expression" dxfId="1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I62"/>
  <sheetViews>
    <sheetView zoomScaleNormal="100" workbookViewId="0"/>
  </sheetViews>
  <sheetFormatPr defaultColWidth="8.25" defaultRowHeight="13.5"/>
  <cols>
    <col min="1" max="1" width="2.375" style="73" customWidth="1"/>
    <col min="2" max="2" width="32.625" style="73" customWidth="1"/>
    <col min="3" max="3" width="30.625" style="73" customWidth="1"/>
    <col min="4" max="4" width="5.875" style="73" customWidth="1"/>
    <col min="5" max="5" width="10.625" style="73" customWidth="1"/>
    <col min="6" max="6" width="12.625" style="141" customWidth="1"/>
    <col min="7" max="7" width="15.125" style="73" customWidth="1"/>
    <col min="8" max="8" width="14.375" style="73" customWidth="1"/>
    <col min="9" max="9" width="2.125" style="73" customWidth="1"/>
    <col min="10" max="16384" width="8.25" style="73"/>
  </cols>
  <sheetData>
    <row r="1" spans="1:9" s="319" customFormat="1" ht="23.1" customHeight="1" thickBot="1">
      <c r="A1" s="124"/>
      <c r="B1" s="125"/>
      <c r="C1" s="545" t="s">
        <v>82</v>
      </c>
      <c r="D1" s="545"/>
      <c r="E1" s="545"/>
      <c r="F1" s="545"/>
      <c r="G1" s="136"/>
      <c r="H1" s="368"/>
      <c r="I1" s="234"/>
    </row>
    <row r="2" spans="1:9" ht="19.5" customHeight="1">
      <c r="A2" s="69"/>
      <c r="B2" s="238" t="s">
        <v>83</v>
      </c>
      <c r="C2" s="240" t="s">
        <v>84</v>
      </c>
      <c r="D2" s="240" t="s">
        <v>85</v>
      </c>
      <c r="E2" s="239" t="s">
        <v>86</v>
      </c>
      <c r="F2" s="239" t="s">
        <v>79</v>
      </c>
      <c r="G2" s="241" t="s">
        <v>80</v>
      </c>
      <c r="H2" s="137" t="s">
        <v>87</v>
      </c>
      <c r="I2" s="69"/>
    </row>
    <row r="3" spans="1:9" ht="15.75" customHeight="1">
      <c r="A3" s="69"/>
      <c r="B3" s="559" t="s">
        <v>167</v>
      </c>
      <c r="C3" s="561"/>
      <c r="D3" s="563" t="s">
        <v>169</v>
      </c>
      <c r="E3" s="565">
        <v>1</v>
      </c>
      <c r="F3" s="521">
        <v>832000</v>
      </c>
      <c r="G3" s="557">
        <v>832000</v>
      </c>
      <c r="H3" s="138" t="s">
        <v>431</v>
      </c>
      <c r="I3" s="69"/>
    </row>
    <row r="4" spans="1:9" ht="15.75" customHeight="1">
      <c r="A4" s="69"/>
      <c r="B4" s="560"/>
      <c r="C4" s="562"/>
      <c r="D4" s="564"/>
      <c r="E4" s="566"/>
      <c r="F4" s="567"/>
      <c r="G4" s="568"/>
      <c r="H4" s="139" t="s">
        <v>194</v>
      </c>
      <c r="I4" s="69"/>
    </row>
    <row r="5" spans="1:9" ht="15.75" customHeight="1">
      <c r="A5" s="69"/>
      <c r="B5" s="559" t="s">
        <v>383</v>
      </c>
      <c r="C5" s="561" t="s">
        <v>432</v>
      </c>
      <c r="D5" s="563" t="s">
        <v>169</v>
      </c>
      <c r="E5" s="565">
        <v>1</v>
      </c>
      <c r="F5" s="521"/>
      <c r="G5" s="557"/>
      <c r="H5" s="138" t="s">
        <v>433</v>
      </c>
      <c r="I5" s="69"/>
    </row>
    <row r="6" spans="1:9" ht="15.75" customHeight="1">
      <c r="A6" s="69"/>
      <c r="B6" s="560"/>
      <c r="C6" s="562"/>
      <c r="D6" s="564"/>
      <c r="E6" s="566"/>
      <c r="F6" s="567"/>
      <c r="G6" s="568"/>
      <c r="H6" s="139" t="s">
        <v>194</v>
      </c>
      <c r="I6" s="69"/>
    </row>
    <row r="7" spans="1:9" ht="15.75" customHeight="1">
      <c r="A7" s="69"/>
      <c r="B7" s="559" t="s">
        <v>384</v>
      </c>
      <c r="C7" s="561"/>
      <c r="D7" s="563" t="s">
        <v>169</v>
      </c>
      <c r="E7" s="565">
        <v>1</v>
      </c>
      <c r="F7" s="521"/>
      <c r="G7" s="557"/>
      <c r="H7" s="138" t="s">
        <v>434</v>
      </c>
      <c r="I7" s="69"/>
    </row>
    <row r="8" spans="1:9" ht="15.75" customHeight="1">
      <c r="A8" s="69"/>
      <c r="B8" s="560"/>
      <c r="C8" s="562"/>
      <c r="D8" s="564"/>
      <c r="E8" s="566"/>
      <c r="F8" s="567"/>
      <c r="G8" s="568"/>
      <c r="H8" s="139" t="s">
        <v>194</v>
      </c>
      <c r="I8" s="69"/>
    </row>
    <row r="9" spans="1:9" ht="15.75" customHeight="1">
      <c r="A9" s="69"/>
      <c r="B9" s="559" t="s">
        <v>385</v>
      </c>
      <c r="C9" s="561" t="s">
        <v>435</v>
      </c>
      <c r="D9" s="563" t="s">
        <v>169</v>
      </c>
      <c r="E9" s="565">
        <v>1</v>
      </c>
      <c r="F9" s="521"/>
      <c r="G9" s="557"/>
      <c r="H9" s="138" t="s">
        <v>436</v>
      </c>
      <c r="I9" s="69"/>
    </row>
    <row r="10" spans="1:9" ht="15.75" customHeight="1">
      <c r="A10" s="69"/>
      <c r="B10" s="560"/>
      <c r="C10" s="562"/>
      <c r="D10" s="564"/>
      <c r="E10" s="566"/>
      <c r="F10" s="567"/>
      <c r="G10" s="568"/>
      <c r="H10" s="139" t="s">
        <v>194</v>
      </c>
      <c r="I10" s="69"/>
    </row>
    <row r="11" spans="1:9" ht="15.75" customHeight="1">
      <c r="A11" s="69"/>
      <c r="B11" s="559" t="s">
        <v>386</v>
      </c>
      <c r="C11" s="561" t="s">
        <v>437</v>
      </c>
      <c r="D11" s="563" t="s">
        <v>169</v>
      </c>
      <c r="E11" s="565">
        <v>1</v>
      </c>
      <c r="F11" s="521"/>
      <c r="G11" s="557"/>
      <c r="H11" s="138" t="s">
        <v>438</v>
      </c>
      <c r="I11" s="69"/>
    </row>
    <row r="12" spans="1:9" ht="15.75" customHeight="1">
      <c r="A12" s="69"/>
      <c r="B12" s="560"/>
      <c r="C12" s="562"/>
      <c r="D12" s="564"/>
      <c r="E12" s="566"/>
      <c r="F12" s="567"/>
      <c r="G12" s="568"/>
      <c r="H12" s="139" t="s">
        <v>194</v>
      </c>
      <c r="I12" s="69"/>
    </row>
    <row r="13" spans="1:9" ht="15.75" customHeight="1">
      <c r="A13" s="69"/>
      <c r="B13" s="559" t="s">
        <v>387</v>
      </c>
      <c r="C13" s="561" t="s">
        <v>439</v>
      </c>
      <c r="D13" s="563" t="s">
        <v>169</v>
      </c>
      <c r="E13" s="565">
        <v>1</v>
      </c>
      <c r="F13" s="521"/>
      <c r="G13" s="557"/>
      <c r="H13" s="138" t="s">
        <v>440</v>
      </c>
      <c r="I13" s="69"/>
    </row>
    <row r="14" spans="1:9" ht="15.75" customHeight="1">
      <c r="A14" s="69"/>
      <c r="B14" s="560"/>
      <c r="C14" s="562"/>
      <c r="D14" s="564"/>
      <c r="E14" s="566"/>
      <c r="F14" s="567"/>
      <c r="G14" s="568"/>
      <c r="H14" s="139" t="s">
        <v>194</v>
      </c>
      <c r="I14" s="69"/>
    </row>
    <row r="15" spans="1:9" ht="15.75" customHeight="1">
      <c r="A15" s="69"/>
      <c r="B15" s="559" t="s">
        <v>388</v>
      </c>
      <c r="C15" s="561" t="s">
        <v>441</v>
      </c>
      <c r="D15" s="563" t="s">
        <v>169</v>
      </c>
      <c r="E15" s="565">
        <v>1</v>
      </c>
      <c r="F15" s="521"/>
      <c r="G15" s="557"/>
      <c r="H15" s="138" t="s">
        <v>442</v>
      </c>
      <c r="I15" s="69"/>
    </row>
    <row r="16" spans="1:9" ht="15.75" customHeight="1">
      <c r="A16" s="69"/>
      <c r="B16" s="560"/>
      <c r="C16" s="562"/>
      <c r="D16" s="564"/>
      <c r="E16" s="566"/>
      <c r="F16" s="567"/>
      <c r="G16" s="568"/>
      <c r="H16" s="139" t="s">
        <v>194</v>
      </c>
      <c r="I16" s="69"/>
    </row>
    <row r="17" spans="1:9" ht="15.75" customHeight="1">
      <c r="A17" s="69"/>
      <c r="B17" s="559" t="s">
        <v>389</v>
      </c>
      <c r="C17" s="561" t="s">
        <v>443</v>
      </c>
      <c r="D17" s="563" t="s">
        <v>169</v>
      </c>
      <c r="E17" s="565">
        <v>1</v>
      </c>
      <c r="F17" s="521"/>
      <c r="G17" s="557"/>
      <c r="H17" s="138" t="s">
        <v>444</v>
      </c>
      <c r="I17" s="69"/>
    </row>
    <row r="18" spans="1:9" ht="15.75" customHeight="1">
      <c r="A18" s="69"/>
      <c r="B18" s="560"/>
      <c r="C18" s="562"/>
      <c r="D18" s="564"/>
      <c r="E18" s="566"/>
      <c r="F18" s="567"/>
      <c r="G18" s="568"/>
      <c r="H18" s="139" t="s">
        <v>194</v>
      </c>
      <c r="I18" s="69"/>
    </row>
    <row r="19" spans="1:9" ht="15.75" customHeight="1">
      <c r="A19" s="69"/>
      <c r="B19" s="559"/>
      <c r="C19" s="561"/>
      <c r="D19" s="563"/>
      <c r="E19" s="565"/>
      <c r="F19" s="521"/>
      <c r="G19" s="557"/>
      <c r="H19" s="138"/>
      <c r="I19" s="69"/>
    </row>
    <row r="20" spans="1:9" ht="15.75" customHeight="1">
      <c r="A20" s="69"/>
      <c r="B20" s="560"/>
      <c r="C20" s="562"/>
      <c r="D20" s="564"/>
      <c r="E20" s="566"/>
      <c r="F20" s="567"/>
      <c r="G20" s="568"/>
      <c r="H20" s="139"/>
      <c r="I20" s="69"/>
    </row>
    <row r="21" spans="1:9" ht="15.75" customHeight="1">
      <c r="A21" s="69"/>
      <c r="B21" s="559" t="s">
        <v>225</v>
      </c>
      <c r="C21" s="561"/>
      <c r="D21" s="563"/>
      <c r="E21" s="565"/>
      <c r="F21" s="521"/>
      <c r="G21" s="557">
        <v>832000</v>
      </c>
      <c r="H21" s="138"/>
      <c r="I21" s="69"/>
    </row>
    <row r="22" spans="1:9" ht="15.75" customHeight="1">
      <c r="A22" s="69"/>
      <c r="B22" s="560"/>
      <c r="C22" s="562"/>
      <c r="D22" s="564"/>
      <c r="E22" s="566"/>
      <c r="F22" s="567"/>
      <c r="G22" s="568"/>
      <c r="H22" s="139"/>
      <c r="I22" s="69"/>
    </row>
    <row r="23" spans="1:9" ht="15.75" customHeight="1">
      <c r="A23" s="69"/>
      <c r="B23" s="559"/>
      <c r="C23" s="561"/>
      <c r="D23" s="563"/>
      <c r="E23" s="565"/>
      <c r="F23" s="521"/>
      <c r="G23" s="557"/>
      <c r="H23" s="138"/>
      <c r="I23" s="69"/>
    </row>
    <row r="24" spans="1:9" ht="15.75" customHeight="1">
      <c r="A24" s="69"/>
      <c r="B24" s="560"/>
      <c r="C24" s="562"/>
      <c r="D24" s="564"/>
      <c r="E24" s="566"/>
      <c r="F24" s="567"/>
      <c r="G24" s="568"/>
      <c r="H24" s="139"/>
      <c r="I24" s="69"/>
    </row>
    <row r="25" spans="1:9" ht="15.75" customHeight="1">
      <c r="A25" s="69"/>
      <c r="B25" s="559"/>
      <c r="C25" s="561"/>
      <c r="D25" s="563"/>
      <c r="E25" s="565"/>
      <c r="F25" s="521"/>
      <c r="G25" s="557"/>
      <c r="H25" s="138"/>
      <c r="I25" s="69"/>
    </row>
    <row r="26" spans="1:9" ht="15.75" customHeight="1">
      <c r="A26" s="69"/>
      <c r="B26" s="560"/>
      <c r="C26" s="562"/>
      <c r="D26" s="564"/>
      <c r="E26" s="566"/>
      <c r="F26" s="567"/>
      <c r="G26" s="568"/>
      <c r="H26" s="139"/>
      <c r="I26" s="69"/>
    </row>
    <row r="27" spans="1:9" ht="15.75" customHeight="1">
      <c r="A27" s="69"/>
      <c r="B27" s="559"/>
      <c r="C27" s="561"/>
      <c r="D27" s="563"/>
      <c r="E27" s="565"/>
      <c r="F27" s="521"/>
      <c r="G27" s="557"/>
      <c r="H27" s="138"/>
      <c r="I27" s="69"/>
    </row>
    <row r="28" spans="1:9" ht="15.75" customHeight="1">
      <c r="A28" s="69"/>
      <c r="B28" s="560"/>
      <c r="C28" s="562"/>
      <c r="D28" s="564"/>
      <c r="E28" s="566"/>
      <c r="F28" s="567"/>
      <c r="G28" s="568"/>
      <c r="H28" s="139"/>
      <c r="I28" s="69"/>
    </row>
    <row r="29" spans="1:9" ht="15.75" customHeight="1">
      <c r="A29" s="69"/>
      <c r="B29" s="559"/>
      <c r="C29" s="561"/>
      <c r="D29" s="563"/>
      <c r="E29" s="565"/>
      <c r="F29" s="521"/>
      <c r="G29" s="557"/>
      <c r="H29" s="138"/>
      <c r="I29" s="69"/>
    </row>
    <row r="30" spans="1:9" ht="15.75" customHeight="1" thickBot="1">
      <c r="A30" s="69"/>
      <c r="B30" s="569"/>
      <c r="C30" s="570"/>
      <c r="D30" s="571"/>
      <c r="E30" s="572"/>
      <c r="F30" s="573"/>
      <c r="G30" s="558"/>
      <c r="H30" s="140"/>
      <c r="I30" s="69"/>
    </row>
    <row r="31" spans="1:9" s="103" customFormat="1" ht="18" customHeight="1">
      <c r="A31" s="362"/>
      <c r="B31" s="362"/>
      <c r="C31" s="362"/>
      <c r="D31" s="362"/>
      <c r="E31" s="362"/>
      <c r="F31" s="362"/>
      <c r="G31" s="369"/>
      <c r="H31" s="369"/>
      <c r="I31" s="362"/>
    </row>
    <row r="32" spans="1:9" ht="23.1" customHeight="1"/>
    <row r="33" ht="19.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8" customHeight="1"/>
  </sheetData>
  <mergeCells count="85">
    <mergeCell ref="G27:G28"/>
    <mergeCell ref="B29:B30"/>
    <mergeCell ref="C29:C30"/>
    <mergeCell ref="D29:D30"/>
    <mergeCell ref="E29:E30"/>
    <mergeCell ref="F29:F30"/>
    <mergeCell ref="G29:G30"/>
    <mergeCell ref="B27:B28"/>
    <mergeCell ref="C27:C28"/>
    <mergeCell ref="D27:D28"/>
    <mergeCell ref="E27:E28"/>
    <mergeCell ref="F27:F28"/>
    <mergeCell ref="G23:G24"/>
    <mergeCell ref="B25:B26"/>
    <mergeCell ref="C25:C26"/>
    <mergeCell ref="D25:D26"/>
    <mergeCell ref="E25:E26"/>
    <mergeCell ref="F25:F26"/>
    <mergeCell ref="G25:G26"/>
    <mergeCell ref="B23:B24"/>
    <mergeCell ref="C23:C24"/>
    <mergeCell ref="D23:D24"/>
    <mergeCell ref="E23:E24"/>
    <mergeCell ref="F23:F24"/>
    <mergeCell ref="G19:G20"/>
    <mergeCell ref="B21:B22"/>
    <mergeCell ref="C21:C22"/>
    <mergeCell ref="D21:D22"/>
    <mergeCell ref="E21:E22"/>
    <mergeCell ref="F21:F22"/>
    <mergeCell ref="G21:G22"/>
    <mergeCell ref="B19:B20"/>
    <mergeCell ref="C19:C20"/>
    <mergeCell ref="D19:D20"/>
    <mergeCell ref="E19:E20"/>
    <mergeCell ref="F19:F20"/>
    <mergeCell ref="G15:G16"/>
    <mergeCell ref="B17:B18"/>
    <mergeCell ref="C17:C18"/>
    <mergeCell ref="D17:D18"/>
    <mergeCell ref="E17:E18"/>
    <mergeCell ref="F17:F18"/>
    <mergeCell ref="G17:G18"/>
    <mergeCell ref="B15:B16"/>
    <mergeCell ref="C15:C16"/>
    <mergeCell ref="D15:D16"/>
    <mergeCell ref="E15:E16"/>
    <mergeCell ref="F15:F16"/>
    <mergeCell ref="G11:G12"/>
    <mergeCell ref="B13:B14"/>
    <mergeCell ref="C13:C14"/>
    <mergeCell ref="D13:D14"/>
    <mergeCell ref="E13:E14"/>
    <mergeCell ref="F13:F14"/>
    <mergeCell ref="G13:G14"/>
    <mergeCell ref="B11:B12"/>
    <mergeCell ref="C11:C12"/>
    <mergeCell ref="D11:D12"/>
    <mergeCell ref="E11:E12"/>
    <mergeCell ref="F11:F12"/>
    <mergeCell ref="G7:G8"/>
    <mergeCell ref="B9:B10"/>
    <mergeCell ref="C9:C10"/>
    <mergeCell ref="D9:D10"/>
    <mergeCell ref="E9:E10"/>
    <mergeCell ref="F9:F10"/>
    <mergeCell ref="G9:G10"/>
    <mergeCell ref="B7:B8"/>
    <mergeCell ref="C7:C8"/>
    <mergeCell ref="D7:D8"/>
    <mergeCell ref="E7:E8"/>
    <mergeCell ref="F7:F8"/>
    <mergeCell ref="G3:G4"/>
    <mergeCell ref="B5:B6"/>
    <mergeCell ref="C5:C6"/>
    <mergeCell ref="D5:D6"/>
    <mergeCell ref="E5:E6"/>
    <mergeCell ref="F5:F6"/>
    <mergeCell ref="G5:G6"/>
    <mergeCell ref="C1:F1"/>
    <mergeCell ref="B3:B4"/>
    <mergeCell ref="C3:C4"/>
    <mergeCell ref="D3:D4"/>
    <mergeCell ref="E3:E4"/>
    <mergeCell ref="F3:F4"/>
  </mergeCells>
  <phoneticPr fontId="4"/>
  <pageMargins left="0.70866141732283472" right="0.43307086614173229" top="0.62992125984251968" bottom="0.47244094488188981" header="0.31496062992125984" footer="0.31496062992125984"/>
  <pageSetup paperSize="9" scale="96" fitToHeight="0" orientation="landscape" useFirstPageNumber="1" r:id="rId1"/>
  <headerFooter>
    <oddFooter>&amp;C&amp;"ＭＳ 明朝,標準"&amp;Pページ</oddFooter>
  </headerFooter>
  <rowBreaks count="1" manualBreakCount="1">
    <brk id="31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>
    <pageSetUpPr fitToPage="1"/>
  </sheetPr>
  <dimension ref="A1:AF17"/>
  <sheetViews>
    <sheetView zoomScaleNormal="100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23-0226　★R4 電線地中化促進工事 公共 R5 電線地中化促進工事 県単 合併</v>
      </c>
      <c r="G1" s="306"/>
      <c r="H1" s="190" t="s">
        <v>130</v>
      </c>
      <c r="I1" s="333">
        <v>11200000</v>
      </c>
      <c r="J1" s="339">
        <f>I4/I$1</f>
        <v>0.87428571428571433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142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382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227</v>
      </c>
      <c r="D4" s="340" t="s">
        <v>184</v>
      </c>
      <c r="E4" s="342"/>
      <c r="F4" s="345" t="s">
        <v>169</v>
      </c>
      <c r="G4" s="308">
        <v>1</v>
      </c>
      <c r="H4" s="309">
        <v>9792000</v>
      </c>
      <c r="I4" s="309">
        <v>9792000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390</v>
      </c>
      <c r="P4" s="347" t="s">
        <v>390</v>
      </c>
      <c r="Q4" s="347" t="s">
        <v>390</v>
      </c>
      <c r="R4" s="348" t="s">
        <v>390</v>
      </c>
      <c r="S4" s="349"/>
      <c r="T4" s="343" t="s">
        <v>391</v>
      </c>
      <c r="U4" s="343"/>
      <c r="V4" s="344"/>
      <c r="W4" s="346" t="s">
        <v>390</v>
      </c>
      <c r="X4" s="347" t="s">
        <v>390</v>
      </c>
      <c r="Y4" s="347" t="s">
        <v>390</v>
      </c>
      <c r="Z4" s="348" t="s">
        <v>390</v>
      </c>
      <c r="AA4" s="349"/>
      <c r="AB4" s="343" t="s">
        <v>391</v>
      </c>
      <c r="AC4" s="343"/>
      <c r="AD4" s="344"/>
      <c r="AE4" s="342"/>
      <c r="AF4" s="341"/>
    </row>
    <row r="5" spans="1:32">
      <c r="A5" s="307">
        <v>1</v>
      </c>
      <c r="B5" s="342"/>
      <c r="C5" s="342" t="s">
        <v>228</v>
      </c>
      <c r="D5" s="340" t="s">
        <v>445</v>
      </c>
      <c r="E5" s="342"/>
      <c r="F5" s="345" t="s">
        <v>169</v>
      </c>
      <c r="G5" s="308">
        <v>1</v>
      </c>
      <c r="H5" s="309">
        <v>832000</v>
      </c>
      <c r="I5" s="309">
        <v>832000</v>
      </c>
      <c r="J5" s="211"/>
      <c r="K5" s="212" t="str">
        <f>IF(OR(J5="",G5=J5),"","*")</f>
        <v/>
      </c>
      <c r="L5" s="338">
        <f>IF($A5&lt;=L$1,I5/I$4,"")</f>
        <v>8.4967320261437912E-2</v>
      </c>
      <c r="M5" s="343"/>
      <c r="N5" s="344"/>
      <c r="O5" s="346" t="s">
        <v>390</v>
      </c>
      <c r="P5" s="347" t="s">
        <v>390</v>
      </c>
      <c r="Q5" s="347" t="s">
        <v>390</v>
      </c>
      <c r="R5" s="348" t="s">
        <v>390</v>
      </c>
      <c r="S5" s="349"/>
      <c r="T5" s="343" t="s">
        <v>391</v>
      </c>
      <c r="U5" s="343"/>
      <c r="V5" s="344"/>
      <c r="W5" s="346" t="s">
        <v>390</v>
      </c>
      <c r="X5" s="347" t="s">
        <v>390</v>
      </c>
      <c r="Y5" s="347" t="s">
        <v>390</v>
      </c>
      <c r="Z5" s="348" t="s">
        <v>390</v>
      </c>
      <c r="AA5" s="349"/>
      <c r="AB5" s="343" t="s">
        <v>391</v>
      </c>
      <c r="AC5" s="343"/>
      <c r="AD5" s="344"/>
      <c r="AE5" s="342"/>
      <c r="AF5" s="341"/>
    </row>
    <row r="6" spans="1:32">
      <c r="A6" s="307">
        <v>2</v>
      </c>
      <c r="B6" s="342"/>
      <c r="C6" s="342" t="s">
        <v>230</v>
      </c>
      <c r="D6" s="340" t="s">
        <v>446</v>
      </c>
      <c r="E6" s="342"/>
      <c r="F6" s="345" t="s">
        <v>169</v>
      </c>
      <c r="G6" s="308">
        <v>1</v>
      </c>
      <c r="H6" s="309">
        <v>832000</v>
      </c>
      <c r="I6" s="309">
        <v>832000</v>
      </c>
      <c r="J6" s="211">
        <v>1</v>
      </c>
      <c r="K6" s="212" t="str">
        <f>IF(OR(J6="",G6=J6),"","*")</f>
        <v/>
      </c>
      <c r="L6" s="338">
        <f>IF($A6&lt;=L$1,I6/I$4,"")</f>
        <v>8.4967320261437912E-2</v>
      </c>
      <c r="M6" s="343"/>
      <c r="N6" s="344" t="s">
        <v>447</v>
      </c>
      <c r="O6" s="346" t="s">
        <v>390</v>
      </c>
      <c r="P6" s="347" t="s">
        <v>390</v>
      </c>
      <c r="Q6" s="347" t="s">
        <v>390</v>
      </c>
      <c r="R6" s="348" t="s">
        <v>390</v>
      </c>
      <c r="S6" s="349"/>
      <c r="T6" s="343" t="s">
        <v>391</v>
      </c>
      <c r="U6" s="343"/>
      <c r="V6" s="344"/>
      <c r="W6" s="346" t="s">
        <v>390</v>
      </c>
      <c r="X6" s="347" t="s">
        <v>390</v>
      </c>
      <c r="Y6" s="347" t="s">
        <v>390</v>
      </c>
      <c r="Z6" s="348" t="s">
        <v>390</v>
      </c>
      <c r="AA6" s="349"/>
      <c r="AB6" s="343" t="s">
        <v>391</v>
      </c>
      <c r="AC6" s="343"/>
      <c r="AD6" s="344"/>
      <c r="AE6" s="342"/>
      <c r="AF6" s="341"/>
    </row>
    <row r="7" spans="1:32">
      <c r="A7" s="307">
        <v>3</v>
      </c>
      <c r="B7" s="342"/>
      <c r="C7" s="342" t="s">
        <v>182</v>
      </c>
      <c r="D7" s="340" t="s">
        <v>448</v>
      </c>
      <c r="E7" s="342"/>
      <c r="F7" s="345" t="s">
        <v>449</v>
      </c>
      <c r="G7" s="308">
        <v>5</v>
      </c>
      <c r="H7" s="309">
        <v>68000</v>
      </c>
      <c r="I7" s="309">
        <v>340000</v>
      </c>
      <c r="J7" s="211"/>
      <c r="K7" s="212" t="str">
        <f>IF(OR(J7="",G7=J7),"","*")</f>
        <v/>
      </c>
      <c r="L7" s="338">
        <f>IF($A7&lt;=L$1,I7/I$4,"")</f>
        <v>3.4722222222222224E-2</v>
      </c>
      <c r="M7" s="343"/>
      <c r="N7" s="344"/>
      <c r="O7" s="346" t="s">
        <v>390</v>
      </c>
      <c r="P7" s="347" t="s">
        <v>390</v>
      </c>
      <c r="Q7" s="347" t="s">
        <v>390</v>
      </c>
      <c r="R7" s="348" t="s">
        <v>390</v>
      </c>
      <c r="S7" s="349"/>
      <c r="T7" s="343" t="s">
        <v>391</v>
      </c>
      <c r="U7" s="343"/>
      <c r="V7" s="344"/>
      <c r="W7" s="346" t="s">
        <v>390</v>
      </c>
      <c r="X7" s="347" t="s">
        <v>390</v>
      </c>
      <c r="Y7" s="347" t="s">
        <v>390</v>
      </c>
      <c r="Z7" s="348" t="s">
        <v>390</v>
      </c>
      <c r="AA7" s="349"/>
      <c r="AB7" s="343" t="s">
        <v>391</v>
      </c>
      <c r="AC7" s="343"/>
      <c r="AD7" s="344"/>
      <c r="AE7" s="342" t="s">
        <v>450</v>
      </c>
      <c r="AF7" s="341" t="s">
        <v>451</v>
      </c>
    </row>
    <row r="8" spans="1:32">
      <c r="A8" s="307">
        <v>3</v>
      </c>
      <c r="B8" s="342"/>
      <c r="C8" s="342" t="s">
        <v>182</v>
      </c>
      <c r="D8" s="340" t="s">
        <v>452</v>
      </c>
      <c r="E8" s="342"/>
      <c r="F8" s="345" t="s">
        <v>449</v>
      </c>
      <c r="G8" s="308">
        <v>6</v>
      </c>
      <c r="H8" s="309">
        <v>53500</v>
      </c>
      <c r="I8" s="309">
        <v>321000</v>
      </c>
      <c r="J8" s="211"/>
      <c r="K8" s="212" t="str">
        <f>IF(OR(J8="",G8=J8),"","*")</f>
        <v/>
      </c>
      <c r="L8" s="338">
        <f>IF($A8&lt;=L$1,I8/I$4,"")</f>
        <v>3.2781862745098041E-2</v>
      </c>
      <c r="M8" s="343"/>
      <c r="N8" s="344"/>
      <c r="O8" s="346" t="s">
        <v>390</v>
      </c>
      <c r="P8" s="347" t="s">
        <v>390</v>
      </c>
      <c r="Q8" s="347" t="s">
        <v>390</v>
      </c>
      <c r="R8" s="348" t="s">
        <v>390</v>
      </c>
      <c r="S8" s="349"/>
      <c r="T8" s="343" t="s">
        <v>391</v>
      </c>
      <c r="U8" s="343"/>
      <c r="V8" s="344"/>
      <c r="W8" s="346" t="s">
        <v>390</v>
      </c>
      <c r="X8" s="347" t="s">
        <v>390</v>
      </c>
      <c r="Y8" s="347" t="s">
        <v>390</v>
      </c>
      <c r="Z8" s="348" t="s">
        <v>390</v>
      </c>
      <c r="AA8" s="349"/>
      <c r="AB8" s="343" t="s">
        <v>391</v>
      </c>
      <c r="AC8" s="343"/>
      <c r="AD8" s="344"/>
      <c r="AE8" s="342" t="s">
        <v>453</v>
      </c>
      <c r="AF8" s="341" t="s">
        <v>281</v>
      </c>
    </row>
    <row r="9" spans="1:32">
      <c r="A9" s="307">
        <v>3</v>
      </c>
      <c r="B9" s="342"/>
      <c r="C9" s="342" t="s">
        <v>182</v>
      </c>
      <c r="D9" s="340" t="s">
        <v>454</v>
      </c>
      <c r="E9" s="342"/>
      <c r="F9" s="345" t="s">
        <v>449</v>
      </c>
      <c r="G9" s="308">
        <v>6</v>
      </c>
      <c r="H9" s="309">
        <v>28500</v>
      </c>
      <c r="I9" s="309">
        <v>171000</v>
      </c>
      <c r="J9" s="211"/>
      <c r="K9" s="212" t="str">
        <f>IF(OR(J9="",G9=J9),"","*")</f>
        <v/>
      </c>
      <c r="L9" s="338">
        <f>IF($A9&lt;=L$1,I9/I$4,"")</f>
        <v>1.7463235294117647E-2</v>
      </c>
      <c r="M9" s="343"/>
      <c r="N9" s="344"/>
      <c r="O9" s="346" t="s">
        <v>390</v>
      </c>
      <c r="P9" s="347" t="s">
        <v>390</v>
      </c>
      <c r="Q9" s="347" t="s">
        <v>390</v>
      </c>
      <c r="R9" s="348" t="s">
        <v>390</v>
      </c>
      <c r="S9" s="349"/>
      <c r="T9" s="343" t="s">
        <v>391</v>
      </c>
      <c r="U9" s="343"/>
      <c r="V9" s="344"/>
      <c r="W9" s="346" t="s">
        <v>390</v>
      </c>
      <c r="X9" s="347" t="s">
        <v>390</v>
      </c>
      <c r="Y9" s="347" t="s">
        <v>390</v>
      </c>
      <c r="Z9" s="348" t="s">
        <v>390</v>
      </c>
      <c r="AA9" s="349"/>
      <c r="AB9" s="343" t="s">
        <v>391</v>
      </c>
      <c r="AC9" s="343"/>
      <c r="AD9" s="344"/>
      <c r="AE9" s="342" t="s">
        <v>455</v>
      </c>
      <c r="AF9" s="341" t="s">
        <v>281</v>
      </c>
    </row>
    <row r="10" spans="1:32">
      <c r="A10" s="307">
        <v>2</v>
      </c>
      <c r="B10" s="342"/>
      <c r="C10" s="342" t="s">
        <v>230</v>
      </c>
      <c r="D10" s="340" t="s">
        <v>456</v>
      </c>
      <c r="E10" s="342" t="s">
        <v>432</v>
      </c>
      <c r="F10" s="345" t="s">
        <v>169</v>
      </c>
      <c r="G10" s="308">
        <v>1</v>
      </c>
      <c r="H10" s="309">
        <v>0</v>
      </c>
      <c r="I10" s="309">
        <v>0</v>
      </c>
      <c r="J10" s="211">
        <v>1</v>
      </c>
      <c r="K10" s="212" t="str">
        <f>IF(OR(J10="",G10=J10),"","*")</f>
        <v/>
      </c>
      <c r="L10" s="338">
        <f>IF($A10&lt;=L$1,I10/I$4,"")</f>
        <v>0</v>
      </c>
      <c r="M10" s="343"/>
      <c r="N10" s="344" t="s">
        <v>457</v>
      </c>
      <c r="O10" s="346" t="s">
        <v>390</v>
      </c>
      <c r="P10" s="347" t="s">
        <v>390</v>
      </c>
      <c r="Q10" s="347" t="s">
        <v>390</v>
      </c>
      <c r="R10" s="348" t="s">
        <v>390</v>
      </c>
      <c r="S10" s="349"/>
      <c r="T10" s="343" t="s">
        <v>391</v>
      </c>
      <c r="U10" s="343"/>
      <c r="V10" s="344"/>
      <c r="W10" s="346" t="s">
        <v>390</v>
      </c>
      <c r="X10" s="347" t="s">
        <v>390</v>
      </c>
      <c r="Y10" s="347" t="s">
        <v>390</v>
      </c>
      <c r="Z10" s="348" t="s">
        <v>390</v>
      </c>
      <c r="AA10" s="349"/>
      <c r="AB10" s="343" t="s">
        <v>391</v>
      </c>
      <c r="AC10" s="343"/>
      <c r="AD10" s="344"/>
      <c r="AE10" s="342"/>
      <c r="AF10" s="341"/>
    </row>
    <row r="11" spans="1:32">
      <c r="A11" s="307">
        <v>2</v>
      </c>
      <c r="B11" s="342"/>
      <c r="C11" s="342" t="s">
        <v>230</v>
      </c>
      <c r="D11" s="340" t="s">
        <v>458</v>
      </c>
      <c r="E11" s="342"/>
      <c r="F11" s="345" t="s">
        <v>169</v>
      </c>
      <c r="G11" s="308">
        <v>1</v>
      </c>
      <c r="H11" s="309">
        <v>0</v>
      </c>
      <c r="I11" s="309">
        <v>0</v>
      </c>
      <c r="J11" s="211">
        <v>1</v>
      </c>
      <c r="K11" s="212" t="str">
        <f>IF(OR(J11="",G11=J11),"","*")</f>
        <v/>
      </c>
      <c r="L11" s="338">
        <f>IF($A11&lt;=L$1,I11/I$4,"")</f>
        <v>0</v>
      </c>
      <c r="M11" s="343"/>
      <c r="N11" s="344" t="s">
        <v>459</v>
      </c>
      <c r="O11" s="346" t="s">
        <v>390</v>
      </c>
      <c r="P11" s="347" t="s">
        <v>390</v>
      </c>
      <c r="Q11" s="347" t="s">
        <v>390</v>
      </c>
      <c r="R11" s="348" t="s">
        <v>390</v>
      </c>
      <c r="S11" s="349"/>
      <c r="T11" s="343" t="s">
        <v>391</v>
      </c>
      <c r="U11" s="343"/>
      <c r="V11" s="344"/>
      <c r="W11" s="346" t="s">
        <v>390</v>
      </c>
      <c r="X11" s="347" t="s">
        <v>390</v>
      </c>
      <c r="Y11" s="347" t="s">
        <v>390</v>
      </c>
      <c r="Z11" s="348" t="s">
        <v>390</v>
      </c>
      <c r="AA11" s="349"/>
      <c r="AB11" s="343" t="s">
        <v>391</v>
      </c>
      <c r="AC11" s="343"/>
      <c r="AD11" s="344"/>
      <c r="AE11" s="342"/>
      <c r="AF11" s="341"/>
    </row>
    <row r="12" spans="1:32">
      <c r="A12" s="307">
        <v>2</v>
      </c>
      <c r="B12" s="342"/>
      <c r="C12" s="342" t="s">
        <v>230</v>
      </c>
      <c r="D12" s="340" t="s">
        <v>460</v>
      </c>
      <c r="E12" s="342" t="s">
        <v>435</v>
      </c>
      <c r="F12" s="345" t="s">
        <v>169</v>
      </c>
      <c r="G12" s="308">
        <v>1</v>
      </c>
      <c r="H12" s="309">
        <v>0</v>
      </c>
      <c r="I12" s="309">
        <v>0</v>
      </c>
      <c r="J12" s="211">
        <v>1</v>
      </c>
      <c r="K12" s="212" t="str">
        <f>IF(OR(J12="",G12=J12),"","*")</f>
        <v/>
      </c>
      <c r="L12" s="338">
        <f>IF($A12&lt;=L$1,I12/I$4,"")</f>
        <v>0</v>
      </c>
      <c r="M12" s="343"/>
      <c r="N12" s="344" t="s">
        <v>461</v>
      </c>
      <c r="O12" s="346" t="s">
        <v>390</v>
      </c>
      <c r="P12" s="347" t="s">
        <v>390</v>
      </c>
      <c r="Q12" s="347" t="s">
        <v>390</v>
      </c>
      <c r="R12" s="348" t="s">
        <v>390</v>
      </c>
      <c r="S12" s="349"/>
      <c r="T12" s="343" t="s">
        <v>391</v>
      </c>
      <c r="U12" s="343"/>
      <c r="V12" s="344"/>
      <c r="W12" s="346" t="s">
        <v>390</v>
      </c>
      <c r="X12" s="347" t="s">
        <v>390</v>
      </c>
      <c r="Y12" s="347" t="s">
        <v>390</v>
      </c>
      <c r="Z12" s="348" t="s">
        <v>390</v>
      </c>
      <c r="AA12" s="349"/>
      <c r="AB12" s="343" t="s">
        <v>391</v>
      </c>
      <c r="AC12" s="343"/>
      <c r="AD12" s="344"/>
      <c r="AE12" s="342"/>
      <c r="AF12" s="341"/>
    </row>
    <row r="13" spans="1:32">
      <c r="A13" s="307">
        <v>2</v>
      </c>
      <c r="B13" s="342"/>
      <c r="C13" s="342" t="s">
        <v>230</v>
      </c>
      <c r="D13" s="340" t="s">
        <v>462</v>
      </c>
      <c r="E13" s="342" t="s">
        <v>437</v>
      </c>
      <c r="F13" s="345" t="s">
        <v>169</v>
      </c>
      <c r="G13" s="308">
        <v>1</v>
      </c>
      <c r="H13" s="309">
        <v>0</v>
      </c>
      <c r="I13" s="309">
        <v>0</v>
      </c>
      <c r="J13" s="211">
        <v>1</v>
      </c>
      <c r="K13" s="212" t="str">
        <f>IF(OR(J13="",G13=J13),"","*")</f>
        <v/>
      </c>
      <c r="L13" s="338">
        <f>IF($A13&lt;=L$1,I13/I$4,"")</f>
        <v>0</v>
      </c>
      <c r="M13" s="343"/>
      <c r="N13" s="344" t="s">
        <v>463</v>
      </c>
      <c r="O13" s="346" t="s">
        <v>390</v>
      </c>
      <c r="P13" s="347" t="s">
        <v>390</v>
      </c>
      <c r="Q13" s="347" t="s">
        <v>390</v>
      </c>
      <c r="R13" s="348" t="s">
        <v>390</v>
      </c>
      <c r="S13" s="349"/>
      <c r="T13" s="343" t="s">
        <v>391</v>
      </c>
      <c r="U13" s="343"/>
      <c r="V13" s="344"/>
      <c r="W13" s="346" t="s">
        <v>390</v>
      </c>
      <c r="X13" s="347" t="s">
        <v>390</v>
      </c>
      <c r="Y13" s="347" t="s">
        <v>390</v>
      </c>
      <c r="Z13" s="348" t="s">
        <v>390</v>
      </c>
      <c r="AA13" s="349"/>
      <c r="AB13" s="343" t="s">
        <v>391</v>
      </c>
      <c r="AC13" s="343"/>
      <c r="AD13" s="344"/>
      <c r="AE13" s="342"/>
      <c r="AF13" s="341"/>
    </row>
    <row r="14" spans="1:32">
      <c r="A14" s="307">
        <v>2</v>
      </c>
      <c r="B14" s="342"/>
      <c r="C14" s="342" t="s">
        <v>230</v>
      </c>
      <c r="D14" s="340" t="s">
        <v>464</v>
      </c>
      <c r="E14" s="342" t="s">
        <v>439</v>
      </c>
      <c r="F14" s="345" t="s">
        <v>169</v>
      </c>
      <c r="G14" s="308">
        <v>1</v>
      </c>
      <c r="H14" s="309">
        <v>0</v>
      </c>
      <c r="I14" s="309">
        <v>0</v>
      </c>
      <c r="J14" s="211">
        <v>1</v>
      </c>
      <c r="K14" s="212" t="str">
        <f>IF(OR(J14="",G14=J14),"","*")</f>
        <v/>
      </c>
      <c r="L14" s="338">
        <f>IF($A14&lt;=L$1,I14/I$4,"")</f>
        <v>0</v>
      </c>
      <c r="M14" s="343"/>
      <c r="N14" s="344" t="s">
        <v>465</v>
      </c>
      <c r="O14" s="346" t="s">
        <v>390</v>
      </c>
      <c r="P14" s="347" t="s">
        <v>390</v>
      </c>
      <c r="Q14" s="347" t="s">
        <v>390</v>
      </c>
      <c r="R14" s="348" t="s">
        <v>390</v>
      </c>
      <c r="S14" s="349"/>
      <c r="T14" s="343" t="s">
        <v>391</v>
      </c>
      <c r="U14" s="343"/>
      <c r="V14" s="344"/>
      <c r="W14" s="346" t="s">
        <v>390</v>
      </c>
      <c r="X14" s="347" t="s">
        <v>390</v>
      </c>
      <c r="Y14" s="347" t="s">
        <v>390</v>
      </c>
      <c r="Z14" s="348" t="s">
        <v>390</v>
      </c>
      <c r="AA14" s="349"/>
      <c r="AB14" s="343" t="s">
        <v>391</v>
      </c>
      <c r="AC14" s="343"/>
      <c r="AD14" s="344"/>
      <c r="AE14" s="342"/>
      <c r="AF14" s="341"/>
    </row>
    <row r="15" spans="1:32">
      <c r="A15" s="307">
        <v>2</v>
      </c>
      <c r="B15" s="342"/>
      <c r="C15" s="342" t="s">
        <v>230</v>
      </c>
      <c r="D15" s="340" t="s">
        <v>466</v>
      </c>
      <c r="E15" s="342" t="s">
        <v>441</v>
      </c>
      <c r="F15" s="345" t="s">
        <v>169</v>
      </c>
      <c r="G15" s="308">
        <v>1</v>
      </c>
      <c r="H15" s="309">
        <v>0</v>
      </c>
      <c r="I15" s="309">
        <v>0</v>
      </c>
      <c r="J15" s="211">
        <v>1</v>
      </c>
      <c r="K15" s="212" t="str">
        <f>IF(OR(J15="",G15=J15),"","*")</f>
        <v/>
      </c>
      <c r="L15" s="338">
        <f>IF($A15&lt;=L$1,I15/I$4,"")</f>
        <v>0</v>
      </c>
      <c r="M15" s="343"/>
      <c r="N15" s="344" t="s">
        <v>467</v>
      </c>
      <c r="O15" s="346" t="s">
        <v>390</v>
      </c>
      <c r="P15" s="347" t="s">
        <v>390</v>
      </c>
      <c r="Q15" s="347" t="s">
        <v>390</v>
      </c>
      <c r="R15" s="348" t="s">
        <v>390</v>
      </c>
      <c r="S15" s="349"/>
      <c r="T15" s="343" t="s">
        <v>391</v>
      </c>
      <c r="U15" s="343"/>
      <c r="V15" s="344"/>
      <c r="W15" s="346" t="s">
        <v>390</v>
      </c>
      <c r="X15" s="347" t="s">
        <v>390</v>
      </c>
      <c r="Y15" s="347" t="s">
        <v>390</v>
      </c>
      <c r="Z15" s="348" t="s">
        <v>390</v>
      </c>
      <c r="AA15" s="349"/>
      <c r="AB15" s="343" t="s">
        <v>391</v>
      </c>
      <c r="AC15" s="343"/>
      <c r="AD15" s="344"/>
      <c r="AE15" s="342"/>
      <c r="AF15" s="341"/>
    </row>
    <row r="16" spans="1:32">
      <c r="A16" s="307">
        <v>2</v>
      </c>
      <c r="B16" s="342"/>
      <c r="C16" s="342" t="s">
        <v>230</v>
      </c>
      <c r="D16" s="340" t="s">
        <v>468</v>
      </c>
      <c r="E16" s="342" t="s">
        <v>443</v>
      </c>
      <c r="F16" s="345" t="s">
        <v>169</v>
      </c>
      <c r="G16" s="308">
        <v>1</v>
      </c>
      <c r="H16" s="309">
        <v>0</v>
      </c>
      <c r="I16" s="309">
        <v>0</v>
      </c>
      <c r="J16" s="211">
        <v>1</v>
      </c>
      <c r="K16" s="212" t="str">
        <f>IF(OR(J16="",G16=J16),"","*")</f>
        <v/>
      </c>
      <c r="L16" s="338">
        <f>IF($A16&lt;=L$1,I16/I$4,"")</f>
        <v>0</v>
      </c>
      <c r="M16" s="343"/>
      <c r="N16" s="344" t="s">
        <v>469</v>
      </c>
      <c r="O16" s="346" t="s">
        <v>390</v>
      </c>
      <c r="P16" s="347" t="s">
        <v>390</v>
      </c>
      <c r="Q16" s="347" t="s">
        <v>390</v>
      </c>
      <c r="R16" s="348" t="s">
        <v>390</v>
      </c>
      <c r="S16" s="349"/>
      <c r="T16" s="343" t="s">
        <v>391</v>
      </c>
      <c r="U16" s="343"/>
      <c r="V16" s="344"/>
      <c r="W16" s="346" t="s">
        <v>390</v>
      </c>
      <c r="X16" s="347" t="s">
        <v>390</v>
      </c>
      <c r="Y16" s="347" t="s">
        <v>390</v>
      </c>
      <c r="Z16" s="348" t="s">
        <v>390</v>
      </c>
      <c r="AA16" s="349"/>
      <c r="AB16" s="343" t="s">
        <v>391</v>
      </c>
      <c r="AC16" s="343"/>
      <c r="AD16" s="344"/>
      <c r="AE16" s="342"/>
      <c r="AF16" s="341"/>
    </row>
    <row r="17" spans="1:32">
      <c r="A17" s="217"/>
      <c r="B17" s="217"/>
      <c r="C17" s="312"/>
      <c r="D17" s="217"/>
      <c r="E17" s="217"/>
      <c r="F17" s="218"/>
      <c r="G17" s="217"/>
      <c r="H17" s="217"/>
      <c r="I17" s="217"/>
      <c r="J17" s="217"/>
      <c r="K17" s="218"/>
      <c r="L17" s="217"/>
      <c r="M17" s="217"/>
      <c r="N17" s="217"/>
      <c r="O17" s="217"/>
      <c r="P17" s="217"/>
      <c r="Q17" s="217"/>
      <c r="R17" s="217"/>
      <c r="S17" s="218"/>
      <c r="T17" s="217"/>
      <c r="U17" s="217"/>
      <c r="V17" s="217"/>
      <c r="W17" s="217"/>
      <c r="X17" s="217"/>
      <c r="Y17" s="217"/>
      <c r="Z17" s="217"/>
      <c r="AA17" s="218"/>
      <c r="AB17" s="217"/>
      <c r="AC17" s="217"/>
      <c r="AD17" s="217"/>
      <c r="AE17" s="217"/>
      <c r="AF17" s="313"/>
    </row>
  </sheetData>
  <autoFilter ref="A3:AE3" xr:uid="{00000000-0009-0000-0000-00000B000000}"/>
  <mergeCells count="4">
    <mergeCell ref="G2:N2"/>
    <mergeCell ref="O2:V2"/>
    <mergeCell ref="W2:AD2"/>
    <mergeCell ref="AF2:AF3"/>
  </mergeCells>
  <phoneticPr fontId="4"/>
  <conditionalFormatting sqref="A4:AD16 AF4:AF16">
    <cfRule type="expression" dxfId="9" priority="16" stopIfTrue="1">
      <formula>$A4&lt;=1</formula>
    </cfRule>
    <cfRule type="expression" dxfId="8" priority="17" stopIfTrue="1">
      <formula>$A4=2</formula>
    </cfRule>
    <cfRule type="expression" dxfId="7" priority="18" stopIfTrue="1">
      <formula>$A4=3</formula>
    </cfRule>
    <cfRule type="expression" dxfId="6" priority="19" stopIfTrue="1">
      <formula>$A4=4</formula>
    </cfRule>
    <cfRule type="expression" dxfId="5" priority="20" stopIfTrue="1">
      <formula>$A4=5</formula>
    </cfRule>
  </conditionalFormatting>
  <conditionalFormatting sqref="AE4:AE16">
    <cfRule type="expression" dxfId="4" priority="6" stopIfTrue="1">
      <formula>$A4&lt;=1</formula>
    </cfRule>
    <cfRule type="expression" dxfId="3" priority="7" stopIfTrue="1">
      <formula>$A4=2</formula>
    </cfRule>
    <cfRule type="expression" dxfId="2" priority="8" stopIfTrue="1">
      <formula>$A4=3</formula>
    </cfRule>
    <cfRule type="expression" dxfId="1" priority="9" stopIfTrue="1">
      <formula>$A4=4</formula>
    </cfRule>
    <cfRule type="expression" dxfId="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 ページ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K98"/>
  <sheetViews>
    <sheetView zoomScaleNormal="100" zoomScaleSheetLayoutView="85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88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470</v>
      </c>
      <c r="C3" s="146" t="s">
        <v>471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472</v>
      </c>
      <c r="K4" s="69"/>
    </row>
    <row r="5" spans="1:11" ht="18" customHeight="1">
      <c r="A5" s="69"/>
      <c r="B5" s="574" t="s">
        <v>473</v>
      </c>
      <c r="C5" s="575"/>
      <c r="D5" s="153" t="s">
        <v>85</v>
      </c>
      <c r="E5" s="153" t="s">
        <v>474</v>
      </c>
      <c r="F5" s="153" t="s">
        <v>475</v>
      </c>
      <c r="G5" s="153" t="s">
        <v>476</v>
      </c>
      <c r="H5" s="154" t="s">
        <v>477</v>
      </c>
      <c r="I5" s="153" t="s">
        <v>478</v>
      </c>
      <c r="J5" s="155" t="s">
        <v>479</v>
      </c>
      <c r="K5" s="69"/>
    </row>
    <row r="6" spans="1:11" ht="10.5" customHeight="1">
      <c r="A6" s="69"/>
      <c r="B6" s="156" t="s">
        <v>480</v>
      </c>
      <c r="C6" s="157"/>
      <c r="D6" s="576" t="s">
        <v>481</v>
      </c>
      <c r="E6" s="578">
        <v>374</v>
      </c>
      <c r="F6" s="580">
        <v>2200</v>
      </c>
      <c r="G6" s="582">
        <v>822800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482</v>
      </c>
      <c r="J7" s="161"/>
      <c r="K7" s="69" t="s">
        <v>96</v>
      </c>
    </row>
    <row r="8" spans="1:11" ht="10.5" customHeight="1">
      <c r="A8" s="69"/>
      <c r="B8" s="156" t="s">
        <v>483</v>
      </c>
      <c r="C8" s="157"/>
      <c r="D8" s="576" t="s">
        <v>484</v>
      </c>
      <c r="E8" s="578">
        <v>6</v>
      </c>
      <c r="F8" s="580">
        <v>7300</v>
      </c>
      <c r="G8" s="582">
        <v>43800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482</v>
      </c>
      <c r="J9" s="162"/>
      <c r="K9" s="69" t="s">
        <v>96</v>
      </c>
    </row>
    <row r="10" spans="1:11" ht="10.5" customHeight="1">
      <c r="A10" s="69"/>
      <c r="B10" s="156" t="s">
        <v>485</v>
      </c>
      <c r="C10" s="157"/>
      <c r="D10" s="576" t="s">
        <v>486</v>
      </c>
      <c r="E10" s="578">
        <v>1</v>
      </c>
      <c r="F10" s="580">
        <v>10000</v>
      </c>
      <c r="G10" s="582">
        <v>10000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487</v>
      </c>
      <c r="C11" s="160"/>
      <c r="D11" s="577"/>
      <c r="E11" s="579"/>
      <c r="F11" s="581"/>
      <c r="G11" s="583"/>
      <c r="H11" s="356"/>
      <c r="I11" s="356" t="s">
        <v>482</v>
      </c>
      <c r="J11" s="161"/>
      <c r="K11" s="69" t="s">
        <v>96</v>
      </c>
    </row>
    <row r="12" spans="1:11" ht="10.5" customHeight="1">
      <c r="A12" s="69"/>
      <c r="B12" s="156" t="s">
        <v>488</v>
      </c>
      <c r="C12" s="157"/>
      <c r="D12" s="576" t="s">
        <v>489</v>
      </c>
      <c r="E12" s="584">
        <v>67</v>
      </c>
      <c r="F12" s="580">
        <v>13200</v>
      </c>
      <c r="G12" s="582">
        <v>884400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490</v>
      </c>
      <c r="C13" s="160"/>
      <c r="D13" s="577"/>
      <c r="E13" s="585"/>
      <c r="F13" s="581"/>
      <c r="G13" s="583"/>
      <c r="H13" s="356"/>
      <c r="I13" s="356" t="s">
        <v>482</v>
      </c>
      <c r="J13" s="161"/>
      <c r="K13" s="69" t="s">
        <v>96</v>
      </c>
    </row>
    <row r="14" spans="1:11" ht="10.5" customHeight="1">
      <c r="A14" s="69"/>
      <c r="B14" s="156" t="s">
        <v>491</v>
      </c>
      <c r="C14" s="157"/>
      <c r="D14" s="576" t="s">
        <v>492</v>
      </c>
      <c r="E14" s="584">
        <v>1040</v>
      </c>
      <c r="F14" s="580">
        <v>150</v>
      </c>
      <c r="G14" s="582">
        <v>156000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482</v>
      </c>
      <c r="J15" s="161"/>
      <c r="K15" s="69" t="s">
        <v>96</v>
      </c>
    </row>
    <row r="16" spans="1:11" ht="10.5" customHeight="1">
      <c r="A16" s="69"/>
      <c r="B16" s="156" t="s">
        <v>493</v>
      </c>
      <c r="C16" s="157"/>
      <c r="D16" s="576" t="s">
        <v>494</v>
      </c>
      <c r="E16" s="584">
        <v>2</v>
      </c>
      <c r="F16" s="580">
        <v>5400</v>
      </c>
      <c r="G16" s="582">
        <v>10800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495</v>
      </c>
      <c r="C17" s="160"/>
      <c r="D17" s="577"/>
      <c r="E17" s="585"/>
      <c r="F17" s="581"/>
      <c r="G17" s="583"/>
      <c r="H17" s="356"/>
      <c r="I17" s="356" t="s">
        <v>482</v>
      </c>
      <c r="J17" s="161"/>
      <c r="K17" s="69" t="s">
        <v>96</v>
      </c>
    </row>
    <row r="18" spans="1:11" ht="10.5" customHeight="1">
      <c r="A18" s="69"/>
      <c r="B18" s="156" t="s">
        <v>496</v>
      </c>
      <c r="C18" s="157"/>
      <c r="D18" s="576" t="s">
        <v>489</v>
      </c>
      <c r="E18" s="584">
        <v>8</v>
      </c>
      <c r="F18" s="580">
        <v>13200</v>
      </c>
      <c r="G18" s="582">
        <v>105600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497</v>
      </c>
      <c r="C19" s="160"/>
      <c r="D19" s="577"/>
      <c r="E19" s="585"/>
      <c r="F19" s="581"/>
      <c r="G19" s="583"/>
      <c r="H19" s="356"/>
      <c r="I19" s="356" t="s">
        <v>482</v>
      </c>
      <c r="J19" s="161"/>
      <c r="K19" s="69" t="s">
        <v>96</v>
      </c>
    </row>
    <row r="20" spans="1:11" ht="10.5" customHeight="1">
      <c r="A20" s="69"/>
      <c r="B20" s="156" t="s">
        <v>498</v>
      </c>
      <c r="C20" s="157"/>
      <c r="D20" s="576" t="s">
        <v>499</v>
      </c>
      <c r="E20" s="584">
        <v>1</v>
      </c>
      <c r="F20" s="580">
        <v>27200</v>
      </c>
      <c r="G20" s="582">
        <v>27200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482</v>
      </c>
      <c r="J21" s="161"/>
      <c r="K21" s="69" t="s">
        <v>96</v>
      </c>
    </row>
    <row r="22" spans="1:11" ht="10.5" customHeight="1">
      <c r="A22" s="69"/>
      <c r="B22" s="156" t="s">
        <v>498</v>
      </c>
      <c r="C22" s="157"/>
      <c r="D22" s="576" t="s">
        <v>499</v>
      </c>
      <c r="E22" s="584">
        <v>1</v>
      </c>
      <c r="F22" s="580">
        <v>10000</v>
      </c>
      <c r="G22" s="582">
        <v>10000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482</v>
      </c>
      <c r="J23" s="161"/>
      <c r="K23" s="69" t="s">
        <v>96</v>
      </c>
    </row>
    <row r="24" spans="1:11" ht="10.5" customHeight="1">
      <c r="A24" s="69"/>
      <c r="B24" s="156" t="s">
        <v>498</v>
      </c>
      <c r="C24" s="157"/>
      <c r="D24" s="576" t="s">
        <v>499</v>
      </c>
      <c r="E24" s="578">
        <v>1</v>
      </c>
      <c r="F24" s="580">
        <v>9325</v>
      </c>
      <c r="G24" s="582">
        <v>9325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482</v>
      </c>
      <c r="J25" s="161"/>
      <c r="K25" s="69" t="s">
        <v>96</v>
      </c>
    </row>
    <row r="26" spans="1:11" ht="10.5" customHeight="1">
      <c r="A26" s="69"/>
      <c r="B26" s="156" t="s">
        <v>498</v>
      </c>
      <c r="C26" s="157"/>
      <c r="D26" s="576" t="s">
        <v>499</v>
      </c>
      <c r="E26" s="584">
        <v>1</v>
      </c>
      <c r="F26" s="580">
        <v>8795</v>
      </c>
      <c r="G26" s="582">
        <v>8795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482</v>
      </c>
      <c r="J27" s="161"/>
      <c r="K27" s="69" t="s">
        <v>96</v>
      </c>
    </row>
    <row r="28" spans="1:11" ht="10.5" customHeight="1">
      <c r="A28" s="69"/>
      <c r="B28" s="156" t="s">
        <v>498</v>
      </c>
      <c r="C28" s="157"/>
      <c r="D28" s="576" t="s">
        <v>499</v>
      </c>
      <c r="E28" s="584">
        <v>1</v>
      </c>
      <c r="F28" s="580">
        <v>8000</v>
      </c>
      <c r="G28" s="582">
        <v>8000</v>
      </c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 t="s">
        <v>482</v>
      </c>
      <c r="J29" s="161"/>
      <c r="K29" s="69" t="s">
        <v>96</v>
      </c>
    </row>
    <row r="30" spans="1:11" ht="10.5" customHeight="1">
      <c r="A30" s="69"/>
      <c r="B30" s="156" t="s">
        <v>498</v>
      </c>
      <c r="C30" s="157"/>
      <c r="D30" s="576" t="s">
        <v>499</v>
      </c>
      <c r="E30" s="584">
        <v>1</v>
      </c>
      <c r="F30" s="580">
        <v>5700</v>
      </c>
      <c r="G30" s="582">
        <v>5700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 t="s">
        <v>482</v>
      </c>
      <c r="J31" s="161"/>
      <c r="K31" s="69" t="s">
        <v>96</v>
      </c>
    </row>
    <row r="32" spans="1:11" ht="10.5" customHeight="1">
      <c r="A32" s="69"/>
      <c r="B32" s="156" t="s">
        <v>498</v>
      </c>
      <c r="C32" s="157"/>
      <c r="D32" s="576" t="s">
        <v>499</v>
      </c>
      <c r="E32" s="584">
        <v>1</v>
      </c>
      <c r="F32" s="580">
        <v>5000</v>
      </c>
      <c r="G32" s="582">
        <v>5000</v>
      </c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 t="s">
        <v>482</v>
      </c>
      <c r="J33" s="161"/>
      <c r="K33" s="69" t="s">
        <v>96</v>
      </c>
    </row>
    <row r="34" spans="1:11" ht="10.5" customHeight="1">
      <c r="A34" s="69"/>
      <c r="B34" s="156" t="s">
        <v>498</v>
      </c>
      <c r="C34" s="157"/>
      <c r="D34" s="576" t="s">
        <v>499</v>
      </c>
      <c r="E34" s="584">
        <v>1</v>
      </c>
      <c r="F34" s="580">
        <v>4700</v>
      </c>
      <c r="G34" s="582">
        <v>4700</v>
      </c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 t="s">
        <v>482</v>
      </c>
      <c r="J35" s="161"/>
      <c r="K35" s="69" t="s">
        <v>96</v>
      </c>
    </row>
    <row r="36" spans="1:11" ht="10.5" customHeight="1">
      <c r="A36" s="69"/>
      <c r="B36" s="156" t="s">
        <v>498</v>
      </c>
      <c r="C36" s="157"/>
      <c r="D36" s="576" t="s">
        <v>499</v>
      </c>
      <c r="E36" s="584">
        <v>1</v>
      </c>
      <c r="F36" s="580">
        <v>2400</v>
      </c>
      <c r="G36" s="582">
        <v>2400</v>
      </c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 t="s">
        <v>482</v>
      </c>
      <c r="J37" s="161"/>
      <c r="K37" s="69" t="s">
        <v>96</v>
      </c>
    </row>
    <row r="38" spans="1:11" ht="10.5" customHeight="1">
      <c r="A38" s="69"/>
      <c r="B38" s="156" t="s">
        <v>498</v>
      </c>
      <c r="C38" s="157"/>
      <c r="D38" s="576" t="s">
        <v>499</v>
      </c>
      <c r="E38" s="584">
        <v>1</v>
      </c>
      <c r="F38" s="580">
        <v>1559</v>
      </c>
      <c r="G38" s="582">
        <v>1559</v>
      </c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 t="s">
        <v>482</v>
      </c>
      <c r="J39" s="161"/>
      <c r="K39" s="69" t="s">
        <v>96</v>
      </c>
    </row>
    <row r="40" spans="1:11" ht="10.5" customHeight="1">
      <c r="A40" s="69"/>
      <c r="B40" s="156" t="s">
        <v>498</v>
      </c>
      <c r="C40" s="157"/>
      <c r="D40" s="576" t="s">
        <v>499</v>
      </c>
      <c r="E40" s="584">
        <v>1</v>
      </c>
      <c r="F40" s="580">
        <v>1160</v>
      </c>
      <c r="G40" s="582">
        <v>1160</v>
      </c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 t="s">
        <v>482</v>
      </c>
      <c r="J41" s="161"/>
      <c r="K41" s="69" t="s">
        <v>96</v>
      </c>
    </row>
    <row r="42" spans="1:11" ht="10.5" customHeight="1">
      <c r="A42" s="69"/>
      <c r="B42" s="156" t="s">
        <v>498</v>
      </c>
      <c r="C42" s="157"/>
      <c r="D42" s="576" t="s">
        <v>499</v>
      </c>
      <c r="E42" s="584">
        <v>1</v>
      </c>
      <c r="F42" s="580">
        <v>40</v>
      </c>
      <c r="G42" s="582">
        <v>40</v>
      </c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 t="s">
        <v>482</v>
      </c>
      <c r="J43" s="161"/>
      <c r="K43" s="69" t="s">
        <v>96</v>
      </c>
    </row>
    <row r="44" spans="1:11" ht="10.5" customHeight="1">
      <c r="A44" s="69"/>
      <c r="B44" s="156" t="s">
        <v>500</v>
      </c>
      <c r="C44" s="157"/>
      <c r="D44" s="576" t="s">
        <v>489</v>
      </c>
      <c r="E44" s="584">
        <v>0.64</v>
      </c>
      <c r="F44" s="580">
        <v>154500</v>
      </c>
      <c r="G44" s="582">
        <v>98880</v>
      </c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 t="s">
        <v>482</v>
      </c>
      <c r="J45" s="161"/>
      <c r="K45" s="69" t="s">
        <v>96</v>
      </c>
    </row>
    <row r="46" spans="1:11" ht="10.5" customHeight="1">
      <c r="A46" s="69"/>
      <c r="B46" s="156" t="s">
        <v>501</v>
      </c>
      <c r="C46" s="157"/>
      <c r="D46" s="586" t="s">
        <v>489</v>
      </c>
      <c r="E46" s="588">
        <v>20</v>
      </c>
      <c r="F46" s="590">
        <v>1800</v>
      </c>
      <c r="G46" s="592">
        <v>36000</v>
      </c>
      <c r="H46" s="355"/>
      <c r="I46" s="355"/>
      <c r="J46" s="162"/>
      <c r="K46" s="69" t="s">
        <v>96</v>
      </c>
    </row>
    <row r="47" spans="1:11" ht="10.5" customHeight="1" thickBot="1">
      <c r="A47" s="69"/>
      <c r="B47" s="163" t="s">
        <v>502</v>
      </c>
      <c r="C47" s="164"/>
      <c r="D47" s="587"/>
      <c r="E47" s="589"/>
      <c r="F47" s="591"/>
      <c r="G47" s="593"/>
      <c r="H47" s="357"/>
      <c r="I47" s="357" t="s">
        <v>482</v>
      </c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  <row r="50" spans="1:11" ht="26.1" customHeight="1" thickBot="1">
      <c r="B50" s="142"/>
      <c r="C50" s="142"/>
      <c r="D50" s="533" t="s">
        <v>503</v>
      </c>
      <c r="E50" s="533"/>
      <c r="F50" s="533"/>
      <c r="G50" s="533"/>
      <c r="H50" s="69"/>
      <c r="I50" s="69"/>
      <c r="J50" s="69"/>
      <c r="K50" s="69"/>
    </row>
    <row r="51" spans="1:11" ht="13.5" customHeight="1">
      <c r="A51" s="143"/>
      <c r="B51" s="143"/>
      <c r="C51" s="143"/>
      <c r="D51" s="143"/>
      <c r="E51" s="143"/>
      <c r="F51" s="143"/>
      <c r="G51" s="143"/>
      <c r="H51" s="143"/>
      <c r="I51" s="143"/>
      <c r="J51" s="143"/>
      <c r="K51" s="143"/>
    </row>
    <row r="52" spans="1:11" ht="21" customHeight="1">
      <c r="A52" s="144"/>
      <c r="B52" s="145" t="s">
        <v>470</v>
      </c>
      <c r="C52" s="146" t="s">
        <v>471</v>
      </c>
      <c r="D52" s="147"/>
      <c r="E52" s="148"/>
      <c r="F52" s="149"/>
      <c r="G52" s="149"/>
      <c r="H52" s="149"/>
      <c r="I52" s="149"/>
      <c r="J52" s="150"/>
      <c r="K52" s="144"/>
    </row>
    <row r="53" spans="1:11" ht="12.75" customHeight="1" thickBot="1">
      <c r="A53" s="69"/>
      <c r="B53" s="151"/>
      <c r="C53" s="151"/>
      <c r="D53" s="151"/>
      <c r="E53" s="151"/>
      <c r="F53" s="151"/>
      <c r="G53" s="151"/>
      <c r="H53" s="151"/>
      <c r="I53" s="151"/>
      <c r="J53" s="152" t="s">
        <v>472</v>
      </c>
      <c r="K53" s="69"/>
    </row>
    <row r="54" spans="1:11" ht="18" customHeight="1">
      <c r="A54" s="69"/>
      <c r="B54" s="574" t="s">
        <v>473</v>
      </c>
      <c r="C54" s="575"/>
      <c r="D54" s="153" t="s">
        <v>85</v>
      </c>
      <c r="E54" s="153" t="s">
        <v>474</v>
      </c>
      <c r="F54" s="153" t="s">
        <v>475</v>
      </c>
      <c r="G54" s="153" t="s">
        <v>476</v>
      </c>
      <c r="H54" s="154" t="s">
        <v>477</v>
      </c>
      <c r="I54" s="153" t="s">
        <v>478</v>
      </c>
      <c r="J54" s="155" t="s">
        <v>479</v>
      </c>
      <c r="K54" s="69"/>
    </row>
    <row r="55" spans="1:11" ht="10.5" customHeight="1">
      <c r="A55" s="69"/>
      <c r="B55" s="156" t="s">
        <v>504</v>
      </c>
      <c r="C55" s="157"/>
      <c r="D55" s="576" t="s">
        <v>489</v>
      </c>
      <c r="E55" s="578">
        <v>98</v>
      </c>
      <c r="F55" s="580">
        <v>13700</v>
      </c>
      <c r="G55" s="582">
        <v>1342600</v>
      </c>
      <c r="H55" s="355"/>
      <c r="I55" s="355"/>
      <c r="J55" s="158"/>
      <c r="K55" s="69" t="s">
        <v>96</v>
      </c>
    </row>
    <row r="56" spans="1:11" ht="10.5" customHeight="1">
      <c r="A56" s="69"/>
      <c r="B56" s="159" t="s">
        <v>490</v>
      </c>
      <c r="C56" s="160"/>
      <c r="D56" s="577"/>
      <c r="E56" s="579"/>
      <c r="F56" s="581"/>
      <c r="G56" s="583"/>
      <c r="H56" s="356"/>
      <c r="I56" s="356" t="s">
        <v>482</v>
      </c>
      <c r="J56" s="161"/>
      <c r="K56" s="69" t="s">
        <v>96</v>
      </c>
    </row>
    <row r="57" spans="1:11" ht="10.5" customHeight="1">
      <c r="A57" s="69"/>
      <c r="B57" s="156" t="s">
        <v>504</v>
      </c>
      <c r="C57" s="157"/>
      <c r="D57" s="576" t="s">
        <v>489</v>
      </c>
      <c r="E57" s="578">
        <v>8</v>
      </c>
      <c r="F57" s="580">
        <v>13700</v>
      </c>
      <c r="G57" s="582">
        <v>109600</v>
      </c>
      <c r="H57" s="355"/>
      <c r="I57" s="355"/>
      <c r="J57" s="162"/>
      <c r="K57" s="69" t="s">
        <v>96</v>
      </c>
    </row>
    <row r="58" spans="1:11" ht="10.5" customHeight="1">
      <c r="A58" s="69"/>
      <c r="B58" s="159" t="s">
        <v>505</v>
      </c>
      <c r="C58" s="160"/>
      <c r="D58" s="577"/>
      <c r="E58" s="579"/>
      <c r="F58" s="581"/>
      <c r="G58" s="583"/>
      <c r="H58" s="356"/>
      <c r="I58" s="356" t="s">
        <v>482</v>
      </c>
      <c r="J58" s="162"/>
      <c r="K58" s="69" t="s">
        <v>96</v>
      </c>
    </row>
    <row r="59" spans="1:11" ht="10.5" customHeight="1">
      <c r="A59" s="69"/>
      <c r="B59" s="156"/>
      <c r="C59" s="157"/>
      <c r="D59" s="576"/>
      <c r="E59" s="578"/>
      <c r="F59" s="580"/>
      <c r="G59" s="582"/>
      <c r="H59" s="355"/>
      <c r="I59" s="355"/>
      <c r="J59" s="158"/>
      <c r="K59" s="69" t="s">
        <v>96</v>
      </c>
    </row>
    <row r="60" spans="1:11" ht="10.5" customHeight="1">
      <c r="A60" s="69"/>
      <c r="B60" s="159"/>
      <c r="C60" s="160"/>
      <c r="D60" s="577"/>
      <c r="E60" s="579"/>
      <c r="F60" s="581"/>
      <c r="G60" s="583"/>
      <c r="H60" s="356"/>
      <c r="I60" s="356"/>
      <c r="J60" s="161"/>
      <c r="K60" s="69" t="s">
        <v>96</v>
      </c>
    </row>
    <row r="61" spans="1:11" ht="10.5" customHeight="1">
      <c r="A61" s="69"/>
      <c r="B61" s="156" t="s">
        <v>506</v>
      </c>
      <c r="C61" s="157"/>
      <c r="D61" s="576"/>
      <c r="E61" s="584"/>
      <c r="F61" s="580"/>
      <c r="G61" s="582">
        <v>3704359</v>
      </c>
      <c r="H61" s="355"/>
      <c r="I61" s="355"/>
      <c r="J61" s="158"/>
      <c r="K61" s="69" t="s">
        <v>96</v>
      </c>
    </row>
    <row r="62" spans="1:11" ht="10.5" customHeight="1">
      <c r="A62" s="69"/>
      <c r="B62" s="159"/>
      <c r="C62" s="160"/>
      <c r="D62" s="577"/>
      <c r="E62" s="585"/>
      <c r="F62" s="581"/>
      <c r="G62" s="583"/>
      <c r="H62" s="356"/>
      <c r="I62" s="356"/>
      <c r="J62" s="161"/>
      <c r="K62" s="69" t="s">
        <v>96</v>
      </c>
    </row>
    <row r="63" spans="1:11" ht="10.5" customHeight="1">
      <c r="A63" s="69"/>
      <c r="B63" s="156"/>
      <c r="C63" s="157"/>
      <c r="D63" s="576"/>
      <c r="E63" s="584"/>
      <c r="F63" s="580"/>
      <c r="G63" s="582"/>
      <c r="H63" s="355"/>
      <c r="I63" s="355"/>
      <c r="J63" s="158"/>
      <c r="K63" s="69" t="s">
        <v>96</v>
      </c>
    </row>
    <row r="64" spans="1:11" ht="10.5" customHeight="1">
      <c r="A64" s="69"/>
      <c r="B64" s="159"/>
      <c r="C64" s="160"/>
      <c r="D64" s="577"/>
      <c r="E64" s="585"/>
      <c r="F64" s="581"/>
      <c r="G64" s="583"/>
      <c r="H64" s="356"/>
      <c r="I64" s="356"/>
      <c r="J64" s="161"/>
      <c r="K64" s="69" t="s">
        <v>96</v>
      </c>
    </row>
    <row r="65" spans="1:11" ht="10.5" customHeight="1">
      <c r="A65" s="69"/>
      <c r="B65" s="156"/>
      <c r="C65" s="157"/>
      <c r="D65" s="576"/>
      <c r="E65" s="584"/>
      <c r="F65" s="580"/>
      <c r="G65" s="582"/>
      <c r="H65" s="355"/>
      <c r="I65" s="355"/>
      <c r="J65" s="158"/>
      <c r="K65" s="69" t="s">
        <v>96</v>
      </c>
    </row>
    <row r="66" spans="1:11" ht="10.5" customHeight="1">
      <c r="A66" s="69"/>
      <c r="B66" s="159"/>
      <c r="C66" s="160"/>
      <c r="D66" s="577"/>
      <c r="E66" s="585"/>
      <c r="F66" s="581"/>
      <c r="G66" s="583"/>
      <c r="H66" s="356"/>
      <c r="I66" s="356"/>
      <c r="J66" s="161"/>
      <c r="K66" s="69" t="s">
        <v>96</v>
      </c>
    </row>
    <row r="67" spans="1:11" ht="10.5" customHeight="1">
      <c r="A67" s="69"/>
      <c r="B67" s="156"/>
      <c r="C67" s="157"/>
      <c r="D67" s="576"/>
      <c r="E67" s="584"/>
      <c r="F67" s="580"/>
      <c r="G67" s="582"/>
      <c r="H67" s="355"/>
      <c r="I67" s="355"/>
      <c r="J67" s="158"/>
      <c r="K67" s="69" t="s">
        <v>96</v>
      </c>
    </row>
    <row r="68" spans="1:11" ht="10.5" customHeight="1">
      <c r="A68" s="69"/>
      <c r="B68" s="159"/>
      <c r="C68" s="160"/>
      <c r="D68" s="577"/>
      <c r="E68" s="585"/>
      <c r="F68" s="581"/>
      <c r="G68" s="583"/>
      <c r="H68" s="356"/>
      <c r="I68" s="356"/>
      <c r="J68" s="161"/>
      <c r="K68" s="69" t="s">
        <v>96</v>
      </c>
    </row>
    <row r="69" spans="1:11" ht="10.5" customHeight="1">
      <c r="A69" s="69"/>
      <c r="B69" s="156"/>
      <c r="C69" s="157"/>
      <c r="D69" s="576"/>
      <c r="E69" s="584"/>
      <c r="F69" s="580"/>
      <c r="G69" s="582"/>
      <c r="H69" s="355"/>
      <c r="I69" s="355"/>
      <c r="J69" s="158"/>
      <c r="K69" s="69" t="s">
        <v>96</v>
      </c>
    </row>
    <row r="70" spans="1:11" ht="10.5" customHeight="1">
      <c r="A70" s="69"/>
      <c r="B70" s="159"/>
      <c r="C70" s="160"/>
      <c r="D70" s="577"/>
      <c r="E70" s="585"/>
      <c r="F70" s="581"/>
      <c r="G70" s="583"/>
      <c r="H70" s="356"/>
      <c r="I70" s="356"/>
      <c r="J70" s="161"/>
      <c r="K70" s="69" t="s">
        <v>96</v>
      </c>
    </row>
    <row r="71" spans="1:11" ht="10.5" customHeight="1">
      <c r="A71" s="69"/>
      <c r="B71" s="156"/>
      <c r="C71" s="157"/>
      <c r="D71" s="576"/>
      <c r="E71" s="584"/>
      <c r="F71" s="580"/>
      <c r="G71" s="582"/>
      <c r="H71" s="355"/>
      <c r="I71" s="355"/>
      <c r="J71" s="158"/>
      <c r="K71" s="69" t="s">
        <v>96</v>
      </c>
    </row>
    <row r="72" spans="1:11" ht="10.5" customHeight="1">
      <c r="A72" s="69"/>
      <c r="B72" s="159"/>
      <c r="C72" s="160"/>
      <c r="D72" s="577"/>
      <c r="E72" s="585"/>
      <c r="F72" s="581"/>
      <c r="G72" s="583"/>
      <c r="H72" s="356"/>
      <c r="I72" s="356"/>
      <c r="J72" s="161"/>
      <c r="K72" s="69" t="s">
        <v>96</v>
      </c>
    </row>
    <row r="73" spans="1:11" ht="10.5" customHeight="1">
      <c r="A73" s="69"/>
      <c r="B73" s="156"/>
      <c r="C73" s="157"/>
      <c r="D73" s="576"/>
      <c r="E73" s="578"/>
      <c r="F73" s="580"/>
      <c r="G73" s="582"/>
      <c r="H73" s="355"/>
      <c r="I73" s="355"/>
      <c r="J73" s="158"/>
      <c r="K73" s="69" t="s">
        <v>96</v>
      </c>
    </row>
    <row r="74" spans="1:11" ht="10.5" customHeight="1">
      <c r="A74" s="69"/>
      <c r="B74" s="159"/>
      <c r="C74" s="160"/>
      <c r="D74" s="577"/>
      <c r="E74" s="579"/>
      <c r="F74" s="581"/>
      <c r="G74" s="583"/>
      <c r="H74" s="356"/>
      <c r="I74" s="356"/>
      <c r="J74" s="161"/>
      <c r="K74" s="69" t="s">
        <v>96</v>
      </c>
    </row>
    <row r="75" spans="1:11" ht="10.5" customHeight="1">
      <c r="A75" s="69"/>
      <c r="B75" s="156"/>
      <c r="C75" s="157"/>
      <c r="D75" s="576"/>
      <c r="E75" s="584"/>
      <c r="F75" s="580"/>
      <c r="G75" s="582"/>
      <c r="H75" s="355"/>
      <c r="I75" s="355"/>
      <c r="J75" s="158"/>
      <c r="K75" s="69" t="s">
        <v>96</v>
      </c>
    </row>
    <row r="76" spans="1:11" ht="10.5" customHeight="1">
      <c r="A76" s="69"/>
      <c r="B76" s="159"/>
      <c r="C76" s="160"/>
      <c r="D76" s="577"/>
      <c r="E76" s="585"/>
      <c r="F76" s="581"/>
      <c r="G76" s="583"/>
      <c r="H76" s="356"/>
      <c r="I76" s="356"/>
      <c r="J76" s="161"/>
      <c r="K76" s="69" t="s">
        <v>96</v>
      </c>
    </row>
    <row r="77" spans="1:11" ht="10.5" customHeight="1">
      <c r="A77" s="69"/>
      <c r="B77" s="156"/>
      <c r="C77" s="157"/>
      <c r="D77" s="576"/>
      <c r="E77" s="584"/>
      <c r="F77" s="580"/>
      <c r="G77" s="582"/>
      <c r="H77" s="355"/>
      <c r="I77" s="355"/>
      <c r="J77" s="158"/>
      <c r="K77" s="69" t="s">
        <v>96</v>
      </c>
    </row>
    <row r="78" spans="1:11" ht="10.5" customHeight="1">
      <c r="A78" s="69"/>
      <c r="B78" s="159"/>
      <c r="C78" s="160"/>
      <c r="D78" s="577"/>
      <c r="E78" s="585"/>
      <c r="F78" s="581"/>
      <c r="G78" s="583"/>
      <c r="H78" s="356"/>
      <c r="I78" s="356"/>
      <c r="J78" s="161"/>
      <c r="K78" s="69" t="s">
        <v>96</v>
      </c>
    </row>
    <row r="79" spans="1:11" ht="10.5" customHeight="1">
      <c r="A79" s="69"/>
      <c r="B79" s="156"/>
      <c r="C79" s="157"/>
      <c r="D79" s="576"/>
      <c r="E79" s="584"/>
      <c r="F79" s="580"/>
      <c r="G79" s="582"/>
      <c r="H79" s="355"/>
      <c r="I79" s="355"/>
      <c r="J79" s="158"/>
      <c r="K79" s="69" t="s">
        <v>96</v>
      </c>
    </row>
    <row r="80" spans="1:11" ht="10.5" customHeight="1">
      <c r="A80" s="69"/>
      <c r="B80" s="159"/>
      <c r="C80" s="160"/>
      <c r="D80" s="577"/>
      <c r="E80" s="585"/>
      <c r="F80" s="581"/>
      <c r="G80" s="583"/>
      <c r="H80" s="356"/>
      <c r="I80" s="356"/>
      <c r="J80" s="161"/>
      <c r="K80" s="69" t="s">
        <v>96</v>
      </c>
    </row>
    <row r="81" spans="1:11" ht="10.5" customHeight="1">
      <c r="A81" s="69"/>
      <c r="B81" s="156"/>
      <c r="C81" s="157"/>
      <c r="D81" s="576"/>
      <c r="E81" s="584"/>
      <c r="F81" s="580"/>
      <c r="G81" s="582"/>
      <c r="H81" s="355"/>
      <c r="I81" s="355"/>
      <c r="J81" s="158"/>
      <c r="K81" s="69" t="s">
        <v>96</v>
      </c>
    </row>
    <row r="82" spans="1:11" ht="10.5" customHeight="1">
      <c r="A82" s="69"/>
      <c r="B82" s="159"/>
      <c r="C82" s="160"/>
      <c r="D82" s="577"/>
      <c r="E82" s="585"/>
      <c r="F82" s="581"/>
      <c r="G82" s="583"/>
      <c r="H82" s="356"/>
      <c r="I82" s="356"/>
      <c r="J82" s="161"/>
      <c r="K82" s="69" t="s">
        <v>96</v>
      </c>
    </row>
    <row r="83" spans="1:11" ht="10.5" customHeight="1">
      <c r="A83" s="69"/>
      <c r="B83" s="156"/>
      <c r="C83" s="157"/>
      <c r="D83" s="576"/>
      <c r="E83" s="584"/>
      <c r="F83" s="580"/>
      <c r="G83" s="582"/>
      <c r="H83" s="355"/>
      <c r="I83" s="355"/>
      <c r="J83" s="158"/>
      <c r="K83" s="69" t="s">
        <v>96</v>
      </c>
    </row>
    <row r="84" spans="1:11" ht="10.5" customHeight="1">
      <c r="A84" s="69"/>
      <c r="B84" s="159"/>
      <c r="C84" s="160"/>
      <c r="D84" s="577"/>
      <c r="E84" s="585"/>
      <c r="F84" s="581"/>
      <c r="G84" s="583"/>
      <c r="H84" s="356"/>
      <c r="I84" s="356"/>
      <c r="J84" s="161"/>
      <c r="K84" s="69" t="s">
        <v>96</v>
      </c>
    </row>
    <row r="85" spans="1:11" ht="10.5" customHeight="1">
      <c r="A85" s="69"/>
      <c r="B85" s="156"/>
      <c r="C85" s="157"/>
      <c r="D85" s="576"/>
      <c r="E85" s="584"/>
      <c r="F85" s="580"/>
      <c r="G85" s="582"/>
      <c r="H85" s="355"/>
      <c r="I85" s="355"/>
      <c r="J85" s="158"/>
      <c r="K85" s="69" t="s">
        <v>96</v>
      </c>
    </row>
    <row r="86" spans="1:11" ht="10.5" customHeight="1">
      <c r="A86" s="69"/>
      <c r="B86" s="159"/>
      <c r="C86" s="160"/>
      <c r="D86" s="577"/>
      <c r="E86" s="585"/>
      <c r="F86" s="581"/>
      <c r="G86" s="583"/>
      <c r="H86" s="356"/>
      <c r="I86" s="356"/>
      <c r="J86" s="161"/>
      <c r="K86" s="69" t="s">
        <v>96</v>
      </c>
    </row>
    <row r="87" spans="1:11" ht="10.5" customHeight="1">
      <c r="A87" s="69"/>
      <c r="B87" s="156"/>
      <c r="C87" s="157"/>
      <c r="D87" s="576"/>
      <c r="E87" s="584"/>
      <c r="F87" s="580"/>
      <c r="G87" s="582"/>
      <c r="H87" s="355"/>
      <c r="I87" s="355"/>
      <c r="J87" s="158"/>
      <c r="K87" s="69" t="s">
        <v>96</v>
      </c>
    </row>
    <row r="88" spans="1:11" ht="10.5" customHeight="1">
      <c r="A88" s="69"/>
      <c r="B88" s="159"/>
      <c r="C88" s="160"/>
      <c r="D88" s="577"/>
      <c r="E88" s="585"/>
      <c r="F88" s="581"/>
      <c r="G88" s="583"/>
      <c r="H88" s="356"/>
      <c r="I88" s="356"/>
      <c r="J88" s="161"/>
      <c r="K88" s="69" t="s">
        <v>96</v>
      </c>
    </row>
    <row r="89" spans="1:11" ht="10.5" customHeight="1">
      <c r="A89" s="69"/>
      <c r="B89" s="156"/>
      <c r="C89" s="157"/>
      <c r="D89" s="576"/>
      <c r="E89" s="584"/>
      <c r="F89" s="580"/>
      <c r="G89" s="582"/>
      <c r="H89" s="355"/>
      <c r="I89" s="355"/>
      <c r="J89" s="158"/>
      <c r="K89" s="69" t="s">
        <v>96</v>
      </c>
    </row>
    <row r="90" spans="1:11" ht="10.5" customHeight="1">
      <c r="A90" s="69"/>
      <c r="B90" s="159"/>
      <c r="C90" s="160"/>
      <c r="D90" s="577"/>
      <c r="E90" s="585"/>
      <c r="F90" s="581"/>
      <c r="G90" s="583"/>
      <c r="H90" s="356"/>
      <c r="I90" s="356"/>
      <c r="J90" s="161"/>
      <c r="K90" s="69" t="s">
        <v>96</v>
      </c>
    </row>
    <row r="91" spans="1:11" ht="10.5" customHeight="1">
      <c r="A91" s="69"/>
      <c r="B91" s="156"/>
      <c r="C91" s="157"/>
      <c r="D91" s="576"/>
      <c r="E91" s="584"/>
      <c r="F91" s="580"/>
      <c r="G91" s="582"/>
      <c r="H91" s="355"/>
      <c r="I91" s="355"/>
      <c r="J91" s="158"/>
      <c r="K91" s="69" t="s">
        <v>96</v>
      </c>
    </row>
    <row r="92" spans="1:11" ht="10.5" customHeight="1">
      <c r="A92" s="69"/>
      <c r="B92" s="159"/>
      <c r="C92" s="160"/>
      <c r="D92" s="577"/>
      <c r="E92" s="585"/>
      <c r="F92" s="581"/>
      <c r="G92" s="583"/>
      <c r="H92" s="356"/>
      <c r="I92" s="356"/>
      <c r="J92" s="161"/>
      <c r="K92" s="69" t="s">
        <v>96</v>
      </c>
    </row>
    <row r="93" spans="1:11" ht="10.5" customHeight="1">
      <c r="A93" s="69"/>
      <c r="B93" s="156"/>
      <c r="C93" s="157"/>
      <c r="D93" s="576"/>
      <c r="E93" s="584"/>
      <c r="F93" s="580"/>
      <c r="G93" s="582"/>
      <c r="H93" s="355"/>
      <c r="I93" s="355"/>
      <c r="J93" s="158"/>
      <c r="K93" s="69" t="s">
        <v>96</v>
      </c>
    </row>
    <row r="94" spans="1:11" ht="10.5" customHeight="1">
      <c r="A94" s="69"/>
      <c r="B94" s="159"/>
      <c r="C94" s="160"/>
      <c r="D94" s="577"/>
      <c r="E94" s="585"/>
      <c r="F94" s="581"/>
      <c r="G94" s="583"/>
      <c r="H94" s="356"/>
      <c r="I94" s="356"/>
      <c r="J94" s="161"/>
      <c r="K94" s="69" t="s">
        <v>96</v>
      </c>
    </row>
    <row r="95" spans="1:11" ht="10.5" customHeight="1">
      <c r="A95" s="69"/>
      <c r="B95" s="156"/>
      <c r="C95" s="157"/>
      <c r="D95" s="586"/>
      <c r="E95" s="588"/>
      <c r="F95" s="590"/>
      <c r="G95" s="592"/>
      <c r="H95" s="355"/>
      <c r="I95" s="355"/>
      <c r="J95" s="162"/>
      <c r="K95" s="69" t="s">
        <v>96</v>
      </c>
    </row>
    <row r="96" spans="1:11" ht="10.5" customHeight="1" thickBot="1">
      <c r="A96" s="69"/>
      <c r="B96" s="163"/>
      <c r="C96" s="164"/>
      <c r="D96" s="587"/>
      <c r="E96" s="589"/>
      <c r="F96" s="591"/>
      <c r="G96" s="593"/>
      <c r="H96" s="357"/>
      <c r="I96" s="357"/>
      <c r="J96" s="165"/>
      <c r="K96" s="69" t="s">
        <v>96</v>
      </c>
    </row>
    <row r="97" spans="1:11" s="103" customFormat="1" ht="18" customHeight="1">
      <c r="A97" s="101"/>
      <c r="B97" s="166"/>
      <c r="C97" s="101"/>
      <c r="D97" s="101"/>
      <c r="E97" s="101"/>
      <c r="F97" s="101"/>
      <c r="G97" s="101"/>
      <c r="H97" s="101"/>
      <c r="I97" s="115"/>
      <c r="J97" s="115"/>
      <c r="K97" s="101"/>
    </row>
    <row r="98" spans="1:11" s="103" customFormat="1" ht="13.5" customHeight="1">
      <c r="A98" s="101"/>
      <c r="B98" s="166"/>
      <c r="C98" s="101"/>
      <c r="D98" s="101"/>
      <c r="E98" s="101"/>
      <c r="F98" s="101"/>
      <c r="G98" s="101"/>
      <c r="H98" s="101"/>
      <c r="I98" s="115"/>
      <c r="J98" s="115"/>
      <c r="K98" s="101"/>
    </row>
  </sheetData>
  <mergeCells count="172">
    <mergeCell ref="D93:D94"/>
    <mergeCell ref="E93:E94"/>
    <mergeCell ref="F93:F94"/>
    <mergeCell ref="G93:G94"/>
    <mergeCell ref="D95:D96"/>
    <mergeCell ref="E95:E96"/>
    <mergeCell ref="F95:F96"/>
    <mergeCell ref="G95:G96"/>
    <mergeCell ref="D89:D90"/>
    <mergeCell ref="E89:E90"/>
    <mergeCell ref="F89:F90"/>
    <mergeCell ref="G89:G90"/>
    <mergeCell ref="D91:D92"/>
    <mergeCell ref="E91:E92"/>
    <mergeCell ref="F91:F92"/>
    <mergeCell ref="G91:G92"/>
    <mergeCell ref="D85:D86"/>
    <mergeCell ref="E85:E86"/>
    <mergeCell ref="F85:F86"/>
    <mergeCell ref="G85:G86"/>
    <mergeCell ref="D87:D88"/>
    <mergeCell ref="E87:E88"/>
    <mergeCell ref="F87:F88"/>
    <mergeCell ref="G87:G88"/>
    <mergeCell ref="D81:D82"/>
    <mergeCell ref="E81:E82"/>
    <mergeCell ref="F81:F82"/>
    <mergeCell ref="G81:G82"/>
    <mergeCell ref="D83:D84"/>
    <mergeCell ref="E83:E84"/>
    <mergeCell ref="F83:F84"/>
    <mergeCell ref="G83:G84"/>
    <mergeCell ref="D77:D78"/>
    <mergeCell ref="E77:E78"/>
    <mergeCell ref="F77:F78"/>
    <mergeCell ref="G77:G78"/>
    <mergeCell ref="D79:D80"/>
    <mergeCell ref="E79:E80"/>
    <mergeCell ref="F79:F80"/>
    <mergeCell ref="G79:G80"/>
    <mergeCell ref="D73:D74"/>
    <mergeCell ref="E73:E74"/>
    <mergeCell ref="F73:F74"/>
    <mergeCell ref="G73:G74"/>
    <mergeCell ref="D75:D76"/>
    <mergeCell ref="E75:E76"/>
    <mergeCell ref="F75:F76"/>
    <mergeCell ref="G75:G76"/>
    <mergeCell ref="D69:D70"/>
    <mergeCell ref="E69:E70"/>
    <mergeCell ref="F69:F70"/>
    <mergeCell ref="G69:G70"/>
    <mergeCell ref="D71:D72"/>
    <mergeCell ref="E71:E72"/>
    <mergeCell ref="F71:F72"/>
    <mergeCell ref="G71:G72"/>
    <mergeCell ref="D65:D66"/>
    <mergeCell ref="E65:E66"/>
    <mergeCell ref="F65:F66"/>
    <mergeCell ref="G65:G66"/>
    <mergeCell ref="D67:D68"/>
    <mergeCell ref="E67:E68"/>
    <mergeCell ref="F67:F68"/>
    <mergeCell ref="G67:G68"/>
    <mergeCell ref="D61:D62"/>
    <mergeCell ref="E61:E62"/>
    <mergeCell ref="F61:F62"/>
    <mergeCell ref="G61:G62"/>
    <mergeCell ref="D63:D64"/>
    <mergeCell ref="E63:E64"/>
    <mergeCell ref="F63:F64"/>
    <mergeCell ref="G63:G64"/>
    <mergeCell ref="D57:D58"/>
    <mergeCell ref="E57:E58"/>
    <mergeCell ref="F57:F58"/>
    <mergeCell ref="G57:G58"/>
    <mergeCell ref="D59:D60"/>
    <mergeCell ref="E59:E60"/>
    <mergeCell ref="F59:F60"/>
    <mergeCell ref="G59:G60"/>
    <mergeCell ref="D50:G50"/>
    <mergeCell ref="B54:C54"/>
    <mergeCell ref="D55:D56"/>
    <mergeCell ref="E55:E56"/>
    <mergeCell ref="F55:F56"/>
    <mergeCell ref="G55:G56"/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K49"/>
  <sheetViews>
    <sheetView zoomScaleNormal="100" zoomScaleSheetLayoutView="85" zoomScalePageLayoutView="7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106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470</v>
      </c>
      <c r="C3" s="146" t="s">
        <v>471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472</v>
      </c>
      <c r="K4" s="69"/>
    </row>
    <row r="5" spans="1:11" ht="18" customHeight="1">
      <c r="A5" s="69"/>
      <c r="B5" s="574" t="s">
        <v>473</v>
      </c>
      <c r="C5" s="575"/>
      <c r="D5" s="153" t="s">
        <v>85</v>
      </c>
      <c r="E5" s="153" t="s">
        <v>474</v>
      </c>
      <c r="F5" s="153" t="s">
        <v>475</v>
      </c>
      <c r="G5" s="153" t="s">
        <v>476</v>
      </c>
      <c r="H5" s="154" t="s">
        <v>477</v>
      </c>
      <c r="I5" s="153" t="s">
        <v>478</v>
      </c>
      <c r="J5" s="155" t="s">
        <v>479</v>
      </c>
      <c r="K5" s="69"/>
    </row>
    <row r="6" spans="1:11" ht="10.5" customHeight="1">
      <c r="A6" s="69"/>
      <c r="B6" s="156" t="s">
        <v>507</v>
      </c>
      <c r="C6" s="157"/>
      <c r="D6" s="576" t="s">
        <v>508</v>
      </c>
      <c r="E6" s="578">
        <v>4</v>
      </c>
      <c r="F6" s="580">
        <v>21000</v>
      </c>
      <c r="G6" s="582">
        <v>84000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509</v>
      </c>
      <c r="J7" s="161"/>
      <c r="K7" s="69" t="s">
        <v>96</v>
      </c>
    </row>
    <row r="8" spans="1:11" ht="10.5" customHeight="1">
      <c r="A8" s="69"/>
      <c r="B8" s="156" t="s">
        <v>510</v>
      </c>
      <c r="C8" s="157"/>
      <c r="D8" s="576" t="s">
        <v>508</v>
      </c>
      <c r="E8" s="578">
        <v>55</v>
      </c>
      <c r="F8" s="580">
        <v>26000</v>
      </c>
      <c r="G8" s="582">
        <v>1430000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511</v>
      </c>
      <c r="C9" s="160"/>
      <c r="D9" s="577"/>
      <c r="E9" s="579"/>
      <c r="F9" s="581"/>
      <c r="G9" s="583"/>
      <c r="H9" s="356"/>
      <c r="I9" s="356" t="s">
        <v>509</v>
      </c>
      <c r="J9" s="162"/>
      <c r="K9" s="69" t="s">
        <v>96</v>
      </c>
    </row>
    <row r="10" spans="1:11" ht="10.5" customHeight="1">
      <c r="A10" s="69"/>
      <c r="B10" s="156"/>
      <c r="C10" s="157"/>
      <c r="D10" s="576"/>
      <c r="E10" s="578"/>
      <c r="F10" s="580"/>
      <c r="G10" s="582"/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/>
      <c r="J11" s="161"/>
      <c r="K11" s="69" t="s">
        <v>96</v>
      </c>
    </row>
    <row r="12" spans="1:11" ht="10.5" customHeight="1">
      <c r="A12" s="69"/>
      <c r="B12" s="156" t="s">
        <v>506</v>
      </c>
      <c r="C12" s="157"/>
      <c r="D12" s="576"/>
      <c r="E12" s="584"/>
      <c r="F12" s="580"/>
      <c r="G12" s="582">
        <v>1514000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/>
      <c r="J13" s="161"/>
      <c r="K13" s="69" t="s">
        <v>96</v>
      </c>
    </row>
    <row r="14" spans="1:11" ht="10.5" customHeight="1">
      <c r="A14" s="69"/>
      <c r="B14" s="156"/>
      <c r="C14" s="157"/>
      <c r="D14" s="576"/>
      <c r="E14" s="584"/>
      <c r="F14" s="580"/>
      <c r="G14" s="582"/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107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470</v>
      </c>
      <c r="C3" s="146" t="s">
        <v>471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472</v>
      </c>
      <c r="K4" s="69"/>
    </row>
    <row r="5" spans="1:11" ht="18" customHeight="1">
      <c r="A5" s="69"/>
      <c r="B5" s="574" t="s">
        <v>473</v>
      </c>
      <c r="C5" s="575"/>
      <c r="D5" s="153" t="s">
        <v>85</v>
      </c>
      <c r="E5" s="153" t="s">
        <v>474</v>
      </c>
      <c r="F5" s="153" t="s">
        <v>475</v>
      </c>
      <c r="G5" s="153" t="s">
        <v>476</v>
      </c>
      <c r="H5" s="154" t="s">
        <v>477</v>
      </c>
      <c r="I5" s="153" t="s">
        <v>478</v>
      </c>
      <c r="J5" s="155" t="s">
        <v>479</v>
      </c>
      <c r="K5" s="69"/>
    </row>
    <row r="6" spans="1:11" ht="10.5" customHeight="1">
      <c r="A6" s="69"/>
      <c r="B6" s="156" t="s">
        <v>512</v>
      </c>
      <c r="C6" s="157"/>
      <c r="D6" s="576" t="s">
        <v>499</v>
      </c>
      <c r="E6" s="578">
        <v>1</v>
      </c>
      <c r="F6" s="580">
        <v>20000</v>
      </c>
      <c r="G6" s="582">
        <v>20000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513</v>
      </c>
      <c r="C7" s="160"/>
      <c r="D7" s="577"/>
      <c r="E7" s="579"/>
      <c r="F7" s="581"/>
      <c r="G7" s="583"/>
      <c r="H7" s="356"/>
      <c r="I7" s="356" t="s">
        <v>514</v>
      </c>
      <c r="J7" s="161"/>
      <c r="K7" s="69" t="s">
        <v>96</v>
      </c>
    </row>
    <row r="8" spans="1:11" ht="10.5" customHeight="1">
      <c r="A8" s="69"/>
      <c r="B8" s="156" t="s">
        <v>515</v>
      </c>
      <c r="C8" s="157"/>
      <c r="D8" s="576" t="s">
        <v>499</v>
      </c>
      <c r="E8" s="578">
        <v>1</v>
      </c>
      <c r="F8" s="580">
        <v>10000</v>
      </c>
      <c r="G8" s="582">
        <v>10000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514</v>
      </c>
      <c r="J9" s="162"/>
      <c r="K9" s="69" t="s">
        <v>96</v>
      </c>
    </row>
    <row r="10" spans="1:11" ht="10.5" customHeight="1">
      <c r="A10" s="69"/>
      <c r="B10" s="156" t="s">
        <v>516</v>
      </c>
      <c r="C10" s="157"/>
      <c r="D10" s="576" t="s">
        <v>499</v>
      </c>
      <c r="E10" s="578">
        <v>1</v>
      </c>
      <c r="F10" s="580">
        <v>12000</v>
      </c>
      <c r="G10" s="582">
        <v>12000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513</v>
      </c>
      <c r="C11" s="160"/>
      <c r="D11" s="577"/>
      <c r="E11" s="579"/>
      <c r="F11" s="581"/>
      <c r="G11" s="583"/>
      <c r="H11" s="356"/>
      <c r="I11" s="356" t="s">
        <v>514</v>
      </c>
      <c r="J11" s="161"/>
      <c r="K11" s="69" t="s">
        <v>96</v>
      </c>
    </row>
    <row r="12" spans="1:11" ht="10.5" customHeight="1">
      <c r="A12" s="69"/>
      <c r="B12" s="156" t="s">
        <v>517</v>
      </c>
      <c r="C12" s="157"/>
      <c r="D12" s="576" t="s">
        <v>499</v>
      </c>
      <c r="E12" s="584">
        <v>1</v>
      </c>
      <c r="F12" s="580">
        <v>420000</v>
      </c>
      <c r="G12" s="582">
        <v>420000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514</v>
      </c>
      <c r="J13" s="161"/>
      <c r="K13" s="69" t="s">
        <v>96</v>
      </c>
    </row>
    <row r="14" spans="1:11" ht="10.5" customHeight="1">
      <c r="A14" s="69"/>
      <c r="B14" s="156" t="s">
        <v>518</v>
      </c>
      <c r="C14" s="157"/>
      <c r="D14" s="576" t="s">
        <v>484</v>
      </c>
      <c r="E14" s="584">
        <v>83</v>
      </c>
      <c r="F14" s="580">
        <v>280</v>
      </c>
      <c r="G14" s="582">
        <v>23240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519</v>
      </c>
      <c r="C15" s="160"/>
      <c r="D15" s="577"/>
      <c r="E15" s="585"/>
      <c r="F15" s="581"/>
      <c r="G15" s="583"/>
      <c r="H15" s="356"/>
      <c r="I15" s="356" t="s">
        <v>514</v>
      </c>
      <c r="J15" s="161"/>
      <c r="K15" s="69" t="s">
        <v>96</v>
      </c>
    </row>
    <row r="16" spans="1:11" ht="10.5" customHeight="1">
      <c r="A16" s="69"/>
      <c r="B16" s="156" t="s">
        <v>518</v>
      </c>
      <c r="C16" s="157"/>
      <c r="D16" s="576" t="s">
        <v>484</v>
      </c>
      <c r="E16" s="584">
        <v>199</v>
      </c>
      <c r="F16" s="580">
        <v>780</v>
      </c>
      <c r="G16" s="582">
        <v>155220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520</v>
      </c>
      <c r="C17" s="160"/>
      <c r="D17" s="577"/>
      <c r="E17" s="585"/>
      <c r="F17" s="581"/>
      <c r="G17" s="583"/>
      <c r="H17" s="356"/>
      <c r="I17" s="356" t="s">
        <v>514</v>
      </c>
      <c r="J17" s="161"/>
      <c r="K17" s="69" t="s">
        <v>96</v>
      </c>
    </row>
    <row r="18" spans="1:11" ht="10.5" customHeight="1">
      <c r="A18" s="69"/>
      <c r="B18" s="156" t="s">
        <v>521</v>
      </c>
      <c r="C18" s="157"/>
      <c r="D18" s="576" t="s">
        <v>499</v>
      </c>
      <c r="E18" s="584">
        <v>1</v>
      </c>
      <c r="F18" s="580">
        <v>50000</v>
      </c>
      <c r="G18" s="582">
        <v>50000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514</v>
      </c>
      <c r="J19" s="161"/>
      <c r="K19" s="69" t="s">
        <v>96</v>
      </c>
    </row>
    <row r="20" spans="1:11" ht="10.5" customHeight="1">
      <c r="A20" s="69"/>
      <c r="B20" s="156" t="s">
        <v>522</v>
      </c>
      <c r="C20" s="157"/>
      <c r="D20" s="576" t="s">
        <v>499</v>
      </c>
      <c r="E20" s="584">
        <v>1</v>
      </c>
      <c r="F20" s="580">
        <v>30000</v>
      </c>
      <c r="G20" s="582">
        <v>30000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514</v>
      </c>
      <c r="J21" s="161"/>
      <c r="K21" s="69" t="s">
        <v>96</v>
      </c>
    </row>
    <row r="22" spans="1:11" ht="10.5" customHeight="1">
      <c r="A22" s="69"/>
      <c r="B22" s="156" t="s">
        <v>523</v>
      </c>
      <c r="C22" s="157"/>
      <c r="D22" s="576" t="s">
        <v>499</v>
      </c>
      <c r="E22" s="584">
        <v>1</v>
      </c>
      <c r="F22" s="580">
        <v>13000</v>
      </c>
      <c r="G22" s="582">
        <v>13000</v>
      </c>
      <c r="H22" s="355"/>
      <c r="I22" s="355"/>
      <c r="J22" s="158"/>
      <c r="K22" s="69" t="s">
        <v>96</v>
      </c>
    </row>
    <row r="23" spans="1:11" ht="10.5" customHeight="1">
      <c r="A23" s="69"/>
      <c r="B23" s="159" t="s">
        <v>513</v>
      </c>
      <c r="C23" s="160"/>
      <c r="D23" s="577"/>
      <c r="E23" s="585"/>
      <c r="F23" s="581"/>
      <c r="G23" s="583"/>
      <c r="H23" s="356"/>
      <c r="I23" s="356" t="s">
        <v>514</v>
      </c>
      <c r="J23" s="161"/>
      <c r="K23" s="69" t="s">
        <v>96</v>
      </c>
    </row>
    <row r="24" spans="1:11" ht="10.5" customHeight="1">
      <c r="A24" s="69"/>
      <c r="B24" s="156" t="s">
        <v>524</v>
      </c>
      <c r="C24" s="157"/>
      <c r="D24" s="576" t="s">
        <v>499</v>
      </c>
      <c r="E24" s="578">
        <v>1</v>
      </c>
      <c r="F24" s="580">
        <v>230000</v>
      </c>
      <c r="G24" s="582">
        <v>230000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514</v>
      </c>
      <c r="J25" s="161"/>
      <c r="K25" s="69" t="s">
        <v>96</v>
      </c>
    </row>
    <row r="26" spans="1:11" ht="10.5" customHeight="1">
      <c r="A26" s="69"/>
      <c r="B26" s="156" t="s">
        <v>525</v>
      </c>
      <c r="C26" s="157"/>
      <c r="D26" s="576" t="s">
        <v>484</v>
      </c>
      <c r="E26" s="584">
        <v>62</v>
      </c>
      <c r="F26" s="580">
        <v>590</v>
      </c>
      <c r="G26" s="582">
        <v>36580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514</v>
      </c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 t="s">
        <v>506</v>
      </c>
      <c r="C30" s="157"/>
      <c r="D30" s="576"/>
      <c r="E30" s="584"/>
      <c r="F30" s="580"/>
      <c r="G30" s="582">
        <v>1000040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470</v>
      </c>
      <c r="C3" s="146" t="s">
        <v>471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472</v>
      </c>
      <c r="K4" s="69"/>
    </row>
    <row r="5" spans="1:11" ht="18" customHeight="1">
      <c r="A5" s="69"/>
      <c r="B5" s="574" t="s">
        <v>473</v>
      </c>
      <c r="C5" s="575"/>
      <c r="D5" s="153" t="s">
        <v>85</v>
      </c>
      <c r="E5" s="153" t="s">
        <v>474</v>
      </c>
      <c r="F5" s="153" t="s">
        <v>475</v>
      </c>
      <c r="G5" s="153" t="s">
        <v>476</v>
      </c>
      <c r="H5" s="154" t="s">
        <v>477</v>
      </c>
      <c r="I5" s="153" t="s">
        <v>478</v>
      </c>
      <c r="J5" s="155" t="s">
        <v>479</v>
      </c>
      <c r="K5" s="69"/>
    </row>
    <row r="6" spans="1:11" ht="10.5" customHeight="1">
      <c r="A6" s="69"/>
      <c r="B6" s="156" t="s">
        <v>526</v>
      </c>
      <c r="C6" s="157"/>
      <c r="D6" s="576" t="s">
        <v>527</v>
      </c>
      <c r="E6" s="578">
        <v>3</v>
      </c>
      <c r="F6" s="580">
        <v>111000</v>
      </c>
      <c r="G6" s="582">
        <v>333000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528</v>
      </c>
      <c r="C7" s="160"/>
      <c r="D7" s="577"/>
      <c r="E7" s="579"/>
      <c r="F7" s="581"/>
      <c r="G7" s="583"/>
      <c r="H7" s="356"/>
      <c r="I7" s="356" t="s">
        <v>529</v>
      </c>
      <c r="J7" s="161"/>
      <c r="K7" s="69" t="s">
        <v>96</v>
      </c>
    </row>
    <row r="8" spans="1:11" ht="10.5" customHeight="1">
      <c r="A8" s="69"/>
      <c r="B8" s="156" t="s">
        <v>530</v>
      </c>
      <c r="C8" s="157"/>
      <c r="D8" s="576" t="s">
        <v>527</v>
      </c>
      <c r="E8" s="578">
        <v>4</v>
      </c>
      <c r="F8" s="580">
        <v>15000</v>
      </c>
      <c r="G8" s="582">
        <v>60000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531</v>
      </c>
      <c r="C9" s="160"/>
      <c r="D9" s="577"/>
      <c r="E9" s="579"/>
      <c r="F9" s="581"/>
      <c r="G9" s="583"/>
      <c r="H9" s="356"/>
      <c r="I9" s="356" t="s">
        <v>529</v>
      </c>
      <c r="J9" s="162"/>
      <c r="K9" s="69" t="s">
        <v>96</v>
      </c>
    </row>
    <row r="10" spans="1:11" ht="10.5" customHeight="1">
      <c r="A10" s="69"/>
      <c r="B10" s="156" t="s">
        <v>532</v>
      </c>
      <c r="C10" s="157"/>
      <c r="D10" s="576" t="s">
        <v>527</v>
      </c>
      <c r="E10" s="578">
        <v>1</v>
      </c>
      <c r="F10" s="580">
        <v>90000</v>
      </c>
      <c r="G10" s="582">
        <v>90000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533</v>
      </c>
      <c r="C11" s="160"/>
      <c r="D11" s="577"/>
      <c r="E11" s="579"/>
      <c r="F11" s="581"/>
      <c r="G11" s="583"/>
      <c r="H11" s="356"/>
      <c r="I11" s="356" t="s">
        <v>529</v>
      </c>
      <c r="J11" s="161"/>
      <c r="K11" s="69" t="s">
        <v>96</v>
      </c>
    </row>
    <row r="12" spans="1:11" ht="10.5" customHeight="1">
      <c r="A12" s="69"/>
      <c r="B12" s="156" t="s">
        <v>534</v>
      </c>
      <c r="C12" s="157"/>
      <c r="D12" s="576" t="s">
        <v>527</v>
      </c>
      <c r="E12" s="584">
        <v>4</v>
      </c>
      <c r="F12" s="580">
        <v>4300</v>
      </c>
      <c r="G12" s="582">
        <v>17200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529</v>
      </c>
      <c r="J13" s="161"/>
      <c r="K13" s="69" t="s">
        <v>96</v>
      </c>
    </row>
    <row r="14" spans="1:11" ht="10.5" customHeight="1">
      <c r="A14" s="69"/>
      <c r="B14" s="156" t="s">
        <v>534</v>
      </c>
      <c r="C14" s="157"/>
      <c r="D14" s="576" t="s">
        <v>527</v>
      </c>
      <c r="E14" s="584">
        <v>3</v>
      </c>
      <c r="F14" s="580">
        <v>15000</v>
      </c>
      <c r="G14" s="582">
        <v>45000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535</v>
      </c>
      <c r="C15" s="160"/>
      <c r="D15" s="577"/>
      <c r="E15" s="585"/>
      <c r="F15" s="581"/>
      <c r="G15" s="583"/>
      <c r="H15" s="356"/>
      <c r="I15" s="356" t="s">
        <v>529</v>
      </c>
      <c r="J15" s="161"/>
      <c r="K15" s="69" t="s">
        <v>96</v>
      </c>
    </row>
    <row r="16" spans="1:11" ht="10.5" customHeight="1">
      <c r="A16" s="69"/>
      <c r="B16" s="156" t="s">
        <v>536</v>
      </c>
      <c r="C16" s="157"/>
      <c r="D16" s="576" t="s">
        <v>527</v>
      </c>
      <c r="E16" s="584">
        <v>3</v>
      </c>
      <c r="F16" s="580">
        <v>5500</v>
      </c>
      <c r="G16" s="582">
        <v>16500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537</v>
      </c>
      <c r="C17" s="160"/>
      <c r="D17" s="577"/>
      <c r="E17" s="585"/>
      <c r="F17" s="581"/>
      <c r="G17" s="583"/>
      <c r="H17" s="356"/>
      <c r="I17" s="356" t="s">
        <v>529</v>
      </c>
      <c r="J17" s="161"/>
      <c r="K17" s="69" t="s">
        <v>96</v>
      </c>
    </row>
    <row r="18" spans="1:11" ht="10.5" customHeight="1">
      <c r="A18" s="69"/>
      <c r="B18" s="156" t="s">
        <v>538</v>
      </c>
      <c r="C18" s="157"/>
      <c r="D18" s="576" t="s">
        <v>527</v>
      </c>
      <c r="E18" s="584">
        <v>2</v>
      </c>
      <c r="F18" s="580">
        <v>4000</v>
      </c>
      <c r="G18" s="582">
        <v>8000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539</v>
      </c>
      <c r="C19" s="160"/>
      <c r="D19" s="577"/>
      <c r="E19" s="585"/>
      <c r="F19" s="581"/>
      <c r="G19" s="583"/>
      <c r="H19" s="356"/>
      <c r="I19" s="356" t="s">
        <v>529</v>
      </c>
      <c r="J19" s="161"/>
      <c r="K19" s="69" t="s">
        <v>96</v>
      </c>
    </row>
    <row r="20" spans="1:11" ht="10.5" customHeight="1">
      <c r="A20" s="69"/>
      <c r="B20" s="156" t="s">
        <v>540</v>
      </c>
      <c r="C20" s="157"/>
      <c r="D20" s="576" t="s">
        <v>527</v>
      </c>
      <c r="E20" s="584">
        <v>3</v>
      </c>
      <c r="F20" s="580">
        <v>55000</v>
      </c>
      <c r="G20" s="582">
        <v>165000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529</v>
      </c>
      <c r="J21" s="161"/>
      <c r="K21" s="69" t="s">
        <v>96</v>
      </c>
    </row>
    <row r="22" spans="1:11" ht="10.5" customHeight="1">
      <c r="A22" s="69"/>
      <c r="B22" s="156" t="s">
        <v>541</v>
      </c>
      <c r="C22" s="157"/>
      <c r="D22" s="576" t="s">
        <v>527</v>
      </c>
      <c r="E22" s="584">
        <v>48</v>
      </c>
      <c r="F22" s="580">
        <v>3500</v>
      </c>
      <c r="G22" s="582">
        <v>168000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529</v>
      </c>
      <c r="J23" s="161"/>
      <c r="K23" s="69" t="s">
        <v>96</v>
      </c>
    </row>
    <row r="24" spans="1:11" ht="10.5" customHeight="1">
      <c r="A24" s="69"/>
      <c r="B24" s="156" t="s">
        <v>542</v>
      </c>
      <c r="C24" s="157"/>
      <c r="D24" s="576" t="s">
        <v>527</v>
      </c>
      <c r="E24" s="578">
        <v>3</v>
      </c>
      <c r="F24" s="580">
        <v>5500</v>
      </c>
      <c r="G24" s="582">
        <v>16500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529</v>
      </c>
      <c r="J25" s="161"/>
      <c r="K25" s="69" t="s">
        <v>96</v>
      </c>
    </row>
    <row r="26" spans="1:11" ht="10.5" customHeight="1">
      <c r="A26" s="69"/>
      <c r="B26" s="156" t="s">
        <v>543</v>
      </c>
      <c r="C26" s="157"/>
      <c r="D26" s="576" t="s">
        <v>527</v>
      </c>
      <c r="E26" s="584">
        <v>1</v>
      </c>
      <c r="F26" s="580">
        <v>180000</v>
      </c>
      <c r="G26" s="582">
        <v>180000</v>
      </c>
      <c r="H26" s="355"/>
      <c r="I26" s="355"/>
      <c r="J26" s="158"/>
      <c r="K26" s="69" t="s">
        <v>96</v>
      </c>
    </row>
    <row r="27" spans="1:11" ht="10.5" customHeight="1">
      <c r="A27" s="69"/>
      <c r="B27" s="159" t="s">
        <v>544</v>
      </c>
      <c r="C27" s="160"/>
      <c r="D27" s="577"/>
      <c r="E27" s="585"/>
      <c r="F27" s="581"/>
      <c r="G27" s="583"/>
      <c r="H27" s="356"/>
      <c r="I27" s="356" t="s">
        <v>529</v>
      </c>
      <c r="J27" s="161"/>
      <c r="K27" s="69" t="s">
        <v>96</v>
      </c>
    </row>
    <row r="28" spans="1:11" ht="10.5" customHeight="1">
      <c r="A28" s="69"/>
      <c r="B28" s="156" t="s">
        <v>543</v>
      </c>
      <c r="C28" s="157"/>
      <c r="D28" s="576" t="s">
        <v>527</v>
      </c>
      <c r="E28" s="584">
        <v>1</v>
      </c>
      <c r="F28" s="580">
        <v>120000</v>
      </c>
      <c r="G28" s="582">
        <v>120000</v>
      </c>
      <c r="H28" s="355"/>
      <c r="I28" s="355"/>
      <c r="J28" s="158"/>
      <c r="K28" s="69" t="s">
        <v>96</v>
      </c>
    </row>
    <row r="29" spans="1:11" ht="10.5" customHeight="1">
      <c r="A29" s="69"/>
      <c r="B29" s="159" t="s">
        <v>545</v>
      </c>
      <c r="C29" s="160"/>
      <c r="D29" s="577"/>
      <c r="E29" s="585"/>
      <c r="F29" s="581"/>
      <c r="G29" s="583"/>
      <c r="H29" s="356"/>
      <c r="I29" s="356" t="s">
        <v>529</v>
      </c>
      <c r="J29" s="161"/>
      <c r="K29" s="69" t="s">
        <v>96</v>
      </c>
    </row>
    <row r="30" spans="1:11" ht="10.5" customHeight="1">
      <c r="A30" s="69"/>
      <c r="B30" s="156" t="s">
        <v>546</v>
      </c>
      <c r="C30" s="157"/>
      <c r="D30" s="576" t="s">
        <v>527</v>
      </c>
      <c r="E30" s="584">
        <v>5</v>
      </c>
      <c r="F30" s="580">
        <v>3000</v>
      </c>
      <c r="G30" s="582">
        <v>15000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 t="s">
        <v>529</v>
      </c>
      <c r="J31" s="161"/>
      <c r="K31" s="69" t="s">
        <v>96</v>
      </c>
    </row>
    <row r="32" spans="1:11" ht="10.5" customHeight="1">
      <c r="A32" s="69"/>
      <c r="B32" s="156" t="s">
        <v>547</v>
      </c>
      <c r="C32" s="157"/>
      <c r="D32" s="576" t="s">
        <v>527</v>
      </c>
      <c r="E32" s="584">
        <v>1</v>
      </c>
      <c r="F32" s="580">
        <v>25000</v>
      </c>
      <c r="G32" s="582">
        <v>25000</v>
      </c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 t="s">
        <v>529</v>
      </c>
      <c r="J33" s="161"/>
      <c r="K33" s="69" t="s">
        <v>96</v>
      </c>
    </row>
    <row r="34" spans="1:11" ht="10.5" customHeight="1">
      <c r="A34" s="69"/>
      <c r="B34" s="156" t="s">
        <v>548</v>
      </c>
      <c r="C34" s="157"/>
      <c r="D34" s="576" t="s">
        <v>527</v>
      </c>
      <c r="E34" s="584">
        <v>1</v>
      </c>
      <c r="F34" s="580">
        <v>300000</v>
      </c>
      <c r="G34" s="582">
        <v>300000</v>
      </c>
      <c r="H34" s="355"/>
      <c r="I34" s="355"/>
      <c r="J34" s="158"/>
      <c r="K34" s="69" t="s">
        <v>96</v>
      </c>
    </row>
    <row r="35" spans="1:11" ht="10.5" customHeight="1">
      <c r="A35" s="69"/>
      <c r="B35" s="159" t="s">
        <v>549</v>
      </c>
      <c r="C35" s="160"/>
      <c r="D35" s="577"/>
      <c r="E35" s="585"/>
      <c r="F35" s="581"/>
      <c r="G35" s="583"/>
      <c r="H35" s="356"/>
      <c r="I35" s="356" t="s">
        <v>529</v>
      </c>
      <c r="J35" s="161"/>
      <c r="K35" s="69" t="s">
        <v>96</v>
      </c>
    </row>
    <row r="36" spans="1:11" ht="10.5" customHeight="1">
      <c r="A36" s="69"/>
      <c r="B36" s="156" t="s">
        <v>550</v>
      </c>
      <c r="C36" s="157"/>
      <c r="D36" s="576" t="s">
        <v>527</v>
      </c>
      <c r="E36" s="584">
        <v>2</v>
      </c>
      <c r="F36" s="580">
        <v>100000</v>
      </c>
      <c r="G36" s="582">
        <v>200000</v>
      </c>
      <c r="H36" s="355"/>
      <c r="I36" s="355"/>
      <c r="J36" s="158"/>
      <c r="K36" s="69" t="s">
        <v>96</v>
      </c>
    </row>
    <row r="37" spans="1:11" ht="10.5" customHeight="1">
      <c r="A37" s="69"/>
      <c r="B37" s="159" t="s">
        <v>551</v>
      </c>
      <c r="C37" s="160"/>
      <c r="D37" s="577"/>
      <c r="E37" s="585"/>
      <c r="F37" s="581"/>
      <c r="G37" s="583"/>
      <c r="H37" s="356"/>
      <c r="I37" s="356" t="s">
        <v>529</v>
      </c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 t="s">
        <v>506</v>
      </c>
      <c r="C40" s="157"/>
      <c r="D40" s="576"/>
      <c r="E40" s="584"/>
      <c r="F40" s="580"/>
      <c r="G40" s="582">
        <v>1759200</v>
      </c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109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470</v>
      </c>
      <c r="C3" s="146" t="s">
        <v>471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472</v>
      </c>
      <c r="K4" s="69"/>
    </row>
    <row r="5" spans="1:11" ht="18" customHeight="1">
      <c r="A5" s="69"/>
      <c r="B5" s="574" t="s">
        <v>473</v>
      </c>
      <c r="C5" s="575"/>
      <c r="D5" s="153" t="s">
        <v>85</v>
      </c>
      <c r="E5" s="153" t="s">
        <v>474</v>
      </c>
      <c r="F5" s="153" t="s">
        <v>475</v>
      </c>
      <c r="G5" s="153" t="s">
        <v>476</v>
      </c>
      <c r="H5" s="154" t="s">
        <v>477</v>
      </c>
      <c r="I5" s="153" t="s">
        <v>478</v>
      </c>
      <c r="J5" s="155" t="s">
        <v>479</v>
      </c>
      <c r="K5" s="69"/>
    </row>
    <row r="6" spans="1:11" ht="10.5" customHeight="1">
      <c r="A6" s="69"/>
      <c r="B6" s="156" t="s">
        <v>552</v>
      </c>
      <c r="C6" s="157"/>
      <c r="D6" s="576" t="s">
        <v>527</v>
      </c>
      <c r="E6" s="578">
        <v>10</v>
      </c>
      <c r="F6" s="580">
        <v>5000</v>
      </c>
      <c r="G6" s="582">
        <v>50000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553</v>
      </c>
      <c r="J7" s="161"/>
      <c r="K7" s="69" t="s">
        <v>96</v>
      </c>
    </row>
    <row r="8" spans="1:11" ht="10.5" customHeight="1">
      <c r="A8" s="69"/>
      <c r="B8" s="156" t="s">
        <v>554</v>
      </c>
      <c r="C8" s="157"/>
      <c r="D8" s="576" t="s">
        <v>486</v>
      </c>
      <c r="E8" s="578">
        <v>2</v>
      </c>
      <c r="F8" s="580">
        <v>30000</v>
      </c>
      <c r="G8" s="582">
        <v>60000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555</v>
      </c>
      <c r="C9" s="160"/>
      <c r="D9" s="577"/>
      <c r="E9" s="579"/>
      <c r="F9" s="581"/>
      <c r="G9" s="583"/>
      <c r="H9" s="356"/>
      <c r="I9" s="356" t="s">
        <v>553</v>
      </c>
      <c r="J9" s="162"/>
      <c r="K9" s="69" t="s">
        <v>96</v>
      </c>
    </row>
    <row r="10" spans="1:11" ht="10.5" customHeight="1">
      <c r="A10" s="69"/>
      <c r="B10" s="156" t="s">
        <v>556</v>
      </c>
      <c r="C10" s="157"/>
      <c r="D10" s="576" t="s">
        <v>489</v>
      </c>
      <c r="E10" s="578">
        <v>106</v>
      </c>
      <c r="F10" s="580">
        <v>500</v>
      </c>
      <c r="G10" s="582">
        <v>53000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553</v>
      </c>
      <c r="J11" s="161"/>
      <c r="K11" s="69" t="s">
        <v>96</v>
      </c>
    </row>
    <row r="12" spans="1:11" ht="10.5" customHeight="1">
      <c r="A12" s="69"/>
      <c r="B12" s="156" t="s">
        <v>557</v>
      </c>
      <c r="C12" s="157"/>
      <c r="D12" s="576" t="s">
        <v>489</v>
      </c>
      <c r="E12" s="584">
        <v>73</v>
      </c>
      <c r="F12" s="580">
        <v>1000</v>
      </c>
      <c r="G12" s="582">
        <v>73000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553</v>
      </c>
      <c r="J13" s="161"/>
      <c r="K13" s="69" t="s">
        <v>96</v>
      </c>
    </row>
    <row r="14" spans="1:11" ht="10.5" customHeight="1">
      <c r="A14" s="69"/>
      <c r="B14" s="156" t="s">
        <v>558</v>
      </c>
      <c r="C14" s="157"/>
      <c r="D14" s="576" t="s">
        <v>527</v>
      </c>
      <c r="E14" s="584">
        <v>6</v>
      </c>
      <c r="F14" s="580">
        <v>43000</v>
      </c>
      <c r="G14" s="582">
        <v>258000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559</v>
      </c>
      <c r="C15" s="160"/>
      <c r="D15" s="577"/>
      <c r="E15" s="585"/>
      <c r="F15" s="581"/>
      <c r="G15" s="583"/>
      <c r="H15" s="356"/>
      <c r="I15" s="356" t="s">
        <v>553</v>
      </c>
      <c r="J15" s="161"/>
      <c r="K15" s="69" t="s">
        <v>96</v>
      </c>
    </row>
    <row r="16" spans="1:11" ht="10.5" customHeight="1">
      <c r="A16" s="69"/>
      <c r="B16" s="156" t="s">
        <v>560</v>
      </c>
      <c r="C16" s="157"/>
      <c r="D16" s="576" t="s">
        <v>527</v>
      </c>
      <c r="E16" s="584">
        <v>3</v>
      </c>
      <c r="F16" s="580">
        <v>14000</v>
      </c>
      <c r="G16" s="582">
        <v>42000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561</v>
      </c>
      <c r="C17" s="160"/>
      <c r="D17" s="577"/>
      <c r="E17" s="585"/>
      <c r="F17" s="581"/>
      <c r="G17" s="583"/>
      <c r="H17" s="356"/>
      <c r="I17" s="356" t="s">
        <v>553</v>
      </c>
      <c r="J17" s="161"/>
      <c r="K17" s="69" t="s">
        <v>96</v>
      </c>
    </row>
    <row r="18" spans="1:11" ht="10.5" customHeight="1">
      <c r="A18" s="69"/>
      <c r="B18" s="156" t="s">
        <v>562</v>
      </c>
      <c r="C18" s="157"/>
      <c r="D18" s="576" t="s">
        <v>486</v>
      </c>
      <c r="E18" s="584">
        <v>8</v>
      </c>
      <c r="F18" s="580">
        <v>10000</v>
      </c>
      <c r="G18" s="582">
        <v>80000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563</v>
      </c>
      <c r="C19" s="160"/>
      <c r="D19" s="577"/>
      <c r="E19" s="585"/>
      <c r="F19" s="581"/>
      <c r="G19" s="583"/>
      <c r="H19" s="356"/>
      <c r="I19" s="356" t="s">
        <v>553</v>
      </c>
      <c r="J19" s="161"/>
      <c r="K19" s="69" t="s">
        <v>96</v>
      </c>
    </row>
    <row r="20" spans="1:11" ht="10.5" customHeight="1">
      <c r="A20" s="69"/>
      <c r="B20" s="156" t="s">
        <v>564</v>
      </c>
      <c r="C20" s="157"/>
      <c r="D20" s="576" t="s">
        <v>486</v>
      </c>
      <c r="E20" s="584">
        <v>4</v>
      </c>
      <c r="F20" s="580">
        <v>18000</v>
      </c>
      <c r="G20" s="582">
        <v>72000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565</v>
      </c>
      <c r="C21" s="160"/>
      <c r="D21" s="577"/>
      <c r="E21" s="585"/>
      <c r="F21" s="581"/>
      <c r="G21" s="583"/>
      <c r="H21" s="356"/>
      <c r="I21" s="356" t="s">
        <v>553</v>
      </c>
      <c r="J21" s="161"/>
      <c r="K21" s="69" t="s">
        <v>96</v>
      </c>
    </row>
    <row r="22" spans="1:11" ht="10.5" customHeight="1">
      <c r="A22" s="69"/>
      <c r="B22" s="156" t="s">
        <v>566</v>
      </c>
      <c r="C22" s="157"/>
      <c r="D22" s="576" t="s">
        <v>486</v>
      </c>
      <c r="E22" s="584">
        <v>2</v>
      </c>
      <c r="F22" s="580">
        <v>24000</v>
      </c>
      <c r="G22" s="582">
        <v>48000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553</v>
      </c>
      <c r="J23" s="161"/>
      <c r="K23" s="69" t="s">
        <v>96</v>
      </c>
    </row>
    <row r="24" spans="1:11" ht="10.5" customHeight="1">
      <c r="A24" s="69"/>
      <c r="B24" s="156" t="s">
        <v>567</v>
      </c>
      <c r="C24" s="157"/>
      <c r="D24" s="576" t="s">
        <v>486</v>
      </c>
      <c r="E24" s="578">
        <v>2</v>
      </c>
      <c r="F24" s="580">
        <v>60000</v>
      </c>
      <c r="G24" s="582">
        <v>120000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553</v>
      </c>
      <c r="J25" s="161"/>
      <c r="K25" s="69" t="s">
        <v>96</v>
      </c>
    </row>
    <row r="26" spans="1:11" ht="10.5" customHeight="1">
      <c r="A26" s="69"/>
      <c r="B26" s="156" t="s">
        <v>568</v>
      </c>
      <c r="C26" s="157"/>
      <c r="D26" s="576" t="s">
        <v>527</v>
      </c>
      <c r="E26" s="584">
        <v>12</v>
      </c>
      <c r="F26" s="580">
        <v>4000</v>
      </c>
      <c r="G26" s="582">
        <v>48000</v>
      </c>
      <c r="H26" s="355"/>
      <c r="I26" s="355"/>
      <c r="J26" s="158"/>
      <c r="K26" s="69" t="s">
        <v>96</v>
      </c>
    </row>
    <row r="27" spans="1:11" ht="10.5" customHeight="1">
      <c r="A27" s="69"/>
      <c r="B27" s="159" t="s">
        <v>569</v>
      </c>
      <c r="C27" s="160"/>
      <c r="D27" s="577"/>
      <c r="E27" s="585"/>
      <c r="F27" s="581"/>
      <c r="G27" s="583"/>
      <c r="H27" s="356"/>
      <c r="I27" s="356" t="s">
        <v>553</v>
      </c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 t="s">
        <v>506</v>
      </c>
      <c r="C30" s="157"/>
      <c r="D30" s="576"/>
      <c r="E30" s="584"/>
      <c r="F30" s="580"/>
      <c r="G30" s="582">
        <v>904000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9</vt:i4>
      </vt:variant>
    </vt:vector>
  </HeadingPairs>
  <TitlesOfParts>
    <vt:vector size="26" baseType="lpstr">
      <vt:lpstr>実行予算書鑑</vt:lpstr>
      <vt:lpstr>工事工程表</vt:lpstr>
      <vt:lpstr>工事概要</vt:lpstr>
      <vt:lpstr>工事総括表</vt:lpstr>
      <vt:lpstr>工事総括表2</vt:lpstr>
      <vt:lpstr>本工事内訳書(直接工事費)</vt:lpstr>
      <vt:lpstr>工事費一覧表(直接工事費)</vt:lpstr>
      <vt:lpstr>間接費一覧</vt:lpstr>
      <vt:lpstr>共通仮設費総括表</vt:lpstr>
      <vt:lpstr>工事費一覧表(共通仮設費)</vt:lpstr>
      <vt:lpstr>現場経費総括表</vt:lpstr>
      <vt:lpstr>工事費一覧表(現場経費)</vt:lpstr>
      <vt:lpstr>調書(材料費)</vt:lpstr>
      <vt:lpstr>調書(労務費)</vt:lpstr>
      <vt:lpstr>調書(外注費)</vt:lpstr>
      <vt:lpstr>調書(機械費)</vt:lpstr>
      <vt:lpstr>調書(運搬費)</vt:lpstr>
      <vt:lpstr>工事概要!Print_Area</vt:lpstr>
      <vt:lpstr>工事総括表!Print_Area</vt:lpstr>
      <vt:lpstr>'工事費一覧表(共通仮設費)'!Print_Area</vt:lpstr>
      <vt:lpstr>'工事費一覧表(現場経費)'!Print_Area</vt:lpstr>
      <vt:lpstr>'工事費一覧表(直接工事費)'!Print_Area</vt:lpstr>
      <vt:lpstr>実行予算書鑑!Print_Area</vt:lpstr>
      <vt:lpstr>'工事費一覧表(共通仮設費)'!Print_Titles</vt:lpstr>
      <vt:lpstr>'工事費一覧表(現場経費)'!Print_Titles</vt:lpstr>
      <vt:lpstr>'工事費一覧表(直接工事費)'!Print_Titles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2022-05-27T06:34:00Z</dcterms:created>
  <dcterms:modified xsi:type="dcterms:W3CDTF">2025-12-12T05:37:43Z</dcterms:modified>
  <cp:category/>
  <cp:contentStatus/>
</cp:coreProperties>
</file>