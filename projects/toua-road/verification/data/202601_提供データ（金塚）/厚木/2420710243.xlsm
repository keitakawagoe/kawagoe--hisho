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filterPrivacy="1" showInkAnnotation="0" updateLinks="never" codeName="ThisWorkbook"/>
  <xr:revisionPtr revIDLastSave="0" documentId="8_{B7B750F0-3344-48A4-814E-78D116B7E711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'工事費一覧表(共通仮設費)'!$A$1:$AF$23</definedName>
    <definedName name="_xlnm.Print_Area" localSheetId="11">'工事費一覧表(現場経費)'!$A$1:$AF$15</definedName>
    <definedName name="_xlnm.Print_Area" localSheetId="6">'工事費一覧表(直接工事費)'!$A$1:$AF$117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17" i="32"/>
  <c r="L17" i="32"/>
  <c r="K18" i="32"/>
  <c r="L18" i="32"/>
  <c r="K19" i="32"/>
  <c r="L19" i="32"/>
  <c r="K20" i="32"/>
  <c r="L20" i="32"/>
  <c r="K21" i="32"/>
  <c r="L21" i="32"/>
  <c r="K22" i="32"/>
  <c r="L22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K93" i="29"/>
  <c r="L93" i="29"/>
  <c r="K94" i="29"/>
  <c r="L94" i="29"/>
  <c r="K95" i="29"/>
  <c r="L95" i="29"/>
  <c r="K96" i="29"/>
  <c r="L96" i="29"/>
  <c r="K97" i="29"/>
  <c r="L97" i="29"/>
  <c r="K98" i="29"/>
  <c r="L98" i="29"/>
  <c r="K99" i="29"/>
  <c r="L99" i="29"/>
  <c r="K100" i="29"/>
  <c r="L100" i="29"/>
  <c r="K101" i="29"/>
  <c r="L101" i="29"/>
  <c r="K102" i="29"/>
  <c r="L102" i="29"/>
  <c r="K103" i="29"/>
  <c r="L103" i="29"/>
  <c r="K104" i="29"/>
  <c r="L104" i="29"/>
  <c r="K105" i="29"/>
  <c r="L105" i="29"/>
  <c r="K106" i="29"/>
  <c r="L106" i="29"/>
  <c r="K107" i="29"/>
  <c r="L107" i="29"/>
  <c r="K108" i="29"/>
  <c r="L108" i="29"/>
  <c r="K109" i="29"/>
  <c r="L109" i="29"/>
  <c r="K110" i="29"/>
  <c r="L110" i="29"/>
  <c r="K111" i="29"/>
  <c r="L111" i="29"/>
  <c r="K112" i="29"/>
  <c r="L112" i="29"/>
  <c r="K113" i="29"/>
  <c r="L113" i="29"/>
  <c r="K114" i="29"/>
  <c r="L114" i="29"/>
  <c r="K115" i="29"/>
  <c r="L115" i="29"/>
  <c r="K116" i="29"/>
  <c r="L116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 s="1"/>
  <c r="D11" i="25"/>
  <c r="O26" i="25" l="1"/>
  <c r="O21" i="25" s="1"/>
  <c r="O22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<sst xmlns="http://schemas.openxmlformats.org/spreadsheetml/2006/main" count="2156" uniqueCount="517">
  <si>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</si>
  <si>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</si>
  <si>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</si>
  <si>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</si>
  <si>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</si>
  <si>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</si>
  <si>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</si>
  <si>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</si>
  <si>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</si>
  <si>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</si>
  <si>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</si>
  <si>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</si>
  <si>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</si>
  <si>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</si>
  <si>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</si>
  <si>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</si>
  <si>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</si>
  <si>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</si>
  <si>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</si>
  <si>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</si>
  <si>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</si>
  <si>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</si>
  <si>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</si>
  <si>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</si>
  <si>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</si>
  <si>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</si>
  <si>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</si>
  <si>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</si>
  <si>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</si>
  <si>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</si>
  <si>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</si>
  <si>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</si>
  <si>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</si>
  <si>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</si>
  <si>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</si>
  <si>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</si>
  <si>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</si>
  <si>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</si>
  <si>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</si>
  <si>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</si>
  <si>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</si>
  <si>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</si>
  <si>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</si>
  <si>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</si>
  <si>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</si>
  <si>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</si>
  <si>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</si>
  <si>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</si>
  <si>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</si>
  <si>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</si>
  <si>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</si>
  <si>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</si>
  <si>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</si>
  <si>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</si>
  <si>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</si>
  <si>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</si>
  <si>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</si>
  <si>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</si>
  <si>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</si>
  <si>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</si>
  <si>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</si>
  <si>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</si>
  <si>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</si>
  <si>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</si>
  <si>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</si>
  <si>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</si>
  <si>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</si>
  <si>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</si>
  <si>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</si>
  <si>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</si>
  <si>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</si>
  <si>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</si>
  <si>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</si>
  <si>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</si>
  <si>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</si>
  <si>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</si>
  <si>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</si>
  <si>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</si>
  <si>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</si>
  <si>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</si>
  <si>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</si>
  <si>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</si>
  <si>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</si>
  <si>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</si>
  <si>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</si>
  <si>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</si>
  <si>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</si>
  <si>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</si>
  <si>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</si>
  <si>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</si>
  <si>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</si>
  <si>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</si>
  <si>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</si>
  <si>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</si>
  <si>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</si>
  <si>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</si>
  <si>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</si>
  <si>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</si>
  <si>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</si>
  <si>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</si>
  <si>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</si>
  <si>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</si>
  <si>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</si>
  <si>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</si>
  <si>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</si>
  <si>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</si>
  <si>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</si>
  <si>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</si>
  <si>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</si>
  <si>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</si>
  <si>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</si>
  <si>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</si>
  <si>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</si>
  <si>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</si>
  <si>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</si>
  <si>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</si>
  <si>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</si>
  <si>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</si>
  <si>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</si>
  <si>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</si>
  <si>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</si>
  <si>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</si>
  <si>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</si>
  <si>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</si>
  <si>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</si>
  <si>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</si>
  <si>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</si>
  <si>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</si>
  <si>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</si>
  <si>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</si>
  <si>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</si>
  <si>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</si>
  <si>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</si>
  <si>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</si>
  <si>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</si>
  <si>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</si>
  <si>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</si>
  <si>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</si>
  <si>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</si>
  <si>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</si>
  <si>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</si>
  <si>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</si>
  <si>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</si>
  <si>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</si>
  <si>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2420710243 F</t>
  </si>
  <si>
    <t>（当　初）</t>
  </si>
  <si>
    <t>山田紀浩</t>
  </si>
  <si>
    <t>24-0243  ★二級河川不動川　河川改修（国府橋架替）工事（その2）</t>
  </si>
  <si>
    <t>株式会社　柏木組土木</t>
  </si>
  <si>
    <t>横浜支店</t>
  </si>
  <si>
    <t>神奈川県中郡大磯町月京地先</t>
  </si>
  <si>
    <t>2025年3月5日</t>
  </si>
  <si>
    <t>2025年3月31日</t>
  </si>
  <si>
    <t>2025年3月7日</t>
  </si>
  <si>
    <t>廃材処分運搬工</t>
  </si>
  <si>
    <t>仮舗装工</t>
  </si>
  <si>
    <t>管理用通路舗装工</t>
  </si>
  <si>
    <t>車道舗装</t>
  </si>
  <si>
    <t>橋面舗装　車道</t>
  </si>
  <si>
    <t>橋面舗装　歩道</t>
  </si>
  <si>
    <t>歩道舗装</t>
  </si>
  <si>
    <t>床版防水工</t>
  </si>
  <si>
    <t>アスカーブ設置工</t>
  </si>
  <si>
    <t>調整</t>
  </si>
  <si>
    <t>重機運搬費</t>
  </si>
  <si>
    <t>外注経費　法定福利費</t>
  </si>
  <si>
    <t>技術管理費</t>
  </si>
  <si>
    <t>社員給料</t>
  </si>
  <si>
    <t>As37.8m3　路盤　134.5m3</t>
  </si>
  <si>
    <t>m3</t>
  </si>
  <si>
    <t>m2</t>
  </si>
  <si>
    <t>一般部30m2　乗入部23m2</t>
  </si>
  <si>
    <t>式</t>
  </si>
  <si>
    <t>ｍ</t>
  </si>
  <si>
    <t>舗装工</t>
  </si>
  <si>
    <t>防水工</t>
  </si>
  <si>
    <t>現場密度　現場透水　コアー採取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</si>
  <si>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</si>
  <si>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</si>
  <si>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</si>
  <si>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</si>
  <si>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</si>
  <si>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</si>
  <si>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</si>
  <si>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</si>
  <si>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二級河川不動川</t>
  </si>
  <si>
    <t>関東支社</t>
  </si>
  <si>
    <t>単独</t>
  </si>
  <si>
    <t>F</t>
  </si>
  <si>
    <t>2025年3月4日</t>
  </si>
  <si>
    <t>2025年3月5日 ～ 2025年3月31日</t>
  </si>
  <si>
    <t>2025年3月7日 ～ 2025年3月31日</t>
  </si>
  <si>
    <t>直接工事費</t>
  </si>
  <si>
    <t xml:space="preserve">  廃材処分運搬工</t>
  </si>
  <si>
    <t xml:space="preserve">  As37.8m3　路盤　134.5m3</t>
  </si>
  <si>
    <t>1号</t>
  </si>
  <si>
    <t>内訳書</t>
  </si>
  <si>
    <t xml:space="preserve">  仮舗装工</t>
  </si>
  <si>
    <t xml:space="preserve">  </t>
  </si>
  <si>
    <t>2号</t>
  </si>
  <si>
    <t xml:space="preserve">  管理用通路舗装工</t>
  </si>
  <si>
    <t>3号</t>
  </si>
  <si>
    <t xml:space="preserve">  車道舗装</t>
  </si>
  <si>
    <t>4号</t>
  </si>
  <si>
    <t xml:space="preserve">  橋面舗装　車道</t>
  </si>
  <si>
    <t>5号</t>
  </si>
  <si>
    <t xml:space="preserve">  橋面舗装　歩道</t>
  </si>
  <si>
    <t>6号</t>
  </si>
  <si>
    <t xml:space="preserve">  歩道舗装</t>
  </si>
  <si>
    <t xml:space="preserve">  一般部30m2　乗入部23m2</t>
  </si>
  <si>
    <t>7号</t>
  </si>
  <si>
    <t xml:space="preserve">  床版防水工</t>
  </si>
  <si>
    <t>8号</t>
  </si>
  <si>
    <t xml:space="preserve">  アスカーブ設置工</t>
  </si>
  <si>
    <t>9号</t>
  </si>
  <si>
    <t xml:space="preserve">  調整</t>
  </si>
  <si>
    <t>10号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</si>
  <si>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</si>
  <si>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</si>
  <si>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</si>
  <si>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</si>
  <si>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</si>
  <si>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</si>
  <si>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</si>
  <si>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計</t>
  </si>
  <si>
    <t>24-0243  ★二級河川不動川　河川改修（国府橋架替）工事（その2）</t>
    <phoneticPr fontId="4"/>
  </si>
  <si>
    <t>総括</t>
  </si>
  <si>
    <t>集計行</t>
  </si>
  <si>
    <t>｜直接工事費</t>
  </si>
  <si>
    <t>内訳代価</t>
  </si>
  <si>
    <t>｜｜廃材処分運搬工</t>
  </si>
  <si>
    <t>1号内訳書</t>
  </si>
  <si>
    <t>｜｜｜ﾀﾞﾝﾌﾟﾄﾗｯｸ常用8ｔ</t>
  </si>
  <si>
    <t>ｵﾍﾟ燃料付</t>
  </si>
  <si>
    <t>台</t>
  </si>
  <si>
    <t xml:space="preserve">u00328005 </t>
  </si>
  <si>
    <t xml:space="preserve">{数量=3*5} </t>
  </si>
  <si>
    <t>｜｜｜ﾀｲﾔﾕﾝﾎﾞ</t>
  </si>
  <si>
    <t>OP付</t>
  </si>
  <si>
    <t xml:space="preserve">k00328025 </t>
  </si>
  <si>
    <t xml:space="preserve">{数量=1*1} </t>
  </si>
  <si>
    <t>｜｜｜AS塊処分</t>
  </si>
  <si>
    <t>t</t>
  </si>
  <si>
    <t xml:space="preserve">u00328026 </t>
  </si>
  <si>
    <t>｜｜｜路盤廃材</t>
  </si>
  <si>
    <t xml:space="preserve">u00328028 </t>
  </si>
  <si>
    <t>｜｜｜雑材</t>
  </si>
  <si>
    <t xml:space="preserve">s00328386 </t>
  </si>
  <si>
    <t>｜｜仮舗装工</t>
  </si>
  <si>
    <t>2号内訳書</t>
  </si>
  <si>
    <t>｜｜｜再生密粒As</t>
  </si>
  <si>
    <t>8t配達</t>
  </si>
  <si>
    <t xml:space="preserve">s00328259 </t>
  </si>
  <si>
    <t xml:space="preserve">{数量=287*0.05*2.35*1.07} </t>
  </si>
  <si>
    <t>｜｜｜RM-40(t)</t>
  </si>
  <si>
    <t>引取り</t>
  </si>
  <si>
    <t xml:space="preserve">s00328277 </t>
  </si>
  <si>
    <t xml:space="preserve">{数量=287*0.2*2*1.07} </t>
  </si>
  <si>
    <t>｜｜｜乳剤PK-3、4</t>
  </si>
  <si>
    <t>L</t>
  </si>
  <si>
    <t xml:space="preserve">s00328286 </t>
  </si>
  <si>
    <t xml:space="preserve">{数量=287*1.26} </t>
  </si>
  <si>
    <t>｜｜｜砂(ﾀﾞｽﾄ)</t>
  </si>
  <si>
    <t>ｽｸﾘｰﾆﾝｸﾞｽ</t>
  </si>
  <si>
    <t xml:space="preserve">s00328211 </t>
  </si>
  <si>
    <t>｜｜｜軽油</t>
  </si>
  <si>
    <t xml:space="preserve">s00328123 </t>
  </si>
  <si>
    <t xml:space="preserve">{数量=1*100} </t>
  </si>
  <si>
    <t>｜｜｜技工</t>
  </si>
  <si>
    <t>人</t>
  </si>
  <si>
    <t xml:space="preserve">r00328003 </t>
  </si>
  <si>
    <t xml:space="preserve">{数量=1*7} </t>
  </si>
  <si>
    <t>｜｜｜BH0.1</t>
  </si>
  <si>
    <t xml:space="preserve">k00328010 </t>
  </si>
  <si>
    <t>｜｜｜ﾀｲﾔﾛｰﾗ</t>
  </si>
  <si>
    <t>8t</t>
  </si>
  <si>
    <t xml:space="preserve">k00328002 </t>
  </si>
  <si>
    <t>｜｜｜ﾀﾝﾃﾞﾑﾛｰﾗ</t>
  </si>
  <si>
    <t>3ｔ、4ｔ</t>
  </si>
  <si>
    <t xml:space="preserve">k00328004 </t>
  </si>
  <si>
    <t>3t</t>
  </si>
  <si>
    <t xml:space="preserve">k00328001 </t>
  </si>
  <si>
    <t>｜｜｜小物機械</t>
  </si>
  <si>
    <t xml:space="preserve">k00328082 </t>
  </si>
  <si>
    <t>｜｜｜ﾃﾞｨｽﾄﾘﾋﾞｭｰﾀ(昼)</t>
  </si>
  <si>
    <t xml:space="preserve">k00328061 </t>
  </si>
  <si>
    <t>｜｜｜4ｔﾀﾞﾝﾌﾟ</t>
  </si>
  <si>
    <t xml:space="preserve">u00328022 </t>
  </si>
  <si>
    <t xml:space="preserve">{数量=2*1} </t>
  </si>
  <si>
    <t>｜｜｜労務運搬(Wｷｬﾌﾞ)</t>
  </si>
  <si>
    <t>燃料込</t>
  </si>
  <si>
    <t xml:space="preserve">u00328036 </t>
  </si>
  <si>
    <t>｜｜管理用通路舗装工</t>
  </si>
  <si>
    <t>3号内訳書</t>
  </si>
  <si>
    <t xml:space="preserve">{数量=421*0.05*2.35*1.07} </t>
  </si>
  <si>
    <t xml:space="preserve">{数量=421*0.1*2*1.07} </t>
  </si>
  <si>
    <t>｜｜｜RC-40(t)</t>
  </si>
  <si>
    <t xml:space="preserve">s00328271 </t>
  </si>
  <si>
    <t xml:space="preserve">{数量=421*0.15*2*1.07} </t>
  </si>
  <si>
    <t xml:space="preserve">{数量=421*1.26} </t>
  </si>
  <si>
    <t>｜｜車道舗装</t>
  </si>
  <si>
    <t>4号内訳書</t>
  </si>
  <si>
    <t xml:space="preserve">{数量=157*0.05*2.35*1.07} </t>
  </si>
  <si>
    <t>｜｜｜再生粗粒As</t>
  </si>
  <si>
    <t xml:space="preserve">s00328255 </t>
  </si>
  <si>
    <t xml:space="preserve">{数量=157*0.25*2*1.07} </t>
  </si>
  <si>
    <t xml:space="preserve">{数量=157*1.26} </t>
  </si>
  <si>
    <t>｜｜｜ASﾌｨﾆｯｼｬｰ4.3m</t>
  </si>
  <si>
    <t>ﾜﾝﾏﾝ仕様  低騒音OP付</t>
  </si>
  <si>
    <t xml:space="preserve">k00328034 </t>
  </si>
  <si>
    <t>｜｜橋面舗装　車道</t>
  </si>
  <si>
    <t>5号内訳書</t>
  </si>
  <si>
    <t>｜｜｜密粒改質Ⅱ型</t>
  </si>
  <si>
    <t xml:space="preserve">s00328248 </t>
  </si>
  <si>
    <t xml:space="preserve">{数量=131*0.04*2.35*1.07} </t>
  </si>
  <si>
    <t>｜｜｜粗粒改質Ⅱ型</t>
  </si>
  <si>
    <t xml:space="preserve">s00328246 </t>
  </si>
  <si>
    <t>｜｜｜乳剤ﾀｯｸﾌｧｲﾝE</t>
  </si>
  <si>
    <t xml:space="preserve">s00328285 </t>
  </si>
  <si>
    <t xml:space="preserve">{数量=131*0.43*1.02*0.001} </t>
  </si>
  <si>
    <t>｜｜｜ASﾌｨﾆｯｼｬｰ3.1m</t>
  </si>
  <si>
    <t xml:space="preserve">k00328033 </t>
  </si>
  <si>
    <t>｜｜橋面舗装　歩道</t>
  </si>
  <si>
    <t>6号内訳書</t>
  </si>
  <si>
    <t>｜｜｜密粒AS</t>
  </si>
  <si>
    <t xml:space="preserve">s00328261 </t>
  </si>
  <si>
    <t xml:space="preserve">{数量=61*0.03*2.35*1.07} </t>
  </si>
  <si>
    <t xml:space="preserve">{数量=3*1} </t>
  </si>
  <si>
    <t xml:space="preserve">{数量=1*0.5} </t>
  </si>
  <si>
    <t>｜｜歩道舗装</t>
  </si>
  <si>
    <t>7号内訳書</t>
  </si>
  <si>
    <t>｜｜｜開粒As</t>
  </si>
  <si>
    <t>一般　引取り</t>
  </si>
  <si>
    <t xml:space="preserve">s00328252 </t>
  </si>
  <si>
    <t xml:space="preserve">{数量=30*0.04*2*1.07} </t>
  </si>
  <si>
    <t>乗入　引取り</t>
  </si>
  <si>
    <t xml:space="preserve">{数量=23*0.05*2*1.07} </t>
  </si>
  <si>
    <t>｜｜｜RC-10</t>
  </si>
  <si>
    <t>ｔ</t>
  </si>
  <si>
    <t xml:space="preserve">s00328210 </t>
  </si>
  <si>
    <t>｜｜床版防水工</t>
  </si>
  <si>
    <t>8号内訳書</t>
  </si>
  <si>
    <t>｜｜｜床版防水工</t>
  </si>
  <si>
    <t>塗膜系</t>
  </si>
  <si>
    <t xml:space="preserve">g00328079 </t>
  </si>
  <si>
    <t>｜｜｜防水工</t>
  </si>
  <si>
    <t>ｼｰﾄ系</t>
  </si>
  <si>
    <t xml:space="preserve">g00328080 </t>
  </si>
  <si>
    <t>｜｜アスカーブ設置工</t>
  </si>
  <si>
    <t>9号内訳書</t>
  </si>
  <si>
    <t>｜｜｜アスカーブ合材</t>
  </si>
  <si>
    <t>4t配達</t>
  </si>
  <si>
    <t>｜｜｜アスカーバー</t>
  </si>
  <si>
    <t xml:space="preserve">k00328038 </t>
  </si>
  <si>
    <t xml:space="preserve">{数量=1*4} </t>
  </si>
  <si>
    <t>｜｜調整</t>
  </si>
  <si>
    <t>10号内訳書</t>
  </si>
  <si>
    <t>予算</t>
    <phoneticPr fontId="6"/>
  </si>
  <si>
    <t>事務用品費</t>
  </si>
  <si>
    <t>電力用水光熱費</t>
  </si>
  <si>
    <t>通信費</t>
  </si>
  <si>
    <t>旅費交通費</t>
  </si>
  <si>
    <t>保険料</t>
  </si>
  <si>
    <t>車両費</t>
  </si>
  <si>
    <t>雑費</t>
  </si>
  <si>
    <t>0</t>
  </si>
  <si>
    <t>#DIV/0!</t>
  </si>
  <si>
    <t>｜共通仮設費</t>
  </si>
  <si>
    <t>｜｜重機運搬費</t>
  </si>
  <si>
    <t>11号内訳書</t>
  </si>
  <si>
    <t>｜｜｜回送  大型ｾﾙﾌ</t>
  </si>
  <si>
    <t>回</t>
  </si>
  <si>
    <t xml:space="preserve">u00328009 </t>
  </si>
  <si>
    <t xml:space="preserve">{数量=2*2} </t>
  </si>
  <si>
    <t>｜｜｜AF回送  大型ｾﾙﾌ</t>
  </si>
  <si>
    <t>ﾐﾆ</t>
  </si>
  <si>
    <t xml:space="preserve">u00328013 </t>
  </si>
  <si>
    <t>4.3m級</t>
  </si>
  <si>
    <t xml:space="preserve">u00328014 </t>
  </si>
  <si>
    <t>｜｜｜雑回送</t>
  </si>
  <si>
    <t xml:space="preserve">u00328041 </t>
  </si>
  <si>
    <t>｜｜外注経費　法定福利費</t>
  </si>
  <si>
    <t>12号内訳書</t>
  </si>
  <si>
    <t>｜｜｜外注経費</t>
  </si>
  <si>
    <t xml:space="preserve">g00328041 </t>
  </si>
  <si>
    <t>｜｜｜法定福利費</t>
  </si>
  <si>
    <t xml:space="preserve">g00328040 </t>
  </si>
  <si>
    <t>13号内訳書</t>
  </si>
  <si>
    <t>防水</t>
  </si>
  <si>
    <t>｜｜技術管理費</t>
  </si>
  <si>
    <t>14号内訳書</t>
  </si>
  <si>
    <t>｜｜｜ｺｱｰ採取</t>
  </si>
  <si>
    <t>最低補償</t>
  </si>
  <si>
    <t xml:space="preserve">g00328039 </t>
  </si>
  <si>
    <t>｜｜｜現場密度試験</t>
  </si>
  <si>
    <t xml:space="preserve">g00328042 </t>
  </si>
  <si>
    <t>｜｜｜現場透水試験</t>
  </si>
  <si>
    <t xml:space="preserve">{数量=1*2} </t>
  </si>
  <si>
    <t>15号</t>
  </si>
  <si>
    <t>(コピー機、トナー、文具、コピー用紙、その他)</t>
  </si>
  <si>
    <t>16号</t>
  </si>
  <si>
    <t>17号</t>
  </si>
  <si>
    <t>(携帯通話料、ネット回線契約、電話回線契約　等)</t>
  </si>
  <si>
    <t>18号</t>
  </si>
  <si>
    <t>(出張、移動旅費等)</t>
  </si>
  <si>
    <t>19号</t>
  </si>
  <si>
    <t>(建退共・労災保険・労災上乗せ保険　等)</t>
  </si>
  <si>
    <t>20号</t>
  </si>
  <si>
    <t>(連絡車)</t>
  </si>
  <si>
    <t>21号</t>
  </si>
  <si>
    <t>(現場特有で発生が見込まれる費用　等)</t>
  </si>
  <si>
    <t>22号</t>
  </si>
  <si>
    <t>｜現場経費</t>
  </si>
  <si>
    <t>｜｜社員給料</t>
  </si>
  <si>
    <t>15号内訳書</t>
  </si>
  <si>
    <t>｜｜｜現場代理人(5級)昼</t>
  </si>
  <si>
    <t>日</t>
  </si>
  <si>
    <t xml:space="preserve">m00328007 </t>
  </si>
  <si>
    <t>｜｜事務用品費</t>
  </si>
  <si>
    <t>16号内訳書</t>
  </si>
  <si>
    <t>｜｜電力用水光熱費</t>
  </si>
  <si>
    <t>17号内訳書</t>
  </si>
  <si>
    <t>｜｜通信費</t>
  </si>
  <si>
    <t>18号内訳書</t>
  </si>
  <si>
    <t>｜｜旅費交通費</t>
  </si>
  <si>
    <t>19号内訳書</t>
  </si>
  <si>
    <t>｜｜保険料</t>
  </si>
  <si>
    <t>20号内訳書</t>
  </si>
  <si>
    <t>｜｜車両費</t>
  </si>
  <si>
    <t>21号内訳書</t>
  </si>
  <si>
    <t>｜｜雑費</t>
  </si>
  <si>
    <t>22号内訳書</t>
  </si>
  <si>
    <t>工事名称</t>
    <phoneticPr fontId="6"/>
  </si>
  <si>
    <t>24-0243  ★二級河川不動川　河川改修（国府橋架替）工事（その2）</t>
    <phoneticPr fontId="6"/>
  </si>
  <si>
    <t>2420710243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</si>
  <si>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</si>
  <si>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</si>
  <si>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</si>
  <si>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</si>
  <si>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</si>
  <si>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</si>
  <si>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</si>
  <si>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RC-10</t>
    <phoneticPr fontId="6"/>
  </si>
  <si>
    <t>ｔ</t>
    <phoneticPr fontId="6"/>
  </si>
  <si>
    <t>材料費</t>
    <phoneticPr fontId="6"/>
  </si>
  <si>
    <t>RC-40(t)</t>
    <phoneticPr fontId="6"/>
  </si>
  <si>
    <t>t</t>
    <phoneticPr fontId="6"/>
  </si>
  <si>
    <t>RM-40(t)</t>
    <phoneticPr fontId="6"/>
  </si>
  <si>
    <t>引取り</t>
    <phoneticPr fontId="6"/>
  </si>
  <si>
    <t>アスカーブ合材</t>
    <phoneticPr fontId="6"/>
  </si>
  <si>
    <t>4t配達</t>
    <phoneticPr fontId="6"/>
  </si>
  <si>
    <t>開粒As</t>
    <phoneticPr fontId="6"/>
  </si>
  <si>
    <t>一般　引取り</t>
    <phoneticPr fontId="6"/>
  </si>
  <si>
    <t>乗入　引取り</t>
    <phoneticPr fontId="6"/>
  </si>
  <si>
    <t>軽油</t>
    <phoneticPr fontId="6"/>
  </si>
  <si>
    <t>L</t>
    <phoneticPr fontId="6"/>
  </si>
  <si>
    <t>砂(ﾀﾞｽﾄ)</t>
    <phoneticPr fontId="6"/>
  </si>
  <si>
    <t>m3</t>
    <phoneticPr fontId="6"/>
  </si>
  <si>
    <t>ｽｸﾘｰﾆﾝｸﾞｽ</t>
    <phoneticPr fontId="6"/>
  </si>
  <si>
    <t>再生粗粒As</t>
    <phoneticPr fontId="6"/>
  </si>
  <si>
    <t>8t配達</t>
    <phoneticPr fontId="6"/>
  </si>
  <si>
    <t>再生密粒As</t>
    <phoneticPr fontId="6"/>
  </si>
  <si>
    <t>雑材</t>
    <phoneticPr fontId="6"/>
  </si>
  <si>
    <t>式</t>
    <phoneticPr fontId="6"/>
  </si>
  <si>
    <t>粗粒改質Ⅱ型</t>
    <phoneticPr fontId="6"/>
  </si>
  <si>
    <t>材料調書</t>
    <phoneticPr fontId="6"/>
  </si>
  <si>
    <t>乳剤PK-3、4</t>
    <phoneticPr fontId="6"/>
  </si>
  <si>
    <t>乳剤ﾀｯｸﾌｧｲﾝE</t>
    <phoneticPr fontId="6"/>
  </si>
  <si>
    <t>密粒AS</t>
    <phoneticPr fontId="6"/>
  </si>
  <si>
    <t>密粒改質Ⅱ型</t>
    <phoneticPr fontId="6"/>
  </si>
  <si>
    <t>計</t>
    <phoneticPr fontId="6"/>
  </si>
  <si>
    <t>技工</t>
    <phoneticPr fontId="6"/>
  </si>
  <si>
    <t>人</t>
    <phoneticPr fontId="6"/>
  </si>
  <si>
    <t>労務費</t>
    <phoneticPr fontId="6"/>
  </si>
  <si>
    <t>ｺｱｰ採取</t>
    <phoneticPr fontId="6"/>
  </si>
  <si>
    <t>最低補償</t>
    <phoneticPr fontId="6"/>
  </si>
  <si>
    <t>外注費</t>
    <phoneticPr fontId="6"/>
  </si>
  <si>
    <t>外注経費</t>
    <phoneticPr fontId="6"/>
  </si>
  <si>
    <t>防水</t>
    <phoneticPr fontId="6"/>
  </si>
  <si>
    <t>現場透水試験</t>
    <phoneticPr fontId="6"/>
  </si>
  <si>
    <t>現場密度試験</t>
    <phoneticPr fontId="6"/>
  </si>
  <si>
    <t>床版防水工</t>
    <phoneticPr fontId="6"/>
  </si>
  <si>
    <t>m2</t>
    <phoneticPr fontId="6"/>
  </si>
  <si>
    <t>塗膜系</t>
    <phoneticPr fontId="6"/>
  </si>
  <si>
    <t>法定福利費</t>
    <phoneticPr fontId="6"/>
  </si>
  <si>
    <t>防水工</t>
    <phoneticPr fontId="6"/>
  </si>
  <si>
    <t>ｼｰﾄ系</t>
    <phoneticPr fontId="6"/>
  </si>
  <si>
    <t>ASﾌｨﾆｯｼｬｰ3.1m</t>
    <phoneticPr fontId="6"/>
  </si>
  <si>
    <t>台</t>
    <phoneticPr fontId="6"/>
  </si>
  <si>
    <t>ﾜﾝﾏﾝ仕様  低騒音OP付</t>
    <phoneticPr fontId="6"/>
  </si>
  <si>
    <t>機械費</t>
    <phoneticPr fontId="6"/>
  </si>
  <si>
    <t>ASﾌｨﾆｯｼｬｰ4.3m</t>
    <phoneticPr fontId="6"/>
  </si>
  <si>
    <t>BH0.1</t>
    <phoneticPr fontId="6"/>
  </si>
  <si>
    <t>アスカーバー</t>
    <phoneticPr fontId="6"/>
  </si>
  <si>
    <t>ﾀｲﾔﾕﾝﾎﾞ</t>
    <phoneticPr fontId="6"/>
  </si>
  <si>
    <t>OP付</t>
    <phoneticPr fontId="6"/>
  </si>
  <si>
    <t>ﾀｲﾔﾛｰﾗ</t>
    <phoneticPr fontId="6"/>
  </si>
  <si>
    <t>3t</t>
    <phoneticPr fontId="6"/>
  </si>
  <si>
    <t>8t</t>
    <phoneticPr fontId="6"/>
  </si>
  <si>
    <t>ﾀﾝﾃﾞﾑﾛｰﾗ</t>
    <phoneticPr fontId="6"/>
  </si>
  <si>
    <t>3ｔ、4ｔ</t>
    <phoneticPr fontId="6"/>
  </si>
  <si>
    <t>ﾃﾞｨｽﾄﾘﾋﾞｭｰﾀ(昼)</t>
    <phoneticPr fontId="6"/>
  </si>
  <si>
    <t>小物機械</t>
    <phoneticPr fontId="6"/>
  </si>
  <si>
    <t>4ｔﾀﾞﾝﾌﾟ</t>
    <phoneticPr fontId="6"/>
  </si>
  <si>
    <t>運搬費</t>
    <phoneticPr fontId="6"/>
  </si>
  <si>
    <t>AF回送  大型ｾﾙﾌ</t>
    <phoneticPr fontId="6"/>
  </si>
  <si>
    <t>回</t>
    <phoneticPr fontId="6"/>
  </si>
  <si>
    <t>4.3m級</t>
    <phoneticPr fontId="6"/>
  </si>
  <si>
    <t>ﾐﾆ</t>
    <phoneticPr fontId="6"/>
  </si>
  <si>
    <t>AS塊処分</t>
    <phoneticPr fontId="6"/>
  </si>
  <si>
    <t>ﾀﾞﾝﾌﾟﾄﾗｯｸ常用8ｔ</t>
    <phoneticPr fontId="6"/>
  </si>
  <si>
    <t>ｵﾍﾟ燃料付</t>
    <phoneticPr fontId="6"/>
  </si>
  <si>
    <t>回送  大型ｾﾙﾌ</t>
    <phoneticPr fontId="6"/>
  </si>
  <si>
    <t>雑回送</t>
    <phoneticPr fontId="6"/>
  </si>
  <si>
    <t>路盤廃材</t>
    <phoneticPr fontId="6"/>
  </si>
  <si>
    <t>労務運搬(Wｷｬﾌﾞ)</t>
    <phoneticPr fontId="6"/>
  </si>
  <si>
    <t>燃料込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</si>
</sst>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144</v>
      </c>
      <c r="H3" s="442"/>
      <c r="I3" s="442"/>
      <c r="J3" s="442"/>
      <c r="K3" s="443"/>
      <c r="L3" s="257"/>
      <c r="M3" s="257"/>
      <c r="N3" s="257"/>
      <c r="O3" s="444" t="s">
        <v>145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146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134</v>
      </c>
      <c r="F10" s="417"/>
      <c r="G10" s="417"/>
      <c r="H10" s="417"/>
      <c r="I10" s="421" t="s">
        <v>147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135</v>
      </c>
      <c r="F12" s="417"/>
      <c r="G12" s="417"/>
      <c r="H12" s="417"/>
      <c r="I12" s="422" t="s">
        <v>148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136</v>
      </c>
      <c r="F14" s="424"/>
      <c r="G14" s="424"/>
      <c r="H14" s="424"/>
      <c r="I14" s="425">
        <v>7750000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6697000</v>
      </c>
      <c r="J16" s="420"/>
      <c r="K16" s="420"/>
      <c r="L16" s="420"/>
      <c r="M16" s="420"/>
      <c r="N16" s="420"/>
      <c r="O16" s="420"/>
      <c r="P16" s="420"/>
      <c r="Q16" s="416">
        <v>0.86409999999999998</v>
      </c>
      <c r="R16" s="416"/>
      <c r="S16" s="416"/>
      <c r="U16" s="417" t="s">
        <v>16</v>
      </c>
      <c r="V16" s="418"/>
      <c r="W16" s="418"/>
      <c r="X16" s="418"/>
      <c r="Y16" s="419">
        <v>1053000</v>
      </c>
      <c r="Z16" s="420"/>
      <c r="AA16" s="420"/>
      <c r="AB16" s="420"/>
      <c r="AC16" s="420"/>
      <c r="AD16" s="420"/>
      <c r="AE16" s="420"/>
      <c r="AF16" s="420"/>
      <c r="AG16" s="416">
        <v>0.13589999999999999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149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150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151</v>
      </c>
      <c r="G28" s="407"/>
      <c r="H28" s="407"/>
      <c r="I28" s="407"/>
      <c r="J28" s="407"/>
      <c r="K28" s="407"/>
      <c r="L28" s="387" t="s">
        <v>137</v>
      </c>
      <c r="M28" s="387"/>
      <c r="N28" s="388" t="s">
        <v>152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153</v>
      </c>
      <c r="Z28" s="407"/>
      <c r="AA28" s="407"/>
      <c r="AB28" s="407"/>
      <c r="AC28" s="407"/>
      <c r="AD28" s="407"/>
      <c r="AE28" s="387" t="s">
        <v>137</v>
      </c>
      <c r="AF28" s="387"/>
      <c r="AG28" s="388" t="s">
        <v>152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131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147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144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45721</v>
      </c>
      <c r="D3" s="458"/>
      <c r="E3" s="272" t="s">
        <v>138</v>
      </c>
      <c r="F3" s="459">
        <v>45747</v>
      </c>
      <c r="G3" s="459"/>
      <c r="H3" s="459"/>
      <c r="I3" s="273"/>
      <c r="J3" s="273"/>
      <c r="K3" s="460" t="s">
        <v>30</v>
      </c>
      <c r="L3" s="461"/>
      <c r="M3" s="462"/>
      <c r="N3" s="449">
        <v>7750000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1094966</v>
      </c>
      <c r="D5" s="335">
        <f>IF(C5&lt;&gt;"",C5/$C$20,"")</f>
        <v>0.16350097058384352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819959</v>
      </c>
      <c r="D6" s="336">
        <f t="shared" ref="D6:D17" si="0">IF(C6&lt;&gt;"",C6/$C$20,"")</f>
        <v>0.12243676272958041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969984</v>
      </c>
      <c r="D7" s="336">
        <f t="shared" si="0"/>
        <v>0.14483858444079439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859889</v>
      </c>
      <c r="D8" s="336">
        <f t="shared" si="0"/>
        <v>0.1283991339405704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779974</v>
      </c>
      <c r="D9" s="336">
        <f t="shared" si="0"/>
        <v>0.11646617888606839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159</v>
      </c>
      <c r="C10" s="277">
        <v>169946</v>
      </c>
      <c r="D10" s="336">
        <f t="shared" si="0"/>
        <v>2.5376437210691355E-2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160</v>
      </c>
      <c r="C11" s="277">
        <v>189952</v>
      </c>
      <c r="D11" s="336">
        <f t="shared" si="0"/>
        <v>2.8363744960430044E-2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161</v>
      </c>
      <c r="C12" s="277">
        <v>630000</v>
      </c>
      <c r="D12" s="336">
        <f t="shared" si="0"/>
        <v>9.4071972525011205E-2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162</v>
      </c>
      <c r="C13" s="277">
        <v>189984</v>
      </c>
      <c r="D13" s="336">
        <f t="shared" si="0"/>
        <v>2.8368523219351949E-2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163</v>
      </c>
      <c r="C14" s="277">
        <v>5346</v>
      </c>
      <c r="D14" s="336">
        <f t="shared" si="0"/>
        <v>7.9826788114080937E-4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164</v>
      </c>
      <c r="C15" s="277">
        <v>210000</v>
      </c>
      <c r="D15" s="336">
        <f t="shared" si="0"/>
        <v>3.1357324175003733E-2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165</v>
      </c>
      <c r="C16" s="277">
        <v>490000</v>
      </c>
      <c r="D16" s="336">
        <f t="shared" si="0"/>
        <v>7.3167089741675378E-2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165</v>
      </c>
      <c r="C17" s="278">
        <v>50000</v>
      </c>
      <c r="D17" s="336">
        <f t="shared" si="0"/>
        <v>7.4660295654770791E-3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166</v>
      </c>
      <c r="C18" s="278">
        <v>130000</v>
      </c>
      <c r="D18" s="336">
        <f>IF(C18&lt;&gt;"",C18/$C$20,"")</f>
        <v>1.9411676870240407E-2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167</v>
      </c>
      <c r="C19" s="278">
        <v>107000</v>
      </c>
      <c r="D19" s="336">
        <f>IF(C19&lt;&gt;"",C19/$C$20,"")</f>
        <v>1.5977303270120948E-2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6697000</v>
      </c>
      <c r="D20" s="337">
        <f>SUM(D5:D19)</f>
        <v>0.99999999999999978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118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119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120</v>
      </c>
      <c r="F30" s="178" t="s">
        <v>121</v>
      </c>
      <c r="G30" s="177" t="s">
        <v>122</v>
      </c>
      <c r="H30" s="178" t="s">
        <v>123</v>
      </c>
      <c r="I30" s="177" t="s">
        <v>124</v>
      </c>
      <c r="J30" s="178" t="s">
        <v>125</v>
      </c>
      <c r="K30" s="177" t="s">
        <v>126</v>
      </c>
      <c r="L30" s="178" t="s">
        <v>127</v>
      </c>
      <c r="M30" s="177" t="s">
        <v>128</v>
      </c>
      <c r="N30" s="179" t="s">
        <v>129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 t="s">
        <v>168</v>
      </c>
      <c r="L5" s="283" t="s">
        <v>169</v>
      </c>
      <c r="M5" s="284">
        <v>172.3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/>
      <c r="L6" s="290" t="s">
        <v>170</v>
      </c>
      <c r="M6" s="291">
        <v>287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/>
      <c r="L7" s="290" t="s">
        <v>170</v>
      </c>
      <c r="M7" s="291">
        <v>421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/>
      <c r="L8" s="290" t="s">
        <v>170</v>
      </c>
      <c r="M8" s="291">
        <v>157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/>
      <c r="L9" s="290" t="s">
        <v>170</v>
      </c>
      <c r="M9" s="291">
        <v>131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159</v>
      </c>
      <c r="K10" s="289"/>
      <c r="L10" s="290" t="s">
        <v>170</v>
      </c>
      <c r="M10" s="291">
        <v>61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160</v>
      </c>
      <c r="K11" s="289" t="s">
        <v>171</v>
      </c>
      <c r="L11" s="290" t="s">
        <v>170</v>
      </c>
      <c r="M11" s="291">
        <v>53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161</v>
      </c>
      <c r="K12" s="289"/>
      <c r="L12" s="290" t="s">
        <v>172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162</v>
      </c>
      <c r="K13" s="289"/>
      <c r="L13" s="290" t="s">
        <v>173</v>
      </c>
      <c r="M13" s="291">
        <v>32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163</v>
      </c>
      <c r="K14" s="289"/>
      <c r="L14" s="290" t="s">
        <v>172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164</v>
      </c>
      <c r="K15" s="289"/>
      <c r="L15" s="290" t="s">
        <v>172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165</v>
      </c>
      <c r="K16" s="289" t="s">
        <v>174</v>
      </c>
      <c r="L16" s="290" t="s">
        <v>172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165</v>
      </c>
      <c r="K17" s="289" t="s">
        <v>175</v>
      </c>
      <c r="L17" s="290" t="s">
        <v>172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166</v>
      </c>
      <c r="K18" s="289" t="s">
        <v>176</v>
      </c>
      <c r="L18" s="290" t="s">
        <v>172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167</v>
      </c>
      <c r="K19" s="295"/>
      <c r="L19" s="296" t="s">
        <v>172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147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185</v>
      </c>
      <c r="D5" s="512"/>
      <c r="E5" s="246" t="s">
        <v>132</v>
      </c>
      <c r="F5" s="513" t="s">
        <v>186</v>
      </c>
      <c r="G5" s="514"/>
      <c r="H5" s="246" t="s">
        <v>133</v>
      </c>
      <c r="I5" s="491" t="s">
        <v>149</v>
      </c>
      <c r="J5" s="515"/>
      <c r="K5" s="493"/>
      <c r="L5" s="106" t="s">
        <v>117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144</v>
      </c>
      <c r="D6" s="493"/>
      <c r="E6" s="106"/>
      <c r="F6" s="108" t="s">
        <v>54</v>
      </c>
      <c r="G6" s="108" t="s">
        <v>55</v>
      </c>
      <c r="H6" s="109" t="s">
        <v>177</v>
      </c>
      <c r="I6" s="110" t="s">
        <v>178</v>
      </c>
      <c r="J6" s="110" t="s">
        <v>179</v>
      </c>
      <c r="K6" s="110" t="s">
        <v>180</v>
      </c>
      <c r="L6" s="110" t="s">
        <v>181</v>
      </c>
      <c r="M6" s="111" t="s">
        <v>182</v>
      </c>
      <c r="N6" s="110" t="s">
        <v>183</v>
      </c>
      <c r="O6" s="112" t="s">
        <v>184</v>
      </c>
      <c r="P6" s="247"/>
      <c r="Q6" s="248"/>
    </row>
    <row r="7" spans="1:17" ht="30" customHeight="1">
      <c r="A7" s="69"/>
      <c r="B7" s="107" t="s">
        <v>56</v>
      </c>
      <c r="C7" s="491" t="s">
        <v>148</v>
      </c>
      <c r="D7" s="493"/>
      <c r="E7" s="113" t="s">
        <v>57</v>
      </c>
      <c r="F7" s="249">
        <v>7750000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/>
      <c r="D8" s="492"/>
      <c r="E8" s="113" t="s">
        <v>59</v>
      </c>
      <c r="F8" s="249">
        <v>6697000</v>
      </c>
      <c r="G8" s="334">
        <v>0.86409999999999998</v>
      </c>
      <c r="H8" s="250">
        <v>2674113</v>
      </c>
      <c r="I8" s="251">
        <v>920000</v>
      </c>
      <c r="J8" s="251">
        <v>1241480</v>
      </c>
      <c r="K8" s="251">
        <v>401749</v>
      </c>
      <c r="L8" s="252">
        <v>1353000</v>
      </c>
      <c r="M8" s="252"/>
      <c r="N8" s="253">
        <v>107000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150</v>
      </c>
      <c r="D9" s="493"/>
      <c r="E9" s="114" t="s">
        <v>60</v>
      </c>
      <c r="F9" s="249">
        <v>5710000</v>
      </c>
      <c r="G9" s="334">
        <v>0.73680000000000001</v>
      </c>
      <c r="H9" s="250">
        <v>2674113</v>
      </c>
      <c r="I9" s="251">
        <v>874000</v>
      </c>
      <c r="J9" s="251">
        <v>621480</v>
      </c>
      <c r="K9" s="251">
        <v>401749</v>
      </c>
      <c r="L9" s="252">
        <v>1139000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146</v>
      </c>
      <c r="D10" s="493"/>
      <c r="E10" s="114" t="s">
        <v>62</v>
      </c>
      <c r="F10" s="249">
        <v>880000</v>
      </c>
      <c r="G10" s="334">
        <v>0.1135</v>
      </c>
      <c r="H10" s="250"/>
      <c r="I10" s="253">
        <v>46000</v>
      </c>
      <c r="J10" s="253">
        <v>620000</v>
      </c>
      <c r="K10" s="253"/>
      <c r="L10" s="251">
        <v>214000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107000</v>
      </c>
      <c r="G11" s="334">
        <v>1.38E-2</v>
      </c>
      <c r="H11" s="250"/>
      <c r="I11" s="253"/>
      <c r="J11" s="253"/>
      <c r="K11" s="253"/>
      <c r="L11" s="251"/>
      <c r="M11" s="252"/>
      <c r="N11" s="253">
        <v>107000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187</v>
      </c>
      <c r="D12" s="492"/>
      <c r="E12" s="113" t="s">
        <v>66</v>
      </c>
      <c r="F12" s="249">
        <v>1053000</v>
      </c>
      <c r="G12" s="334">
        <v>0.13589999999999999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188</v>
      </c>
      <c r="D13" s="492"/>
      <c r="E13" s="169" t="s">
        <v>110</v>
      </c>
      <c r="F13" s="249">
        <v>441750</v>
      </c>
      <c r="G13" s="334">
        <v>5.7000000000000002E-2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189</v>
      </c>
      <c r="D14" s="493"/>
      <c r="E14" s="114" t="s">
        <v>111</v>
      </c>
      <c r="F14" s="249">
        <v>317750</v>
      </c>
      <c r="G14" s="334">
        <v>4.1000000000000002E-2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190</v>
      </c>
      <c r="D15" s="495"/>
      <c r="E15" s="114" t="s">
        <v>112</v>
      </c>
      <c r="F15" s="249">
        <v>124000</v>
      </c>
      <c r="G15" s="334">
        <v>1.6E-2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191</v>
      </c>
      <c r="D16" s="493"/>
      <c r="E16" s="113" t="s">
        <v>113</v>
      </c>
      <c r="F16" s="249">
        <v>611250</v>
      </c>
      <c r="G16" s="334">
        <v>7.8899999999999998E-2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62000</v>
      </c>
      <c r="G17" s="334">
        <v>8.0000000000000002E-3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549250</v>
      </c>
      <c r="G18" s="334">
        <v>7.0900000000000005E-2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143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147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192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193</v>
      </c>
      <c r="C8" s="166"/>
      <c r="D8" s="517" t="s">
        <v>169</v>
      </c>
      <c r="E8" s="519">
        <v>172.3</v>
      </c>
      <c r="F8" s="521">
        <v>6355</v>
      </c>
      <c r="G8" s="523">
        <v>1094966</v>
      </c>
      <c r="H8" s="351" t="s">
        <v>195</v>
      </c>
      <c r="I8" s="525">
        <v>0.14119999999999999</v>
      </c>
      <c r="J8" s="227"/>
      <c r="K8" s="69" t="s">
        <v>96</v>
      </c>
    </row>
    <row r="9" spans="1:11" ht="15.6" customHeight="1">
      <c r="A9" s="69"/>
      <c r="B9" s="224" t="s">
        <v>194</v>
      </c>
      <c r="C9" s="225"/>
      <c r="D9" s="518"/>
      <c r="E9" s="520"/>
      <c r="F9" s="522"/>
      <c r="G9" s="524"/>
      <c r="H9" s="352" t="s">
        <v>196</v>
      </c>
      <c r="I9" s="526"/>
      <c r="J9" s="227"/>
      <c r="K9" s="69" t="s">
        <v>96</v>
      </c>
    </row>
    <row r="10" spans="1:11" ht="15.6" customHeight="1">
      <c r="A10" s="69"/>
      <c r="B10" s="222" t="s">
        <v>197</v>
      </c>
      <c r="C10" s="166"/>
      <c r="D10" s="517" t="s">
        <v>170</v>
      </c>
      <c r="E10" s="519">
        <v>287</v>
      </c>
      <c r="F10" s="521">
        <v>2857</v>
      </c>
      <c r="G10" s="523">
        <v>819959</v>
      </c>
      <c r="H10" s="351" t="s">
        <v>199</v>
      </c>
      <c r="I10" s="525">
        <v>0.10580000000000001</v>
      </c>
      <c r="J10" s="223"/>
      <c r="K10" s="69" t="s">
        <v>96</v>
      </c>
    </row>
    <row r="11" spans="1:11" ht="15.6" customHeight="1">
      <c r="A11" s="69"/>
      <c r="B11" s="224" t="s">
        <v>198</v>
      </c>
      <c r="C11" s="225"/>
      <c r="D11" s="518"/>
      <c r="E11" s="520"/>
      <c r="F11" s="522"/>
      <c r="G11" s="524"/>
      <c r="H11" s="352" t="s">
        <v>196</v>
      </c>
      <c r="I11" s="526"/>
      <c r="J11" s="226"/>
      <c r="K11" s="69" t="s">
        <v>96</v>
      </c>
    </row>
    <row r="12" spans="1:11" ht="15.6" customHeight="1">
      <c r="A12" s="69"/>
      <c r="B12" s="222" t="s">
        <v>200</v>
      </c>
      <c r="C12" s="166"/>
      <c r="D12" s="517" t="s">
        <v>170</v>
      </c>
      <c r="E12" s="519">
        <v>421</v>
      </c>
      <c r="F12" s="521">
        <v>2304</v>
      </c>
      <c r="G12" s="523">
        <v>969984</v>
      </c>
      <c r="H12" s="351" t="s">
        <v>201</v>
      </c>
      <c r="I12" s="525">
        <v>0.12509999999999999</v>
      </c>
      <c r="J12" s="223"/>
      <c r="K12" s="69" t="s">
        <v>96</v>
      </c>
    </row>
    <row r="13" spans="1:11" ht="15.6" customHeight="1">
      <c r="A13" s="69"/>
      <c r="B13" s="224" t="s">
        <v>198</v>
      </c>
      <c r="C13" s="225"/>
      <c r="D13" s="518"/>
      <c r="E13" s="520"/>
      <c r="F13" s="522"/>
      <c r="G13" s="524"/>
      <c r="H13" s="352" t="s">
        <v>196</v>
      </c>
      <c r="I13" s="526"/>
      <c r="J13" s="226"/>
      <c r="K13" s="69" t="s">
        <v>96</v>
      </c>
    </row>
    <row r="14" spans="1:11" ht="15.6" customHeight="1">
      <c r="A14" s="69"/>
      <c r="B14" s="222" t="s">
        <v>202</v>
      </c>
      <c r="C14" s="166"/>
      <c r="D14" s="517" t="s">
        <v>170</v>
      </c>
      <c r="E14" s="519">
        <v>157</v>
      </c>
      <c r="F14" s="521">
        <v>5477</v>
      </c>
      <c r="G14" s="523">
        <v>859889</v>
      </c>
      <c r="H14" s="351" t="s">
        <v>203</v>
      </c>
      <c r="I14" s="525">
        <v>0.1109</v>
      </c>
      <c r="J14" s="223"/>
      <c r="K14" s="69" t="s">
        <v>96</v>
      </c>
    </row>
    <row r="15" spans="1:11" ht="15.6" customHeight="1">
      <c r="A15" s="69"/>
      <c r="B15" s="224" t="s">
        <v>198</v>
      </c>
      <c r="C15" s="225"/>
      <c r="D15" s="518"/>
      <c r="E15" s="520"/>
      <c r="F15" s="522"/>
      <c r="G15" s="524"/>
      <c r="H15" s="352" t="s">
        <v>196</v>
      </c>
      <c r="I15" s="526"/>
      <c r="J15" s="226"/>
      <c r="K15" s="69" t="s">
        <v>96</v>
      </c>
    </row>
    <row r="16" spans="1:11" ht="15.6" customHeight="1">
      <c r="A16" s="69"/>
      <c r="B16" s="222" t="s">
        <v>204</v>
      </c>
      <c r="C16" s="166"/>
      <c r="D16" s="517" t="s">
        <v>170</v>
      </c>
      <c r="E16" s="519">
        <v>131</v>
      </c>
      <c r="F16" s="521">
        <v>5954</v>
      </c>
      <c r="G16" s="523">
        <v>779974</v>
      </c>
      <c r="H16" s="351" t="s">
        <v>205</v>
      </c>
      <c r="I16" s="525">
        <v>0.10059999999999999</v>
      </c>
      <c r="J16" s="223"/>
      <c r="K16" s="69" t="s">
        <v>96</v>
      </c>
    </row>
    <row r="17" spans="1:11" ht="15.6" customHeight="1">
      <c r="A17" s="69"/>
      <c r="B17" s="224" t="s">
        <v>198</v>
      </c>
      <c r="C17" s="225"/>
      <c r="D17" s="518"/>
      <c r="E17" s="520"/>
      <c r="F17" s="522"/>
      <c r="G17" s="524"/>
      <c r="H17" s="352" t="s">
        <v>196</v>
      </c>
      <c r="I17" s="526"/>
      <c r="J17" s="226"/>
      <c r="K17" s="69" t="s">
        <v>96</v>
      </c>
    </row>
    <row r="18" spans="1:11" ht="15.6" customHeight="1">
      <c r="A18" s="69"/>
      <c r="B18" s="222" t="s">
        <v>206</v>
      </c>
      <c r="C18" s="166"/>
      <c r="D18" s="517" t="s">
        <v>170</v>
      </c>
      <c r="E18" s="519">
        <v>61</v>
      </c>
      <c r="F18" s="521">
        <v>2786</v>
      </c>
      <c r="G18" s="523">
        <v>169946</v>
      </c>
      <c r="H18" s="351" t="s">
        <v>207</v>
      </c>
      <c r="I18" s="525">
        <v>2.1899999999999999E-2</v>
      </c>
      <c r="J18" s="223"/>
      <c r="K18" s="69" t="s">
        <v>96</v>
      </c>
    </row>
    <row r="19" spans="1:11" ht="15.6" customHeight="1">
      <c r="A19" s="69"/>
      <c r="B19" s="224" t="s">
        <v>198</v>
      </c>
      <c r="C19" s="225"/>
      <c r="D19" s="518"/>
      <c r="E19" s="520"/>
      <c r="F19" s="522"/>
      <c r="G19" s="524"/>
      <c r="H19" s="352" t="s">
        <v>196</v>
      </c>
      <c r="I19" s="526"/>
      <c r="J19" s="226"/>
      <c r="K19" s="69" t="s">
        <v>96</v>
      </c>
    </row>
    <row r="20" spans="1:11" ht="15.6" customHeight="1">
      <c r="A20" s="69"/>
      <c r="B20" s="222" t="s">
        <v>208</v>
      </c>
      <c r="C20" s="166"/>
      <c r="D20" s="517" t="s">
        <v>170</v>
      </c>
      <c r="E20" s="519">
        <v>53</v>
      </c>
      <c r="F20" s="521">
        <v>3584</v>
      </c>
      <c r="G20" s="523">
        <v>189952</v>
      </c>
      <c r="H20" s="351" t="s">
        <v>210</v>
      </c>
      <c r="I20" s="525">
        <v>2.4500000000000001E-2</v>
      </c>
      <c r="J20" s="223"/>
      <c r="K20" s="69" t="s">
        <v>96</v>
      </c>
    </row>
    <row r="21" spans="1:11" ht="15.6" customHeight="1">
      <c r="A21" s="69"/>
      <c r="B21" s="224" t="s">
        <v>209</v>
      </c>
      <c r="C21" s="225"/>
      <c r="D21" s="518"/>
      <c r="E21" s="520"/>
      <c r="F21" s="522"/>
      <c r="G21" s="524"/>
      <c r="H21" s="352" t="s">
        <v>196</v>
      </c>
      <c r="I21" s="526"/>
      <c r="J21" s="226"/>
      <c r="K21" s="69" t="s">
        <v>96</v>
      </c>
    </row>
    <row r="22" spans="1:11" ht="15.6" customHeight="1">
      <c r="A22" s="69"/>
      <c r="B22" s="222" t="s">
        <v>211</v>
      </c>
      <c r="C22" s="166"/>
      <c r="D22" s="517" t="s">
        <v>172</v>
      </c>
      <c r="E22" s="519">
        <v>1</v>
      </c>
      <c r="F22" s="521">
        <v>630000</v>
      </c>
      <c r="G22" s="523">
        <v>630000</v>
      </c>
      <c r="H22" s="351" t="s">
        <v>212</v>
      </c>
      <c r="I22" s="525">
        <v>8.1199999999999994E-2</v>
      </c>
      <c r="J22" s="223"/>
      <c r="K22" s="69" t="s">
        <v>96</v>
      </c>
    </row>
    <row r="23" spans="1:11" ht="15.6" customHeight="1">
      <c r="A23" s="69"/>
      <c r="B23" s="224" t="s">
        <v>198</v>
      </c>
      <c r="C23" s="225"/>
      <c r="D23" s="518"/>
      <c r="E23" s="520"/>
      <c r="F23" s="522"/>
      <c r="G23" s="524"/>
      <c r="H23" s="352" t="s">
        <v>196</v>
      </c>
      <c r="I23" s="526"/>
      <c r="J23" s="226"/>
      <c r="K23" s="69" t="s">
        <v>96</v>
      </c>
    </row>
    <row r="24" spans="1:11" ht="15.6" customHeight="1">
      <c r="A24" s="69"/>
      <c r="B24" s="222" t="s">
        <v>213</v>
      </c>
      <c r="C24" s="166"/>
      <c r="D24" s="517" t="s">
        <v>173</v>
      </c>
      <c r="E24" s="519">
        <v>32</v>
      </c>
      <c r="F24" s="521">
        <v>5937</v>
      </c>
      <c r="G24" s="523">
        <v>189984</v>
      </c>
      <c r="H24" s="351" t="s">
        <v>214</v>
      </c>
      <c r="I24" s="525">
        <v>2.4500000000000001E-2</v>
      </c>
      <c r="J24" s="223"/>
      <c r="K24" s="69" t="s">
        <v>96</v>
      </c>
    </row>
    <row r="25" spans="1:11" ht="15.6" customHeight="1">
      <c r="A25" s="69"/>
      <c r="B25" s="224" t="s">
        <v>198</v>
      </c>
      <c r="C25" s="225"/>
      <c r="D25" s="518"/>
      <c r="E25" s="520"/>
      <c r="F25" s="522"/>
      <c r="G25" s="524"/>
      <c r="H25" s="352" t="s">
        <v>196</v>
      </c>
      <c r="I25" s="526"/>
      <c r="J25" s="226"/>
      <c r="K25" s="69" t="s">
        <v>96</v>
      </c>
    </row>
    <row r="26" spans="1:11" ht="15.6" customHeight="1">
      <c r="A26" s="69"/>
      <c r="B26" s="222" t="s">
        <v>215</v>
      </c>
      <c r="C26" s="166"/>
      <c r="D26" s="517" t="s">
        <v>172</v>
      </c>
      <c r="E26" s="519">
        <v>1</v>
      </c>
      <c r="F26" s="521">
        <v>5346</v>
      </c>
      <c r="G26" s="523">
        <v>5346</v>
      </c>
      <c r="H26" s="351" t="s">
        <v>216</v>
      </c>
      <c r="I26" s="525">
        <v>5.9999999999999995E-4</v>
      </c>
      <c r="J26" s="223"/>
      <c r="K26" s="69" t="s">
        <v>96</v>
      </c>
    </row>
    <row r="27" spans="1:11" ht="15.6" customHeight="1">
      <c r="A27" s="69"/>
      <c r="B27" s="224" t="s">
        <v>198</v>
      </c>
      <c r="C27" s="225"/>
      <c r="D27" s="518"/>
      <c r="E27" s="520"/>
      <c r="F27" s="522"/>
      <c r="G27" s="524"/>
      <c r="H27" s="352" t="s">
        <v>196</v>
      </c>
      <c r="I27" s="526"/>
      <c r="J27" s="226"/>
      <c r="K27" s="69" t="s">
        <v>96</v>
      </c>
    </row>
    <row r="28" spans="1:11" ht="15.6" customHeight="1">
      <c r="A28" s="69"/>
      <c r="B28" s="222" t="s">
        <v>217</v>
      </c>
      <c r="C28" s="166"/>
      <c r="D28" s="517"/>
      <c r="E28" s="519"/>
      <c r="F28" s="521"/>
      <c r="G28" s="523">
        <v>5710000</v>
      </c>
      <c r="H28" s="351"/>
      <c r="I28" s="525">
        <v>0.73680000000000001</v>
      </c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525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218</v>
      </c>
      <c r="C32" s="166"/>
      <c r="D32" s="532"/>
      <c r="E32" s="519"/>
      <c r="F32" s="521"/>
      <c r="G32" s="523"/>
      <c r="H32" s="351"/>
      <c r="I32" s="525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219</v>
      </c>
      <c r="C34" s="166"/>
      <c r="D34" s="517" t="s">
        <v>172</v>
      </c>
      <c r="E34" s="519">
        <v>1</v>
      </c>
      <c r="F34" s="521">
        <v>880000</v>
      </c>
      <c r="G34" s="523">
        <v>880000</v>
      </c>
      <c r="H34" s="351"/>
      <c r="I34" s="525">
        <v>0.1135</v>
      </c>
      <c r="J34" s="223"/>
      <c r="K34" s="69" t="s">
        <v>96</v>
      </c>
    </row>
    <row r="35" spans="1:11" ht="15.6" customHeight="1">
      <c r="A35" s="69"/>
      <c r="B35" s="224" t="s">
        <v>198</v>
      </c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220</v>
      </c>
      <c r="C36" s="302"/>
      <c r="D36" s="517" t="s">
        <v>172</v>
      </c>
      <c r="E36" s="519">
        <v>1</v>
      </c>
      <c r="F36" s="521">
        <v>107000</v>
      </c>
      <c r="G36" s="523">
        <v>107000</v>
      </c>
      <c r="H36" s="351"/>
      <c r="I36" s="525">
        <v>1.38E-2</v>
      </c>
      <c r="J36" s="223"/>
      <c r="K36" s="69" t="s">
        <v>96</v>
      </c>
    </row>
    <row r="37" spans="1:11" ht="15.6" customHeight="1" thickBot="1">
      <c r="A37" s="69"/>
      <c r="B37" s="228" t="s">
        <v>198</v>
      </c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143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147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221</v>
      </c>
      <c r="C43" s="166"/>
      <c r="D43" s="517"/>
      <c r="E43" s="519"/>
      <c r="F43" s="521"/>
      <c r="G43" s="523">
        <v>987000</v>
      </c>
      <c r="H43" s="351"/>
      <c r="I43" s="525">
        <v>0.1273</v>
      </c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/>
      <c r="C45" s="166"/>
      <c r="D45" s="517"/>
      <c r="E45" s="519"/>
      <c r="F45" s="521"/>
      <c r="G45" s="523"/>
      <c r="H45" s="351"/>
      <c r="I45" s="525"/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 t="s">
        <v>222</v>
      </c>
      <c r="C47" s="166"/>
      <c r="D47" s="517"/>
      <c r="E47" s="519"/>
      <c r="F47" s="521"/>
      <c r="G47" s="523">
        <v>6697000</v>
      </c>
      <c r="H47" s="351"/>
      <c r="I47" s="525">
        <v>0.86409999999999998</v>
      </c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 t="s">
        <v>223</v>
      </c>
      <c r="C51" s="166"/>
      <c r="D51" s="517"/>
      <c r="E51" s="519"/>
      <c r="F51" s="521"/>
      <c r="G51" s="523">
        <v>1053000</v>
      </c>
      <c r="H51" s="351"/>
      <c r="I51" s="525">
        <v>0.13589999999999999</v>
      </c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 t="s">
        <v>130</v>
      </c>
      <c r="C55" s="166"/>
      <c r="D55" s="517"/>
      <c r="E55" s="519"/>
      <c r="F55" s="521"/>
      <c r="G55" s="523">
        <v>7750000</v>
      </c>
      <c r="H55" s="351"/>
      <c r="I55" s="525">
        <v>1</v>
      </c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DFA82-E289-41A5-B41D-D783A39F7959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225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154</v>
      </c>
      <c r="C6" s="166"/>
      <c r="D6" s="517" t="s">
        <v>169</v>
      </c>
      <c r="E6" s="519">
        <v>172.3</v>
      </c>
      <c r="F6" s="521">
        <v>6355</v>
      </c>
      <c r="G6" s="523">
        <v>1094966</v>
      </c>
      <c r="H6" s="351" t="s">
        <v>195</v>
      </c>
      <c r="I6" s="351"/>
      <c r="J6" s="223"/>
      <c r="K6" s="69" t="s">
        <v>96</v>
      </c>
    </row>
    <row r="7" spans="1:11" ht="15.6" customHeight="1">
      <c r="A7" s="69"/>
      <c r="B7" s="224" t="s">
        <v>168</v>
      </c>
      <c r="C7" s="225"/>
      <c r="D7" s="518"/>
      <c r="E7" s="520"/>
      <c r="F7" s="522"/>
      <c r="G7" s="524"/>
      <c r="H7" s="352" t="s">
        <v>196</v>
      </c>
      <c r="I7" s="352"/>
      <c r="J7" s="226"/>
      <c r="K7" s="69" t="s">
        <v>96</v>
      </c>
    </row>
    <row r="8" spans="1:11" ht="15.6" customHeight="1">
      <c r="A8" s="69"/>
      <c r="B8" s="222" t="s">
        <v>155</v>
      </c>
      <c r="C8" s="166"/>
      <c r="D8" s="517" t="s">
        <v>170</v>
      </c>
      <c r="E8" s="519">
        <v>287</v>
      </c>
      <c r="F8" s="521">
        <v>2857</v>
      </c>
      <c r="G8" s="523">
        <v>819959</v>
      </c>
      <c r="H8" s="351" t="s">
        <v>199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196</v>
      </c>
      <c r="I9" s="352"/>
      <c r="J9" s="227"/>
      <c r="K9" s="69" t="s">
        <v>96</v>
      </c>
    </row>
    <row r="10" spans="1:11" ht="15.6" customHeight="1">
      <c r="A10" s="69"/>
      <c r="B10" s="222" t="s">
        <v>156</v>
      </c>
      <c r="C10" s="166"/>
      <c r="D10" s="517" t="s">
        <v>170</v>
      </c>
      <c r="E10" s="519">
        <v>421</v>
      </c>
      <c r="F10" s="521">
        <v>2304</v>
      </c>
      <c r="G10" s="523">
        <v>969984</v>
      </c>
      <c r="H10" s="351" t="s">
        <v>201</v>
      </c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196</v>
      </c>
      <c r="I11" s="352"/>
      <c r="J11" s="226"/>
      <c r="K11" s="69" t="s">
        <v>96</v>
      </c>
    </row>
    <row r="12" spans="1:11" ht="15.6" customHeight="1">
      <c r="A12" s="69"/>
      <c r="B12" s="222" t="s">
        <v>157</v>
      </c>
      <c r="C12" s="166"/>
      <c r="D12" s="517" t="s">
        <v>170</v>
      </c>
      <c r="E12" s="519">
        <v>157</v>
      </c>
      <c r="F12" s="521">
        <v>5477</v>
      </c>
      <c r="G12" s="523">
        <v>859889</v>
      </c>
      <c r="H12" s="351" t="s">
        <v>203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196</v>
      </c>
      <c r="I13" s="352"/>
      <c r="J13" s="226"/>
      <c r="K13" s="69" t="s">
        <v>96</v>
      </c>
    </row>
    <row r="14" spans="1:11" ht="15.6" customHeight="1">
      <c r="A14" s="69"/>
      <c r="B14" s="222" t="s">
        <v>158</v>
      </c>
      <c r="C14" s="166"/>
      <c r="D14" s="517" t="s">
        <v>170</v>
      </c>
      <c r="E14" s="519">
        <v>131</v>
      </c>
      <c r="F14" s="521">
        <v>5954</v>
      </c>
      <c r="G14" s="523">
        <v>779974</v>
      </c>
      <c r="H14" s="351" t="s">
        <v>205</v>
      </c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196</v>
      </c>
      <c r="I15" s="352"/>
      <c r="J15" s="226"/>
      <c r="K15" s="69" t="s">
        <v>96</v>
      </c>
    </row>
    <row r="16" spans="1:11" ht="15.6" customHeight="1">
      <c r="A16" s="69"/>
      <c r="B16" s="222" t="s">
        <v>159</v>
      </c>
      <c r="C16" s="166"/>
      <c r="D16" s="517" t="s">
        <v>170</v>
      </c>
      <c r="E16" s="519">
        <v>61</v>
      </c>
      <c r="F16" s="521">
        <v>2786</v>
      </c>
      <c r="G16" s="523">
        <v>169946</v>
      </c>
      <c r="H16" s="351" t="s">
        <v>207</v>
      </c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 t="s">
        <v>196</v>
      </c>
      <c r="I17" s="352"/>
      <c r="J17" s="226"/>
      <c r="K17" s="69" t="s">
        <v>96</v>
      </c>
    </row>
    <row r="18" spans="1:11" ht="15.6" customHeight="1">
      <c r="A18" s="69"/>
      <c r="B18" s="222" t="s">
        <v>160</v>
      </c>
      <c r="C18" s="166"/>
      <c r="D18" s="517" t="s">
        <v>170</v>
      </c>
      <c r="E18" s="519">
        <v>53</v>
      </c>
      <c r="F18" s="521">
        <v>3584</v>
      </c>
      <c r="G18" s="523">
        <v>189952</v>
      </c>
      <c r="H18" s="351" t="s">
        <v>210</v>
      </c>
      <c r="I18" s="351"/>
      <c r="J18" s="223"/>
      <c r="K18" s="69" t="s">
        <v>96</v>
      </c>
    </row>
    <row r="19" spans="1:11" ht="15.6" customHeight="1">
      <c r="A19" s="69"/>
      <c r="B19" s="224" t="s">
        <v>171</v>
      </c>
      <c r="C19" s="225"/>
      <c r="D19" s="518"/>
      <c r="E19" s="520"/>
      <c r="F19" s="522"/>
      <c r="G19" s="524"/>
      <c r="H19" s="352" t="s">
        <v>196</v>
      </c>
      <c r="I19" s="352"/>
      <c r="J19" s="226"/>
      <c r="K19" s="69" t="s">
        <v>96</v>
      </c>
    </row>
    <row r="20" spans="1:11" ht="15.6" customHeight="1">
      <c r="A20" s="69"/>
      <c r="B20" s="222" t="s">
        <v>161</v>
      </c>
      <c r="C20" s="166"/>
      <c r="D20" s="517" t="s">
        <v>172</v>
      </c>
      <c r="E20" s="519">
        <v>1</v>
      </c>
      <c r="F20" s="521">
        <v>630000</v>
      </c>
      <c r="G20" s="523">
        <v>630000</v>
      </c>
      <c r="H20" s="351" t="s">
        <v>212</v>
      </c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 t="s">
        <v>196</v>
      </c>
      <c r="I21" s="352"/>
      <c r="J21" s="226"/>
      <c r="K21" s="69" t="s">
        <v>96</v>
      </c>
    </row>
    <row r="22" spans="1:11" ht="15.6" customHeight="1">
      <c r="A22" s="69"/>
      <c r="B22" s="222" t="s">
        <v>162</v>
      </c>
      <c r="C22" s="166"/>
      <c r="D22" s="517" t="s">
        <v>173</v>
      </c>
      <c r="E22" s="519">
        <v>32</v>
      </c>
      <c r="F22" s="521">
        <v>5937</v>
      </c>
      <c r="G22" s="523">
        <v>189984</v>
      </c>
      <c r="H22" s="351" t="s">
        <v>214</v>
      </c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 t="s">
        <v>196</v>
      </c>
      <c r="I23" s="352"/>
      <c r="J23" s="226"/>
      <c r="K23" s="69" t="s">
        <v>96</v>
      </c>
    </row>
    <row r="24" spans="1:11" ht="15.6" customHeight="1">
      <c r="A24" s="69"/>
      <c r="B24" s="222" t="s">
        <v>163</v>
      </c>
      <c r="C24" s="166"/>
      <c r="D24" s="517" t="s">
        <v>172</v>
      </c>
      <c r="E24" s="519">
        <v>1</v>
      </c>
      <c r="F24" s="521">
        <v>5346</v>
      </c>
      <c r="G24" s="523">
        <v>5346</v>
      </c>
      <c r="H24" s="351" t="s">
        <v>216</v>
      </c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 t="s">
        <v>196</v>
      </c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 t="s">
        <v>224</v>
      </c>
      <c r="C28" s="166"/>
      <c r="D28" s="517"/>
      <c r="E28" s="519"/>
      <c r="F28" s="521"/>
      <c r="G28" s="523">
        <v>5710000</v>
      </c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117"/>
  <sheetViews>
    <sheetView zoomScaleNormal="100" zoomScaleSheetLayoutView="85" workbookViewId="0">
      <pane xSplit="4" ySplit="4" topLeftCell="E9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24-0243  ★二級河川不動川　河川改修（国府橋架替）工事（その2）</v>
      </c>
      <c r="G1" s="306"/>
      <c r="H1" s="190" t="s">
        <v>139</v>
      </c>
      <c r="I1" s="333">
        <v>7750000</v>
      </c>
      <c r="J1" s="339">
        <f>I4/I$1</f>
        <v>0.86412903225806448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140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357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226</v>
      </c>
      <c r="D4" s="340" t="s">
        <v>185</v>
      </c>
      <c r="E4" s="342"/>
      <c r="F4" s="345" t="s">
        <v>172</v>
      </c>
      <c r="G4" s="308">
        <v>1</v>
      </c>
      <c r="H4" s="309">
        <v>6697000</v>
      </c>
      <c r="I4" s="309">
        <v>6697000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227</v>
      </c>
      <c r="D5" s="340" t="s">
        <v>228</v>
      </c>
      <c r="E5" s="342"/>
      <c r="F5" s="345" t="s">
        <v>172</v>
      </c>
      <c r="G5" s="308">
        <v>1</v>
      </c>
      <c r="H5" s="309">
        <v>5710000</v>
      </c>
      <c r="I5" s="309">
        <v>5710000</v>
      </c>
      <c r="J5" s="211"/>
      <c r="K5" s="212" t="str">
        <f>IF(OR(J5="",G5=J5),"","*")</f>
        <v/>
      </c>
      <c r="L5" s="338">
        <f>IF($A5&lt;=L$1,I5/I$4,"")</f>
        <v>0.85262057637748245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229</v>
      </c>
      <c r="D6" s="340" t="s">
        <v>230</v>
      </c>
      <c r="E6" s="342" t="s">
        <v>168</v>
      </c>
      <c r="F6" s="345" t="s">
        <v>169</v>
      </c>
      <c r="G6" s="308">
        <v>172.3</v>
      </c>
      <c r="H6" s="309">
        <v>6355</v>
      </c>
      <c r="I6" s="309">
        <v>1094966</v>
      </c>
      <c r="J6" s="211">
        <v>172.3</v>
      </c>
      <c r="K6" s="212" t="str">
        <f>IF(OR(J6="",G6=J6),"","*")</f>
        <v/>
      </c>
      <c r="L6" s="338">
        <f>IF($A6&lt;=L$1,I6/I$4,"")</f>
        <v>0.16350097058384352</v>
      </c>
      <c r="M6" s="343"/>
      <c r="N6" s="344" t="s">
        <v>231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181</v>
      </c>
      <c r="D7" s="340" t="s">
        <v>232</v>
      </c>
      <c r="E7" s="342" t="s">
        <v>233</v>
      </c>
      <c r="F7" s="345" t="s">
        <v>234</v>
      </c>
      <c r="G7" s="308">
        <v>15</v>
      </c>
      <c r="H7" s="309">
        <v>44000</v>
      </c>
      <c r="I7" s="309">
        <v>660000</v>
      </c>
      <c r="J7" s="211"/>
      <c r="K7" s="212" t="str">
        <f>IF(OR(J7="",G7=J7),"","*")</f>
        <v/>
      </c>
      <c r="L7" s="338">
        <f>IF($A7&lt;=L$1,I7/I$4,"")</f>
        <v>9.8551590264297453E-2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 t="s">
        <v>235</v>
      </c>
      <c r="AF7" s="341" t="s">
        <v>236</v>
      </c>
    </row>
    <row r="8" spans="1:32">
      <c r="A8" s="307">
        <v>3</v>
      </c>
      <c r="B8" s="342"/>
      <c r="C8" s="342" t="s">
        <v>180</v>
      </c>
      <c r="D8" s="340" t="s">
        <v>237</v>
      </c>
      <c r="E8" s="342" t="s">
        <v>238</v>
      </c>
      <c r="F8" s="345" t="s">
        <v>234</v>
      </c>
      <c r="G8" s="308">
        <v>1</v>
      </c>
      <c r="H8" s="309">
        <v>70000</v>
      </c>
      <c r="I8" s="309">
        <v>70000</v>
      </c>
      <c r="J8" s="211"/>
      <c r="K8" s="212" t="str">
        <f>IF(OR(J8="",G8=J8),"","*")</f>
        <v/>
      </c>
      <c r="L8" s="338">
        <f>IF($A8&lt;=L$1,I8/I$4,"")</f>
        <v>1.0452441391667911E-2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239</v>
      </c>
      <c r="AF8" s="341" t="s">
        <v>240</v>
      </c>
    </row>
    <row r="9" spans="1:32">
      <c r="A9" s="307">
        <v>3</v>
      </c>
      <c r="B9" s="342"/>
      <c r="C9" s="342" t="s">
        <v>181</v>
      </c>
      <c r="D9" s="340" t="s">
        <v>241</v>
      </c>
      <c r="E9" s="342"/>
      <c r="F9" s="345" t="s">
        <v>242</v>
      </c>
      <c r="G9" s="308">
        <v>89</v>
      </c>
      <c r="H9" s="309">
        <v>1000</v>
      </c>
      <c r="I9" s="309">
        <v>89000</v>
      </c>
      <c r="J9" s="211"/>
      <c r="K9" s="212" t="str">
        <f>IF(OR(J9="",G9=J9),"","*")</f>
        <v/>
      </c>
      <c r="L9" s="338">
        <f>IF($A9&lt;=L$1,I9/I$4,"")</f>
        <v>1.3289532626549201E-2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243</v>
      </c>
      <c r="AF9" s="341"/>
    </row>
    <row r="10" spans="1:32">
      <c r="A10" s="307">
        <v>3</v>
      </c>
      <c r="B10" s="342"/>
      <c r="C10" s="342" t="s">
        <v>181</v>
      </c>
      <c r="D10" s="340" t="s">
        <v>244</v>
      </c>
      <c r="E10" s="342"/>
      <c r="F10" s="345" t="s">
        <v>242</v>
      </c>
      <c r="G10" s="308">
        <v>269</v>
      </c>
      <c r="H10" s="309">
        <v>1000</v>
      </c>
      <c r="I10" s="309">
        <v>269000</v>
      </c>
      <c r="J10" s="211"/>
      <c r="K10" s="212" t="str">
        <f>IF(OR(J10="",G10=J10),"","*")</f>
        <v/>
      </c>
      <c r="L10" s="338">
        <f>IF($A10&lt;=L$1,I10/I$4,"")</f>
        <v>4.0167239062266685E-2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245</v>
      </c>
      <c r="AF10" s="341"/>
    </row>
    <row r="11" spans="1:32">
      <c r="A11" s="307">
        <v>3</v>
      </c>
      <c r="B11" s="342"/>
      <c r="C11" s="342" t="s">
        <v>177</v>
      </c>
      <c r="D11" s="340" t="s">
        <v>246</v>
      </c>
      <c r="E11" s="342"/>
      <c r="F11" s="345" t="s">
        <v>172</v>
      </c>
      <c r="G11" s="308">
        <v>1</v>
      </c>
      <c r="H11" s="309">
        <v>7000</v>
      </c>
      <c r="I11" s="309">
        <v>7000</v>
      </c>
      <c r="J11" s="211"/>
      <c r="K11" s="212" t="str">
        <f>IF(OR(J11="",G11=J11),"","*")</f>
        <v/>
      </c>
      <c r="L11" s="338">
        <f>IF($A11&lt;=L$1,I11/I$4,"")</f>
        <v>1.045244139166791E-3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 t="s">
        <v>247</v>
      </c>
      <c r="AF11" s="341"/>
    </row>
    <row r="12" spans="1:32">
      <c r="A12" s="307">
        <v>2</v>
      </c>
      <c r="B12" s="342"/>
      <c r="C12" s="342" t="s">
        <v>229</v>
      </c>
      <c r="D12" s="340" t="s">
        <v>248</v>
      </c>
      <c r="E12" s="342"/>
      <c r="F12" s="345" t="s">
        <v>170</v>
      </c>
      <c r="G12" s="308">
        <v>287</v>
      </c>
      <c r="H12" s="309">
        <v>2857</v>
      </c>
      <c r="I12" s="309">
        <v>819959</v>
      </c>
      <c r="J12" s="211">
        <v>287</v>
      </c>
      <c r="K12" s="212" t="str">
        <f>IF(OR(J12="",G12=J12),"","*")</f>
        <v/>
      </c>
      <c r="L12" s="338">
        <f>IF($A12&lt;=L$1,I12/I$4,"")</f>
        <v>0.12243676272958041</v>
      </c>
      <c r="M12" s="343"/>
      <c r="N12" s="344" t="s">
        <v>249</v>
      </c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/>
    </row>
    <row r="13" spans="1:32">
      <c r="A13" s="307">
        <v>3</v>
      </c>
      <c r="B13" s="342"/>
      <c r="C13" s="342" t="s">
        <v>177</v>
      </c>
      <c r="D13" s="340" t="s">
        <v>250</v>
      </c>
      <c r="E13" s="342" t="s">
        <v>251</v>
      </c>
      <c r="F13" s="345" t="s">
        <v>242</v>
      </c>
      <c r="G13" s="308">
        <v>37</v>
      </c>
      <c r="H13" s="309">
        <v>11100</v>
      </c>
      <c r="I13" s="309">
        <v>410700</v>
      </c>
      <c r="J13" s="211"/>
      <c r="K13" s="212" t="str">
        <f>IF(OR(J13="",G13=J13),"","*")</f>
        <v/>
      </c>
      <c r="L13" s="338">
        <f>IF($A13&lt;=L$1,I13/I$4,"")</f>
        <v>6.132596685082873E-2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252</v>
      </c>
      <c r="AF13" s="341" t="s">
        <v>253</v>
      </c>
    </row>
    <row r="14" spans="1:32">
      <c r="A14" s="307">
        <v>3</v>
      </c>
      <c r="B14" s="342"/>
      <c r="C14" s="342" t="s">
        <v>177</v>
      </c>
      <c r="D14" s="340" t="s">
        <v>254</v>
      </c>
      <c r="E14" s="342" t="s">
        <v>255</v>
      </c>
      <c r="F14" s="345" t="s">
        <v>242</v>
      </c>
      <c r="G14" s="308">
        <v>125</v>
      </c>
      <c r="H14" s="309">
        <v>700</v>
      </c>
      <c r="I14" s="309">
        <v>87500</v>
      </c>
      <c r="J14" s="211"/>
      <c r="K14" s="212" t="str">
        <f>IF(OR(J14="",G14=J14),"","*")</f>
        <v/>
      </c>
      <c r="L14" s="338">
        <f>IF($A14&lt;=L$1,I14/I$4,"")</f>
        <v>1.3065551739584888E-2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256</v>
      </c>
      <c r="AF14" s="341" t="s">
        <v>257</v>
      </c>
    </row>
    <row r="15" spans="1:32">
      <c r="A15" s="307">
        <v>3</v>
      </c>
      <c r="B15" s="342"/>
      <c r="C15" s="342" t="s">
        <v>177</v>
      </c>
      <c r="D15" s="340" t="s">
        <v>258</v>
      </c>
      <c r="E15" s="342"/>
      <c r="F15" s="345" t="s">
        <v>259</v>
      </c>
      <c r="G15" s="308">
        <v>400</v>
      </c>
      <c r="H15" s="309">
        <v>99</v>
      </c>
      <c r="I15" s="309">
        <v>39600</v>
      </c>
      <c r="J15" s="211"/>
      <c r="K15" s="212" t="str">
        <f>IF(OR(J15="",G15=J15),"","*")</f>
        <v/>
      </c>
      <c r="L15" s="338">
        <f>IF($A15&lt;=L$1,I15/I$4,"")</f>
        <v>5.9130954158578466E-3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260</v>
      </c>
      <c r="AF15" s="341" t="s">
        <v>261</v>
      </c>
    </row>
    <row r="16" spans="1:32">
      <c r="A16" s="307">
        <v>3</v>
      </c>
      <c r="B16" s="342"/>
      <c r="C16" s="342" t="s">
        <v>177</v>
      </c>
      <c r="D16" s="340" t="s">
        <v>262</v>
      </c>
      <c r="E16" s="342" t="s">
        <v>263</v>
      </c>
      <c r="F16" s="345" t="s">
        <v>169</v>
      </c>
      <c r="G16" s="308">
        <v>0.5</v>
      </c>
      <c r="H16" s="309">
        <v>5400</v>
      </c>
      <c r="I16" s="309">
        <v>2700</v>
      </c>
      <c r="J16" s="211"/>
      <c r="K16" s="212" t="str">
        <f>IF(OR(J16="",G16=J16),"","*")</f>
        <v/>
      </c>
      <c r="L16" s="338">
        <f>IF($A16&lt;=L$1,I16/I$4,"")</f>
        <v>4.0316559653576228E-4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264</v>
      </c>
      <c r="AF16" s="341"/>
    </row>
    <row r="17" spans="1:32">
      <c r="A17" s="307">
        <v>3</v>
      </c>
      <c r="B17" s="342"/>
      <c r="C17" s="342" t="s">
        <v>177</v>
      </c>
      <c r="D17" s="340" t="s">
        <v>265</v>
      </c>
      <c r="E17" s="342"/>
      <c r="F17" s="345" t="s">
        <v>259</v>
      </c>
      <c r="G17" s="308">
        <v>100</v>
      </c>
      <c r="H17" s="309">
        <v>150</v>
      </c>
      <c r="I17" s="309">
        <v>15000</v>
      </c>
      <c r="J17" s="211"/>
      <c r="K17" s="212" t="str">
        <f>IF(OR(J17="",G17=J17),"","*")</f>
        <v/>
      </c>
      <c r="L17" s="338">
        <f>IF($A17&lt;=L$1,I17/I$4,"")</f>
        <v>2.2398088696431238E-3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266</v>
      </c>
      <c r="AF17" s="341" t="s">
        <v>267</v>
      </c>
    </row>
    <row r="18" spans="1:32">
      <c r="A18" s="307">
        <v>3</v>
      </c>
      <c r="B18" s="342"/>
      <c r="C18" s="342" t="s">
        <v>177</v>
      </c>
      <c r="D18" s="340" t="s">
        <v>246</v>
      </c>
      <c r="E18" s="342"/>
      <c r="F18" s="345" t="s">
        <v>172</v>
      </c>
      <c r="G18" s="308">
        <v>1</v>
      </c>
      <c r="H18" s="309">
        <v>10000</v>
      </c>
      <c r="I18" s="309">
        <v>10000</v>
      </c>
      <c r="J18" s="211"/>
      <c r="K18" s="212" t="str">
        <f>IF(OR(J18="",G18=J18),"","*")</f>
        <v/>
      </c>
      <c r="L18" s="338">
        <f>IF($A18&lt;=L$1,I18/I$4,"")</f>
        <v>1.493205913095416E-3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247</v>
      </c>
      <c r="AF18" s="341"/>
    </row>
    <row r="19" spans="1:32">
      <c r="A19" s="307">
        <v>3</v>
      </c>
      <c r="B19" s="342"/>
      <c r="C19" s="342" t="s">
        <v>178</v>
      </c>
      <c r="D19" s="340" t="s">
        <v>268</v>
      </c>
      <c r="E19" s="342"/>
      <c r="F19" s="345" t="s">
        <v>269</v>
      </c>
      <c r="G19" s="308">
        <v>7</v>
      </c>
      <c r="H19" s="309">
        <v>23000</v>
      </c>
      <c r="I19" s="309">
        <v>161000</v>
      </c>
      <c r="J19" s="211"/>
      <c r="K19" s="212" t="str">
        <f>IF(OR(J19="",G19=J19),"","*")</f>
        <v/>
      </c>
      <c r="L19" s="338">
        <f>IF($A19&lt;=L$1,I19/I$4,"")</f>
        <v>2.4040615200836196E-2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270</v>
      </c>
      <c r="AF19" s="341" t="s">
        <v>271</v>
      </c>
    </row>
    <row r="20" spans="1:32">
      <c r="A20" s="307">
        <v>3</v>
      </c>
      <c r="B20" s="342"/>
      <c r="C20" s="342" t="s">
        <v>180</v>
      </c>
      <c r="D20" s="340" t="s">
        <v>272</v>
      </c>
      <c r="E20" s="342"/>
      <c r="F20" s="345" t="s">
        <v>234</v>
      </c>
      <c r="G20" s="308">
        <v>1</v>
      </c>
      <c r="H20" s="309">
        <v>5000</v>
      </c>
      <c r="I20" s="309">
        <v>5000</v>
      </c>
      <c r="J20" s="211"/>
      <c r="K20" s="212" t="str">
        <f>IF(OR(J20="",G20=J20),"","*")</f>
        <v/>
      </c>
      <c r="L20" s="338">
        <f>IF($A20&lt;=L$1,I20/I$4,"")</f>
        <v>7.4660295654770798E-4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273</v>
      </c>
      <c r="AF20" s="341" t="s">
        <v>240</v>
      </c>
    </row>
    <row r="21" spans="1:32">
      <c r="A21" s="307">
        <v>3</v>
      </c>
      <c r="B21" s="342"/>
      <c r="C21" s="342" t="s">
        <v>180</v>
      </c>
      <c r="D21" s="340" t="s">
        <v>274</v>
      </c>
      <c r="E21" s="342" t="s">
        <v>275</v>
      </c>
      <c r="F21" s="345" t="s">
        <v>234</v>
      </c>
      <c r="G21" s="308">
        <v>1</v>
      </c>
      <c r="H21" s="309">
        <v>5500</v>
      </c>
      <c r="I21" s="309">
        <v>5500</v>
      </c>
      <c r="J21" s="211"/>
      <c r="K21" s="212" t="str">
        <f>IF(OR(J21="",G21=J21),"","*")</f>
        <v/>
      </c>
      <c r="L21" s="338">
        <f>IF($A21&lt;=L$1,I21/I$4,"")</f>
        <v>8.2126325220247876E-4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276</v>
      </c>
      <c r="AF21" s="341" t="s">
        <v>240</v>
      </c>
    </row>
    <row r="22" spans="1:32">
      <c r="A22" s="307">
        <v>3</v>
      </c>
      <c r="B22" s="342"/>
      <c r="C22" s="342" t="s">
        <v>180</v>
      </c>
      <c r="D22" s="340" t="s">
        <v>277</v>
      </c>
      <c r="E22" s="342" t="s">
        <v>278</v>
      </c>
      <c r="F22" s="345" t="s">
        <v>234</v>
      </c>
      <c r="G22" s="308">
        <v>1</v>
      </c>
      <c r="H22" s="309">
        <v>4000</v>
      </c>
      <c r="I22" s="309">
        <v>4000</v>
      </c>
      <c r="J22" s="211"/>
      <c r="K22" s="212" t="str">
        <f>IF(OR(J22="",G22=J22),"","*")</f>
        <v/>
      </c>
      <c r="L22" s="338">
        <f>IF($A22&lt;=L$1,I22/I$4,"")</f>
        <v>5.9728236523816629E-4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279</v>
      </c>
      <c r="AF22" s="341" t="s">
        <v>240</v>
      </c>
    </row>
    <row r="23" spans="1:32">
      <c r="A23" s="307">
        <v>3</v>
      </c>
      <c r="B23" s="342"/>
      <c r="C23" s="342" t="s">
        <v>180</v>
      </c>
      <c r="D23" s="340" t="s">
        <v>274</v>
      </c>
      <c r="E23" s="342" t="s">
        <v>280</v>
      </c>
      <c r="F23" s="345" t="s">
        <v>234</v>
      </c>
      <c r="G23" s="308">
        <v>1</v>
      </c>
      <c r="H23" s="309">
        <v>4000</v>
      </c>
      <c r="I23" s="309">
        <v>4000</v>
      </c>
      <c r="J23" s="211"/>
      <c r="K23" s="212" t="str">
        <f>IF(OR(J23="",G23=J23),"","*")</f>
        <v/>
      </c>
      <c r="L23" s="338">
        <f>IF($A23&lt;=L$1,I23/I$4,"")</f>
        <v>5.9728236523816629E-4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281</v>
      </c>
      <c r="AF23" s="341" t="s">
        <v>240</v>
      </c>
    </row>
    <row r="24" spans="1:32">
      <c r="A24" s="307">
        <v>3</v>
      </c>
      <c r="B24" s="342"/>
      <c r="C24" s="342" t="s">
        <v>180</v>
      </c>
      <c r="D24" s="340" t="s">
        <v>282</v>
      </c>
      <c r="E24" s="342"/>
      <c r="F24" s="345" t="s">
        <v>234</v>
      </c>
      <c r="G24" s="308">
        <v>1</v>
      </c>
      <c r="H24" s="309">
        <v>3000</v>
      </c>
      <c r="I24" s="309">
        <v>3000</v>
      </c>
      <c r="J24" s="211"/>
      <c r="K24" s="212" t="str">
        <f>IF(OR(J24="",G24=J24),"","*")</f>
        <v/>
      </c>
      <c r="L24" s="338">
        <f>IF($A24&lt;=L$1,I24/I$4,"")</f>
        <v>4.4796177392862478E-4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283</v>
      </c>
      <c r="AF24" s="341" t="s">
        <v>240</v>
      </c>
    </row>
    <row r="25" spans="1:32">
      <c r="A25" s="307">
        <v>3</v>
      </c>
      <c r="B25" s="342"/>
      <c r="C25" s="342" t="s">
        <v>180</v>
      </c>
      <c r="D25" s="340" t="s">
        <v>284</v>
      </c>
      <c r="E25" s="342"/>
      <c r="F25" s="345" t="s">
        <v>234</v>
      </c>
      <c r="G25" s="308">
        <v>1</v>
      </c>
      <c r="H25" s="309">
        <v>50000</v>
      </c>
      <c r="I25" s="309">
        <v>50000</v>
      </c>
      <c r="J25" s="211"/>
      <c r="K25" s="212" t="str">
        <f>IF(OR(J25="",G25=J25),"","*")</f>
        <v/>
      </c>
      <c r="L25" s="338">
        <f>IF($A25&lt;=L$1,I25/I$4,"")</f>
        <v>7.4660295654770791E-3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285</v>
      </c>
      <c r="AF25" s="341" t="s">
        <v>240</v>
      </c>
    </row>
    <row r="26" spans="1:32">
      <c r="A26" s="307">
        <v>3</v>
      </c>
      <c r="B26" s="342"/>
      <c r="C26" s="342" t="s">
        <v>181</v>
      </c>
      <c r="D26" s="340" t="s">
        <v>286</v>
      </c>
      <c r="E26" s="342"/>
      <c r="F26" s="345" t="s">
        <v>234</v>
      </c>
      <c r="G26" s="308">
        <v>2</v>
      </c>
      <c r="H26" s="309">
        <v>7000</v>
      </c>
      <c r="I26" s="309">
        <v>14000</v>
      </c>
      <c r="J26" s="211"/>
      <c r="K26" s="212" t="str">
        <f>IF(OR(J26="",G26=J26),"","*")</f>
        <v/>
      </c>
      <c r="L26" s="338">
        <f>IF($A26&lt;=L$1,I26/I$4,"")</f>
        <v>2.090488278333582E-3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287</v>
      </c>
      <c r="AF26" s="341" t="s">
        <v>288</v>
      </c>
    </row>
    <row r="27" spans="1:32">
      <c r="A27" s="307">
        <v>3</v>
      </c>
      <c r="B27" s="342"/>
      <c r="C27" s="342" t="s">
        <v>181</v>
      </c>
      <c r="D27" s="340" t="s">
        <v>289</v>
      </c>
      <c r="E27" s="342" t="s">
        <v>290</v>
      </c>
      <c r="F27" s="345" t="s">
        <v>234</v>
      </c>
      <c r="G27" s="308">
        <v>2</v>
      </c>
      <c r="H27" s="309">
        <v>4000</v>
      </c>
      <c r="I27" s="309">
        <v>8000</v>
      </c>
      <c r="J27" s="211"/>
      <c r="K27" s="212" t="str">
        <f>IF(OR(J27="",G27=J27),"","*")</f>
        <v/>
      </c>
      <c r="L27" s="338">
        <f>IF($A27&lt;=L$1,I27/I$4,"")</f>
        <v>1.1945647304763326E-3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291</v>
      </c>
      <c r="AF27" s="341" t="s">
        <v>288</v>
      </c>
    </row>
    <row r="28" spans="1:32">
      <c r="A28" s="307">
        <v>2</v>
      </c>
      <c r="B28" s="342"/>
      <c r="C28" s="342" t="s">
        <v>229</v>
      </c>
      <c r="D28" s="340" t="s">
        <v>292</v>
      </c>
      <c r="E28" s="342"/>
      <c r="F28" s="345" t="s">
        <v>170</v>
      </c>
      <c r="G28" s="308">
        <v>421</v>
      </c>
      <c r="H28" s="309">
        <v>2304</v>
      </c>
      <c r="I28" s="309">
        <v>969984</v>
      </c>
      <c r="J28" s="211">
        <v>421</v>
      </c>
      <c r="K28" s="212" t="str">
        <f>IF(OR(J28="",G28=J28),"","*")</f>
        <v/>
      </c>
      <c r="L28" s="338">
        <f>IF($A28&lt;=L$1,I28/I$4,"")</f>
        <v>0.14483858444079439</v>
      </c>
      <c r="M28" s="343"/>
      <c r="N28" s="344" t="s">
        <v>293</v>
      </c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/>
      <c r="AF28" s="341"/>
    </row>
    <row r="29" spans="1:32">
      <c r="A29" s="307">
        <v>3</v>
      </c>
      <c r="B29" s="342"/>
      <c r="C29" s="342" t="s">
        <v>177</v>
      </c>
      <c r="D29" s="340" t="s">
        <v>250</v>
      </c>
      <c r="E29" s="342" t="s">
        <v>251</v>
      </c>
      <c r="F29" s="345" t="s">
        <v>242</v>
      </c>
      <c r="G29" s="308">
        <v>54</v>
      </c>
      <c r="H29" s="309">
        <v>11100</v>
      </c>
      <c r="I29" s="309">
        <v>599400</v>
      </c>
      <c r="J29" s="211"/>
      <c r="K29" s="212" t="str">
        <f>IF(OR(J29="",G29=J29),"","*")</f>
        <v/>
      </c>
      <c r="L29" s="338">
        <f>IF($A29&lt;=L$1,I29/I$4,"")</f>
        <v>8.9502762430939228E-2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252</v>
      </c>
      <c r="AF29" s="341" t="s">
        <v>294</v>
      </c>
    </row>
    <row r="30" spans="1:32">
      <c r="A30" s="307">
        <v>3</v>
      </c>
      <c r="B30" s="342"/>
      <c r="C30" s="342" t="s">
        <v>177</v>
      </c>
      <c r="D30" s="340" t="s">
        <v>254</v>
      </c>
      <c r="E30" s="342" t="s">
        <v>255</v>
      </c>
      <c r="F30" s="345" t="s">
        <v>242</v>
      </c>
      <c r="G30" s="308">
        <v>91</v>
      </c>
      <c r="H30" s="309">
        <v>700</v>
      </c>
      <c r="I30" s="309">
        <v>63700</v>
      </c>
      <c r="J30" s="211"/>
      <c r="K30" s="212" t="str">
        <f>IF(OR(J30="",G30=J30),"","*")</f>
        <v/>
      </c>
      <c r="L30" s="338">
        <f>IF($A30&lt;=L$1,I30/I$4,"")</f>
        <v>9.5117216664177984E-3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256</v>
      </c>
      <c r="AF30" s="341" t="s">
        <v>295</v>
      </c>
    </row>
    <row r="31" spans="1:32">
      <c r="A31" s="307">
        <v>3</v>
      </c>
      <c r="B31" s="342"/>
      <c r="C31" s="342" t="s">
        <v>177</v>
      </c>
      <c r="D31" s="340" t="s">
        <v>296</v>
      </c>
      <c r="E31" s="342"/>
      <c r="F31" s="345" t="s">
        <v>242</v>
      </c>
      <c r="G31" s="308">
        <v>140</v>
      </c>
      <c r="H31" s="309">
        <v>200</v>
      </c>
      <c r="I31" s="309">
        <v>28000</v>
      </c>
      <c r="J31" s="211"/>
      <c r="K31" s="212" t="str">
        <f>IF(OR(J31="",G31=J31),"","*")</f>
        <v/>
      </c>
      <c r="L31" s="338">
        <f>IF($A31&lt;=L$1,I31/I$4,"")</f>
        <v>4.1809765566671641E-3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297</v>
      </c>
      <c r="AF31" s="341" t="s">
        <v>298</v>
      </c>
    </row>
    <row r="32" spans="1:32">
      <c r="A32" s="307">
        <v>3</v>
      </c>
      <c r="B32" s="342"/>
      <c r="C32" s="342" t="s">
        <v>177</v>
      </c>
      <c r="D32" s="340" t="s">
        <v>258</v>
      </c>
      <c r="E32" s="342"/>
      <c r="F32" s="345" t="s">
        <v>259</v>
      </c>
      <c r="G32" s="308">
        <v>550</v>
      </c>
      <c r="H32" s="309">
        <v>99</v>
      </c>
      <c r="I32" s="309">
        <v>54450</v>
      </c>
      <c r="J32" s="211"/>
      <c r="K32" s="212" t="str">
        <f>IF(OR(J32="",G32=J32),"","*")</f>
        <v/>
      </c>
      <c r="L32" s="338">
        <f>IF($A32&lt;=L$1,I32/I$4,"")</f>
        <v>8.1305061968045388E-3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260</v>
      </c>
      <c r="AF32" s="341" t="s">
        <v>299</v>
      </c>
    </row>
    <row r="33" spans="1:32">
      <c r="A33" s="307">
        <v>3</v>
      </c>
      <c r="B33" s="342"/>
      <c r="C33" s="342" t="s">
        <v>177</v>
      </c>
      <c r="D33" s="340" t="s">
        <v>262</v>
      </c>
      <c r="E33" s="342" t="s">
        <v>263</v>
      </c>
      <c r="F33" s="345" t="s">
        <v>169</v>
      </c>
      <c r="G33" s="308">
        <v>0.5</v>
      </c>
      <c r="H33" s="309">
        <v>5400</v>
      </c>
      <c r="I33" s="309">
        <v>2700</v>
      </c>
      <c r="J33" s="211"/>
      <c r="K33" s="212" t="str">
        <f>IF(OR(J33="",G33=J33),"","*")</f>
        <v/>
      </c>
      <c r="L33" s="338">
        <f>IF($A33&lt;=L$1,I33/I$4,"")</f>
        <v>4.0316559653576228E-4</v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264</v>
      </c>
      <c r="AF33" s="341"/>
    </row>
    <row r="34" spans="1:32">
      <c r="A34" s="307">
        <v>3</v>
      </c>
      <c r="B34" s="342"/>
      <c r="C34" s="342" t="s">
        <v>177</v>
      </c>
      <c r="D34" s="340" t="s">
        <v>265</v>
      </c>
      <c r="E34" s="342"/>
      <c r="F34" s="345" t="s">
        <v>259</v>
      </c>
      <c r="G34" s="308">
        <v>100</v>
      </c>
      <c r="H34" s="309">
        <v>150</v>
      </c>
      <c r="I34" s="309">
        <v>15000</v>
      </c>
      <c r="J34" s="211"/>
      <c r="K34" s="212" t="str">
        <f>IF(OR(J34="",G34=J34),"","*")</f>
        <v/>
      </c>
      <c r="L34" s="338">
        <f>IF($A34&lt;=L$1,I34/I$4,"")</f>
        <v>2.2398088696431238E-3</v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266</v>
      </c>
      <c r="AF34" s="341" t="s">
        <v>267</v>
      </c>
    </row>
    <row r="35" spans="1:32">
      <c r="A35" s="307">
        <v>3</v>
      </c>
      <c r="B35" s="342"/>
      <c r="C35" s="342" t="s">
        <v>177</v>
      </c>
      <c r="D35" s="340" t="s">
        <v>246</v>
      </c>
      <c r="E35" s="342"/>
      <c r="F35" s="345" t="s">
        <v>172</v>
      </c>
      <c r="G35" s="308">
        <v>1</v>
      </c>
      <c r="H35" s="309">
        <v>2250</v>
      </c>
      <c r="I35" s="309">
        <v>2250</v>
      </c>
      <c r="J35" s="211"/>
      <c r="K35" s="212" t="str">
        <f>IF(OR(J35="",G35=J35),"","*")</f>
        <v/>
      </c>
      <c r="L35" s="338">
        <f>IF($A35&lt;=L$1,I35/I$4,"")</f>
        <v>3.359713304464686E-4</v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247</v>
      </c>
      <c r="AF35" s="341"/>
    </row>
    <row r="36" spans="1:32">
      <c r="A36" s="307">
        <v>3</v>
      </c>
      <c r="B36" s="342"/>
      <c r="C36" s="342" t="s">
        <v>178</v>
      </c>
      <c r="D36" s="340" t="s">
        <v>268</v>
      </c>
      <c r="E36" s="342"/>
      <c r="F36" s="345" t="s">
        <v>269</v>
      </c>
      <c r="G36" s="308">
        <v>7</v>
      </c>
      <c r="H36" s="309">
        <v>23000</v>
      </c>
      <c r="I36" s="309">
        <v>161000</v>
      </c>
      <c r="J36" s="211"/>
      <c r="K36" s="212" t="str">
        <f>IF(OR(J36="",G36=J36),"","*")</f>
        <v/>
      </c>
      <c r="L36" s="338">
        <f>IF($A36&lt;=L$1,I36/I$4,"")</f>
        <v>2.4040615200836196E-2</v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270</v>
      </c>
      <c r="AF36" s="341" t="s">
        <v>271</v>
      </c>
    </row>
    <row r="37" spans="1:32">
      <c r="A37" s="307">
        <v>3</v>
      </c>
      <c r="B37" s="342"/>
      <c r="C37" s="342" t="s">
        <v>180</v>
      </c>
      <c r="D37" s="340" t="s">
        <v>272</v>
      </c>
      <c r="E37" s="342"/>
      <c r="F37" s="345" t="s">
        <v>234</v>
      </c>
      <c r="G37" s="308">
        <v>1</v>
      </c>
      <c r="H37" s="309">
        <v>5000</v>
      </c>
      <c r="I37" s="309">
        <v>5000</v>
      </c>
      <c r="J37" s="211"/>
      <c r="K37" s="212" t="str">
        <f>IF(OR(J37="",G37=J37),"","*")</f>
        <v/>
      </c>
      <c r="L37" s="338">
        <f>IF($A37&lt;=L$1,I37/I$4,"")</f>
        <v>7.4660295654770798E-4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273</v>
      </c>
      <c r="AF37" s="341" t="s">
        <v>240</v>
      </c>
    </row>
    <row r="38" spans="1:32">
      <c r="A38" s="307">
        <v>3</v>
      </c>
      <c r="B38" s="342"/>
      <c r="C38" s="342" t="s">
        <v>180</v>
      </c>
      <c r="D38" s="340" t="s">
        <v>274</v>
      </c>
      <c r="E38" s="342" t="s">
        <v>275</v>
      </c>
      <c r="F38" s="345" t="s">
        <v>234</v>
      </c>
      <c r="G38" s="308">
        <v>1</v>
      </c>
      <c r="H38" s="309">
        <v>5500</v>
      </c>
      <c r="I38" s="309">
        <v>5500</v>
      </c>
      <c r="J38" s="211"/>
      <c r="K38" s="212" t="str">
        <f>IF(OR(J38="",G38=J38),"","*")</f>
        <v/>
      </c>
      <c r="L38" s="338">
        <f>IF($A38&lt;=L$1,I38/I$4,"")</f>
        <v>8.2126325220247876E-4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276</v>
      </c>
      <c r="AF38" s="341" t="s">
        <v>240</v>
      </c>
    </row>
    <row r="39" spans="1:32">
      <c r="A39" s="307">
        <v>3</v>
      </c>
      <c r="B39" s="342"/>
      <c r="C39" s="342" t="s">
        <v>180</v>
      </c>
      <c r="D39" s="340" t="s">
        <v>277</v>
      </c>
      <c r="E39" s="342" t="s">
        <v>278</v>
      </c>
      <c r="F39" s="345" t="s">
        <v>234</v>
      </c>
      <c r="G39" s="308">
        <v>1</v>
      </c>
      <c r="H39" s="309">
        <v>4000</v>
      </c>
      <c r="I39" s="309">
        <v>4000</v>
      </c>
      <c r="J39" s="211"/>
      <c r="K39" s="212" t="str">
        <f>IF(OR(J39="",G39=J39),"","*")</f>
        <v/>
      </c>
      <c r="L39" s="338">
        <f>IF($A39&lt;=L$1,I39/I$4,"")</f>
        <v>5.9728236523816629E-4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279</v>
      </c>
      <c r="AF39" s="341" t="s">
        <v>240</v>
      </c>
    </row>
    <row r="40" spans="1:32">
      <c r="A40" s="307">
        <v>3</v>
      </c>
      <c r="B40" s="342"/>
      <c r="C40" s="342" t="s">
        <v>180</v>
      </c>
      <c r="D40" s="340" t="s">
        <v>274</v>
      </c>
      <c r="E40" s="342" t="s">
        <v>280</v>
      </c>
      <c r="F40" s="345" t="s">
        <v>234</v>
      </c>
      <c r="G40" s="308">
        <v>1</v>
      </c>
      <c r="H40" s="309">
        <v>4000</v>
      </c>
      <c r="I40" s="309">
        <v>4000</v>
      </c>
      <c r="J40" s="211"/>
      <c r="K40" s="212" t="str">
        <f>IF(OR(J40="",G40=J40),"","*")</f>
        <v/>
      </c>
      <c r="L40" s="338">
        <f>IF($A40&lt;=L$1,I40/I$4,"")</f>
        <v>5.9728236523816629E-4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281</v>
      </c>
      <c r="AF40" s="341" t="s">
        <v>240</v>
      </c>
    </row>
    <row r="41" spans="1:32">
      <c r="A41" s="307">
        <v>3</v>
      </c>
      <c r="B41" s="342"/>
      <c r="C41" s="342" t="s">
        <v>180</v>
      </c>
      <c r="D41" s="340" t="s">
        <v>282</v>
      </c>
      <c r="E41" s="342"/>
      <c r="F41" s="345" t="s">
        <v>234</v>
      </c>
      <c r="G41" s="308">
        <v>1</v>
      </c>
      <c r="H41" s="309">
        <v>3000</v>
      </c>
      <c r="I41" s="309">
        <v>3000</v>
      </c>
      <c r="J41" s="211"/>
      <c r="K41" s="212" t="str">
        <f>IF(OR(J41="",G41=J41),"","*")</f>
        <v/>
      </c>
      <c r="L41" s="338">
        <f>IF($A41&lt;=L$1,I41/I$4,"")</f>
        <v>4.4796177392862478E-4</v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 t="s">
        <v>283</v>
      </c>
      <c r="AF41" s="341" t="s">
        <v>240</v>
      </c>
    </row>
    <row r="42" spans="1:32">
      <c r="A42" s="307">
        <v>3</v>
      </c>
      <c r="B42" s="342"/>
      <c r="C42" s="342" t="s">
        <v>181</v>
      </c>
      <c r="D42" s="340" t="s">
        <v>286</v>
      </c>
      <c r="E42" s="342"/>
      <c r="F42" s="345" t="s">
        <v>234</v>
      </c>
      <c r="G42" s="308">
        <v>2</v>
      </c>
      <c r="H42" s="309">
        <v>7000</v>
      </c>
      <c r="I42" s="309">
        <v>14000</v>
      </c>
      <c r="J42" s="211"/>
      <c r="K42" s="212" t="str">
        <f>IF(OR(J42="",G42=J42),"","*")</f>
        <v/>
      </c>
      <c r="L42" s="338">
        <f>IF($A42&lt;=L$1,I42/I$4,"")</f>
        <v>2.090488278333582E-3</v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287</v>
      </c>
      <c r="AF42" s="341" t="s">
        <v>288</v>
      </c>
    </row>
    <row r="43" spans="1:32">
      <c r="A43" s="307">
        <v>3</v>
      </c>
      <c r="B43" s="342"/>
      <c r="C43" s="342" t="s">
        <v>181</v>
      </c>
      <c r="D43" s="340" t="s">
        <v>289</v>
      </c>
      <c r="E43" s="342" t="s">
        <v>290</v>
      </c>
      <c r="F43" s="345" t="s">
        <v>234</v>
      </c>
      <c r="G43" s="308">
        <v>2</v>
      </c>
      <c r="H43" s="309">
        <v>4000</v>
      </c>
      <c r="I43" s="309">
        <v>8000</v>
      </c>
      <c r="J43" s="211"/>
      <c r="K43" s="212" t="str">
        <f>IF(OR(J43="",G43=J43),"","*")</f>
        <v/>
      </c>
      <c r="L43" s="338">
        <f>IF($A43&lt;=L$1,I43/I$4,"")</f>
        <v>1.1945647304763326E-3</v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291</v>
      </c>
      <c r="AF43" s="341" t="s">
        <v>288</v>
      </c>
    </row>
    <row r="44" spans="1:32">
      <c r="A44" s="307">
        <v>2</v>
      </c>
      <c r="B44" s="342"/>
      <c r="C44" s="342" t="s">
        <v>229</v>
      </c>
      <c r="D44" s="340" t="s">
        <v>300</v>
      </c>
      <c r="E44" s="342"/>
      <c r="F44" s="345" t="s">
        <v>170</v>
      </c>
      <c r="G44" s="308">
        <v>157</v>
      </c>
      <c r="H44" s="309">
        <v>5477</v>
      </c>
      <c r="I44" s="309">
        <v>859889</v>
      </c>
      <c r="J44" s="211">
        <v>157</v>
      </c>
      <c r="K44" s="212" t="str">
        <f>IF(OR(J44="",G44=J44),"","*")</f>
        <v/>
      </c>
      <c r="L44" s="338">
        <f>IF($A44&lt;=L$1,I44/I$4,"")</f>
        <v>0.1283991339405704</v>
      </c>
      <c r="M44" s="343"/>
      <c r="N44" s="344" t="s">
        <v>301</v>
      </c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/>
      <c r="AF44" s="341"/>
    </row>
    <row r="45" spans="1:32">
      <c r="A45" s="307">
        <v>3</v>
      </c>
      <c r="B45" s="342"/>
      <c r="C45" s="342" t="s">
        <v>177</v>
      </c>
      <c r="D45" s="340" t="s">
        <v>250</v>
      </c>
      <c r="E45" s="342" t="s">
        <v>251</v>
      </c>
      <c r="F45" s="345" t="s">
        <v>242</v>
      </c>
      <c r="G45" s="308">
        <v>21</v>
      </c>
      <c r="H45" s="309">
        <v>11100</v>
      </c>
      <c r="I45" s="309">
        <v>233100</v>
      </c>
      <c r="J45" s="211"/>
      <c r="K45" s="212" t="str">
        <f>IF(OR(J45="",G45=J45),"","*")</f>
        <v/>
      </c>
      <c r="L45" s="338">
        <f>IF($A45&lt;=L$1,I45/I$4,"")</f>
        <v>3.4806629834254144E-2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252</v>
      </c>
      <c r="AF45" s="341" t="s">
        <v>302</v>
      </c>
    </row>
    <row r="46" spans="1:32">
      <c r="A46" s="307">
        <v>3</v>
      </c>
      <c r="B46" s="342"/>
      <c r="C46" s="342" t="s">
        <v>177</v>
      </c>
      <c r="D46" s="340" t="s">
        <v>303</v>
      </c>
      <c r="E46" s="342" t="s">
        <v>251</v>
      </c>
      <c r="F46" s="345" t="s">
        <v>242</v>
      </c>
      <c r="G46" s="308">
        <v>21</v>
      </c>
      <c r="H46" s="309">
        <v>11000</v>
      </c>
      <c r="I46" s="309">
        <v>231000</v>
      </c>
      <c r="J46" s="211"/>
      <c r="K46" s="212" t="str">
        <f>IF(OR(J46="",G46=J46),"","*")</f>
        <v/>
      </c>
      <c r="L46" s="338">
        <f>IF($A46&lt;=L$1,I46/I$4,"")</f>
        <v>3.4493056592504109E-2</v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304</v>
      </c>
      <c r="AF46" s="341" t="s">
        <v>302</v>
      </c>
    </row>
    <row r="47" spans="1:32">
      <c r="A47" s="307">
        <v>3</v>
      </c>
      <c r="B47" s="342"/>
      <c r="C47" s="342" t="s">
        <v>177</v>
      </c>
      <c r="D47" s="340" t="s">
        <v>254</v>
      </c>
      <c r="E47" s="342" t="s">
        <v>255</v>
      </c>
      <c r="F47" s="345" t="s">
        <v>242</v>
      </c>
      <c r="G47" s="308">
        <v>85</v>
      </c>
      <c r="H47" s="309">
        <v>700</v>
      </c>
      <c r="I47" s="309">
        <v>59500</v>
      </c>
      <c r="J47" s="211"/>
      <c r="K47" s="212" t="str">
        <f>IF(OR(J47="",G47=J47),"","*")</f>
        <v/>
      </c>
      <c r="L47" s="338">
        <f>IF($A47&lt;=L$1,I47/I$4,"")</f>
        <v>8.8845751829177248E-3</v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256</v>
      </c>
      <c r="AF47" s="341" t="s">
        <v>305</v>
      </c>
    </row>
    <row r="48" spans="1:32">
      <c r="A48" s="307">
        <v>3</v>
      </c>
      <c r="B48" s="342"/>
      <c r="C48" s="342" t="s">
        <v>177</v>
      </c>
      <c r="D48" s="340" t="s">
        <v>258</v>
      </c>
      <c r="E48" s="342"/>
      <c r="F48" s="345" t="s">
        <v>259</v>
      </c>
      <c r="G48" s="308">
        <v>220</v>
      </c>
      <c r="H48" s="309">
        <v>99</v>
      </c>
      <c r="I48" s="309">
        <v>21780</v>
      </c>
      <c r="J48" s="211"/>
      <c r="K48" s="212" t="str">
        <f>IF(OR(J48="",G48=J48),"","*")</f>
        <v/>
      </c>
      <c r="L48" s="338">
        <f>IF($A48&lt;=L$1,I48/I$4,"")</f>
        <v>3.2522024787218157E-3</v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 t="s">
        <v>260</v>
      </c>
      <c r="AF48" s="341" t="s">
        <v>306</v>
      </c>
    </row>
    <row r="49" spans="1:32">
      <c r="A49" s="307">
        <v>3</v>
      </c>
      <c r="B49" s="342"/>
      <c r="C49" s="342" t="s">
        <v>177</v>
      </c>
      <c r="D49" s="340" t="s">
        <v>262</v>
      </c>
      <c r="E49" s="342" t="s">
        <v>263</v>
      </c>
      <c r="F49" s="345" t="s">
        <v>169</v>
      </c>
      <c r="G49" s="308">
        <v>0.5</v>
      </c>
      <c r="H49" s="309">
        <v>5400</v>
      </c>
      <c r="I49" s="309">
        <v>2700</v>
      </c>
      <c r="J49" s="211"/>
      <c r="K49" s="212" t="str">
        <f>IF(OR(J49="",G49=J49),"","*")</f>
        <v/>
      </c>
      <c r="L49" s="338">
        <f>IF($A49&lt;=L$1,I49/I$4,"")</f>
        <v>4.0316559653576228E-4</v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264</v>
      </c>
      <c r="AF49" s="341"/>
    </row>
    <row r="50" spans="1:32">
      <c r="A50" s="307">
        <v>3</v>
      </c>
      <c r="B50" s="342"/>
      <c r="C50" s="342" t="s">
        <v>177</v>
      </c>
      <c r="D50" s="340" t="s">
        <v>265</v>
      </c>
      <c r="E50" s="342"/>
      <c r="F50" s="345" t="s">
        <v>259</v>
      </c>
      <c r="G50" s="308">
        <v>100</v>
      </c>
      <c r="H50" s="309">
        <v>150</v>
      </c>
      <c r="I50" s="309">
        <v>15000</v>
      </c>
      <c r="J50" s="211"/>
      <c r="K50" s="212" t="str">
        <f>IF(OR(J50="",G50=J50),"","*")</f>
        <v/>
      </c>
      <c r="L50" s="338">
        <f>IF($A50&lt;=L$1,I50/I$4,"")</f>
        <v>2.2398088696431238E-3</v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266</v>
      </c>
      <c r="AF50" s="341" t="s">
        <v>267</v>
      </c>
    </row>
    <row r="51" spans="1:32">
      <c r="A51" s="307">
        <v>3</v>
      </c>
      <c r="B51" s="342"/>
      <c r="C51" s="342" t="s">
        <v>177</v>
      </c>
      <c r="D51" s="340" t="s">
        <v>246</v>
      </c>
      <c r="E51" s="342"/>
      <c r="F51" s="345" t="s">
        <v>172</v>
      </c>
      <c r="G51" s="308">
        <v>1</v>
      </c>
      <c r="H51" s="309">
        <v>11420</v>
      </c>
      <c r="I51" s="309">
        <v>11420</v>
      </c>
      <c r="J51" s="211"/>
      <c r="K51" s="212" t="str">
        <f>IF(OR(J51="",G51=J51),"","*")</f>
        <v/>
      </c>
      <c r="L51" s="338">
        <f>IF($A51&lt;=L$1,I51/I$4,"")</f>
        <v>1.7052411527549648E-3</v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 t="s">
        <v>247</v>
      </c>
      <c r="AF51" s="341"/>
    </row>
    <row r="52" spans="1:32">
      <c r="A52" s="307">
        <v>3</v>
      </c>
      <c r="B52" s="342"/>
      <c r="C52" s="342" t="s">
        <v>178</v>
      </c>
      <c r="D52" s="340" t="s">
        <v>268</v>
      </c>
      <c r="E52" s="342"/>
      <c r="F52" s="345" t="s">
        <v>269</v>
      </c>
      <c r="G52" s="308">
        <v>7</v>
      </c>
      <c r="H52" s="309">
        <v>23000</v>
      </c>
      <c r="I52" s="309">
        <v>161000</v>
      </c>
      <c r="J52" s="211"/>
      <c r="K52" s="212" t="str">
        <f>IF(OR(J52="",G52=J52),"","*")</f>
        <v/>
      </c>
      <c r="L52" s="338">
        <f>IF($A52&lt;=L$1,I52/I$4,"")</f>
        <v>2.4040615200836196E-2</v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 t="s">
        <v>270</v>
      </c>
      <c r="AF52" s="341" t="s">
        <v>271</v>
      </c>
    </row>
    <row r="53" spans="1:32">
      <c r="A53" s="307">
        <v>3</v>
      </c>
      <c r="B53" s="342"/>
      <c r="C53" s="342" t="s">
        <v>180</v>
      </c>
      <c r="D53" s="340" t="s">
        <v>307</v>
      </c>
      <c r="E53" s="342" t="s">
        <v>308</v>
      </c>
      <c r="F53" s="345" t="s">
        <v>234</v>
      </c>
      <c r="G53" s="308">
        <v>1</v>
      </c>
      <c r="H53" s="309">
        <v>81000</v>
      </c>
      <c r="I53" s="309">
        <v>81000</v>
      </c>
      <c r="J53" s="211"/>
      <c r="K53" s="212" t="str">
        <f>IF(OR(J53="",G53=J53),"","*")</f>
        <v/>
      </c>
      <c r="L53" s="338">
        <f>IF($A53&lt;=L$1,I53/I$4,"")</f>
        <v>1.2094967896072869E-2</v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 t="s">
        <v>309</v>
      </c>
      <c r="AF53" s="341" t="s">
        <v>240</v>
      </c>
    </row>
    <row r="54" spans="1:32">
      <c r="A54" s="307">
        <v>3</v>
      </c>
      <c r="B54" s="342"/>
      <c r="C54" s="342" t="s">
        <v>180</v>
      </c>
      <c r="D54" s="340" t="s">
        <v>272</v>
      </c>
      <c r="E54" s="342"/>
      <c r="F54" s="345" t="s">
        <v>234</v>
      </c>
      <c r="G54" s="308">
        <v>1</v>
      </c>
      <c r="H54" s="309">
        <v>5000</v>
      </c>
      <c r="I54" s="309">
        <v>5000</v>
      </c>
      <c r="J54" s="211"/>
      <c r="K54" s="212" t="str">
        <f>IF(OR(J54="",G54=J54),"","*")</f>
        <v/>
      </c>
      <c r="L54" s="338">
        <f>IF($A54&lt;=L$1,I54/I$4,"")</f>
        <v>7.4660295654770798E-4</v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 t="s">
        <v>273</v>
      </c>
      <c r="AF54" s="341" t="s">
        <v>240</v>
      </c>
    </row>
    <row r="55" spans="1:32">
      <c r="A55" s="307">
        <v>3</v>
      </c>
      <c r="B55" s="342"/>
      <c r="C55" s="342" t="s">
        <v>180</v>
      </c>
      <c r="D55" s="340" t="s">
        <v>274</v>
      </c>
      <c r="E55" s="342" t="s">
        <v>275</v>
      </c>
      <c r="F55" s="345" t="s">
        <v>234</v>
      </c>
      <c r="G55" s="308">
        <v>1</v>
      </c>
      <c r="H55" s="309">
        <v>5500</v>
      </c>
      <c r="I55" s="309">
        <v>5500</v>
      </c>
      <c r="J55" s="211"/>
      <c r="K55" s="212" t="str">
        <f>IF(OR(J55="",G55=J55),"","*")</f>
        <v/>
      </c>
      <c r="L55" s="338">
        <f>IF($A55&lt;=L$1,I55/I$4,"")</f>
        <v>8.2126325220247876E-4</v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 t="s">
        <v>276</v>
      </c>
      <c r="AF55" s="341" t="s">
        <v>240</v>
      </c>
    </row>
    <row r="56" spans="1:32">
      <c r="A56" s="307">
        <v>3</v>
      </c>
      <c r="B56" s="342"/>
      <c r="C56" s="342" t="s">
        <v>180</v>
      </c>
      <c r="D56" s="340" t="s">
        <v>277</v>
      </c>
      <c r="E56" s="342" t="s">
        <v>278</v>
      </c>
      <c r="F56" s="345" t="s">
        <v>234</v>
      </c>
      <c r="G56" s="308">
        <v>1</v>
      </c>
      <c r="H56" s="309">
        <v>4000</v>
      </c>
      <c r="I56" s="309">
        <v>4000</v>
      </c>
      <c r="J56" s="211"/>
      <c r="K56" s="212" t="str">
        <f>IF(OR(J56="",G56=J56),"","*")</f>
        <v/>
      </c>
      <c r="L56" s="338">
        <f>IF($A56&lt;=L$1,I56/I$4,"")</f>
        <v>5.9728236523816629E-4</v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 t="s">
        <v>279</v>
      </c>
      <c r="AF56" s="341" t="s">
        <v>240</v>
      </c>
    </row>
    <row r="57" spans="1:32">
      <c r="A57" s="307">
        <v>3</v>
      </c>
      <c r="B57" s="342"/>
      <c r="C57" s="342" t="s">
        <v>180</v>
      </c>
      <c r="D57" s="340" t="s">
        <v>274</v>
      </c>
      <c r="E57" s="342" t="s">
        <v>280</v>
      </c>
      <c r="F57" s="345" t="s">
        <v>234</v>
      </c>
      <c r="G57" s="308">
        <v>1</v>
      </c>
      <c r="H57" s="309">
        <v>4000</v>
      </c>
      <c r="I57" s="309">
        <v>4000</v>
      </c>
      <c r="J57" s="211"/>
      <c r="K57" s="212" t="str">
        <f>IF(OR(J57="",G57=J57),"","*")</f>
        <v/>
      </c>
      <c r="L57" s="338">
        <f>IF($A57&lt;=L$1,I57/I$4,"")</f>
        <v>5.9728236523816629E-4</v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 t="s">
        <v>281</v>
      </c>
      <c r="AF57" s="341" t="s">
        <v>240</v>
      </c>
    </row>
    <row r="58" spans="1:32">
      <c r="A58" s="307">
        <v>3</v>
      </c>
      <c r="B58" s="342"/>
      <c r="C58" s="342" t="s">
        <v>180</v>
      </c>
      <c r="D58" s="340" t="s">
        <v>282</v>
      </c>
      <c r="E58" s="342"/>
      <c r="F58" s="345" t="s">
        <v>234</v>
      </c>
      <c r="G58" s="308">
        <v>1</v>
      </c>
      <c r="H58" s="309">
        <v>3000</v>
      </c>
      <c r="I58" s="309">
        <v>3000</v>
      </c>
      <c r="J58" s="211"/>
      <c r="K58" s="212" t="str">
        <f>IF(OR(J58="",G58=J58),"","*")</f>
        <v/>
      </c>
      <c r="L58" s="338">
        <f>IF($A58&lt;=L$1,I58/I$4,"")</f>
        <v>4.4796177392862478E-4</v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 t="s">
        <v>283</v>
      </c>
      <c r="AF58" s="341" t="s">
        <v>240</v>
      </c>
    </row>
    <row r="59" spans="1:32">
      <c r="A59" s="307">
        <v>3</v>
      </c>
      <c r="B59" s="342"/>
      <c r="C59" s="342" t="s">
        <v>181</v>
      </c>
      <c r="D59" s="340" t="s">
        <v>286</v>
      </c>
      <c r="E59" s="342"/>
      <c r="F59" s="345" t="s">
        <v>234</v>
      </c>
      <c r="G59" s="308">
        <v>2</v>
      </c>
      <c r="H59" s="309">
        <v>7000</v>
      </c>
      <c r="I59" s="309">
        <v>14000</v>
      </c>
      <c r="J59" s="211"/>
      <c r="K59" s="212" t="str">
        <f>IF(OR(J59="",G59=J59),"","*")</f>
        <v/>
      </c>
      <c r="L59" s="338">
        <f>IF($A59&lt;=L$1,I59/I$4,"")</f>
        <v>2.090488278333582E-3</v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 t="s">
        <v>287</v>
      </c>
      <c r="AF59" s="341" t="s">
        <v>288</v>
      </c>
    </row>
    <row r="60" spans="1:32">
      <c r="A60" s="307">
        <v>3</v>
      </c>
      <c r="B60" s="342"/>
      <c r="C60" s="342" t="s">
        <v>181</v>
      </c>
      <c r="D60" s="340" t="s">
        <v>289</v>
      </c>
      <c r="E60" s="342" t="s">
        <v>290</v>
      </c>
      <c r="F60" s="345" t="s">
        <v>234</v>
      </c>
      <c r="G60" s="308">
        <v>2</v>
      </c>
      <c r="H60" s="309">
        <v>4000</v>
      </c>
      <c r="I60" s="309">
        <v>8000</v>
      </c>
      <c r="J60" s="211"/>
      <c r="K60" s="212" t="str">
        <f>IF(OR(J60="",G60=J60),"","*")</f>
        <v/>
      </c>
      <c r="L60" s="338">
        <f>IF($A60&lt;=L$1,I60/I$4,"")</f>
        <v>1.1945647304763326E-3</v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 t="s">
        <v>291</v>
      </c>
      <c r="AF60" s="341" t="s">
        <v>288</v>
      </c>
    </row>
    <row r="61" spans="1:32">
      <c r="A61" s="307">
        <v>2</v>
      </c>
      <c r="B61" s="342"/>
      <c r="C61" s="342" t="s">
        <v>229</v>
      </c>
      <c r="D61" s="340" t="s">
        <v>310</v>
      </c>
      <c r="E61" s="342"/>
      <c r="F61" s="345" t="s">
        <v>170</v>
      </c>
      <c r="G61" s="308">
        <v>131</v>
      </c>
      <c r="H61" s="309">
        <v>5954</v>
      </c>
      <c r="I61" s="309">
        <v>779974</v>
      </c>
      <c r="J61" s="211">
        <v>131</v>
      </c>
      <c r="K61" s="212" t="str">
        <f>IF(OR(J61="",G61=J61),"","*")</f>
        <v/>
      </c>
      <c r="L61" s="338">
        <f>IF($A61&lt;=L$1,I61/I$4,"")</f>
        <v>0.11646617888606839</v>
      </c>
      <c r="M61" s="343"/>
      <c r="N61" s="344" t="s">
        <v>311</v>
      </c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/>
      <c r="AF61" s="341"/>
    </row>
    <row r="62" spans="1:32">
      <c r="A62" s="307">
        <v>3</v>
      </c>
      <c r="B62" s="342"/>
      <c r="C62" s="342" t="s">
        <v>177</v>
      </c>
      <c r="D62" s="340" t="s">
        <v>312</v>
      </c>
      <c r="E62" s="342" t="s">
        <v>251</v>
      </c>
      <c r="F62" s="345" t="s">
        <v>242</v>
      </c>
      <c r="G62" s="308">
        <v>15</v>
      </c>
      <c r="H62" s="309">
        <v>16700</v>
      </c>
      <c r="I62" s="309">
        <v>250500</v>
      </c>
      <c r="J62" s="211"/>
      <c r="K62" s="212" t="str">
        <f>IF(OR(J62="",G62=J62),"","*")</f>
        <v/>
      </c>
      <c r="L62" s="338">
        <f>IF($A62&lt;=L$1,I62/I$4,"")</f>
        <v>3.7404808123040166E-2</v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313</v>
      </c>
      <c r="AF62" s="341" t="s">
        <v>314</v>
      </c>
    </row>
    <row r="63" spans="1:32">
      <c r="A63" s="307">
        <v>3</v>
      </c>
      <c r="B63" s="342"/>
      <c r="C63" s="342" t="s">
        <v>177</v>
      </c>
      <c r="D63" s="340" t="s">
        <v>315</v>
      </c>
      <c r="E63" s="342" t="s">
        <v>255</v>
      </c>
      <c r="F63" s="345" t="s">
        <v>242</v>
      </c>
      <c r="G63" s="308">
        <v>15</v>
      </c>
      <c r="H63" s="309">
        <v>14000</v>
      </c>
      <c r="I63" s="309">
        <v>210000</v>
      </c>
      <c r="J63" s="211"/>
      <c r="K63" s="212" t="str">
        <f>IF(OR(J63="",G63=J63),"","*")</f>
        <v/>
      </c>
      <c r="L63" s="338">
        <f>IF($A63&lt;=L$1,I63/I$4,"")</f>
        <v>3.1357324175003733E-2</v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 t="s">
        <v>316</v>
      </c>
      <c r="AF63" s="341" t="s">
        <v>314</v>
      </c>
    </row>
    <row r="64" spans="1:32">
      <c r="A64" s="307">
        <v>3</v>
      </c>
      <c r="B64" s="342"/>
      <c r="C64" s="342" t="s">
        <v>177</v>
      </c>
      <c r="D64" s="340" t="s">
        <v>317</v>
      </c>
      <c r="E64" s="342"/>
      <c r="F64" s="345" t="s">
        <v>242</v>
      </c>
      <c r="G64" s="308">
        <v>0.1</v>
      </c>
      <c r="H64" s="309">
        <v>154500</v>
      </c>
      <c r="I64" s="309">
        <v>15450</v>
      </c>
      <c r="J64" s="211"/>
      <c r="K64" s="212" t="str">
        <f>IF(OR(J64="",G64=J64),"","*")</f>
        <v/>
      </c>
      <c r="L64" s="338">
        <f>IF($A64&lt;=L$1,I64/I$4,"")</f>
        <v>2.3070031357324177E-3</v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 t="s">
        <v>318</v>
      </c>
      <c r="AF64" s="341" t="s">
        <v>319</v>
      </c>
    </row>
    <row r="65" spans="1:32">
      <c r="A65" s="307">
        <v>3</v>
      </c>
      <c r="B65" s="342"/>
      <c r="C65" s="342" t="s">
        <v>177</v>
      </c>
      <c r="D65" s="340" t="s">
        <v>262</v>
      </c>
      <c r="E65" s="342" t="s">
        <v>263</v>
      </c>
      <c r="F65" s="345" t="s">
        <v>169</v>
      </c>
      <c r="G65" s="308">
        <v>0.5</v>
      </c>
      <c r="H65" s="309">
        <v>5400</v>
      </c>
      <c r="I65" s="309">
        <v>2700</v>
      </c>
      <c r="J65" s="211"/>
      <c r="K65" s="212" t="str">
        <f>IF(OR(J65="",G65=J65),"","*")</f>
        <v/>
      </c>
      <c r="L65" s="338">
        <f>IF($A65&lt;=L$1,I65/I$4,"")</f>
        <v>4.0316559653576228E-4</v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 t="s">
        <v>264</v>
      </c>
      <c r="AF65" s="341"/>
    </row>
    <row r="66" spans="1:32">
      <c r="A66" s="307">
        <v>3</v>
      </c>
      <c r="B66" s="342"/>
      <c r="C66" s="342" t="s">
        <v>177</v>
      </c>
      <c r="D66" s="340" t="s">
        <v>265</v>
      </c>
      <c r="E66" s="342"/>
      <c r="F66" s="345" t="s">
        <v>259</v>
      </c>
      <c r="G66" s="308">
        <v>100</v>
      </c>
      <c r="H66" s="309">
        <v>150</v>
      </c>
      <c r="I66" s="309">
        <v>15000</v>
      </c>
      <c r="J66" s="211"/>
      <c r="K66" s="212" t="str">
        <f>IF(OR(J66="",G66=J66),"","*")</f>
        <v/>
      </c>
      <c r="L66" s="338">
        <f>IF($A66&lt;=L$1,I66/I$4,"")</f>
        <v>2.2398088696431238E-3</v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 t="s">
        <v>266</v>
      </c>
      <c r="AF66" s="341" t="s">
        <v>267</v>
      </c>
    </row>
    <row r="67" spans="1:32">
      <c r="A67" s="307">
        <v>3</v>
      </c>
      <c r="B67" s="342"/>
      <c r="C67" s="342" t="s">
        <v>177</v>
      </c>
      <c r="D67" s="340" t="s">
        <v>246</v>
      </c>
      <c r="E67" s="342"/>
      <c r="F67" s="345" t="s">
        <v>172</v>
      </c>
      <c r="G67" s="308">
        <v>1</v>
      </c>
      <c r="H67" s="309">
        <v>5850</v>
      </c>
      <c r="I67" s="309">
        <v>5850</v>
      </c>
      <c r="J67" s="211"/>
      <c r="K67" s="212" t="str">
        <f>IF(OR(J67="",G67=J67),"","*")</f>
        <v/>
      </c>
      <c r="L67" s="338">
        <f>IF($A67&lt;=L$1,I67/I$4,"")</f>
        <v>8.735254591608183E-4</v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 t="s">
        <v>247</v>
      </c>
      <c r="AF67" s="341"/>
    </row>
    <row r="68" spans="1:32">
      <c r="A68" s="307">
        <v>3</v>
      </c>
      <c r="B68" s="342"/>
      <c r="C68" s="342" t="s">
        <v>178</v>
      </c>
      <c r="D68" s="340" t="s">
        <v>268</v>
      </c>
      <c r="E68" s="342"/>
      <c r="F68" s="345" t="s">
        <v>269</v>
      </c>
      <c r="G68" s="308">
        <v>7</v>
      </c>
      <c r="H68" s="309">
        <v>23000</v>
      </c>
      <c r="I68" s="309">
        <v>161000</v>
      </c>
      <c r="J68" s="211"/>
      <c r="K68" s="212" t="str">
        <f>IF(OR(J68="",G68=J68),"","*")</f>
        <v/>
      </c>
      <c r="L68" s="338">
        <f>IF($A68&lt;=L$1,I68/I$4,"")</f>
        <v>2.4040615200836196E-2</v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 t="s">
        <v>270</v>
      </c>
      <c r="AF68" s="341" t="s">
        <v>271</v>
      </c>
    </row>
    <row r="69" spans="1:32">
      <c r="A69" s="307">
        <v>3</v>
      </c>
      <c r="B69" s="342"/>
      <c r="C69" s="342" t="s">
        <v>180</v>
      </c>
      <c r="D69" s="340" t="s">
        <v>320</v>
      </c>
      <c r="E69" s="342" t="s">
        <v>308</v>
      </c>
      <c r="F69" s="345" t="s">
        <v>234</v>
      </c>
      <c r="G69" s="308">
        <v>1</v>
      </c>
      <c r="H69" s="309">
        <v>76000</v>
      </c>
      <c r="I69" s="309">
        <v>76000</v>
      </c>
      <c r="J69" s="211"/>
      <c r="K69" s="212" t="str">
        <f>IF(OR(J69="",G69=J69),"","*")</f>
        <v/>
      </c>
      <c r="L69" s="338">
        <f>IF($A69&lt;=L$1,I69/I$4,"")</f>
        <v>1.134836493952516E-2</v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 t="s">
        <v>321</v>
      </c>
      <c r="AF69" s="341" t="s">
        <v>240</v>
      </c>
    </row>
    <row r="70" spans="1:32">
      <c r="A70" s="307">
        <v>3</v>
      </c>
      <c r="B70" s="342"/>
      <c r="C70" s="342" t="s">
        <v>180</v>
      </c>
      <c r="D70" s="340" t="s">
        <v>272</v>
      </c>
      <c r="E70" s="342"/>
      <c r="F70" s="345" t="s">
        <v>234</v>
      </c>
      <c r="G70" s="308">
        <v>1</v>
      </c>
      <c r="H70" s="309">
        <v>5000</v>
      </c>
      <c r="I70" s="309">
        <v>5000</v>
      </c>
      <c r="J70" s="211"/>
      <c r="K70" s="212" t="str">
        <f>IF(OR(J70="",G70=J70),"","*")</f>
        <v/>
      </c>
      <c r="L70" s="338">
        <f>IF($A70&lt;=L$1,I70/I$4,"")</f>
        <v>7.4660295654770798E-4</v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 t="s">
        <v>273</v>
      </c>
      <c r="AF70" s="341" t="s">
        <v>240</v>
      </c>
    </row>
    <row r="71" spans="1:32">
      <c r="A71" s="307">
        <v>3</v>
      </c>
      <c r="B71" s="342"/>
      <c r="C71" s="342" t="s">
        <v>180</v>
      </c>
      <c r="D71" s="340" t="s">
        <v>274</v>
      </c>
      <c r="E71" s="342" t="s">
        <v>275</v>
      </c>
      <c r="F71" s="345" t="s">
        <v>234</v>
      </c>
      <c r="G71" s="308">
        <v>1</v>
      </c>
      <c r="H71" s="309">
        <v>5500</v>
      </c>
      <c r="I71" s="309">
        <v>5500</v>
      </c>
      <c r="J71" s="211"/>
      <c r="K71" s="212" t="str">
        <f>IF(OR(J71="",G71=J71),"","*")</f>
        <v/>
      </c>
      <c r="L71" s="338">
        <f>IF($A71&lt;=L$1,I71/I$4,"")</f>
        <v>8.2126325220247876E-4</v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 t="s">
        <v>276</v>
      </c>
      <c r="AF71" s="341" t="s">
        <v>240</v>
      </c>
    </row>
    <row r="72" spans="1:32">
      <c r="A72" s="307">
        <v>3</v>
      </c>
      <c r="B72" s="342"/>
      <c r="C72" s="342" t="s">
        <v>180</v>
      </c>
      <c r="D72" s="340" t="s">
        <v>277</v>
      </c>
      <c r="E72" s="342" t="s">
        <v>278</v>
      </c>
      <c r="F72" s="345" t="s">
        <v>234</v>
      </c>
      <c r="G72" s="308">
        <v>1</v>
      </c>
      <c r="H72" s="309">
        <v>4000</v>
      </c>
      <c r="I72" s="309">
        <v>4000</v>
      </c>
      <c r="J72" s="211"/>
      <c r="K72" s="212" t="str">
        <f>IF(OR(J72="",G72=J72),"","*")</f>
        <v/>
      </c>
      <c r="L72" s="338">
        <f>IF($A72&lt;=L$1,I72/I$4,"")</f>
        <v>5.9728236523816629E-4</v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 t="s">
        <v>279</v>
      </c>
      <c r="AF72" s="341" t="s">
        <v>240</v>
      </c>
    </row>
    <row r="73" spans="1:32">
      <c r="A73" s="307">
        <v>3</v>
      </c>
      <c r="B73" s="342"/>
      <c r="C73" s="342" t="s">
        <v>180</v>
      </c>
      <c r="D73" s="340" t="s">
        <v>274</v>
      </c>
      <c r="E73" s="342" t="s">
        <v>280</v>
      </c>
      <c r="F73" s="345" t="s">
        <v>234</v>
      </c>
      <c r="G73" s="308">
        <v>1</v>
      </c>
      <c r="H73" s="309">
        <v>4000</v>
      </c>
      <c r="I73" s="309">
        <v>4000</v>
      </c>
      <c r="J73" s="211"/>
      <c r="K73" s="212" t="str">
        <f>IF(OR(J73="",G73=J73),"","*")</f>
        <v/>
      </c>
      <c r="L73" s="338">
        <f>IF($A73&lt;=L$1,I73/I$4,"")</f>
        <v>5.9728236523816629E-4</v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 t="s">
        <v>281</v>
      </c>
      <c r="AF73" s="341" t="s">
        <v>240</v>
      </c>
    </row>
    <row r="74" spans="1:32">
      <c r="A74" s="307">
        <v>3</v>
      </c>
      <c r="B74" s="342"/>
      <c r="C74" s="342" t="s">
        <v>180</v>
      </c>
      <c r="D74" s="340" t="s">
        <v>282</v>
      </c>
      <c r="E74" s="342"/>
      <c r="F74" s="345" t="s">
        <v>234</v>
      </c>
      <c r="G74" s="308">
        <v>1</v>
      </c>
      <c r="H74" s="309">
        <v>3000</v>
      </c>
      <c r="I74" s="309">
        <v>3000</v>
      </c>
      <c r="J74" s="211"/>
      <c r="K74" s="212" t="str">
        <f>IF(OR(J74="",G74=J74),"","*")</f>
        <v/>
      </c>
      <c r="L74" s="338">
        <f>IF($A74&lt;=L$1,I74/I$4,"")</f>
        <v>4.4796177392862478E-4</v>
      </c>
      <c r="M74" s="343"/>
      <c r="N74" s="344"/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 t="s">
        <v>283</v>
      </c>
      <c r="AF74" s="341" t="s">
        <v>240</v>
      </c>
    </row>
    <row r="75" spans="1:32">
      <c r="A75" s="307">
        <v>3</v>
      </c>
      <c r="B75" s="342"/>
      <c r="C75" s="342" t="s">
        <v>181</v>
      </c>
      <c r="D75" s="340" t="s">
        <v>286</v>
      </c>
      <c r="E75" s="342"/>
      <c r="F75" s="345" t="s">
        <v>234</v>
      </c>
      <c r="G75" s="308">
        <v>2</v>
      </c>
      <c r="H75" s="309">
        <v>7000</v>
      </c>
      <c r="I75" s="309">
        <v>14000</v>
      </c>
      <c r="J75" s="211"/>
      <c r="K75" s="212" t="str">
        <f>IF(OR(J75="",G75=J75),"","*")</f>
        <v/>
      </c>
      <c r="L75" s="338">
        <f>IF($A75&lt;=L$1,I75/I$4,"")</f>
        <v>2.090488278333582E-3</v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 t="s">
        <v>287</v>
      </c>
      <c r="AF75" s="341" t="s">
        <v>288</v>
      </c>
    </row>
    <row r="76" spans="1:32">
      <c r="A76" s="307">
        <v>3</v>
      </c>
      <c r="B76" s="342"/>
      <c r="C76" s="342" t="s">
        <v>181</v>
      </c>
      <c r="D76" s="340" t="s">
        <v>289</v>
      </c>
      <c r="E76" s="342" t="s">
        <v>290</v>
      </c>
      <c r="F76" s="345" t="s">
        <v>234</v>
      </c>
      <c r="G76" s="308">
        <v>2</v>
      </c>
      <c r="H76" s="309">
        <v>4000</v>
      </c>
      <c r="I76" s="309">
        <v>8000</v>
      </c>
      <c r="J76" s="211"/>
      <c r="K76" s="212" t="str">
        <f>IF(OR(J76="",G76=J76),"","*")</f>
        <v/>
      </c>
      <c r="L76" s="338">
        <f>IF($A76&lt;=L$1,I76/I$4,"")</f>
        <v>1.1945647304763326E-3</v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 t="s">
        <v>291</v>
      </c>
      <c r="AF76" s="341" t="s">
        <v>288</v>
      </c>
    </row>
    <row r="77" spans="1:32">
      <c r="A77" s="307">
        <v>2</v>
      </c>
      <c r="B77" s="342"/>
      <c r="C77" s="342" t="s">
        <v>229</v>
      </c>
      <c r="D77" s="340" t="s">
        <v>322</v>
      </c>
      <c r="E77" s="342"/>
      <c r="F77" s="345" t="s">
        <v>170</v>
      </c>
      <c r="G77" s="308">
        <v>61</v>
      </c>
      <c r="H77" s="309">
        <v>2786</v>
      </c>
      <c r="I77" s="309">
        <v>169946</v>
      </c>
      <c r="J77" s="211">
        <v>61</v>
      </c>
      <c r="K77" s="212" t="str">
        <f>IF(OR(J77="",G77=J77),"","*")</f>
        <v/>
      </c>
      <c r="L77" s="338">
        <f>IF($A77&lt;=L$1,I77/I$4,"")</f>
        <v>2.5376437210691355E-2</v>
      </c>
      <c r="M77" s="343"/>
      <c r="N77" s="344" t="s">
        <v>323</v>
      </c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/>
      <c r="AF77" s="341"/>
    </row>
    <row r="78" spans="1:32">
      <c r="A78" s="307">
        <v>3</v>
      </c>
      <c r="B78" s="342"/>
      <c r="C78" s="342" t="s">
        <v>177</v>
      </c>
      <c r="D78" s="340" t="s">
        <v>324</v>
      </c>
      <c r="E78" s="342" t="s">
        <v>255</v>
      </c>
      <c r="F78" s="345" t="s">
        <v>242</v>
      </c>
      <c r="G78" s="308">
        <v>5</v>
      </c>
      <c r="H78" s="309">
        <v>12300</v>
      </c>
      <c r="I78" s="309">
        <v>61500</v>
      </c>
      <c r="J78" s="211"/>
      <c r="K78" s="212" t="str">
        <f>IF(OR(J78="",G78=J78),"","*")</f>
        <v/>
      </c>
      <c r="L78" s="338">
        <f>IF($A78&lt;=L$1,I78/I$4,"")</f>
        <v>9.1832163655368067E-3</v>
      </c>
      <c r="M78" s="343"/>
      <c r="N78" s="344"/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 t="s">
        <v>325</v>
      </c>
      <c r="AF78" s="341" t="s">
        <v>326</v>
      </c>
    </row>
    <row r="79" spans="1:32">
      <c r="A79" s="307">
        <v>3</v>
      </c>
      <c r="B79" s="342"/>
      <c r="C79" s="342" t="s">
        <v>177</v>
      </c>
      <c r="D79" s="340" t="s">
        <v>262</v>
      </c>
      <c r="E79" s="342" t="s">
        <v>263</v>
      </c>
      <c r="F79" s="345" t="s">
        <v>169</v>
      </c>
      <c r="G79" s="308">
        <v>0.5</v>
      </c>
      <c r="H79" s="309">
        <v>5400</v>
      </c>
      <c r="I79" s="309">
        <v>2700</v>
      </c>
      <c r="J79" s="211"/>
      <c r="K79" s="212" t="str">
        <f>IF(OR(J79="",G79=J79),"","*")</f>
        <v/>
      </c>
      <c r="L79" s="338">
        <f>IF($A79&lt;=L$1,I79/I$4,"")</f>
        <v>4.0316559653576228E-4</v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 t="s">
        <v>264</v>
      </c>
      <c r="AF79" s="341"/>
    </row>
    <row r="80" spans="1:32">
      <c r="A80" s="307">
        <v>3</v>
      </c>
      <c r="B80" s="342"/>
      <c r="C80" s="342" t="s">
        <v>177</v>
      </c>
      <c r="D80" s="340" t="s">
        <v>265</v>
      </c>
      <c r="E80" s="342"/>
      <c r="F80" s="345" t="s">
        <v>259</v>
      </c>
      <c r="G80" s="308">
        <v>100</v>
      </c>
      <c r="H80" s="309">
        <v>150</v>
      </c>
      <c r="I80" s="309">
        <v>15000</v>
      </c>
      <c r="J80" s="211"/>
      <c r="K80" s="212" t="str">
        <f>IF(OR(J80="",G80=J80),"","*")</f>
        <v/>
      </c>
      <c r="L80" s="338">
        <f>IF($A80&lt;=L$1,I80/I$4,"")</f>
        <v>2.2398088696431238E-3</v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/>
      <c r="T80" s="213" t="e">
        <v>#DIV/0!</v>
      </c>
      <c r="U80" s="214"/>
      <c r="V80" s="215"/>
      <c r="W80" s="310">
        <v>0</v>
      </c>
      <c r="X80" s="311">
        <v>0</v>
      </c>
      <c r="Y80" s="311">
        <v>0</v>
      </c>
      <c r="Z80" s="211">
        <v>0</v>
      </c>
      <c r="AA80" s="212"/>
      <c r="AB80" s="213" t="e">
        <v>#DIV/0!</v>
      </c>
      <c r="AC80" s="214"/>
      <c r="AD80" s="215"/>
      <c r="AE80" s="342" t="s">
        <v>266</v>
      </c>
      <c r="AF80" s="341" t="s">
        <v>267</v>
      </c>
    </row>
    <row r="81" spans="1:32">
      <c r="A81" s="307">
        <v>3</v>
      </c>
      <c r="B81" s="342"/>
      <c r="C81" s="342" t="s">
        <v>177</v>
      </c>
      <c r="D81" s="340" t="s">
        <v>246</v>
      </c>
      <c r="E81" s="342"/>
      <c r="F81" s="345" t="s">
        <v>172</v>
      </c>
      <c r="G81" s="308">
        <v>1</v>
      </c>
      <c r="H81" s="309">
        <v>50</v>
      </c>
      <c r="I81" s="309">
        <v>50</v>
      </c>
      <c r="J81" s="211"/>
      <c r="K81" s="212" t="str">
        <f>IF(OR(J81="",G81=J81),"","*")</f>
        <v/>
      </c>
      <c r="L81" s="338">
        <f>IF($A81&lt;=L$1,I81/I$4,"")</f>
        <v>7.4660295654770792E-6</v>
      </c>
      <c r="M81" s="343"/>
      <c r="N81" s="344"/>
      <c r="O81" s="310">
        <v>0</v>
      </c>
      <c r="P81" s="311">
        <v>0</v>
      </c>
      <c r="Q81" s="311">
        <v>0</v>
      </c>
      <c r="R81" s="211">
        <v>0</v>
      </c>
      <c r="S81" s="212"/>
      <c r="T81" s="213" t="e">
        <v>#DIV/0!</v>
      </c>
      <c r="U81" s="214"/>
      <c r="V81" s="215"/>
      <c r="W81" s="310">
        <v>0</v>
      </c>
      <c r="X81" s="311">
        <v>0</v>
      </c>
      <c r="Y81" s="311">
        <v>0</v>
      </c>
      <c r="Z81" s="211">
        <v>0</v>
      </c>
      <c r="AA81" s="212"/>
      <c r="AB81" s="213" t="e">
        <v>#DIV/0!</v>
      </c>
      <c r="AC81" s="214"/>
      <c r="AD81" s="215"/>
      <c r="AE81" s="342" t="s">
        <v>247</v>
      </c>
      <c r="AF81" s="341"/>
    </row>
    <row r="82" spans="1:32">
      <c r="A82" s="307">
        <v>3</v>
      </c>
      <c r="B82" s="342"/>
      <c r="C82" s="342" t="s">
        <v>178</v>
      </c>
      <c r="D82" s="340" t="s">
        <v>268</v>
      </c>
      <c r="E82" s="342"/>
      <c r="F82" s="345" t="s">
        <v>269</v>
      </c>
      <c r="G82" s="308">
        <v>3</v>
      </c>
      <c r="H82" s="309">
        <v>23000</v>
      </c>
      <c r="I82" s="309">
        <v>69000</v>
      </c>
      <c r="J82" s="211"/>
      <c r="K82" s="212" t="str">
        <f>IF(OR(J82="",G82=J82),"","*")</f>
        <v/>
      </c>
      <c r="L82" s="338">
        <f>IF($A82&lt;=L$1,I82/I$4,"")</f>
        <v>1.0303120800358369E-2</v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/>
      <c r="T82" s="213" t="e">
        <v>#DIV/0!</v>
      </c>
      <c r="U82" s="214"/>
      <c r="V82" s="215"/>
      <c r="W82" s="310">
        <v>0</v>
      </c>
      <c r="X82" s="311">
        <v>0</v>
      </c>
      <c r="Y82" s="311">
        <v>0</v>
      </c>
      <c r="Z82" s="211">
        <v>0</v>
      </c>
      <c r="AA82" s="212"/>
      <c r="AB82" s="213" t="e">
        <v>#DIV/0!</v>
      </c>
      <c r="AC82" s="214"/>
      <c r="AD82" s="215"/>
      <c r="AE82" s="342" t="s">
        <v>270</v>
      </c>
      <c r="AF82" s="341" t="s">
        <v>327</v>
      </c>
    </row>
    <row r="83" spans="1:32">
      <c r="A83" s="307">
        <v>3</v>
      </c>
      <c r="B83" s="342"/>
      <c r="C83" s="342" t="s">
        <v>180</v>
      </c>
      <c r="D83" s="340" t="s">
        <v>272</v>
      </c>
      <c r="E83" s="342"/>
      <c r="F83" s="345" t="s">
        <v>234</v>
      </c>
      <c r="G83" s="308">
        <v>0.5</v>
      </c>
      <c r="H83" s="309">
        <v>5000</v>
      </c>
      <c r="I83" s="309">
        <v>2500</v>
      </c>
      <c r="J83" s="211"/>
      <c r="K83" s="212" t="str">
        <f>IF(OR(J83="",G83=J83),"","*")</f>
        <v/>
      </c>
      <c r="L83" s="338">
        <f>IF($A83&lt;=L$1,I83/I$4,"")</f>
        <v>3.7330147827385399E-4</v>
      </c>
      <c r="M83" s="343"/>
      <c r="N83" s="344"/>
      <c r="O83" s="310">
        <v>0</v>
      </c>
      <c r="P83" s="311">
        <v>0</v>
      </c>
      <c r="Q83" s="311">
        <v>0</v>
      </c>
      <c r="R83" s="211">
        <v>0</v>
      </c>
      <c r="S83" s="212"/>
      <c r="T83" s="213" t="e">
        <v>#DIV/0!</v>
      </c>
      <c r="U83" s="214"/>
      <c r="V83" s="215"/>
      <c r="W83" s="310">
        <v>0</v>
      </c>
      <c r="X83" s="311">
        <v>0</v>
      </c>
      <c r="Y83" s="311">
        <v>0</v>
      </c>
      <c r="Z83" s="211">
        <v>0</v>
      </c>
      <c r="AA83" s="212"/>
      <c r="AB83" s="213" t="e">
        <v>#DIV/0!</v>
      </c>
      <c r="AC83" s="214"/>
      <c r="AD83" s="215"/>
      <c r="AE83" s="342" t="s">
        <v>273</v>
      </c>
      <c r="AF83" s="341" t="s">
        <v>328</v>
      </c>
    </row>
    <row r="84" spans="1:32">
      <c r="A84" s="307">
        <v>3</v>
      </c>
      <c r="B84" s="342"/>
      <c r="C84" s="342" t="s">
        <v>180</v>
      </c>
      <c r="D84" s="340" t="s">
        <v>274</v>
      </c>
      <c r="E84" s="342" t="s">
        <v>275</v>
      </c>
      <c r="F84" s="345" t="s">
        <v>234</v>
      </c>
      <c r="G84" s="308">
        <v>0.5</v>
      </c>
      <c r="H84" s="309">
        <v>5500</v>
      </c>
      <c r="I84" s="309">
        <v>2750</v>
      </c>
      <c r="J84" s="211"/>
      <c r="K84" s="212" t="str">
        <f>IF(OR(J84="",G84=J84),"","*")</f>
        <v/>
      </c>
      <c r="L84" s="338">
        <f>IF($A84&lt;=L$1,I84/I$4,"")</f>
        <v>4.1063162610123938E-4</v>
      </c>
      <c r="M84" s="343"/>
      <c r="N84" s="344"/>
      <c r="O84" s="310">
        <v>0</v>
      </c>
      <c r="P84" s="311">
        <v>0</v>
      </c>
      <c r="Q84" s="311">
        <v>0</v>
      </c>
      <c r="R84" s="211">
        <v>0</v>
      </c>
      <c r="S84" s="212"/>
      <c r="T84" s="213" t="e">
        <v>#DIV/0!</v>
      </c>
      <c r="U84" s="214"/>
      <c r="V84" s="215"/>
      <c r="W84" s="310">
        <v>0</v>
      </c>
      <c r="X84" s="311">
        <v>0</v>
      </c>
      <c r="Y84" s="311">
        <v>0</v>
      </c>
      <c r="Z84" s="211">
        <v>0</v>
      </c>
      <c r="AA84" s="212"/>
      <c r="AB84" s="213" t="e">
        <v>#DIV/0!</v>
      </c>
      <c r="AC84" s="214"/>
      <c r="AD84" s="215"/>
      <c r="AE84" s="342" t="s">
        <v>276</v>
      </c>
      <c r="AF84" s="341" t="s">
        <v>328</v>
      </c>
    </row>
    <row r="85" spans="1:32">
      <c r="A85" s="307">
        <v>3</v>
      </c>
      <c r="B85" s="342"/>
      <c r="C85" s="342" t="s">
        <v>180</v>
      </c>
      <c r="D85" s="340" t="s">
        <v>277</v>
      </c>
      <c r="E85" s="342" t="s">
        <v>278</v>
      </c>
      <c r="F85" s="345" t="s">
        <v>234</v>
      </c>
      <c r="G85" s="308">
        <v>0.5</v>
      </c>
      <c r="H85" s="309">
        <v>4000</v>
      </c>
      <c r="I85" s="309">
        <v>2000</v>
      </c>
      <c r="J85" s="211"/>
      <c r="K85" s="212" t="str">
        <f>IF(OR(J85="",G85=J85),"","*")</f>
        <v/>
      </c>
      <c r="L85" s="338">
        <f>IF($A85&lt;=L$1,I85/I$4,"")</f>
        <v>2.9864118261908315E-4</v>
      </c>
      <c r="M85" s="343"/>
      <c r="N85" s="344"/>
      <c r="O85" s="310">
        <v>0</v>
      </c>
      <c r="P85" s="311">
        <v>0</v>
      </c>
      <c r="Q85" s="311">
        <v>0</v>
      </c>
      <c r="R85" s="211">
        <v>0</v>
      </c>
      <c r="S85" s="212"/>
      <c r="T85" s="213" t="e">
        <v>#DIV/0!</v>
      </c>
      <c r="U85" s="214"/>
      <c r="V85" s="215"/>
      <c r="W85" s="310">
        <v>0</v>
      </c>
      <c r="X85" s="311">
        <v>0</v>
      </c>
      <c r="Y85" s="311">
        <v>0</v>
      </c>
      <c r="Z85" s="211">
        <v>0</v>
      </c>
      <c r="AA85" s="212"/>
      <c r="AB85" s="213" t="e">
        <v>#DIV/0!</v>
      </c>
      <c r="AC85" s="214"/>
      <c r="AD85" s="215"/>
      <c r="AE85" s="342" t="s">
        <v>279</v>
      </c>
      <c r="AF85" s="341" t="s">
        <v>328</v>
      </c>
    </row>
    <row r="86" spans="1:32">
      <c r="A86" s="307">
        <v>3</v>
      </c>
      <c r="B86" s="342"/>
      <c r="C86" s="342" t="s">
        <v>180</v>
      </c>
      <c r="D86" s="340" t="s">
        <v>274</v>
      </c>
      <c r="E86" s="342" t="s">
        <v>280</v>
      </c>
      <c r="F86" s="345" t="s">
        <v>234</v>
      </c>
      <c r="G86" s="308">
        <v>0.5</v>
      </c>
      <c r="H86" s="309">
        <v>4000</v>
      </c>
      <c r="I86" s="309">
        <v>2000</v>
      </c>
      <c r="J86" s="211"/>
      <c r="K86" s="212" t="str">
        <f>IF(OR(J86="",G86=J86),"","*")</f>
        <v/>
      </c>
      <c r="L86" s="338">
        <f>IF($A86&lt;=L$1,I86/I$4,"")</f>
        <v>2.9864118261908315E-4</v>
      </c>
      <c r="M86" s="343"/>
      <c r="N86" s="344"/>
      <c r="O86" s="310">
        <v>0</v>
      </c>
      <c r="P86" s="311">
        <v>0</v>
      </c>
      <c r="Q86" s="311">
        <v>0</v>
      </c>
      <c r="R86" s="211">
        <v>0</v>
      </c>
      <c r="S86" s="212"/>
      <c r="T86" s="213" t="e">
        <v>#DIV/0!</v>
      </c>
      <c r="U86" s="214"/>
      <c r="V86" s="215"/>
      <c r="W86" s="310">
        <v>0</v>
      </c>
      <c r="X86" s="311">
        <v>0</v>
      </c>
      <c r="Y86" s="311">
        <v>0</v>
      </c>
      <c r="Z86" s="211">
        <v>0</v>
      </c>
      <c r="AA86" s="212"/>
      <c r="AB86" s="213" t="e">
        <v>#DIV/0!</v>
      </c>
      <c r="AC86" s="214"/>
      <c r="AD86" s="215"/>
      <c r="AE86" s="342" t="s">
        <v>281</v>
      </c>
      <c r="AF86" s="341" t="s">
        <v>328</v>
      </c>
    </row>
    <row r="87" spans="1:32">
      <c r="A87" s="307">
        <v>3</v>
      </c>
      <c r="B87" s="342"/>
      <c r="C87" s="342" t="s">
        <v>180</v>
      </c>
      <c r="D87" s="340" t="s">
        <v>282</v>
      </c>
      <c r="E87" s="342"/>
      <c r="F87" s="345" t="s">
        <v>234</v>
      </c>
      <c r="G87" s="308">
        <v>0.5</v>
      </c>
      <c r="H87" s="309">
        <v>3000</v>
      </c>
      <c r="I87" s="309">
        <v>1500</v>
      </c>
      <c r="J87" s="211"/>
      <c r="K87" s="212" t="str">
        <f>IF(OR(J87="",G87=J87),"","*")</f>
        <v/>
      </c>
      <c r="L87" s="338">
        <f>IF($A87&lt;=L$1,I87/I$4,"")</f>
        <v>2.2398088696431239E-4</v>
      </c>
      <c r="M87" s="343"/>
      <c r="N87" s="344"/>
      <c r="O87" s="310">
        <v>0</v>
      </c>
      <c r="P87" s="311">
        <v>0</v>
      </c>
      <c r="Q87" s="311">
        <v>0</v>
      </c>
      <c r="R87" s="211">
        <v>0</v>
      </c>
      <c r="S87" s="212"/>
      <c r="T87" s="213" t="e">
        <v>#DIV/0!</v>
      </c>
      <c r="U87" s="214"/>
      <c r="V87" s="215"/>
      <c r="W87" s="310">
        <v>0</v>
      </c>
      <c r="X87" s="311">
        <v>0</v>
      </c>
      <c r="Y87" s="311">
        <v>0</v>
      </c>
      <c r="Z87" s="211">
        <v>0</v>
      </c>
      <c r="AA87" s="212"/>
      <c r="AB87" s="213" t="e">
        <v>#DIV/0!</v>
      </c>
      <c r="AC87" s="214"/>
      <c r="AD87" s="215"/>
      <c r="AE87" s="342" t="s">
        <v>283</v>
      </c>
      <c r="AF87" s="341" t="s">
        <v>328</v>
      </c>
    </row>
    <row r="88" spans="1:32">
      <c r="A88" s="307">
        <v>3</v>
      </c>
      <c r="B88" s="342"/>
      <c r="C88" s="342" t="s">
        <v>181</v>
      </c>
      <c r="D88" s="340" t="s">
        <v>286</v>
      </c>
      <c r="E88" s="342"/>
      <c r="F88" s="345" t="s">
        <v>234</v>
      </c>
      <c r="G88" s="308">
        <v>1</v>
      </c>
      <c r="H88" s="309">
        <v>7000</v>
      </c>
      <c r="I88" s="309">
        <v>7000</v>
      </c>
      <c r="J88" s="211"/>
      <c r="K88" s="212" t="str">
        <f>IF(OR(J88="",G88=J88),"","*")</f>
        <v/>
      </c>
      <c r="L88" s="338">
        <f>IF($A88&lt;=L$1,I88/I$4,"")</f>
        <v>1.045244139166791E-3</v>
      </c>
      <c r="M88" s="343"/>
      <c r="N88" s="344"/>
      <c r="O88" s="310">
        <v>0</v>
      </c>
      <c r="P88" s="311">
        <v>0</v>
      </c>
      <c r="Q88" s="311">
        <v>0</v>
      </c>
      <c r="R88" s="211">
        <v>0</v>
      </c>
      <c r="S88" s="212"/>
      <c r="T88" s="213" t="e">
        <v>#DIV/0!</v>
      </c>
      <c r="U88" s="214"/>
      <c r="V88" s="215"/>
      <c r="W88" s="310">
        <v>0</v>
      </c>
      <c r="X88" s="311">
        <v>0</v>
      </c>
      <c r="Y88" s="311">
        <v>0</v>
      </c>
      <c r="Z88" s="211">
        <v>0</v>
      </c>
      <c r="AA88" s="212"/>
      <c r="AB88" s="213" t="e">
        <v>#DIV/0!</v>
      </c>
      <c r="AC88" s="214"/>
      <c r="AD88" s="215"/>
      <c r="AE88" s="342" t="s">
        <v>287</v>
      </c>
      <c r="AF88" s="341" t="s">
        <v>240</v>
      </c>
    </row>
    <row r="89" spans="1:32">
      <c r="A89" s="307">
        <v>3</v>
      </c>
      <c r="B89" s="342"/>
      <c r="C89" s="342" t="s">
        <v>181</v>
      </c>
      <c r="D89" s="340" t="s">
        <v>289</v>
      </c>
      <c r="E89" s="342" t="s">
        <v>290</v>
      </c>
      <c r="F89" s="345" t="s">
        <v>234</v>
      </c>
      <c r="G89" s="308">
        <v>1</v>
      </c>
      <c r="H89" s="309">
        <v>4000</v>
      </c>
      <c r="I89" s="309">
        <v>4000</v>
      </c>
      <c r="J89" s="211"/>
      <c r="K89" s="212" t="str">
        <f>IF(OR(J89="",G89=J89),"","*")</f>
        <v/>
      </c>
      <c r="L89" s="338">
        <f>IF($A89&lt;=L$1,I89/I$4,"")</f>
        <v>5.9728236523816629E-4</v>
      </c>
      <c r="M89" s="343"/>
      <c r="N89" s="344"/>
      <c r="O89" s="310">
        <v>0</v>
      </c>
      <c r="P89" s="311">
        <v>0</v>
      </c>
      <c r="Q89" s="311">
        <v>0</v>
      </c>
      <c r="R89" s="211">
        <v>0</v>
      </c>
      <c r="S89" s="212"/>
      <c r="T89" s="213" t="e">
        <v>#DIV/0!</v>
      </c>
      <c r="U89" s="214"/>
      <c r="V89" s="215"/>
      <c r="W89" s="310">
        <v>0</v>
      </c>
      <c r="X89" s="311">
        <v>0</v>
      </c>
      <c r="Y89" s="311">
        <v>0</v>
      </c>
      <c r="Z89" s="211">
        <v>0</v>
      </c>
      <c r="AA89" s="212"/>
      <c r="AB89" s="213" t="e">
        <v>#DIV/0!</v>
      </c>
      <c r="AC89" s="214"/>
      <c r="AD89" s="215"/>
      <c r="AE89" s="342" t="s">
        <v>291</v>
      </c>
      <c r="AF89" s="341" t="s">
        <v>240</v>
      </c>
    </row>
    <row r="90" spans="1:32">
      <c r="A90" s="307">
        <v>2</v>
      </c>
      <c r="B90" s="342"/>
      <c r="C90" s="342" t="s">
        <v>229</v>
      </c>
      <c r="D90" s="340" t="s">
        <v>329</v>
      </c>
      <c r="E90" s="342" t="s">
        <v>171</v>
      </c>
      <c r="F90" s="345" t="s">
        <v>170</v>
      </c>
      <c r="G90" s="308">
        <v>53</v>
      </c>
      <c r="H90" s="309">
        <v>3584</v>
      </c>
      <c r="I90" s="309">
        <v>189952</v>
      </c>
      <c r="J90" s="211">
        <v>53</v>
      </c>
      <c r="K90" s="212" t="str">
        <f>IF(OR(J90="",G90=J90),"","*")</f>
        <v/>
      </c>
      <c r="L90" s="338">
        <f>IF($A90&lt;=L$1,I90/I$4,"")</f>
        <v>2.8363744960430044E-2</v>
      </c>
      <c r="M90" s="343"/>
      <c r="N90" s="344" t="s">
        <v>330</v>
      </c>
      <c r="O90" s="310">
        <v>0</v>
      </c>
      <c r="P90" s="311">
        <v>0</v>
      </c>
      <c r="Q90" s="311">
        <v>0</v>
      </c>
      <c r="R90" s="211">
        <v>0</v>
      </c>
      <c r="S90" s="212"/>
      <c r="T90" s="213" t="e">
        <v>#DIV/0!</v>
      </c>
      <c r="U90" s="214"/>
      <c r="V90" s="215"/>
      <c r="W90" s="310">
        <v>0</v>
      </c>
      <c r="X90" s="311">
        <v>0</v>
      </c>
      <c r="Y90" s="311">
        <v>0</v>
      </c>
      <c r="Z90" s="211">
        <v>0</v>
      </c>
      <c r="AA90" s="212"/>
      <c r="AB90" s="213" t="e">
        <v>#DIV/0!</v>
      </c>
      <c r="AC90" s="214"/>
      <c r="AD90" s="215"/>
      <c r="AE90" s="342"/>
      <c r="AF90" s="341"/>
    </row>
    <row r="91" spans="1:32">
      <c r="A91" s="307">
        <v>3</v>
      </c>
      <c r="B91" s="342"/>
      <c r="C91" s="342" t="s">
        <v>177</v>
      </c>
      <c r="D91" s="340" t="s">
        <v>331</v>
      </c>
      <c r="E91" s="342" t="s">
        <v>332</v>
      </c>
      <c r="F91" s="345" t="s">
        <v>242</v>
      </c>
      <c r="G91" s="308">
        <v>3</v>
      </c>
      <c r="H91" s="309">
        <v>12300</v>
      </c>
      <c r="I91" s="309">
        <v>36900</v>
      </c>
      <c r="J91" s="211"/>
      <c r="K91" s="212" t="str">
        <f>IF(OR(J91="",G91=J91),"","*")</f>
        <v/>
      </c>
      <c r="L91" s="338">
        <f>IF($A91&lt;=L$1,I91/I$4,"")</f>
        <v>5.5099298193220844E-3</v>
      </c>
      <c r="M91" s="343"/>
      <c r="N91" s="344"/>
      <c r="O91" s="310">
        <v>0</v>
      </c>
      <c r="P91" s="311">
        <v>0</v>
      </c>
      <c r="Q91" s="311">
        <v>0</v>
      </c>
      <c r="R91" s="211">
        <v>0</v>
      </c>
      <c r="S91" s="212"/>
      <c r="T91" s="213" t="e">
        <v>#DIV/0!</v>
      </c>
      <c r="U91" s="214"/>
      <c r="V91" s="215"/>
      <c r="W91" s="310">
        <v>0</v>
      </c>
      <c r="X91" s="311">
        <v>0</v>
      </c>
      <c r="Y91" s="311">
        <v>0</v>
      </c>
      <c r="Z91" s="211">
        <v>0</v>
      </c>
      <c r="AA91" s="212"/>
      <c r="AB91" s="213" t="e">
        <v>#DIV/0!</v>
      </c>
      <c r="AC91" s="214"/>
      <c r="AD91" s="215"/>
      <c r="AE91" s="342" t="s">
        <v>333</v>
      </c>
      <c r="AF91" s="341" t="s">
        <v>334</v>
      </c>
    </row>
    <row r="92" spans="1:32">
      <c r="A92" s="307">
        <v>3</v>
      </c>
      <c r="B92" s="342"/>
      <c r="C92" s="342" t="s">
        <v>177</v>
      </c>
      <c r="D92" s="340" t="s">
        <v>331</v>
      </c>
      <c r="E92" s="342" t="s">
        <v>335</v>
      </c>
      <c r="F92" s="345" t="s">
        <v>242</v>
      </c>
      <c r="G92" s="308">
        <v>3</v>
      </c>
      <c r="H92" s="309">
        <v>12300</v>
      </c>
      <c r="I92" s="309">
        <v>36900</v>
      </c>
      <c r="J92" s="211"/>
      <c r="K92" s="212" t="str">
        <f>IF(OR(J92="",G92=J92),"","*")</f>
        <v/>
      </c>
      <c r="L92" s="338">
        <f>IF($A92&lt;=L$1,I92/I$4,"")</f>
        <v>5.5099298193220844E-3</v>
      </c>
      <c r="M92" s="343"/>
      <c r="N92" s="344"/>
      <c r="O92" s="310">
        <v>0</v>
      </c>
      <c r="P92" s="311">
        <v>0</v>
      </c>
      <c r="Q92" s="311">
        <v>0</v>
      </c>
      <c r="R92" s="211">
        <v>0</v>
      </c>
      <c r="S92" s="212"/>
      <c r="T92" s="213" t="e">
        <v>#DIV/0!</v>
      </c>
      <c r="U92" s="214"/>
      <c r="V92" s="215"/>
      <c r="W92" s="310">
        <v>0</v>
      </c>
      <c r="X92" s="311">
        <v>0</v>
      </c>
      <c r="Y92" s="311">
        <v>0</v>
      </c>
      <c r="Z92" s="211">
        <v>0</v>
      </c>
      <c r="AA92" s="212"/>
      <c r="AB92" s="213" t="e">
        <v>#DIV/0!</v>
      </c>
      <c r="AC92" s="214"/>
      <c r="AD92" s="215"/>
      <c r="AE92" s="342" t="s">
        <v>333</v>
      </c>
      <c r="AF92" s="341" t="s">
        <v>336</v>
      </c>
    </row>
    <row r="93" spans="1:32">
      <c r="A93" s="307">
        <v>3</v>
      </c>
      <c r="B93" s="342"/>
      <c r="C93" s="342" t="s">
        <v>177</v>
      </c>
      <c r="D93" s="340" t="s">
        <v>296</v>
      </c>
      <c r="E93" s="342"/>
      <c r="F93" s="345" t="s">
        <v>242</v>
      </c>
      <c r="G93" s="308">
        <v>17</v>
      </c>
      <c r="H93" s="309">
        <v>200</v>
      </c>
      <c r="I93" s="309">
        <v>3400</v>
      </c>
      <c r="J93" s="211"/>
      <c r="K93" s="212" t="str">
        <f>IF(OR(J93="",G93=J93),"","*")</f>
        <v/>
      </c>
      <c r="L93" s="338">
        <f>IF($A93&lt;=L$1,I93/I$4,"")</f>
        <v>5.0769001045244142E-4</v>
      </c>
      <c r="M93" s="343"/>
      <c r="N93" s="344"/>
      <c r="O93" s="310">
        <v>0</v>
      </c>
      <c r="P93" s="311">
        <v>0</v>
      </c>
      <c r="Q93" s="311">
        <v>0</v>
      </c>
      <c r="R93" s="211">
        <v>0</v>
      </c>
      <c r="S93" s="212"/>
      <c r="T93" s="213" t="e">
        <v>#DIV/0!</v>
      </c>
      <c r="U93" s="214"/>
      <c r="V93" s="215"/>
      <c r="W93" s="310">
        <v>0</v>
      </c>
      <c r="X93" s="311">
        <v>0</v>
      </c>
      <c r="Y93" s="311">
        <v>0</v>
      </c>
      <c r="Z93" s="211">
        <v>0</v>
      </c>
      <c r="AA93" s="212"/>
      <c r="AB93" s="213" t="e">
        <v>#DIV/0!</v>
      </c>
      <c r="AC93" s="214"/>
      <c r="AD93" s="215"/>
      <c r="AE93" s="342" t="s">
        <v>297</v>
      </c>
      <c r="AF93" s="341"/>
    </row>
    <row r="94" spans="1:32">
      <c r="A94" s="307">
        <v>3</v>
      </c>
      <c r="B94" s="342"/>
      <c r="C94" s="342" t="s">
        <v>177</v>
      </c>
      <c r="D94" s="340" t="s">
        <v>337</v>
      </c>
      <c r="E94" s="342"/>
      <c r="F94" s="345" t="s">
        <v>338</v>
      </c>
      <c r="G94" s="308">
        <v>13</v>
      </c>
      <c r="H94" s="309">
        <v>700</v>
      </c>
      <c r="I94" s="309">
        <v>9100</v>
      </c>
      <c r="J94" s="211"/>
      <c r="K94" s="212" t="str">
        <f>IF(OR(J94="",G94=J94),"","*")</f>
        <v/>
      </c>
      <c r="L94" s="338">
        <f>IF($A94&lt;=L$1,I94/I$4,"")</f>
        <v>1.3588173809168285E-3</v>
      </c>
      <c r="M94" s="343"/>
      <c r="N94" s="344"/>
      <c r="O94" s="310">
        <v>0</v>
      </c>
      <c r="P94" s="311">
        <v>0</v>
      </c>
      <c r="Q94" s="311">
        <v>0</v>
      </c>
      <c r="R94" s="211">
        <v>0</v>
      </c>
      <c r="S94" s="212"/>
      <c r="T94" s="213" t="e">
        <v>#DIV/0!</v>
      </c>
      <c r="U94" s="214"/>
      <c r="V94" s="215"/>
      <c r="W94" s="310">
        <v>0</v>
      </c>
      <c r="X94" s="311">
        <v>0</v>
      </c>
      <c r="Y94" s="311">
        <v>0</v>
      </c>
      <c r="Z94" s="211">
        <v>0</v>
      </c>
      <c r="AA94" s="212"/>
      <c r="AB94" s="213" t="e">
        <v>#DIV/0!</v>
      </c>
      <c r="AC94" s="214"/>
      <c r="AD94" s="215"/>
      <c r="AE94" s="342" t="s">
        <v>339</v>
      </c>
      <c r="AF94" s="341"/>
    </row>
    <row r="95" spans="1:32">
      <c r="A95" s="307">
        <v>3</v>
      </c>
      <c r="B95" s="342"/>
      <c r="C95" s="342" t="s">
        <v>177</v>
      </c>
      <c r="D95" s="340" t="s">
        <v>265</v>
      </c>
      <c r="E95" s="342"/>
      <c r="F95" s="345" t="s">
        <v>259</v>
      </c>
      <c r="G95" s="308">
        <v>100</v>
      </c>
      <c r="H95" s="309">
        <v>150</v>
      </c>
      <c r="I95" s="309">
        <v>15000</v>
      </c>
      <c r="J95" s="211"/>
      <c r="K95" s="212" t="str">
        <f>IF(OR(J95="",G95=J95),"","*")</f>
        <v/>
      </c>
      <c r="L95" s="338">
        <f>IF($A95&lt;=L$1,I95/I$4,"")</f>
        <v>2.2398088696431238E-3</v>
      </c>
      <c r="M95" s="343"/>
      <c r="N95" s="344"/>
      <c r="O95" s="310">
        <v>0</v>
      </c>
      <c r="P95" s="311">
        <v>0</v>
      </c>
      <c r="Q95" s="311">
        <v>0</v>
      </c>
      <c r="R95" s="211">
        <v>0</v>
      </c>
      <c r="S95" s="212"/>
      <c r="T95" s="213" t="e">
        <v>#DIV/0!</v>
      </c>
      <c r="U95" s="214"/>
      <c r="V95" s="215"/>
      <c r="W95" s="310">
        <v>0</v>
      </c>
      <c r="X95" s="311">
        <v>0</v>
      </c>
      <c r="Y95" s="311">
        <v>0</v>
      </c>
      <c r="Z95" s="211">
        <v>0</v>
      </c>
      <c r="AA95" s="212"/>
      <c r="AB95" s="213" t="e">
        <v>#DIV/0!</v>
      </c>
      <c r="AC95" s="214"/>
      <c r="AD95" s="215"/>
      <c r="AE95" s="342" t="s">
        <v>266</v>
      </c>
      <c r="AF95" s="341" t="s">
        <v>267</v>
      </c>
    </row>
    <row r="96" spans="1:32">
      <c r="A96" s="307">
        <v>3</v>
      </c>
      <c r="B96" s="342"/>
      <c r="C96" s="342" t="s">
        <v>177</v>
      </c>
      <c r="D96" s="340" t="s">
        <v>246</v>
      </c>
      <c r="E96" s="342"/>
      <c r="F96" s="345" t="s">
        <v>172</v>
      </c>
      <c r="G96" s="308">
        <v>1</v>
      </c>
      <c r="H96" s="309">
        <v>700</v>
      </c>
      <c r="I96" s="309">
        <v>700</v>
      </c>
      <c r="J96" s="211"/>
      <c r="K96" s="212" t="str">
        <f>IF(OR(J96="",G96=J96),"","*")</f>
        <v/>
      </c>
      <c r="L96" s="338">
        <f>IF($A96&lt;=L$1,I96/I$4,"")</f>
        <v>1.0452441391667911E-4</v>
      </c>
      <c r="M96" s="343"/>
      <c r="N96" s="344"/>
      <c r="O96" s="310">
        <v>0</v>
      </c>
      <c r="P96" s="311">
        <v>0</v>
      </c>
      <c r="Q96" s="311">
        <v>0</v>
      </c>
      <c r="R96" s="211">
        <v>0</v>
      </c>
      <c r="S96" s="212"/>
      <c r="T96" s="213" t="e">
        <v>#DIV/0!</v>
      </c>
      <c r="U96" s="214"/>
      <c r="V96" s="215"/>
      <c r="W96" s="310">
        <v>0</v>
      </c>
      <c r="X96" s="311">
        <v>0</v>
      </c>
      <c r="Y96" s="311">
        <v>0</v>
      </c>
      <c r="Z96" s="211">
        <v>0</v>
      </c>
      <c r="AA96" s="212"/>
      <c r="AB96" s="213" t="e">
        <v>#DIV/0!</v>
      </c>
      <c r="AC96" s="214"/>
      <c r="AD96" s="215"/>
      <c r="AE96" s="342" t="s">
        <v>247</v>
      </c>
      <c r="AF96" s="341"/>
    </row>
    <row r="97" spans="1:32">
      <c r="A97" s="307">
        <v>3</v>
      </c>
      <c r="B97" s="342"/>
      <c r="C97" s="342" t="s">
        <v>178</v>
      </c>
      <c r="D97" s="340" t="s">
        <v>268</v>
      </c>
      <c r="E97" s="342"/>
      <c r="F97" s="345" t="s">
        <v>269</v>
      </c>
      <c r="G97" s="308">
        <v>3</v>
      </c>
      <c r="H97" s="309">
        <v>23000</v>
      </c>
      <c r="I97" s="309">
        <v>69000</v>
      </c>
      <c r="J97" s="211"/>
      <c r="K97" s="212" t="str">
        <f>IF(OR(J97="",G97=J97),"","*")</f>
        <v/>
      </c>
      <c r="L97" s="338">
        <f>IF($A97&lt;=L$1,I97/I$4,"")</f>
        <v>1.0303120800358369E-2</v>
      </c>
      <c r="M97" s="343"/>
      <c r="N97" s="344"/>
      <c r="O97" s="310">
        <v>0</v>
      </c>
      <c r="P97" s="311">
        <v>0</v>
      </c>
      <c r="Q97" s="311">
        <v>0</v>
      </c>
      <c r="R97" s="211">
        <v>0</v>
      </c>
      <c r="S97" s="212"/>
      <c r="T97" s="213" t="e">
        <v>#DIV/0!</v>
      </c>
      <c r="U97" s="214"/>
      <c r="V97" s="215"/>
      <c r="W97" s="310">
        <v>0</v>
      </c>
      <c r="X97" s="311">
        <v>0</v>
      </c>
      <c r="Y97" s="311">
        <v>0</v>
      </c>
      <c r="Z97" s="211">
        <v>0</v>
      </c>
      <c r="AA97" s="212"/>
      <c r="AB97" s="213" t="e">
        <v>#DIV/0!</v>
      </c>
      <c r="AC97" s="214"/>
      <c r="AD97" s="215"/>
      <c r="AE97" s="342" t="s">
        <v>270</v>
      </c>
      <c r="AF97" s="341" t="s">
        <v>327</v>
      </c>
    </row>
    <row r="98" spans="1:32">
      <c r="A98" s="307">
        <v>3</v>
      </c>
      <c r="B98" s="342"/>
      <c r="C98" s="342" t="s">
        <v>180</v>
      </c>
      <c r="D98" s="340" t="s">
        <v>272</v>
      </c>
      <c r="E98" s="342"/>
      <c r="F98" s="345" t="s">
        <v>234</v>
      </c>
      <c r="G98" s="308">
        <v>0.5</v>
      </c>
      <c r="H98" s="309">
        <v>5000</v>
      </c>
      <c r="I98" s="309">
        <v>2500</v>
      </c>
      <c r="J98" s="211"/>
      <c r="K98" s="212" t="str">
        <f>IF(OR(J98="",G98=J98),"","*")</f>
        <v/>
      </c>
      <c r="L98" s="338">
        <f>IF($A98&lt;=L$1,I98/I$4,"")</f>
        <v>3.7330147827385399E-4</v>
      </c>
      <c r="M98" s="343"/>
      <c r="N98" s="344"/>
      <c r="O98" s="310">
        <v>0</v>
      </c>
      <c r="P98" s="311">
        <v>0</v>
      </c>
      <c r="Q98" s="311">
        <v>0</v>
      </c>
      <c r="R98" s="211">
        <v>0</v>
      </c>
      <c r="S98" s="212"/>
      <c r="T98" s="213" t="e">
        <v>#DIV/0!</v>
      </c>
      <c r="U98" s="214"/>
      <c r="V98" s="215"/>
      <c r="W98" s="310">
        <v>0</v>
      </c>
      <c r="X98" s="311">
        <v>0</v>
      </c>
      <c r="Y98" s="311">
        <v>0</v>
      </c>
      <c r="Z98" s="211">
        <v>0</v>
      </c>
      <c r="AA98" s="212"/>
      <c r="AB98" s="213" t="e">
        <v>#DIV/0!</v>
      </c>
      <c r="AC98" s="214"/>
      <c r="AD98" s="215"/>
      <c r="AE98" s="342" t="s">
        <v>273</v>
      </c>
      <c r="AF98" s="341" t="s">
        <v>328</v>
      </c>
    </row>
    <row r="99" spans="1:32">
      <c r="A99" s="307">
        <v>3</v>
      </c>
      <c r="B99" s="342"/>
      <c r="C99" s="342" t="s">
        <v>180</v>
      </c>
      <c r="D99" s="340" t="s">
        <v>277</v>
      </c>
      <c r="E99" s="342" t="s">
        <v>278</v>
      </c>
      <c r="F99" s="345" t="s">
        <v>234</v>
      </c>
      <c r="G99" s="308">
        <v>0.5</v>
      </c>
      <c r="H99" s="309">
        <v>4000</v>
      </c>
      <c r="I99" s="309">
        <v>2000</v>
      </c>
      <c r="J99" s="211"/>
      <c r="K99" s="212" t="str">
        <f>IF(OR(J99="",G99=J99),"","*")</f>
        <v/>
      </c>
      <c r="L99" s="338">
        <f>IF($A99&lt;=L$1,I99/I$4,"")</f>
        <v>2.9864118261908315E-4</v>
      </c>
      <c r="M99" s="343"/>
      <c r="N99" s="344"/>
      <c r="O99" s="310">
        <v>0</v>
      </c>
      <c r="P99" s="311">
        <v>0</v>
      </c>
      <c r="Q99" s="311">
        <v>0</v>
      </c>
      <c r="R99" s="211">
        <v>0</v>
      </c>
      <c r="S99" s="212"/>
      <c r="T99" s="213" t="e">
        <v>#DIV/0!</v>
      </c>
      <c r="U99" s="214"/>
      <c r="V99" s="215"/>
      <c r="W99" s="310">
        <v>0</v>
      </c>
      <c r="X99" s="311">
        <v>0</v>
      </c>
      <c r="Y99" s="311">
        <v>0</v>
      </c>
      <c r="Z99" s="211">
        <v>0</v>
      </c>
      <c r="AA99" s="212"/>
      <c r="AB99" s="213" t="e">
        <v>#DIV/0!</v>
      </c>
      <c r="AC99" s="214"/>
      <c r="AD99" s="215"/>
      <c r="AE99" s="342" t="s">
        <v>279</v>
      </c>
      <c r="AF99" s="341" t="s">
        <v>328</v>
      </c>
    </row>
    <row r="100" spans="1:32">
      <c r="A100" s="307">
        <v>3</v>
      </c>
      <c r="B100" s="342"/>
      <c r="C100" s="342" t="s">
        <v>180</v>
      </c>
      <c r="D100" s="340" t="s">
        <v>274</v>
      </c>
      <c r="E100" s="342" t="s">
        <v>280</v>
      </c>
      <c r="F100" s="345" t="s">
        <v>234</v>
      </c>
      <c r="G100" s="308">
        <v>0.5</v>
      </c>
      <c r="H100" s="309">
        <v>4000</v>
      </c>
      <c r="I100" s="309">
        <v>2000</v>
      </c>
      <c r="J100" s="211"/>
      <c r="K100" s="212" t="str">
        <f>IF(OR(J100="",G100=J100),"","*")</f>
        <v/>
      </c>
      <c r="L100" s="338">
        <f>IF($A100&lt;=L$1,I100/I$4,"")</f>
        <v>2.9864118261908315E-4</v>
      </c>
      <c r="M100" s="343"/>
      <c r="N100" s="344"/>
      <c r="O100" s="310">
        <v>0</v>
      </c>
      <c r="P100" s="311">
        <v>0</v>
      </c>
      <c r="Q100" s="311">
        <v>0</v>
      </c>
      <c r="R100" s="211">
        <v>0</v>
      </c>
      <c r="S100" s="212"/>
      <c r="T100" s="213" t="e">
        <v>#DIV/0!</v>
      </c>
      <c r="U100" s="214"/>
      <c r="V100" s="215"/>
      <c r="W100" s="310">
        <v>0</v>
      </c>
      <c r="X100" s="311">
        <v>0</v>
      </c>
      <c r="Y100" s="311">
        <v>0</v>
      </c>
      <c r="Z100" s="211">
        <v>0</v>
      </c>
      <c r="AA100" s="212"/>
      <c r="AB100" s="213" t="e">
        <v>#DIV/0!</v>
      </c>
      <c r="AC100" s="214"/>
      <c r="AD100" s="215"/>
      <c r="AE100" s="342" t="s">
        <v>281</v>
      </c>
      <c r="AF100" s="341" t="s">
        <v>328</v>
      </c>
    </row>
    <row r="101" spans="1:32">
      <c r="A101" s="307">
        <v>3</v>
      </c>
      <c r="B101" s="342"/>
      <c r="C101" s="342" t="s">
        <v>180</v>
      </c>
      <c r="D101" s="340" t="s">
        <v>282</v>
      </c>
      <c r="E101" s="342"/>
      <c r="F101" s="345" t="s">
        <v>234</v>
      </c>
      <c r="G101" s="308">
        <v>0.5</v>
      </c>
      <c r="H101" s="309">
        <v>3000</v>
      </c>
      <c r="I101" s="309">
        <v>1500</v>
      </c>
      <c r="J101" s="211"/>
      <c r="K101" s="212" t="str">
        <f>IF(OR(J101="",G101=J101),"","*")</f>
        <v/>
      </c>
      <c r="L101" s="338">
        <f>IF($A101&lt;=L$1,I101/I$4,"")</f>
        <v>2.2398088696431239E-4</v>
      </c>
      <c r="M101" s="343"/>
      <c r="N101" s="344"/>
      <c r="O101" s="310">
        <v>0</v>
      </c>
      <c r="P101" s="311">
        <v>0</v>
      </c>
      <c r="Q101" s="311">
        <v>0</v>
      </c>
      <c r="R101" s="211">
        <v>0</v>
      </c>
      <c r="S101" s="212"/>
      <c r="T101" s="213" t="e">
        <v>#DIV/0!</v>
      </c>
      <c r="U101" s="214"/>
      <c r="V101" s="215"/>
      <c r="W101" s="310">
        <v>0</v>
      </c>
      <c r="X101" s="311">
        <v>0</v>
      </c>
      <c r="Y101" s="311">
        <v>0</v>
      </c>
      <c r="Z101" s="211">
        <v>0</v>
      </c>
      <c r="AA101" s="212"/>
      <c r="AB101" s="213" t="e">
        <v>#DIV/0!</v>
      </c>
      <c r="AC101" s="214"/>
      <c r="AD101" s="215"/>
      <c r="AE101" s="342" t="s">
        <v>283</v>
      </c>
      <c r="AF101" s="341" t="s">
        <v>328</v>
      </c>
    </row>
    <row r="102" spans="1:32">
      <c r="A102" s="307">
        <v>3</v>
      </c>
      <c r="B102" s="342"/>
      <c r="C102" s="342" t="s">
        <v>181</v>
      </c>
      <c r="D102" s="340" t="s">
        <v>286</v>
      </c>
      <c r="E102" s="342"/>
      <c r="F102" s="345" t="s">
        <v>234</v>
      </c>
      <c r="G102" s="308">
        <v>1</v>
      </c>
      <c r="H102" s="309">
        <v>7000</v>
      </c>
      <c r="I102" s="309">
        <v>7000</v>
      </c>
      <c r="J102" s="211"/>
      <c r="K102" s="212" t="str">
        <f>IF(OR(J102="",G102=J102),"","*")</f>
        <v/>
      </c>
      <c r="L102" s="338">
        <f>IF($A102&lt;=L$1,I102/I$4,"")</f>
        <v>1.045244139166791E-3</v>
      </c>
      <c r="M102" s="343"/>
      <c r="N102" s="344"/>
      <c r="O102" s="310">
        <v>0</v>
      </c>
      <c r="P102" s="311">
        <v>0</v>
      </c>
      <c r="Q102" s="311">
        <v>0</v>
      </c>
      <c r="R102" s="211">
        <v>0</v>
      </c>
      <c r="S102" s="212"/>
      <c r="T102" s="213" t="e">
        <v>#DIV/0!</v>
      </c>
      <c r="U102" s="214"/>
      <c r="V102" s="215"/>
      <c r="W102" s="310">
        <v>0</v>
      </c>
      <c r="X102" s="311">
        <v>0</v>
      </c>
      <c r="Y102" s="311">
        <v>0</v>
      </c>
      <c r="Z102" s="211">
        <v>0</v>
      </c>
      <c r="AA102" s="212"/>
      <c r="AB102" s="213" t="e">
        <v>#DIV/0!</v>
      </c>
      <c r="AC102" s="214"/>
      <c r="AD102" s="215"/>
      <c r="AE102" s="342" t="s">
        <v>287</v>
      </c>
      <c r="AF102" s="341" t="s">
        <v>240</v>
      </c>
    </row>
    <row r="103" spans="1:32">
      <c r="A103" s="307">
        <v>3</v>
      </c>
      <c r="B103" s="342"/>
      <c r="C103" s="342" t="s">
        <v>181</v>
      </c>
      <c r="D103" s="340" t="s">
        <v>289</v>
      </c>
      <c r="E103" s="342" t="s">
        <v>290</v>
      </c>
      <c r="F103" s="345" t="s">
        <v>234</v>
      </c>
      <c r="G103" s="308">
        <v>1</v>
      </c>
      <c r="H103" s="309">
        <v>4000</v>
      </c>
      <c r="I103" s="309">
        <v>4000</v>
      </c>
      <c r="J103" s="211"/>
      <c r="K103" s="212" t="str">
        <f>IF(OR(J103="",G103=J103),"","*")</f>
        <v/>
      </c>
      <c r="L103" s="338">
        <f>IF($A103&lt;=L$1,I103/I$4,"")</f>
        <v>5.9728236523816629E-4</v>
      </c>
      <c r="M103" s="343"/>
      <c r="N103" s="344"/>
      <c r="O103" s="310">
        <v>0</v>
      </c>
      <c r="P103" s="311">
        <v>0</v>
      </c>
      <c r="Q103" s="311">
        <v>0</v>
      </c>
      <c r="R103" s="211">
        <v>0</v>
      </c>
      <c r="S103" s="212"/>
      <c r="T103" s="213" t="e">
        <v>#DIV/0!</v>
      </c>
      <c r="U103" s="214"/>
      <c r="V103" s="215"/>
      <c r="W103" s="310">
        <v>0</v>
      </c>
      <c r="X103" s="311">
        <v>0</v>
      </c>
      <c r="Y103" s="311">
        <v>0</v>
      </c>
      <c r="Z103" s="211">
        <v>0</v>
      </c>
      <c r="AA103" s="212"/>
      <c r="AB103" s="213" t="e">
        <v>#DIV/0!</v>
      </c>
      <c r="AC103" s="214"/>
      <c r="AD103" s="215"/>
      <c r="AE103" s="342" t="s">
        <v>291</v>
      </c>
      <c r="AF103" s="341" t="s">
        <v>240</v>
      </c>
    </row>
    <row r="104" spans="1:32">
      <c r="A104" s="307">
        <v>2</v>
      </c>
      <c r="B104" s="342"/>
      <c r="C104" s="342" t="s">
        <v>229</v>
      </c>
      <c r="D104" s="340" t="s">
        <v>340</v>
      </c>
      <c r="E104" s="342"/>
      <c r="F104" s="345" t="s">
        <v>172</v>
      </c>
      <c r="G104" s="308">
        <v>1</v>
      </c>
      <c r="H104" s="309">
        <v>630000</v>
      </c>
      <c r="I104" s="309">
        <v>630000</v>
      </c>
      <c r="J104" s="211">
        <v>1</v>
      </c>
      <c r="K104" s="212" t="str">
        <f>IF(OR(J104="",G104=J104),"","*")</f>
        <v/>
      </c>
      <c r="L104" s="338">
        <f>IF($A104&lt;=L$1,I104/I$4,"")</f>
        <v>9.4071972525011205E-2</v>
      </c>
      <c r="M104" s="343"/>
      <c r="N104" s="344" t="s">
        <v>341</v>
      </c>
      <c r="O104" s="310">
        <v>0</v>
      </c>
      <c r="P104" s="311">
        <v>0</v>
      </c>
      <c r="Q104" s="311">
        <v>0</v>
      </c>
      <c r="R104" s="211">
        <v>0</v>
      </c>
      <c r="S104" s="212"/>
      <c r="T104" s="213" t="e">
        <v>#DIV/0!</v>
      </c>
      <c r="U104" s="214"/>
      <c r="V104" s="215"/>
      <c r="W104" s="310">
        <v>0</v>
      </c>
      <c r="X104" s="311">
        <v>0</v>
      </c>
      <c r="Y104" s="311">
        <v>0</v>
      </c>
      <c r="Z104" s="211">
        <v>0</v>
      </c>
      <c r="AA104" s="212"/>
      <c r="AB104" s="213" t="e">
        <v>#DIV/0!</v>
      </c>
      <c r="AC104" s="214"/>
      <c r="AD104" s="215"/>
      <c r="AE104" s="342"/>
      <c r="AF104" s="341"/>
    </row>
    <row r="105" spans="1:32">
      <c r="A105" s="307">
        <v>3</v>
      </c>
      <c r="B105" s="342"/>
      <c r="C105" s="342" t="s">
        <v>179</v>
      </c>
      <c r="D105" s="340" t="s">
        <v>342</v>
      </c>
      <c r="E105" s="342" t="s">
        <v>343</v>
      </c>
      <c r="F105" s="345" t="s">
        <v>170</v>
      </c>
      <c r="G105" s="308">
        <v>61</v>
      </c>
      <c r="H105" s="309">
        <v>2500</v>
      </c>
      <c r="I105" s="309">
        <v>152500</v>
      </c>
      <c r="J105" s="211"/>
      <c r="K105" s="212" t="str">
        <f>IF(OR(J105="",G105=J105),"","*")</f>
        <v/>
      </c>
      <c r="L105" s="338">
        <f>IF($A105&lt;=L$1,I105/I$4,"")</f>
        <v>2.2771390174705093E-2</v>
      </c>
      <c r="M105" s="343"/>
      <c r="N105" s="344"/>
      <c r="O105" s="310">
        <v>0</v>
      </c>
      <c r="P105" s="311">
        <v>0</v>
      </c>
      <c r="Q105" s="311">
        <v>0</v>
      </c>
      <c r="R105" s="211">
        <v>0</v>
      </c>
      <c r="S105" s="212"/>
      <c r="T105" s="213" t="e">
        <v>#DIV/0!</v>
      </c>
      <c r="U105" s="214"/>
      <c r="V105" s="215"/>
      <c r="W105" s="310">
        <v>0</v>
      </c>
      <c r="X105" s="311">
        <v>0</v>
      </c>
      <c r="Y105" s="311">
        <v>0</v>
      </c>
      <c r="Z105" s="211">
        <v>0</v>
      </c>
      <c r="AA105" s="212"/>
      <c r="AB105" s="213" t="e">
        <v>#DIV/0!</v>
      </c>
      <c r="AC105" s="214"/>
      <c r="AD105" s="215"/>
      <c r="AE105" s="342" t="s">
        <v>344</v>
      </c>
      <c r="AF105" s="341"/>
    </row>
    <row r="106" spans="1:32">
      <c r="A106" s="307">
        <v>3</v>
      </c>
      <c r="B106" s="342"/>
      <c r="C106" s="342" t="s">
        <v>179</v>
      </c>
      <c r="D106" s="340" t="s">
        <v>345</v>
      </c>
      <c r="E106" s="342" t="s">
        <v>346</v>
      </c>
      <c r="F106" s="345" t="s">
        <v>170</v>
      </c>
      <c r="G106" s="308">
        <v>131</v>
      </c>
      <c r="H106" s="309">
        <v>3580</v>
      </c>
      <c r="I106" s="309">
        <v>468980</v>
      </c>
      <c r="J106" s="211"/>
      <c r="K106" s="212" t="str">
        <f>IF(OR(J106="",G106=J106),"","*")</f>
        <v/>
      </c>
      <c r="L106" s="338">
        <f>IF($A106&lt;=L$1,I106/I$4,"")</f>
        <v>7.0028370912348814E-2</v>
      </c>
      <c r="M106" s="343"/>
      <c r="N106" s="344"/>
      <c r="O106" s="310">
        <v>0</v>
      </c>
      <c r="P106" s="311">
        <v>0</v>
      </c>
      <c r="Q106" s="311">
        <v>0</v>
      </c>
      <c r="R106" s="211">
        <v>0</v>
      </c>
      <c r="S106" s="212"/>
      <c r="T106" s="213" t="e">
        <v>#DIV/0!</v>
      </c>
      <c r="U106" s="214"/>
      <c r="V106" s="215"/>
      <c r="W106" s="310">
        <v>0</v>
      </c>
      <c r="X106" s="311">
        <v>0</v>
      </c>
      <c r="Y106" s="311">
        <v>0</v>
      </c>
      <c r="Z106" s="211">
        <v>0</v>
      </c>
      <c r="AA106" s="212"/>
      <c r="AB106" s="213" t="e">
        <v>#DIV/0!</v>
      </c>
      <c r="AC106" s="214"/>
      <c r="AD106" s="215"/>
      <c r="AE106" s="342" t="s">
        <v>347</v>
      </c>
      <c r="AF106" s="341"/>
    </row>
    <row r="107" spans="1:32">
      <c r="A107" s="307">
        <v>3</v>
      </c>
      <c r="B107" s="342"/>
      <c r="C107" s="342" t="s">
        <v>177</v>
      </c>
      <c r="D107" s="340" t="s">
        <v>246</v>
      </c>
      <c r="E107" s="342"/>
      <c r="F107" s="345" t="s">
        <v>172</v>
      </c>
      <c r="G107" s="308">
        <v>1</v>
      </c>
      <c r="H107" s="309">
        <v>8520</v>
      </c>
      <c r="I107" s="309">
        <v>8520</v>
      </c>
      <c r="J107" s="211"/>
      <c r="K107" s="212" t="str">
        <f>IF(OR(J107="",G107=J107),"","*")</f>
        <v/>
      </c>
      <c r="L107" s="338">
        <f>IF($A107&lt;=L$1,I107/I$4,"")</f>
        <v>1.2722114379572942E-3</v>
      </c>
      <c r="M107" s="343"/>
      <c r="N107" s="344"/>
      <c r="O107" s="310">
        <v>0</v>
      </c>
      <c r="P107" s="311">
        <v>0</v>
      </c>
      <c r="Q107" s="311">
        <v>0</v>
      </c>
      <c r="R107" s="211">
        <v>0</v>
      </c>
      <c r="S107" s="212"/>
      <c r="T107" s="213" t="e">
        <v>#DIV/0!</v>
      </c>
      <c r="U107" s="214"/>
      <c r="V107" s="215"/>
      <c r="W107" s="310">
        <v>0</v>
      </c>
      <c r="X107" s="311">
        <v>0</v>
      </c>
      <c r="Y107" s="311">
        <v>0</v>
      </c>
      <c r="Z107" s="211">
        <v>0</v>
      </c>
      <c r="AA107" s="212"/>
      <c r="AB107" s="213" t="e">
        <v>#DIV/0!</v>
      </c>
      <c r="AC107" s="214"/>
      <c r="AD107" s="215"/>
      <c r="AE107" s="342" t="s">
        <v>247</v>
      </c>
      <c r="AF107" s="341"/>
    </row>
    <row r="108" spans="1:32">
      <c r="A108" s="307">
        <v>2</v>
      </c>
      <c r="B108" s="342"/>
      <c r="C108" s="342" t="s">
        <v>229</v>
      </c>
      <c r="D108" s="340" t="s">
        <v>348</v>
      </c>
      <c r="E108" s="342"/>
      <c r="F108" s="345" t="s">
        <v>173</v>
      </c>
      <c r="G108" s="308">
        <v>32</v>
      </c>
      <c r="H108" s="309">
        <v>5937</v>
      </c>
      <c r="I108" s="309">
        <v>189984</v>
      </c>
      <c r="J108" s="211">
        <v>32</v>
      </c>
      <c r="K108" s="212" t="str">
        <f>IF(OR(J108="",G108=J108),"","*")</f>
        <v/>
      </c>
      <c r="L108" s="338">
        <f>IF($A108&lt;=L$1,I108/I$4,"")</f>
        <v>2.8368523219351949E-2</v>
      </c>
      <c r="M108" s="343"/>
      <c r="N108" s="344" t="s">
        <v>349</v>
      </c>
      <c r="O108" s="310">
        <v>0</v>
      </c>
      <c r="P108" s="311">
        <v>0</v>
      </c>
      <c r="Q108" s="311">
        <v>0</v>
      </c>
      <c r="R108" s="211">
        <v>0</v>
      </c>
      <c r="S108" s="212"/>
      <c r="T108" s="213" t="e">
        <v>#DIV/0!</v>
      </c>
      <c r="U108" s="214"/>
      <c r="V108" s="215"/>
      <c r="W108" s="310">
        <v>0</v>
      </c>
      <c r="X108" s="311">
        <v>0</v>
      </c>
      <c r="Y108" s="311">
        <v>0</v>
      </c>
      <c r="Z108" s="211">
        <v>0</v>
      </c>
      <c r="AA108" s="212"/>
      <c r="AB108" s="213" t="e">
        <v>#DIV/0!</v>
      </c>
      <c r="AC108" s="214"/>
      <c r="AD108" s="215"/>
      <c r="AE108" s="342"/>
      <c r="AF108" s="341"/>
    </row>
    <row r="109" spans="1:32">
      <c r="A109" s="307">
        <v>3</v>
      </c>
      <c r="B109" s="342"/>
      <c r="C109" s="342" t="s">
        <v>177</v>
      </c>
      <c r="D109" s="340" t="s">
        <v>350</v>
      </c>
      <c r="E109" s="342" t="s">
        <v>351</v>
      </c>
      <c r="F109" s="345" t="s">
        <v>242</v>
      </c>
      <c r="G109" s="308">
        <v>3.5</v>
      </c>
      <c r="H109" s="309">
        <v>18000</v>
      </c>
      <c r="I109" s="309">
        <v>63000</v>
      </c>
      <c r="J109" s="211"/>
      <c r="K109" s="212" t="str">
        <f>IF(OR(J109="",G109=J109),"","*")</f>
        <v/>
      </c>
      <c r="L109" s="338">
        <f>IF($A109&lt;=L$1,I109/I$4,"")</f>
        <v>9.4071972525011198E-3</v>
      </c>
      <c r="M109" s="343"/>
      <c r="N109" s="344"/>
      <c r="O109" s="310">
        <v>0</v>
      </c>
      <c r="P109" s="311">
        <v>0</v>
      </c>
      <c r="Q109" s="311">
        <v>0</v>
      </c>
      <c r="R109" s="211">
        <v>0</v>
      </c>
      <c r="S109" s="212"/>
      <c r="T109" s="213" t="e">
        <v>#DIV/0!</v>
      </c>
      <c r="U109" s="214"/>
      <c r="V109" s="215"/>
      <c r="W109" s="310">
        <v>0</v>
      </c>
      <c r="X109" s="311">
        <v>0</v>
      </c>
      <c r="Y109" s="311">
        <v>0</v>
      </c>
      <c r="Z109" s="211">
        <v>0</v>
      </c>
      <c r="AA109" s="212"/>
      <c r="AB109" s="213" t="e">
        <v>#DIV/0!</v>
      </c>
      <c r="AC109" s="214"/>
      <c r="AD109" s="215"/>
      <c r="AE109" s="342" t="s">
        <v>325</v>
      </c>
      <c r="AF109" s="341"/>
    </row>
    <row r="110" spans="1:32">
      <c r="A110" s="307">
        <v>3</v>
      </c>
      <c r="B110" s="342"/>
      <c r="C110" s="342" t="s">
        <v>177</v>
      </c>
      <c r="D110" s="340" t="s">
        <v>246</v>
      </c>
      <c r="E110" s="342"/>
      <c r="F110" s="345" t="s">
        <v>172</v>
      </c>
      <c r="G110" s="308">
        <v>1</v>
      </c>
      <c r="H110" s="309">
        <v>4000</v>
      </c>
      <c r="I110" s="309">
        <v>4000</v>
      </c>
      <c r="J110" s="211"/>
      <c r="K110" s="212" t="str">
        <f>IF(OR(J110="",G110=J110),"","*")</f>
        <v/>
      </c>
      <c r="L110" s="338">
        <f>IF($A110&lt;=L$1,I110/I$4,"")</f>
        <v>5.9728236523816629E-4</v>
      </c>
      <c r="M110" s="343"/>
      <c r="N110" s="344"/>
      <c r="O110" s="310">
        <v>0</v>
      </c>
      <c r="P110" s="311">
        <v>0</v>
      </c>
      <c r="Q110" s="311">
        <v>0</v>
      </c>
      <c r="R110" s="211">
        <v>0</v>
      </c>
      <c r="S110" s="212"/>
      <c r="T110" s="213" t="e">
        <v>#DIV/0!</v>
      </c>
      <c r="U110" s="214"/>
      <c r="V110" s="215"/>
      <c r="W110" s="310">
        <v>0</v>
      </c>
      <c r="X110" s="311">
        <v>0</v>
      </c>
      <c r="Y110" s="311">
        <v>0</v>
      </c>
      <c r="Z110" s="211">
        <v>0</v>
      </c>
      <c r="AA110" s="212"/>
      <c r="AB110" s="213" t="e">
        <v>#DIV/0!</v>
      </c>
      <c r="AC110" s="214"/>
      <c r="AD110" s="215"/>
      <c r="AE110" s="342" t="s">
        <v>247</v>
      </c>
      <c r="AF110" s="341"/>
    </row>
    <row r="111" spans="1:32">
      <c r="A111" s="307">
        <v>3</v>
      </c>
      <c r="B111" s="342"/>
      <c r="C111" s="342" t="s">
        <v>180</v>
      </c>
      <c r="D111" s="340" t="s">
        <v>352</v>
      </c>
      <c r="E111" s="342"/>
      <c r="F111" s="345" t="s">
        <v>234</v>
      </c>
      <c r="G111" s="308">
        <v>1</v>
      </c>
      <c r="H111" s="309">
        <v>20000</v>
      </c>
      <c r="I111" s="309">
        <v>20000</v>
      </c>
      <c r="J111" s="211"/>
      <c r="K111" s="212" t="str">
        <f>IF(OR(J111="",G111=J111),"","*")</f>
        <v/>
      </c>
      <c r="L111" s="338">
        <f>IF($A111&lt;=L$1,I111/I$4,"")</f>
        <v>2.9864118261908319E-3</v>
      </c>
      <c r="M111" s="343"/>
      <c r="N111" s="344"/>
      <c r="O111" s="310">
        <v>0</v>
      </c>
      <c r="P111" s="311">
        <v>0</v>
      </c>
      <c r="Q111" s="311">
        <v>0</v>
      </c>
      <c r="R111" s="211">
        <v>0</v>
      </c>
      <c r="S111" s="212"/>
      <c r="T111" s="213" t="e">
        <v>#DIV/0!</v>
      </c>
      <c r="U111" s="214"/>
      <c r="V111" s="215"/>
      <c r="W111" s="310">
        <v>0</v>
      </c>
      <c r="X111" s="311">
        <v>0</v>
      </c>
      <c r="Y111" s="311">
        <v>0</v>
      </c>
      <c r="Z111" s="211">
        <v>0</v>
      </c>
      <c r="AA111" s="212"/>
      <c r="AB111" s="213" t="e">
        <v>#DIV/0!</v>
      </c>
      <c r="AC111" s="214"/>
      <c r="AD111" s="215"/>
      <c r="AE111" s="342" t="s">
        <v>353</v>
      </c>
      <c r="AF111" s="341"/>
    </row>
    <row r="112" spans="1:32">
      <c r="A112" s="307">
        <v>3</v>
      </c>
      <c r="B112" s="342"/>
      <c r="C112" s="342" t="s">
        <v>178</v>
      </c>
      <c r="D112" s="340" t="s">
        <v>268</v>
      </c>
      <c r="E112" s="342"/>
      <c r="F112" s="345" t="s">
        <v>269</v>
      </c>
      <c r="G112" s="308">
        <v>4</v>
      </c>
      <c r="H112" s="309">
        <v>23000</v>
      </c>
      <c r="I112" s="309">
        <v>92000</v>
      </c>
      <c r="J112" s="211"/>
      <c r="K112" s="212" t="str">
        <f>IF(OR(J112="",G112=J112),"","*")</f>
        <v/>
      </c>
      <c r="L112" s="338">
        <f>IF($A112&lt;=L$1,I112/I$4,"")</f>
        <v>1.3737494400477826E-2</v>
      </c>
      <c r="M112" s="343"/>
      <c r="N112" s="344"/>
      <c r="O112" s="310">
        <v>0</v>
      </c>
      <c r="P112" s="311">
        <v>0</v>
      </c>
      <c r="Q112" s="311">
        <v>0</v>
      </c>
      <c r="R112" s="211">
        <v>0</v>
      </c>
      <c r="S112" s="212"/>
      <c r="T112" s="213" t="e">
        <v>#DIV/0!</v>
      </c>
      <c r="U112" s="214"/>
      <c r="V112" s="215"/>
      <c r="W112" s="310">
        <v>0</v>
      </c>
      <c r="X112" s="311">
        <v>0</v>
      </c>
      <c r="Y112" s="311">
        <v>0</v>
      </c>
      <c r="Z112" s="211">
        <v>0</v>
      </c>
      <c r="AA112" s="212"/>
      <c r="AB112" s="213" t="e">
        <v>#DIV/0!</v>
      </c>
      <c r="AC112" s="214"/>
      <c r="AD112" s="215"/>
      <c r="AE112" s="342" t="s">
        <v>270</v>
      </c>
      <c r="AF112" s="341" t="s">
        <v>354</v>
      </c>
    </row>
    <row r="113" spans="1:32">
      <c r="A113" s="307">
        <v>3</v>
      </c>
      <c r="B113" s="342"/>
      <c r="C113" s="342" t="s">
        <v>181</v>
      </c>
      <c r="D113" s="340" t="s">
        <v>286</v>
      </c>
      <c r="E113" s="342"/>
      <c r="F113" s="345" t="s">
        <v>234</v>
      </c>
      <c r="G113" s="308">
        <v>1</v>
      </c>
      <c r="H113" s="309">
        <v>7000</v>
      </c>
      <c r="I113" s="309">
        <v>7000</v>
      </c>
      <c r="J113" s="211"/>
      <c r="K113" s="212" t="str">
        <f>IF(OR(J113="",G113=J113),"","*")</f>
        <v/>
      </c>
      <c r="L113" s="338">
        <f>IF($A113&lt;=L$1,I113/I$4,"")</f>
        <v>1.045244139166791E-3</v>
      </c>
      <c r="M113" s="343"/>
      <c r="N113" s="344"/>
      <c r="O113" s="310">
        <v>0</v>
      </c>
      <c r="P113" s="311">
        <v>0</v>
      </c>
      <c r="Q113" s="311">
        <v>0</v>
      </c>
      <c r="R113" s="211">
        <v>0</v>
      </c>
      <c r="S113" s="212"/>
      <c r="T113" s="213" t="e">
        <v>#DIV/0!</v>
      </c>
      <c r="U113" s="214"/>
      <c r="V113" s="215"/>
      <c r="W113" s="310">
        <v>0</v>
      </c>
      <c r="X113" s="311">
        <v>0</v>
      </c>
      <c r="Y113" s="311">
        <v>0</v>
      </c>
      <c r="Z113" s="211">
        <v>0</v>
      </c>
      <c r="AA113" s="212"/>
      <c r="AB113" s="213" t="e">
        <v>#DIV/0!</v>
      </c>
      <c r="AC113" s="214"/>
      <c r="AD113" s="215"/>
      <c r="AE113" s="342" t="s">
        <v>287</v>
      </c>
      <c r="AF113" s="341" t="s">
        <v>240</v>
      </c>
    </row>
    <row r="114" spans="1:32">
      <c r="A114" s="307">
        <v>3</v>
      </c>
      <c r="B114" s="342"/>
      <c r="C114" s="342" t="s">
        <v>181</v>
      </c>
      <c r="D114" s="340" t="s">
        <v>289</v>
      </c>
      <c r="E114" s="342" t="s">
        <v>290</v>
      </c>
      <c r="F114" s="345" t="s">
        <v>234</v>
      </c>
      <c r="G114" s="308">
        <v>1</v>
      </c>
      <c r="H114" s="309">
        <v>4000</v>
      </c>
      <c r="I114" s="309">
        <v>4000</v>
      </c>
      <c r="J114" s="211"/>
      <c r="K114" s="212" t="str">
        <f>IF(OR(J114="",G114=J114),"","*")</f>
        <v/>
      </c>
      <c r="L114" s="338">
        <f>IF($A114&lt;=L$1,I114/I$4,"")</f>
        <v>5.9728236523816629E-4</v>
      </c>
      <c r="M114" s="343"/>
      <c r="N114" s="344"/>
      <c r="O114" s="310">
        <v>0</v>
      </c>
      <c r="P114" s="311">
        <v>0</v>
      </c>
      <c r="Q114" s="311">
        <v>0</v>
      </c>
      <c r="R114" s="211">
        <v>0</v>
      </c>
      <c r="S114" s="212"/>
      <c r="T114" s="213" t="e">
        <v>#DIV/0!</v>
      </c>
      <c r="U114" s="214"/>
      <c r="V114" s="215"/>
      <c r="W114" s="310">
        <v>0</v>
      </c>
      <c r="X114" s="311">
        <v>0</v>
      </c>
      <c r="Y114" s="311">
        <v>0</v>
      </c>
      <c r="Z114" s="211">
        <v>0</v>
      </c>
      <c r="AA114" s="212"/>
      <c r="AB114" s="213" t="e">
        <v>#DIV/0!</v>
      </c>
      <c r="AC114" s="214"/>
      <c r="AD114" s="215"/>
      <c r="AE114" s="342" t="s">
        <v>291</v>
      </c>
      <c r="AF114" s="341" t="s">
        <v>240</v>
      </c>
    </row>
    <row r="115" spans="1:32">
      <c r="A115" s="307">
        <v>2</v>
      </c>
      <c r="B115" s="342"/>
      <c r="C115" s="342" t="s">
        <v>229</v>
      </c>
      <c r="D115" s="340" t="s">
        <v>355</v>
      </c>
      <c r="E115" s="342"/>
      <c r="F115" s="345" t="s">
        <v>172</v>
      </c>
      <c r="G115" s="308">
        <v>1</v>
      </c>
      <c r="H115" s="309">
        <v>5346</v>
      </c>
      <c r="I115" s="309">
        <v>5346</v>
      </c>
      <c r="J115" s="211">
        <v>1</v>
      </c>
      <c r="K115" s="212" t="str">
        <f>IF(OR(J115="",G115=J115),"","*")</f>
        <v/>
      </c>
      <c r="L115" s="338">
        <f>IF($A115&lt;=L$1,I115/I$4,"")</f>
        <v>7.9826788114080937E-4</v>
      </c>
      <c r="M115" s="343"/>
      <c r="N115" s="344" t="s">
        <v>356</v>
      </c>
      <c r="O115" s="310">
        <v>0</v>
      </c>
      <c r="P115" s="311">
        <v>0</v>
      </c>
      <c r="Q115" s="311">
        <v>0</v>
      </c>
      <c r="R115" s="211">
        <v>0</v>
      </c>
      <c r="S115" s="212"/>
      <c r="T115" s="213" t="e">
        <v>#DIV/0!</v>
      </c>
      <c r="U115" s="214"/>
      <c r="V115" s="215"/>
      <c r="W115" s="310">
        <v>0</v>
      </c>
      <c r="X115" s="311">
        <v>0</v>
      </c>
      <c r="Y115" s="311">
        <v>0</v>
      </c>
      <c r="Z115" s="211">
        <v>0</v>
      </c>
      <c r="AA115" s="212"/>
      <c r="AB115" s="213" t="e">
        <v>#DIV/0!</v>
      </c>
      <c r="AC115" s="214"/>
      <c r="AD115" s="215"/>
      <c r="AE115" s="342"/>
      <c r="AF115" s="341"/>
    </row>
    <row r="116" spans="1:32">
      <c r="A116" s="307">
        <v>3</v>
      </c>
      <c r="B116" s="342"/>
      <c r="C116" s="342" t="s">
        <v>177</v>
      </c>
      <c r="D116" s="340" t="s">
        <v>246</v>
      </c>
      <c r="E116" s="342"/>
      <c r="F116" s="345" t="s">
        <v>172</v>
      </c>
      <c r="G116" s="308">
        <v>1</v>
      </c>
      <c r="H116" s="309">
        <v>5346</v>
      </c>
      <c r="I116" s="309">
        <v>5346</v>
      </c>
      <c r="J116" s="211"/>
      <c r="K116" s="212" t="str">
        <f>IF(OR(J116="",G116=J116),"","*")</f>
        <v/>
      </c>
      <c r="L116" s="338">
        <f>IF($A116&lt;=L$1,I116/I$4,"")</f>
        <v>7.9826788114080937E-4</v>
      </c>
      <c r="M116" s="343"/>
      <c r="N116" s="344"/>
      <c r="O116" s="310">
        <v>0</v>
      </c>
      <c r="P116" s="311">
        <v>0</v>
      </c>
      <c r="Q116" s="311">
        <v>0</v>
      </c>
      <c r="R116" s="211">
        <v>0</v>
      </c>
      <c r="S116" s="212"/>
      <c r="T116" s="213" t="e">
        <v>#DIV/0!</v>
      </c>
      <c r="U116" s="214"/>
      <c r="V116" s="215"/>
      <c r="W116" s="310">
        <v>0</v>
      </c>
      <c r="X116" s="311">
        <v>0</v>
      </c>
      <c r="Y116" s="311">
        <v>0</v>
      </c>
      <c r="Z116" s="211">
        <v>0</v>
      </c>
      <c r="AA116" s="212"/>
      <c r="AB116" s="213" t="e">
        <v>#DIV/0!</v>
      </c>
      <c r="AC116" s="214"/>
      <c r="AD116" s="215"/>
      <c r="AE116" s="342" t="s">
        <v>247</v>
      </c>
      <c r="AF116" s="341"/>
    </row>
    <row r="117" spans="1:32">
      <c r="A117" s="217"/>
      <c r="B117" s="217"/>
      <c r="C117" s="312"/>
      <c r="D117" s="217"/>
      <c r="E117" s="217"/>
      <c r="F117" s="218"/>
      <c r="G117" s="217"/>
      <c r="H117" s="217"/>
      <c r="I117" s="217"/>
      <c r="J117" s="217"/>
      <c r="K117" s="218"/>
      <c r="L117" s="217"/>
      <c r="M117" s="217"/>
      <c r="N117" s="217"/>
      <c r="O117" s="217"/>
      <c r="P117" s="217"/>
      <c r="Q117" s="217"/>
      <c r="R117" s="217"/>
      <c r="S117" s="218"/>
      <c r="T117" s="217"/>
      <c r="U117" s="217"/>
      <c r="V117" s="217"/>
      <c r="W117" s="217"/>
      <c r="X117" s="217"/>
      <c r="Y117" s="217"/>
      <c r="Z117" s="217"/>
      <c r="AA117" s="218"/>
      <c r="AB117" s="217"/>
      <c r="AC117" s="217"/>
      <c r="AD117" s="217"/>
      <c r="AE117" s="217"/>
      <c r="AF117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116 AF4:AF116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116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164</v>
      </c>
      <c r="D4" s="315">
        <v>210000</v>
      </c>
      <c r="E4" s="120"/>
      <c r="F4" s="119" t="s">
        <v>167</v>
      </c>
      <c r="G4" s="316">
        <v>107000</v>
      </c>
      <c r="H4" s="69"/>
    </row>
    <row r="5" spans="1:8" ht="27" customHeight="1">
      <c r="A5" s="69"/>
      <c r="B5" s="118"/>
      <c r="C5" s="119" t="s">
        <v>165</v>
      </c>
      <c r="D5" s="315">
        <v>490000</v>
      </c>
      <c r="E5" s="120"/>
      <c r="F5" s="119" t="s">
        <v>358</v>
      </c>
      <c r="G5" s="316"/>
      <c r="H5" s="69"/>
    </row>
    <row r="6" spans="1:8" ht="27" customHeight="1">
      <c r="A6" s="69"/>
      <c r="B6" s="118"/>
      <c r="C6" s="119" t="s">
        <v>165</v>
      </c>
      <c r="D6" s="315">
        <v>50000</v>
      </c>
      <c r="E6" s="120"/>
      <c r="F6" s="119" t="s">
        <v>359</v>
      </c>
      <c r="G6" s="316"/>
      <c r="H6" s="69"/>
    </row>
    <row r="7" spans="1:8" ht="27" customHeight="1">
      <c r="A7" s="69"/>
      <c r="B7" s="118"/>
      <c r="C7" s="119" t="s">
        <v>166</v>
      </c>
      <c r="D7" s="315">
        <v>130000</v>
      </c>
      <c r="E7" s="120"/>
      <c r="F7" s="119" t="s">
        <v>360</v>
      </c>
      <c r="G7" s="316"/>
      <c r="H7" s="69"/>
    </row>
    <row r="8" spans="1:8" ht="27" customHeight="1">
      <c r="A8" s="69"/>
      <c r="B8" s="118"/>
      <c r="C8" s="119"/>
      <c r="D8" s="315"/>
      <c r="E8" s="120"/>
      <c r="F8" s="119" t="s">
        <v>361</v>
      </c>
      <c r="G8" s="316"/>
      <c r="H8" s="69"/>
    </row>
    <row r="9" spans="1:8" ht="27" customHeight="1">
      <c r="A9" s="69"/>
      <c r="B9" s="118"/>
      <c r="C9" s="119" t="s">
        <v>224</v>
      </c>
      <c r="D9" s="315">
        <v>880000</v>
      </c>
      <c r="E9" s="120"/>
      <c r="F9" s="119" t="s">
        <v>362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363</v>
      </c>
      <c r="G10" s="316"/>
      <c r="H10" s="69"/>
    </row>
    <row r="11" spans="1:8" ht="27" customHeight="1">
      <c r="A11" s="69"/>
      <c r="B11" s="118"/>
      <c r="C11" s="119"/>
      <c r="D11" s="315"/>
      <c r="E11" s="120"/>
      <c r="F11" s="119" t="s">
        <v>364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224</v>
      </c>
      <c r="G13" s="316">
        <v>107000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177</v>
      </c>
      <c r="H3" s="128" t="s">
        <v>178</v>
      </c>
      <c r="I3" s="128" t="s">
        <v>179</v>
      </c>
      <c r="J3" s="128" t="s">
        <v>180</v>
      </c>
      <c r="K3" s="128" t="s">
        <v>181</v>
      </c>
      <c r="L3" s="128" t="s">
        <v>182</v>
      </c>
      <c r="M3" s="128" t="s">
        <v>183</v>
      </c>
      <c r="N3" s="129" t="s">
        <v>184</v>
      </c>
      <c r="O3" s="69"/>
    </row>
    <row r="4" spans="1:15" ht="30" customHeight="1">
      <c r="A4" s="69"/>
      <c r="B4" s="130" t="s">
        <v>164</v>
      </c>
      <c r="C4" s="131" t="s">
        <v>172</v>
      </c>
      <c r="D4" s="320">
        <v>1</v>
      </c>
      <c r="E4" s="321">
        <v>210000</v>
      </c>
      <c r="F4" s="322">
        <v>210000</v>
      </c>
      <c r="G4" s="323"/>
      <c r="H4" s="324"/>
      <c r="I4" s="324"/>
      <c r="J4" s="324"/>
      <c r="K4" s="324">
        <v>210000</v>
      </c>
      <c r="L4" s="324"/>
      <c r="M4" s="324"/>
      <c r="N4" s="325"/>
      <c r="O4" s="69"/>
    </row>
    <row r="5" spans="1:15" ht="30" customHeight="1">
      <c r="A5" s="69"/>
      <c r="B5" s="130" t="s">
        <v>165</v>
      </c>
      <c r="C5" s="131" t="s">
        <v>172</v>
      </c>
      <c r="D5" s="326">
        <v>1</v>
      </c>
      <c r="E5" s="321">
        <v>490000</v>
      </c>
      <c r="F5" s="322">
        <v>490000</v>
      </c>
      <c r="G5" s="323"/>
      <c r="H5" s="324"/>
      <c r="I5" s="324">
        <v>490000</v>
      </c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165</v>
      </c>
      <c r="C6" s="131" t="s">
        <v>172</v>
      </c>
      <c r="D6" s="326">
        <v>1</v>
      </c>
      <c r="E6" s="321">
        <v>50000</v>
      </c>
      <c r="F6" s="322">
        <v>50000</v>
      </c>
      <c r="G6" s="323"/>
      <c r="H6" s="324"/>
      <c r="I6" s="324">
        <v>50000</v>
      </c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166</v>
      </c>
      <c r="C7" s="131" t="s">
        <v>172</v>
      </c>
      <c r="D7" s="326">
        <v>1</v>
      </c>
      <c r="E7" s="321">
        <v>130000</v>
      </c>
      <c r="F7" s="322">
        <v>130000</v>
      </c>
      <c r="G7" s="323"/>
      <c r="H7" s="324">
        <v>46000</v>
      </c>
      <c r="I7" s="324">
        <v>80000</v>
      </c>
      <c r="J7" s="324"/>
      <c r="K7" s="324">
        <v>4000</v>
      </c>
      <c r="L7" s="324"/>
      <c r="M7" s="324"/>
      <c r="N7" s="325"/>
      <c r="O7" s="69"/>
    </row>
    <row r="8" spans="1:15" ht="30" customHeight="1">
      <c r="A8" s="69"/>
      <c r="B8" s="130"/>
      <c r="C8" s="131"/>
      <c r="D8" s="326"/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224</v>
      </c>
      <c r="C9" s="131"/>
      <c r="D9" s="326"/>
      <c r="E9" s="321"/>
      <c r="F9" s="322">
        <v>880000</v>
      </c>
      <c r="G9" s="323"/>
      <c r="H9" s="324">
        <v>46000</v>
      </c>
      <c r="I9" s="324">
        <v>620000</v>
      </c>
      <c r="J9" s="324"/>
      <c r="K9" s="324">
        <v>214000</v>
      </c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/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23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24-0243  ★二級河川不動川　河川改修（国府橋架替）工事（その2）</v>
      </c>
      <c r="G1" s="306"/>
      <c r="H1" s="190" t="s">
        <v>130</v>
      </c>
      <c r="I1" s="333">
        <v>7750000</v>
      </c>
      <c r="J1" s="339">
        <f>I4/I$1</f>
        <v>0.86412903225806448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357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226</v>
      </c>
      <c r="D4" s="340" t="s">
        <v>185</v>
      </c>
      <c r="E4" s="342"/>
      <c r="F4" s="345" t="s">
        <v>172</v>
      </c>
      <c r="G4" s="308">
        <v>1</v>
      </c>
      <c r="H4" s="309">
        <v>6697000</v>
      </c>
      <c r="I4" s="309">
        <v>6697000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365</v>
      </c>
      <c r="P4" s="347" t="s">
        <v>365</v>
      </c>
      <c r="Q4" s="347" t="s">
        <v>365</v>
      </c>
      <c r="R4" s="348" t="s">
        <v>365</v>
      </c>
      <c r="S4" s="349"/>
      <c r="T4" s="343" t="s">
        <v>366</v>
      </c>
      <c r="U4" s="343"/>
      <c r="V4" s="344"/>
      <c r="W4" s="346" t="s">
        <v>365</v>
      </c>
      <c r="X4" s="347" t="s">
        <v>365</v>
      </c>
      <c r="Y4" s="347" t="s">
        <v>365</v>
      </c>
      <c r="Z4" s="348" t="s">
        <v>365</v>
      </c>
      <c r="AA4" s="349"/>
      <c r="AB4" s="343" t="s">
        <v>366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227</v>
      </c>
      <c r="D5" s="340" t="s">
        <v>367</v>
      </c>
      <c r="E5" s="342"/>
      <c r="F5" s="345" t="s">
        <v>172</v>
      </c>
      <c r="G5" s="308">
        <v>1</v>
      </c>
      <c r="H5" s="309">
        <v>880000</v>
      </c>
      <c r="I5" s="309">
        <v>880000</v>
      </c>
      <c r="J5" s="211"/>
      <c r="K5" s="212" t="str">
        <f>IF(OR(J5="",G5=J5),"","*")</f>
        <v/>
      </c>
      <c r="L5" s="338">
        <f>IF($A5&lt;=L$1,I5/I$4,"")</f>
        <v>0.1314021203523966</v>
      </c>
      <c r="M5" s="343"/>
      <c r="N5" s="344"/>
      <c r="O5" s="346" t="s">
        <v>365</v>
      </c>
      <c r="P5" s="347" t="s">
        <v>365</v>
      </c>
      <c r="Q5" s="347" t="s">
        <v>365</v>
      </c>
      <c r="R5" s="348" t="s">
        <v>365</v>
      </c>
      <c r="S5" s="349"/>
      <c r="T5" s="343" t="s">
        <v>366</v>
      </c>
      <c r="U5" s="343"/>
      <c r="V5" s="344"/>
      <c r="W5" s="346" t="s">
        <v>365</v>
      </c>
      <c r="X5" s="347" t="s">
        <v>365</v>
      </c>
      <c r="Y5" s="347" t="s">
        <v>365</v>
      </c>
      <c r="Z5" s="348" t="s">
        <v>365</v>
      </c>
      <c r="AA5" s="349"/>
      <c r="AB5" s="343" t="s">
        <v>366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229</v>
      </c>
      <c r="D6" s="340" t="s">
        <v>368</v>
      </c>
      <c r="E6" s="342"/>
      <c r="F6" s="345" t="s">
        <v>172</v>
      </c>
      <c r="G6" s="308">
        <v>1</v>
      </c>
      <c r="H6" s="309">
        <v>210000</v>
      </c>
      <c r="I6" s="309">
        <v>210000</v>
      </c>
      <c r="J6" s="211">
        <v>1</v>
      </c>
      <c r="K6" s="212" t="str">
        <f>IF(OR(J6="",G6=J6),"","*")</f>
        <v/>
      </c>
      <c r="L6" s="338">
        <f>IF($A6&lt;=L$1,I6/I$4,"")</f>
        <v>3.1357324175003733E-2</v>
      </c>
      <c r="M6" s="343"/>
      <c r="N6" s="344" t="s">
        <v>369</v>
      </c>
      <c r="O6" s="346" t="s">
        <v>365</v>
      </c>
      <c r="P6" s="347" t="s">
        <v>365</v>
      </c>
      <c r="Q6" s="347" t="s">
        <v>365</v>
      </c>
      <c r="R6" s="348" t="s">
        <v>365</v>
      </c>
      <c r="S6" s="349"/>
      <c r="T6" s="343" t="s">
        <v>366</v>
      </c>
      <c r="U6" s="343"/>
      <c r="V6" s="344"/>
      <c r="W6" s="346" t="s">
        <v>365</v>
      </c>
      <c r="X6" s="347" t="s">
        <v>365</v>
      </c>
      <c r="Y6" s="347" t="s">
        <v>365</v>
      </c>
      <c r="Z6" s="348" t="s">
        <v>365</v>
      </c>
      <c r="AA6" s="349"/>
      <c r="AB6" s="343" t="s">
        <v>366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181</v>
      </c>
      <c r="D7" s="340" t="s">
        <v>370</v>
      </c>
      <c r="E7" s="342"/>
      <c r="F7" s="345" t="s">
        <v>371</v>
      </c>
      <c r="G7" s="308">
        <v>4</v>
      </c>
      <c r="H7" s="309">
        <v>20000</v>
      </c>
      <c r="I7" s="309">
        <v>80000</v>
      </c>
      <c r="J7" s="211"/>
      <c r="K7" s="212" t="str">
        <f>IF(OR(J7="",G7=J7),"","*")</f>
        <v/>
      </c>
      <c r="L7" s="338">
        <f>IF($A7&lt;=L$1,I7/I$4,"")</f>
        <v>1.1945647304763328E-2</v>
      </c>
      <c r="M7" s="343"/>
      <c r="N7" s="344"/>
      <c r="O7" s="346" t="s">
        <v>365</v>
      </c>
      <c r="P7" s="347" t="s">
        <v>365</v>
      </c>
      <c r="Q7" s="347" t="s">
        <v>365</v>
      </c>
      <c r="R7" s="348" t="s">
        <v>365</v>
      </c>
      <c r="S7" s="349"/>
      <c r="T7" s="343" t="s">
        <v>366</v>
      </c>
      <c r="U7" s="343"/>
      <c r="V7" s="344"/>
      <c r="W7" s="346" t="s">
        <v>365</v>
      </c>
      <c r="X7" s="347" t="s">
        <v>365</v>
      </c>
      <c r="Y7" s="347" t="s">
        <v>365</v>
      </c>
      <c r="Z7" s="348" t="s">
        <v>365</v>
      </c>
      <c r="AA7" s="349"/>
      <c r="AB7" s="343" t="s">
        <v>366</v>
      </c>
      <c r="AC7" s="343"/>
      <c r="AD7" s="344"/>
      <c r="AE7" s="342" t="s">
        <v>372</v>
      </c>
      <c r="AF7" s="341" t="s">
        <v>373</v>
      </c>
    </row>
    <row r="8" spans="1:32">
      <c r="A8" s="307">
        <v>3</v>
      </c>
      <c r="B8" s="342"/>
      <c r="C8" s="342" t="s">
        <v>181</v>
      </c>
      <c r="D8" s="340" t="s">
        <v>374</v>
      </c>
      <c r="E8" s="342" t="s">
        <v>375</v>
      </c>
      <c r="F8" s="345" t="s">
        <v>371</v>
      </c>
      <c r="G8" s="308">
        <v>2</v>
      </c>
      <c r="H8" s="309">
        <v>28000</v>
      </c>
      <c r="I8" s="309">
        <v>56000</v>
      </c>
      <c r="J8" s="211"/>
      <c r="K8" s="212" t="str">
        <f>IF(OR(J8="",G8=J8),"","*")</f>
        <v/>
      </c>
      <c r="L8" s="338">
        <f>IF($A8&lt;=L$1,I8/I$4,"")</f>
        <v>8.3619531133343281E-3</v>
      </c>
      <c r="M8" s="343"/>
      <c r="N8" s="344"/>
      <c r="O8" s="346" t="s">
        <v>365</v>
      </c>
      <c r="P8" s="347" t="s">
        <v>365</v>
      </c>
      <c r="Q8" s="347" t="s">
        <v>365</v>
      </c>
      <c r="R8" s="348" t="s">
        <v>365</v>
      </c>
      <c r="S8" s="349"/>
      <c r="T8" s="343" t="s">
        <v>366</v>
      </c>
      <c r="U8" s="343"/>
      <c r="V8" s="344"/>
      <c r="W8" s="346" t="s">
        <v>365</v>
      </c>
      <c r="X8" s="347" t="s">
        <v>365</v>
      </c>
      <c r="Y8" s="347" t="s">
        <v>365</v>
      </c>
      <c r="Z8" s="348" t="s">
        <v>365</v>
      </c>
      <c r="AA8" s="349"/>
      <c r="AB8" s="343" t="s">
        <v>366</v>
      </c>
      <c r="AC8" s="343"/>
      <c r="AD8" s="344"/>
      <c r="AE8" s="342" t="s">
        <v>376</v>
      </c>
      <c r="AF8" s="341" t="s">
        <v>288</v>
      </c>
    </row>
    <row r="9" spans="1:32">
      <c r="A9" s="307">
        <v>3</v>
      </c>
      <c r="B9" s="342"/>
      <c r="C9" s="342" t="s">
        <v>181</v>
      </c>
      <c r="D9" s="340" t="s">
        <v>374</v>
      </c>
      <c r="E9" s="342" t="s">
        <v>377</v>
      </c>
      <c r="F9" s="345" t="s">
        <v>371</v>
      </c>
      <c r="G9" s="308">
        <v>2</v>
      </c>
      <c r="H9" s="309">
        <v>33000</v>
      </c>
      <c r="I9" s="309">
        <v>66000</v>
      </c>
      <c r="J9" s="211"/>
      <c r="K9" s="212" t="str">
        <f>IF(OR(J9="",G9=J9),"","*")</f>
        <v/>
      </c>
      <c r="L9" s="338">
        <f>IF($A9&lt;=L$1,I9/I$4,"")</f>
        <v>9.8551590264297443E-3</v>
      </c>
      <c r="M9" s="343"/>
      <c r="N9" s="344"/>
      <c r="O9" s="346" t="s">
        <v>365</v>
      </c>
      <c r="P9" s="347" t="s">
        <v>365</v>
      </c>
      <c r="Q9" s="347" t="s">
        <v>365</v>
      </c>
      <c r="R9" s="348" t="s">
        <v>365</v>
      </c>
      <c r="S9" s="349"/>
      <c r="T9" s="343" t="s">
        <v>366</v>
      </c>
      <c r="U9" s="343"/>
      <c r="V9" s="344"/>
      <c r="W9" s="346" t="s">
        <v>365</v>
      </c>
      <c r="X9" s="347" t="s">
        <v>365</v>
      </c>
      <c r="Y9" s="347" t="s">
        <v>365</v>
      </c>
      <c r="Z9" s="348" t="s">
        <v>365</v>
      </c>
      <c r="AA9" s="349"/>
      <c r="AB9" s="343" t="s">
        <v>366</v>
      </c>
      <c r="AC9" s="343"/>
      <c r="AD9" s="344"/>
      <c r="AE9" s="342" t="s">
        <v>378</v>
      </c>
      <c r="AF9" s="341" t="s">
        <v>288</v>
      </c>
    </row>
    <row r="10" spans="1:32">
      <c r="A10" s="307">
        <v>3</v>
      </c>
      <c r="B10" s="342"/>
      <c r="C10" s="342" t="s">
        <v>181</v>
      </c>
      <c r="D10" s="340" t="s">
        <v>379</v>
      </c>
      <c r="E10" s="342"/>
      <c r="F10" s="345" t="s">
        <v>172</v>
      </c>
      <c r="G10" s="308">
        <v>1</v>
      </c>
      <c r="H10" s="309">
        <v>8000</v>
      </c>
      <c r="I10" s="309">
        <v>8000</v>
      </c>
      <c r="J10" s="211"/>
      <c r="K10" s="212" t="str">
        <f>IF(OR(J10="",G10=J10),"","*")</f>
        <v/>
      </c>
      <c r="L10" s="338">
        <f>IF($A10&lt;=L$1,I10/I$4,"")</f>
        <v>1.1945647304763326E-3</v>
      </c>
      <c r="M10" s="343"/>
      <c r="N10" s="344"/>
      <c r="O10" s="346" t="s">
        <v>365</v>
      </c>
      <c r="P10" s="347" t="s">
        <v>365</v>
      </c>
      <c r="Q10" s="347" t="s">
        <v>365</v>
      </c>
      <c r="R10" s="348" t="s">
        <v>365</v>
      </c>
      <c r="S10" s="349"/>
      <c r="T10" s="343" t="s">
        <v>366</v>
      </c>
      <c r="U10" s="343"/>
      <c r="V10" s="344"/>
      <c r="W10" s="346" t="s">
        <v>365</v>
      </c>
      <c r="X10" s="347" t="s">
        <v>365</v>
      </c>
      <c r="Y10" s="347" t="s">
        <v>365</v>
      </c>
      <c r="Z10" s="348" t="s">
        <v>365</v>
      </c>
      <c r="AA10" s="349"/>
      <c r="AB10" s="343" t="s">
        <v>366</v>
      </c>
      <c r="AC10" s="343"/>
      <c r="AD10" s="344"/>
      <c r="AE10" s="342" t="s">
        <v>380</v>
      </c>
      <c r="AF10" s="341"/>
    </row>
    <row r="11" spans="1:32">
      <c r="A11" s="307">
        <v>2</v>
      </c>
      <c r="B11" s="342"/>
      <c r="C11" s="342" t="s">
        <v>229</v>
      </c>
      <c r="D11" s="340" t="s">
        <v>381</v>
      </c>
      <c r="E11" s="342" t="s">
        <v>174</v>
      </c>
      <c r="F11" s="345" t="s">
        <v>172</v>
      </c>
      <c r="G11" s="308">
        <v>1</v>
      </c>
      <c r="H11" s="309">
        <v>490000</v>
      </c>
      <c r="I11" s="309">
        <v>490000</v>
      </c>
      <c r="J11" s="211">
        <v>1</v>
      </c>
      <c r="K11" s="212" t="str">
        <f>IF(OR(J11="",G11=J11),"","*")</f>
        <v/>
      </c>
      <c r="L11" s="338">
        <f>IF($A11&lt;=L$1,I11/I$4,"")</f>
        <v>7.3167089741675378E-2</v>
      </c>
      <c r="M11" s="343"/>
      <c r="N11" s="344" t="s">
        <v>382</v>
      </c>
      <c r="O11" s="346" t="s">
        <v>365</v>
      </c>
      <c r="P11" s="347" t="s">
        <v>365</v>
      </c>
      <c r="Q11" s="347" t="s">
        <v>365</v>
      </c>
      <c r="R11" s="348" t="s">
        <v>365</v>
      </c>
      <c r="S11" s="349"/>
      <c r="T11" s="343" t="s">
        <v>366</v>
      </c>
      <c r="U11" s="343"/>
      <c r="V11" s="344"/>
      <c r="W11" s="346" t="s">
        <v>365</v>
      </c>
      <c r="X11" s="347" t="s">
        <v>365</v>
      </c>
      <c r="Y11" s="347" t="s">
        <v>365</v>
      </c>
      <c r="Z11" s="348" t="s">
        <v>365</v>
      </c>
      <c r="AA11" s="349"/>
      <c r="AB11" s="343" t="s">
        <v>366</v>
      </c>
      <c r="AC11" s="343"/>
      <c r="AD11" s="344"/>
      <c r="AE11" s="342"/>
      <c r="AF11" s="341"/>
    </row>
    <row r="12" spans="1:32">
      <c r="A12" s="307">
        <v>3</v>
      </c>
      <c r="B12" s="342"/>
      <c r="C12" s="342" t="s">
        <v>179</v>
      </c>
      <c r="D12" s="340" t="s">
        <v>383</v>
      </c>
      <c r="E12" s="342"/>
      <c r="F12" s="345" t="s">
        <v>172</v>
      </c>
      <c r="G12" s="308">
        <v>1</v>
      </c>
      <c r="H12" s="309">
        <v>350000</v>
      </c>
      <c r="I12" s="309">
        <v>350000</v>
      </c>
      <c r="J12" s="211"/>
      <c r="K12" s="212" t="str">
        <f>IF(OR(J12="",G12=J12),"","*")</f>
        <v/>
      </c>
      <c r="L12" s="338">
        <f>IF($A12&lt;=L$1,I12/I$4,"")</f>
        <v>5.2262206958339552E-2</v>
      </c>
      <c r="M12" s="343"/>
      <c r="N12" s="344"/>
      <c r="O12" s="346" t="s">
        <v>365</v>
      </c>
      <c r="P12" s="347" t="s">
        <v>365</v>
      </c>
      <c r="Q12" s="347" t="s">
        <v>365</v>
      </c>
      <c r="R12" s="348" t="s">
        <v>365</v>
      </c>
      <c r="S12" s="349"/>
      <c r="T12" s="343" t="s">
        <v>366</v>
      </c>
      <c r="U12" s="343"/>
      <c r="V12" s="344"/>
      <c r="W12" s="346" t="s">
        <v>365</v>
      </c>
      <c r="X12" s="347" t="s">
        <v>365</v>
      </c>
      <c r="Y12" s="347" t="s">
        <v>365</v>
      </c>
      <c r="Z12" s="348" t="s">
        <v>365</v>
      </c>
      <c r="AA12" s="349"/>
      <c r="AB12" s="343" t="s">
        <v>366</v>
      </c>
      <c r="AC12" s="343"/>
      <c r="AD12" s="344"/>
      <c r="AE12" s="342" t="s">
        <v>384</v>
      </c>
      <c r="AF12" s="341"/>
    </row>
    <row r="13" spans="1:32">
      <c r="A13" s="307">
        <v>3</v>
      </c>
      <c r="B13" s="342"/>
      <c r="C13" s="342" t="s">
        <v>179</v>
      </c>
      <c r="D13" s="340" t="s">
        <v>385</v>
      </c>
      <c r="E13" s="342"/>
      <c r="F13" s="345" t="s">
        <v>172</v>
      </c>
      <c r="G13" s="308">
        <v>1</v>
      </c>
      <c r="H13" s="309">
        <v>140000</v>
      </c>
      <c r="I13" s="309">
        <v>140000</v>
      </c>
      <c r="J13" s="211"/>
      <c r="K13" s="212" t="str">
        <f>IF(OR(J13="",G13=J13),"","*")</f>
        <v/>
      </c>
      <c r="L13" s="338">
        <f>IF($A13&lt;=L$1,I13/I$4,"")</f>
        <v>2.0904882783335823E-2</v>
      </c>
      <c r="M13" s="343"/>
      <c r="N13" s="344"/>
      <c r="O13" s="346" t="s">
        <v>365</v>
      </c>
      <c r="P13" s="347" t="s">
        <v>365</v>
      </c>
      <c r="Q13" s="347" t="s">
        <v>365</v>
      </c>
      <c r="R13" s="348" t="s">
        <v>365</v>
      </c>
      <c r="S13" s="349"/>
      <c r="T13" s="343" t="s">
        <v>366</v>
      </c>
      <c r="U13" s="343"/>
      <c r="V13" s="344"/>
      <c r="W13" s="346" t="s">
        <v>365</v>
      </c>
      <c r="X13" s="347" t="s">
        <v>365</v>
      </c>
      <c r="Y13" s="347" t="s">
        <v>365</v>
      </c>
      <c r="Z13" s="348" t="s">
        <v>365</v>
      </c>
      <c r="AA13" s="349"/>
      <c r="AB13" s="343" t="s">
        <v>366</v>
      </c>
      <c r="AC13" s="343"/>
      <c r="AD13" s="344"/>
      <c r="AE13" s="342" t="s">
        <v>386</v>
      </c>
      <c r="AF13" s="341"/>
    </row>
    <row r="14" spans="1:32">
      <c r="A14" s="307">
        <v>2</v>
      </c>
      <c r="B14" s="342"/>
      <c r="C14" s="342" t="s">
        <v>229</v>
      </c>
      <c r="D14" s="340" t="s">
        <v>381</v>
      </c>
      <c r="E14" s="342" t="s">
        <v>175</v>
      </c>
      <c r="F14" s="345" t="s">
        <v>172</v>
      </c>
      <c r="G14" s="308">
        <v>1</v>
      </c>
      <c r="H14" s="309">
        <v>50000</v>
      </c>
      <c r="I14" s="309">
        <v>50000</v>
      </c>
      <c r="J14" s="211">
        <v>1</v>
      </c>
      <c r="K14" s="212" t="str">
        <f>IF(OR(J14="",G14=J14),"","*")</f>
        <v/>
      </c>
      <c r="L14" s="338">
        <f>IF($A14&lt;=L$1,I14/I$4,"")</f>
        <v>7.4660295654770791E-3</v>
      </c>
      <c r="M14" s="343"/>
      <c r="N14" s="344" t="s">
        <v>387</v>
      </c>
      <c r="O14" s="346" t="s">
        <v>365</v>
      </c>
      <c r="P14" s="347" t="s">
        <v>365</v>
      </c>
      <c r="Q14" s="347" t="s">
        <v>365</v>
      </c>
      <c r="R14" s="348" t="s">
        <v>365</v>
      </c>
      <c r="S14" s="349"/>
      <c r="T14" s="343" t="s">
        <v>366</v>
      </c>
      <c r="U14" s="343"/>
      <c r="V14" s="344"/>
      <c r="W14" s="346" t="s">
        <v>365</v>
      </c>
      <c r="X14" s="347" t="s">
        <v>365</v>
      </c>
      <c r="Y14" s="347" t="s">
        <v>365</v>
      </c>
      <c r="Z14" s="348" t="s">
        <v>365</v>
      </c>
      <c r="AA14" s="349"/>
      <c r="AB14" s="343" t="s">
        <v>366</v>
      </c>
      <c r="AC14" s="343"/>
      <c r="AD14" s="344"/>
      <c r="AE14" s="342"/>
      <c r="AF14" s="341"/>
    </row>
    <row r="15" spans="1:32">
      <c r="A15" s="307">
        <v>3</v>
      </c>
      <c r="B15" s="342"/>
      <c r="C15" s="342" t="s">
        <v>179</v>
      </c>
      <c r="D15" s="340" t="s">
        <v>383</v>
      </c>
      <c r="E15" s="342" t="s">
        <v>388</v>
      </c>
      <c r="F15" s="345" t="s">
        <v>172</v>
      </c>
      <c r="G15" s="308">
        <v>1</v>
      </c>
      <c r="H15" s="309">
        <v>35000</v>
      </c>
      <c r="I15" s="309">
        <v>35000</v>
      </c>
      <c r="J15" s="211"/>
      <c r="K15" s="212" t="str">
        <f>IF(OR(J15="",G15=J15),"","*")</f>
        <v/>
      </c>
      <c r="L15" s="338">
        <f>IF($A15&lt;=L$1,I15/I$4,"")</f>
        <v>5.2262206958339557E-3</v>
      </c>
      <c r="M15" s="343"/>
      <c r="N15" s="344"/>
      <c r="O15" s="346" t="s">
        <v>365</v>
      </c>
      <c r="P15" s="347" t="s">
        <v>365</v>
      </c>
      <c r="Q15" s="347" t="s">
        <v>365</v>
      </c>
      <c r="R15" s="348" t="s">
        <v>365</v>
      </c>
      <c r="S15" s="349"/>
      <c r="T15" s="343" t="s">
        <v>366</v>
      </c>
      <c r="U15" s="343"/>
      <c r="V15" s="344"/>
      <c r="W15" s="346" t="s">
        <v>365</v>
      </c>
      <c r="X15" s="347" t="s">
        <v>365</v>
      </c>
      <c r="Y15" s="347" t="s">
        <v>365</v>
      </c>
      <c r="Z15" s="348" t="s">
        <v>365</v>
      </c>
      <c r="AA15" s="349"/>
      <c r="AB15" s="343" t="s">
        <v>366</v>
      </c>
      <c r="AC15" s="343"/>
      <c r="AD15" s="344"/>
      <c r="AE15" s="342" t="s">
        <v>384</v>
      </c>
      <c r="AF15" s="341"/>
    </row>
    <row r="16" spans="1:32">
      <c r="A16" s="307">
        <v>3</v>
      </c>
      <c r="B16" s="342"/>
      <c r="C16" s="342" t="s">
        <v>179</v>
      </c>
      <c r="D16" s="340" t="s">
        <v>385</v>
      </c>
      <c r="E16" s="342" t="s">
        <v>388</v>
      </c>
      <c r="F16" s="345" t="s">
        <v>172</v>
      </c>
      <c r="G16" s="308">
        <v>1</v>
      </c>
      <c r="H16" s="309">
        <v>15000</v>
      </c>
      <c r="I16" s="309">
        <v>15000</v>
      </c>
      <c r="J16" s="211"/>
      <c r="K16" s="212" t="str">
        <f>IF(OR(J16="",G16=J16),"","*")</f>
        <v/>
      </c>
      <c r="L16" s="338">
        <f>IF($A16&lt;=L$1,I16/I$4,"")</f>
        <v>2.2398088696431238E-3</v>
      </c>
      <c r="M16" s="343"/>
      <c r="N16" s="344"/>
      <c r="O16" s="346" t="s">
        <v>365</v>
      </c>
      <c r="P16" s="347" t="s">
        <v>365</v>
      </c>
      <c r="Q16" s="347" t="s">
        <v>365</v>
      </c>
      <c r="R16" s="348" t="s">
        <v>365</v>
      </c>
      <c r="S16" s="349"/>
      <c r="T16" s="343" t="s">
        <v>366</v>
      </c>
      <c r="U16" s="343"/>
      <c r="V16" s="344"/>
      <c r="W16" s="346" t="s">
        <v>365</v>
      </c>
      <c r="X16" s="347" t="s">
        <v>365</v>
      </c>
      <c r="Y16" s="347" t="s">
        <v>365</v>
      </c>
      <c r="Z16" s="348" t="s">
        <v>365</v>
      </c>
      <c r="AA16" s="349"/>
      <c r="AB16" s="343" t="s">
        <v>366</v>
      </c>
      <c r="AC16" s="343"/>
      <c r="AD16" s="344"/>
      <c r="AE16" s="342" t="s">
        <v>386</v>
      </c>
      <c r="AF16" s="341"/>
    </row>
    <row r="17" spans="1:32">
      <c r="A17" s="307">
        <v>2</v>
      </c>
      <c r="B17" s="342"/>
      <c r="C17" s="342" t="s">
        <v>229</v>
      </c>
      <c r="D17" s="340" t="s">
        <v>389</v>
      </c>
      <c r="E17" s="342" t="s">
        <v>176</v>
      </c>
      <c r="F17" s="345" t="s">
        <v>172</v>
      </c>
      <c r="G17" s="308">
        <v>1</v>
      </c>
      <c r="H17" s="309">
        <v>130000</v>
      </c>
      <c r="I17" s="309">
        <v>130000</v>
      </c>
      <c r="J17" s="211">
        <v>1</v>
      </c>
      <c r="K17" s="212" t="str">
        <f>IF(OR(J17="",G17=J17),"","*")</f>
        <v/>
      </c>
      <c r="L17" s="338">
        <f>IF($A17&lt;=L$1,I17/I$4,"")</f>
        <v>1.9411676870240407E-2</v>
      </c>
      <c r="M17" s="343"/>
      <c r="N17" s="344" t="s">
        <v>390</v>
      </c>
      <c r="O17" s="346" t="s">
        <v>365</v>
      </c>
      <c r="P17" s="347" t="s">
        <v>365</v>
      </c>
      <c r="Q17" s="347" t="s">
        <v>365</v>
      </c>
      <c r="R17" s="348" t="s">
        <v>365</v>
      </c>
      <c r="S17" s="349"/>
      <c r="T17" s="343" t="s">
        <v>366</v>
      </c>
      <c r="U17" s="343"/>
      <c r="V17" s="344"/>
      <c r="W17" s="346" t="s">
        <v>365</v>
      </c>
      <c r="X17" s="347" t="s">
        <v>365</v>
      </c>
      <c r="Y17" s="347" t="s">
        <v>365</v>
      </c>
      <c r="Z17" s="348" t="s">
        <v>365</v>
      </c>
      <c r="AA17" s="349"/>
      <c r="AB17" s="343" t="s">
        <v>366</v>
      </c>
      <c r="AC17" s="343"/>
      <c r="AD17" s="344"/>
      <c r="AE17" s="342"/>
      <c r="AF17" s="341"/>
    </row>
    <row r="18" spans="1:32">
      <c r="A18" s="307">
        <v>3</v>
      </c>
      <c r="B18" s="342"/>
      <c r="C18" s="342" t="s">
        <v>179</v>
      </c>
      <c r="D18" s="340" t="s">
        <v>391</v>
      </c>
      <c r="E18" s="342" t="s">
        <v>392</v>
      </c>
      <c r="F18" s="345" t="s">
        <v>172</v>
      </c>
      <c r="G18" s="308">
        <v>1</v>
      </c>
      <c r="H18" s="309">
        <v>20000</v>
      </c>
      <c r="I18" s="309">
        <v>20000</v>
      </c>
      <c r="J18" s="211"/>
      <c r="K18" s="212" t="str">
        <f>IF(OR(J18="",G18=J18),"","*")</f>
        <v/>
      </c>
      <c r="L18" s="338">
        <f>IF($A18&lt;=L$1,I18/I$4,"")</f>
        <v>2.9864118261908319E-3</v>
      </c>
      <c r="M18" s="343"/>
      <c r="N18" s="344"/>
      <c r="O18" s="346" t="s">
        <v>365</v>
      </c>
      <c r="P18" s="347" t="s">
        <v>365</v>
      </c>
      <c r="Q18" s="347" t="s">
        <v>365</v>
      </c>
      <c r="R18" s="348" t="s">
        <v>365</v>
      </c>
      <c r="S18" s="349"/>
      <c r="T18" s="343" t="s">
        <v>366</v>
      </c>
      <c r="U18" s="343"/>
      <c r="V18" s="344"/>
      <c r="W18" s="346" t="s">
        <v>365</v>
      </c>
      <c r="X18" s="347" t="s">
        <v>365</v>
      </c>
      <c r="Y18" s="347" t="s">
        <v>365</v>
      </c>
      <c r="Z18" s="348" t="s">
        <v>365</v>
      </c>
      <c r="AA18" s="349"/>
      <c r="AB18" s="343" t="s">
        <v>366</v>
      </c>
      <c r="AC18" s="343"/>
      <c r="AD18" s="344"/>
      <c r="AE18" s="342" t="s">
        <v>393</v>
      </c>
      <c r="AF18" s="341"/>
    </row>
    <row r="19" spans="1:32">
      <c r="A19" s="307">
        <v>3</v>
      </c>
      <c r="B19" s="342"/>
      <c r="C19" s="342" t="s">
        <v>179</v>
      </c>
      <c r="D19" s="340" t="s">
        <v>394</v>
      </c>
      <c r="E19" s="342"/>
      <c r="F19" s="345" t="s">
        <v>172</v>
      </c>
      <c r="G19" s="308">
        <v>1</v>
      </c>
      <c r="H19" s="309">
        <v>30000</v>
      </c>
      <c r="I19" s="309">
        <v>30000</v>
      </c>
      <c r="J19" s="211"/>
      <c r="K19" s="212" t="str">
        <f>IF(OR(J19="",G19=J19),"","*")</f>
        <v/>
      </c>
      <c r="L19" s="338">
        <f>IF($A19&lt;=L$1,I19/I$4,"")</f>
        <v>4.4796177392862476E-3</v>
      </c>
      <c r="M19" s="343"/>
      <c r="N19" s="344"/>
      <c r="O19" s="346" t="s">
        <v>365</v>
      </c>
      <c r="P19" s="347" t="s">
        <v>365</v>
      </c>
      <c r="Q19" s="347" t="s">
        <v>365</v>
      </c>
      <c r="R19" s="348" t="s">
        <v>365</v>
      </c>
      <c r="S19" s="349"/>
      <c r="T19" s="343" t="s">
        <v>366</v>
      </c>
      <c r="U19" s="343"/>
      <c r="V19" s="344"/>
      <c r="W19" s="346" t="s">
        <v>365</v>
      </c>
      <c r="X19" s="347" t="s">
        <v>365</v>
      </c>
      <c r="Y19" s="347" t="s">
        <v>365</v>
      </c>
      <c r="Z19" s="348" t="s">
        <v>365</v>
      </c>
      <c r="AA19" s="349"/>
      <c r="AB19" s="343" t="s">
        <v>366</v>
      </c>
      <c r="AC19" s="343"/>
      <c r="AD19" s="344"/>
      <c r="AE19" s="342" t="s">
        <v>395</v>
      </c>
      <c r="AF19" s="341"/>
    </row>
    <row r="20" spans="1:32">
      <c r="A20" s="307">
        <v>3</v>
      </c>
      <c r="B20" s="342"/>
      <c r="C20" s="342" t="s">
        <v>179</v>
      </c>
      <c r="D20" s="340" t="s">
        <v>396</v>
      </c>
      <c r="E20" s="342"/>
      <c r="F20" s="345" t="s">
        <v>172</v>
      </c>
      <c r="G20" s="308">
        <v>1</v>
      </c>
      <c r="H20" s="309">
        <v>30000</v>
      </c>
      <c r="I20" s="309">
        <v>30000</v>
      </c>
      <c r="J20" s="211"/>
      <c r="K20" s="212" t="str">
        <f>IF(OR(J20="",G20=J20),"","*")</f>
        <v/>
      </c>
      <c r="L20" s="338">
        <f>IF($A20&lt;=L$1,I20/I$4,"")</f>
        <v>4.4796177392862476E-3</v>
      </c>
      <c r="M20" s="343"/>
      <c r="N20" s="344"/>
      <c r="O20" s="346" t="s">
        <v>365</v>
      </c>
      <c r="P20" s="347" t="s">
        <v>365</v>
      </c>
      <c r="Q20" s="347" t="s">
        <v>365</v>
      </c>
      <c r="R20" s="348" t="s">
        <v>365</v>
      </c>
      <c r="S20" s="349"/>
      <c r="T20" s="343" t="s">
        <v>366</v>
      </c>
      <c r="U20" s="343"/>
      <c r="V20" s="344"/>
      <c r="W20" s="346" t="s">
        <v>365</v>
      </c>
      <c r="X20" s="347" t="s">
        <v>365</v>
      </c>
      <c r="Y20" s="347" t="s">
        <v>365</v>
      </c>
      <c r="Z20" s="348" t="s">
        <v>365</v>
      </c>
      <c r="AA20" s="349"/>
      <c r="AB20" s="343" t="s">
        <v>366</v>
      </c>
      <c r="AC20" s="343"/>
      <c r="AD20" s="344"/>
      <c r="AE20" s="342" t="s">
        <v>395</v>
      </c>
      <c r="AF20" s="341"/>
    </row>
    <row r="21" spans="1:32">
      <c r="A21" s="307">
        <v>3</v>
      </c>
      <c r="B21" s="342"/>
      <c r="C21" s="342" t="s">
        <v>178</v>
      </c>
      <c r="D21" s="340" t="s">
        <v>268</v>
      </c>
      <c r="E21" s="342"/>
      <c r="F21" s="345" t="s">
        <v>269</v>
      </c>
      <c r="G21" s="308">
        <v>2</v>
      </c>
      <c r="H21" s="309">
        <v>23000</v>
      </c>
      <c r="I21" s="309">
        <v>46000</v>
      </c>
      <c r="J21" s="211"/>
      <c r="K21" s="212" t="str">
        <f>IF(OR(J21="",G21=J21),"","*")</f>
        <v/>
      </c>
      <c r="L21" s="338">
        <f>IF($A21&lt;=L$1,I21/I$4,"")</f>
        <v>6.8687472002389128E-3</v>
      </c>
      <c r="M21" s="343"/>
      <c r="N21" s="344"/>
      <c r="O21" s="346" t="s">
        <v>365</v>
      </c>
      <c r="P21" s="347" t="s">
        <v>365</v>
      </c>
      <c r="Q21" s="347" t="s">
        <v>365</v>
      </c>
      <c r="R21" s="348" t="s">
        <v>365</v>
      </c>
      <c r="S21" s="349"/>
      <c r="T21" s="343" t="s">
        <v>366</v>
      </c>
      <c r="U21" s="343"/>
      <c r="V21" s="344"/>
      <c r="W21" s="346" t="s">
        <v>365</v>
      </c>
      <c r="X21" s="347" t="s">
        <v>365</v>
      </c>
      <c r="Y21" s="347" t="s">
        <v>365</v>
      </c>
      <c r="Z21" s="348" t="s">
        <v>365</v>
      </c>
      <c r="AA21" s="349"/>
      <c r="AB21" s="343" t="s">
        <v>366</v>
      </c>
      <c r="AC21" s="343"/>
      <c r="AD21" s="344"/>
      <c r="AE21" s="342" t="s">
        <v>270</v>
      </c>
      <c r="AF21" s="341" t="s">
        <v>397</v>
      </c>
    </row>
    <row r="22" spans="1:32">
      <c r="A22" s="307">
        <v>3</v>
      </c>
      <c r="B22" s="342"/>
      <c r="C22" s="342" t="s">
        <v>181</v>
      </c>
      <c r="D22" s="340" t="s">
        <v>289</v>
      </c>
      <c r="E22" s="342" t="s">
        <v>290</v>
      </c>
      <c r="F22" s="345" t="s">
        <v>234</v>
      </c>
      <c r="G22" s="308">
        <v>1</v>
      </c>
      <c r="H22" s="309">
        <v>4000</v>
      </c>
      <c r="I22" s="309">
        <v>4000</v>
      </c>
      <c r="J22" s="211"/>
      <c r="K22" s="212" t="str">
        <f>IF(OR(J22="",G22=J22),"","*")</f>
        <v/>
      </c>
      <c r="L22" s="338">
        <f>IF($A22&lt;=L$1,I22/I$4,"")</f>
        <v>5.9728236523816629E-4</v>
      </c>
      <c r="M22" s="343"/>
      <c r="N22" s="344"/>
      <c r="O22" s="346" t="s">
        <v>365</v>
      </c>
      <c r="P22" s="347" t="s">
        <v>365</v>
      </c>
      <c r="Q22" s="347" t="s">
        <v>365</v>
      </c>
      <c r="R22" s="348" t="s">
        <v>365</v>
      </c>
      <c r="S22" s="349"/>
      <c r="T22" s="343" t="s">
        <v>366</v>
      </c>
      <c r="U22" s="343"/>
      <c r="V22" s="344"/>
      <c r="W22" s="346" t="s">
        <v>365</v>
      </c>
      <c r="X22" s="347" t="s">
        <v>365</v>
      </c>
      <c r="Y22" s="347" t="s">
        <v>365</v>
      </c>
      <c r="Z22" s="348" t="s">
        <v>365</v>
      </c>
      <c r="AA22" s="349"/>
      <c r="AB22" s="343" t="s">
        <v>366</v>
      </c>
      <c r="AC22" s="343"/>
      <c r="AD22" s="344"/>
      <c r="AE22" s="342" t="s">
        <v>291</v>
      </c>
      <c r="AF22" s="341" t="s">
        <v>240</v>
      </c>
    </row>
    <row r="23" spans="1:32">
      <c r="A23" s="217"/>
      <c r="B23" s="217"/>
      <c r="C23" s="312"/>
      <c r="D23" s="217"/>
      <c r="E23" s="217"/>
      <c r="F23" s="218"/>
      <c r="G23" s="217"/>
      <c r="H23" s="217"/>
      <c r="I23" s="217"/>
      <c r="J23" s="217"/>
      <c r="K23" s="218"/>
      <c r="L23" s="217"/>
      <c r="M23" s="217"/>
      <c r="N23" s="217"/>
      <c r="O23" s="217"/>
      <c r="P23" s="217"/>
      <c r="Q23" s="217"/>
      <c r="R23" s="217"/>
      <c r="S23" s="218"/>
      <c r="T23" s="217"/>
      <c r="U23" s="217"/>
      <c r="V23" s="217"/>
      <c r="W23" s="217"/>
      <c r="X23" s="217"/>
      <c r="Y23" s="217"/>
      <c r="Z23" s="217"/>
      <c r="AA23" s="218"/>
      <c r="AB23" s="217"/>
      <c r="AC23" s="217"/>
      <c r="AD23" s="217"/>
      <c r="AE23" s="217"/>
      <c r="AF23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22 AF4:AF22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22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167</v>
      </c>
      <c r="C3" s="561"/>
      <c r="D3" s="563" t="s">
        <v>172</v>
      </c>
      <c r="E3" s="565">
        <v>1</v>
      </c>
      <c r="F3" s="521">
        <v>107000</v>
      </c>
      <c r="G3" s="557">
        <v>107000</v>
      </c>
      <c r="H3" s="138" t="s">
        <v>398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196</v>
      </c>
      <c r="I4" s="69"/>
    </row>
    <row r="5" spans="1:9" ht="15.75" customHeight="1">
      <c r="A5" s="69"/>
      <c r="B5" s="559" t="s">
        <v>358</v>
      </c>
      <c r="C5" s="561" t="s">
        <v>399</v>
      </c>
      <c r="D5" s="563" t="s">
        <v>172</v>
      </c>
      <c r="E5" s="565">
        <v>1</v>
      </c>
      <c r="F5" s="521"/>
      <c r="G5" s="557"/>
      <c r="H5" s="138" t="s">
        <v>400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196</v>
      </c>
      <c r="I6" s="69"/>
    </row>
    <row r="7" spans="1:9" ht="15.75" customHeight="1">
      <c r="A7" s="69"/>
      <c r="B7" s="559" t="s">
        <v>359</v>
      </c>
      <c r="C7" s="561"/>
      <c r="D7" s="563" t="s">
        <v>172</v>
      </c>
      <c r="E7" s="565">
        <v>1</v>
      </c>
      <c r="F7" s="521"/>
      <c r="G7" s="557"/>
      <c r="H7" s="138" t="s">
        <v>401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196</v>
      </c>
      <c r="I8" s="69"/>
    </row>
    <row r="9" spans="1:9" ht="15.75" customHeight="1">
      <c r="A9" s="69"/>
      <c r="B9" s="559" t="s">
        <v>360</v>
      </c>
      <c r="C9" s="561" t="s">
        <v>402</v>
      </c>
      <c r="D9" s="563" t="s">
        <v>172</v>
      </c>
      <c r="E9" s="565">
        <v>1</v>
      </c>
      <c r="F9" s="521"/>
      <c r="G9" s="557"/>
      <c r="H9" s="138" t="s">
        <v>403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196</v>
      </c>
      <c r="I10" s="69"/>
    </row>
    <row r="11" spans="1:9" ht="15.75" customHeight="1">
      <c r="A11" s="69"/>
      <c r="B11" s="559" t="s">
        <v>361</v>
      </c>
      <c r="C11" s="561" t="s">
        <v>404</v>
      </c>
      <c r="D11" s="563" t="s">
        <v>172</v>
      </c>
      <c r="E11" s="565">
        <v>1</v>
      </c>
      <c r="F11" s="521"/>
      <c r="G11" s="557"/>
      <c r="H11" s="138" t="s">
        <v>405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196</v>
      </c>
      <c r="I12" s="69"/>
    </row>
    <row r="13" spans="1:9" ht="15.75" customHeight="1">
      <c r="A13" s="69"/>
      <c r="B13" s="559" t="s">
        <v>362</v>
      </c>
      <c r="C13" s="561" t="s">
        <v>406</v>
      </c>
      <c r="D13" s="563" t="s">
        <v>172</v>
      </c>
      <c r="E13" s="565">
        <v>1</v>
      </c>
      <c r="F13" s="521"/>
      <c r="G13" s="557"/>
      <c r="H13" s="138" t="s">
        <v>407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196</v>
      </c>
      <c r="I14" s="69"/>
    </row>
    <row r="15" spans="1:9" ht="15.75" customHeight="1">
      <c r="A15" s="69"/>
      <c r="B15" s="559" t="s">
        <v>363</v>
      </c>
      <c r="C15" s="561" t="s">
        <v>408</v>
      </c>
      <c r="D15" s="563" t="s">
        <v>172</v>
      </c>
      <c r="E15" s="565">
        <v>1</v>
      </c>
      <c r="F15" s="521"/>
      <c r="G15" s="557"/>
      <c r="H15" s="138" t="s">
        <v>409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196</v>
      </c>
      <c r="I16" s="69"/>
    </row>
    <row r="17" spans="1:9" ht="15.75" customHeight="1">
      <c r="A17" s="69"/>
      <c r="B17" s="559" t="s">
        <v>364</v>
      </c>
      <c r="C17" s="561" t="s">
        <v>410</v>
      </c>
      <c r="D17" s="563" t="s">
        <v>172</v>
      </c>
      <c r="E17" s="565">
        <v>1</v>
      </c>
      <c r="F17" s="521"/>
      <c r="G17" s="557"/>
      <c r="H17" s="138" t="s">
        <v>411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196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224</v>
      </c>
      <c r="C21" s="561"/>
      <c r="D21" s="563"/>
      <c r="E21" s="565"/>
      <c r="F21" s="521"/>
      <c r="G21" s="557">
        <v>107000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5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24-0243  ★二級河川不動川　河川改修（国府橋架替）工事（その2）</v>
      </c>
      <c r="G1" s="306"/>
      <c r="H1" s="190" t="s">
        <v>130</v>
      </c>
      <c r="I1" s="333">
        <v>7750000</v>
      </c>
      <c r="J1" s="339">
        <f>I4/I$1</f>
        <v>0.86412903225806448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357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226</v>
      </c>
      <c r="D4" s="340" t="s">
        <v>185</v>
      </c>
      <c r="E4" s="342"/>
      <c r="F4" s="345" t="s">
        <v>172</v>
      </c>
      <c r="G4" s="308">
        <v>1</v>
      </c>
      <c r="H4" s="309">
        <v>6697000</v>
      </c>
      <c r="I4" s="309">
        <v>6697000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365</v>
      </c>
      <c r="P4" s="347" t="s">
        <v>365</v>
      </c>
      <c r="Q4" s="347" t="s">
        <v>365</v>
      </c>
      <c r="R4" s="348" t="s">
        <v>365</v>
      </c>
      <c r="S4" s="349"/>
      <c r="T4" s="343" t="s">
        <v>366</v>
      </c>
      <c r="U4" s="343"/>
      <c r="V4" s="344"/>
      <c r="W4" s="346" t="s">
        <v>365</v>
      </c>
      <c r="X4" s="347" t="s">
        <v>365</v>
      </c>
      <c r="Y4" s="347" t="s">
        <v>365</v>
      </c>
      <c r="Z4" s="348" t="s">
        <v>365</v>
      </c>
      <c r="AA4" s="349"/>
      <c r="AB4" s="343" t="s">
        <v>366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227</v>
      </c>
      <c r="D5" s="340" t="s">
        <v>412</v>
      </c>
      <c r="E5" s="342"/>
      <c r="F5" s="345" t="s">
        <v>172</v>
      </c>
      <c r="G5" s="308">
        <v>1</v>
      </c>
      <c r="H5" s="309">
        <v>107000</v>
      </c>
      <c r="I5" s="309">
        <v>107000</v>
      </c>
      <c r="J5" s="211"/>
      <c r="K5" s="212" t="str">
        <f>IF(OR(J5="",G5=J5),"","*")</f>
        <v/>
      </c>
      <c r="L5" s="338">
        <f>IF($A5&lt;=L$1,I5/I$4,"")</f>
        <v>1.5977303270120948E-2</v>
      </c>
      <c r="M5" s="343"/>
      <c r="N5" s="344"/>
      <c r="O5" s="346" t="s">
        <v>365</v>
      </c>
      <c r="P5" s="347" t="s">
        <v>365</v>
      </c>
      <c r="Q5" s="347" t="s">
        <v>365</v>
      </c>
      <c r="R5" s="348" t="s">
        <v>365</v>
      </c>
      <c r="S5" s="349"/>
      <c r="T5" s="343" t="s">
        <v>366</v>
      </c>
      <c r="U5" s="343"/>
      <c r="V5" s="344"/>
      <c r="W5" s="346" t="s">
        <v>365</v>
      </c>
      <c r="X5" s="347" t="s">
        <v>365</v>
      </c>
      <c r="Y5" s="347" t="s">
        <v>365</v>
      </c>
      <c r="Z5" s="348" t="s">
        <v>365</v>
      </c>
      <c r="AA5" s="349"/>
      <c r="AB5" s="343" t="s">
        <v>366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229</v>
      </c>
      <c r="D6" s="340" t="s">
        <v>413</v>
      </c>
      <c r="E6" s="342"/>
      <c r="F6" s="345" t="s">
        <v>172</v>
      </c>
      <c r="G6" s="308">
        <v>1</v>
      </c>
      <c r="H6" s="309">
        <v>107000</v>
      </c>
      <c r="I6" s="309">
        <v>107000</v>
      </c>
      <c r="J6" s="211">
        <v>1</v>
      </c>
      <c r="K6" s="212" t="str">
        <f>IF(OR(J6="",G6=J6),"","*")</f>
        <v/>
      </c>
      <c r="L6" s="338">
        <f>IF($A6&lt;=L$1,I6/I$4,"")</f>
        <v>1.5977303270120948E-2</v>
      </c>
      <c r="M6" s="343"/>
      <c r="N6" s="344" t="s">
        <v>414</v>
      </c>
      <c r="O6" s="346" t="s">
        <v>365</v>
      </c>
      <c r="P6" s="347" t="s">
        <v>365</v>
      </c>
      <c r="Q6" s="347" t="s">
        <v>365</v>
      </c>
      <c r="R6" s="348" t="s">
        <v>365</v>
      </c>
      <c r="S6" s="349"/>
      <c r="T6" s="343" t="s">
        <v>366</v>
      </c>
      <c r="U6" s="343"/>
      <c r="V6" s="344"/>
      <c r="W6" s="346" t="s">
        <v>365</v>
      </c>
      <c r="X6" s="347" t="s">
        <v>365</v>
      </c>
      <c r="Y6" s="347" t="s">
        <v>365</v>
      </c>
      <c r="Z6" s="348" t="s">
        <v>365</v>
      </c>
      <c r="AA6" s="349"/>
      <c r="AB6" s="343" t="s">
        <v>366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183</v>
      </c>
      <c r="D7" s="340" t="s">
        <v>415</v>
      </c>
      <c r="E7" s="342"/>
      <c r="F7" s="345" t="s">
        <v>416</v>
      </c>
      <c r="G7" s="308">
        <v>2</v>
      </c>
      <c r="H7" s="309">
        <v>53500</v>
      </c>
      <c r="I7" s="309">
        <v>107000</v>
      </c>
      <c r="J7" s="211"/>
      <c r="K7" s="212" t="str">
        <f>IF(OR(J7="",G7=J7),"","*")</f>
        <v/>
      </c>
      <c r="L7" s="338">
        <f>IF($A7&lt;=L$1,I7/I$4,"")</f>
        <v>1.5977303270120948E-2</v>
      </c>
      <c r="M7" s="343"/>
      <c r="N7" s="344"/>
      <c r="O7" s="346" t="s">
        <v>365</v>
      </c>
      <c r="P7" s="347" t="s">
        <v>365</v>
      </c>
      <c r="Q7" s="347" t="s">
        <v>365</v>
      </c>
      <c r="R7" s="348" t="s">
        <v>365</v>
      </c>
      <c r="S7" s="349"/>
      <c r="T7" s="343" t="s">
        <v>366</v>
      </c>
      <c r="U7" s="343"/>
      <c r="V7" s="344"/>
      <c r="W7" s="346" t="s">
        <v>365</v>
      </c>
      <c r="X7" s="347" t="s">
        <v>365</v>
      </c>
      <c r="Y7" s="347" t="s">
        <v>365</v>
      </c>
      <c r="Z7" s="348" t="s">
        <v>365</v>
      </c>
      <c r="AA7" s="349"/>
      <c r="AB7" s="343" t="s">
        <v>366</v>
      </c>
      <c r="AC7" s="343"/>
      <c r="AD7" s="344"/>
      <c r="AE7" s="342" t="s">
        <v>417</v>
      </c>
      <c r="AF7" s="341" t="s">
        <v>288</v>
      </c>
    </row>
    <row r="8" spans="1:32">
      <c r="A8" s="307">
        <v>2</v>
      </c>
      <c r="B8" s="342"/>
      <c r="C8" s="342" t="s">
        <v>229</v>
      </c>
      <c r="D8" s="340" t="s">
        <v>418</v>
      </c>
      <c r="E8" s="342" t="s">
        <v>399</v>
      </c>
      <c r="F8" s="345" t="s">
        <v>172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419</v>
      </c>
      <c r="O8" s="346" t="s">
        <v>365</v>
      </c>
      <c r="P8" s="347" t="s">
        <v>365</v>
      </c>
      <c r="Q8" s="347" t="s">
        <v>365</v>
      </c>
      <c r="R8" s="348" t="s">
        <v>365</v>
      </c>
      <c r="S8" s="349"/>
      <c r="T8" s="343" t="s">
        <v>366</v>
      </c>
      <c r="U8" s="343"/>
      <c r="V8" s="344"/>
      <c r="W8" s="346" t="s">
        <v>365</v>
      </c>
      <c r="X8" s="347" t="s">
        <v>365</v>
      </c>
      <c r="Y8" s="347" t="s">
        <v>365</v>
      </c>
      <c r="Z8" s="348" t="s">
        <v>365</v>
      </c>
      <c r="AA8" s="349"/>
      <c r="AB8" s="343" t="s">
        <v>366</v>
      </c>
      <c r="AC8" s="343"/>
      <c r="AD8" s="344"/>
      <c r="AE8" s="342"/>
      <c r="AF8" s="341"/>
    </row>
    <row r="9" spans="1:32">
      <c r="A9" s="307">
        <v>2</v>
      </c>
      <c r="B9" s="342"/>
      <c r="C9" s="342" t="s">
        <v>229</v>
      </c>
      <c r="D9" s="340" t="s">
        <v>420</v>
      </c>
      <c r="E9" s="342"/>
      <c r="F9" s="345" t="s">
        <v>172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421</v>
      </c>
      <c r="O9" s="346" t="s">
        <v>365</v>
      </c>
      <c r="P9" s="347" t="s">
        <v>365</v>
      </c>
      <c r="Q9" s="347" t="s">
        <v>365</v>
      </c>
      <c r="R9" s="348" t="s">
        <v>365</v>
      </c>
      <c r="S9" s="349"/>
      <c r="T9" s="343" t="s">
        <v>366</v>
      </c>
      <c r="U9" s="343"/>
      <c r="V9" s="344"/>
      <c r="W9" s="346" t="s">
        <v>365</v>
      </c>
      <c r="X9" s="347" t="s">
        <v>365</v>
      </c>
      <c r="Y9" s="347" t="s">
        <v>365</v>
      </c>
      <c r="Z9" s="348" t="s">
        <v>365</v>
      </c>
      <c r="AA9" s="349"/>
      <c r="AB9" s="343" t="s">
        <v>366</v>
      </c>
      <c r="AC9" s="343"/>
      <c r="AD9" s="344"/>
      <c r="AE9" s="342"/>
      <c r="AF9" s="341"/>
    </row>
    <row r="10" spans="1:32">
      <c r="A10" s="307">
        <v>2</v>
      </c>
      <c r="B10" s="342"/>
      <c r="C10" s="342" t="s">
        <v>229</v>
      </c>
      <c r="D10" s="340" t="s">
        <v>422</v>
      </c>
      <c r="E10" s="342" t="s">
        <v>402</v>
      </c>
      <c r="F10" s="345" t="s">
        <v>172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423</v>
      </c>
      <c r="O10" s="346" t="s">
        <v>365</v>
      </c>
      <c r="P10" s="347" t="s">
        <v>365</v>
      </c>
      <c r="Q10" s="347" t="s">
        <v>365</v>
      </c>
      <c r="R10" s="348" t="s">
        <v>365</v>
      </c>
      <c r="S10" s="349"/>
      <c r="T10" s="343" t="s">
        <v>366</v>
      </c>
      <c r="U10" s="343"/>
      <c r="V10" s="344"/>
      <c r="W10" s="346" t="s">
        <v>365</v>
      </c>
      <c r="X10" s="347" t="s">
        <v>365</v>
      </c>
      <c r="Y10" s="347" t="s">
        <v>365</v>
      </c>
      <c r="Z10" s="348" t="s">
        <v>365</v>
      </c>
      <c r="AA10" s="349"/>
      <c r="AB10" s="343" t="s">
        <v>366</v>
      </c>
      <c r="AC10" s="343"/>
      <c r="AD10" s="344"/>
      <c r="AE10" s="342"/>
      <c r="AF10" s="341"/>
    </row>
    <row r="11" spans="1:32">
      <c r="A11" s="307">
        <v>2</v>
      </c>
      <c r="B11" s="342"/>
      <c r="C11" s="342" t="s">
        <v>229</v>
      </c>
      <c r="D11" s="340" t="s">
        <v>424</v>
      </c>
      <c r="E11" s="342" t="s">
        <v>404</v>
      </c>
      <c r="F11" s="345" t="s">
        <v>172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425</v>
      </c>
      <c r="O11" s="346" t="s">
        <v>365</v>
      </c>
      <c r="P11" s="347" t="s">
        <v>365</v>
      </c>
      <c r="Q11" s="347" t="s">
        <v>365</v>
      </c>
      <c r="R11" s="348" t="s">
        <v>365</v>
      </c>
      <c r="S11" s="349"/>
      <c r="T11" s="343" t="s">
        <v>366</v>
      </c>
      <c r="U11" s="343"/>
      <c r="V11" s="344"/>
      <c r="W11" s="346" t="s">
        <v>365</v>
      </c>
      <c r="X11" s="347" t="s">
        <v>365</v>
      </c>
      <c r="Y11" s="347" t="s">
        <v>365</v>
      </c>
      <c r="Z11" s="348" t="s">
        <v>365</v>
      </c>
      <c r="AA11" s="349"/>
      <c r="AB11" s="343" t="s">
        <v>366</v>
      </c>
      <c r="AC11" s="343"/>
      <c r="AD11" s="344"/>
      <c r="AE11" s="342"/>
      <c r="AF11" s="341"/>
    </row>
    <row r="12" spans="1:32">
      <c r="A12" s="307">
        <v>2</v>
      </c>
      <c r="B12" s="342"/>
      <c r="C12" s="342" t="s">
        <v>229</v>
      </c>
      <c r="D12" s="340" t="s">
        <v>426</v>
      </c>
      <c r="E12" s="342" t="s">
        <v>406</v>
      </c>
      <c r="F12" s="345" t="s">
        <v>172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427</v>
      </c>
      <c r="O12" s="346" t="s">
        <v>365</v>
      </c>
      <c r="P12" s="347" t="s">
        <v>365</v>
      </c>
      <c r="Q12" s="347" t="s">
        <v>365</v>
      </c>
      <c r="R12" s="348" t="s">
        <v>365</v>
      </c>
      <c r="S12" s="349"/>
      <c r="T12" s="343" t="s">
        <v>366</v>
      </c>
      <c r="U12" s="343"/>
      <c r="V12" s="344"/>
      <c r="W12" s="346" t="s">
        <v>365</v>
      </c>
      <c r="X12" s="347" t="s">
        <v>365</v>
      </c>
      <c r="Y12" s="347" t="s">
        <v>365</v>
      </c>
      <c r="Z12" s="348" t="s">
        <v>365</v>
      </c>
      <c r="AA12" s="349"/>
      <c r="AB12" s="343" t="s">
        <v>366</v>
      </c>
      <c r="AC12" s="343"/>
      <c r="AD12" s="344"/>
      <c r="AE12" s="342"/>
      <c r="AF12" s="341"/>
    </row>
    <row r="13" spans="1:32">
      <c r="A13" s="307">
        <v>2</v>
      </c>
      <c r="B13" s="342"/>
      <c r="C13" s="342" t="s">
        <v>229</v>
      </c>
      <c r="D13" s="340" t="s">
        <v>428</v>
      </c>
      <c r="E13" s="342" t="s">
        <v>408</v>
      </c>
      <c r="F13" s="345" t="s">
        <v>172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429</v>
      </c>
      <c r="O13" s="346" t="s">
        <v>365</v>
      </c>
      <c r="P13" s="347" t="s">
        <v>365</v>
      </c>
      <c r="Q13" s="347" t="s">
        <v>365</v>
      </c>
      <c r="R13" s="348" t="s">
        <v>365</v>
      </c>
      <c r="S13" s="349"/>
      <c r="T13" s="343" t="s">
        <v>366</v>
      </c>
      <c r="U13" s="343"/>
      <c r="V13" s="344"/>
      <c r="W13" s="346" t="s">
        <v>365</v>
      </c>
      <c r="X13" s="347" t="s">
        <v>365</v>
      </c>
      <c r="Y13" s="347" t="s">
        <v>365</v>
      </c>
      <c r="Z13" s="348" t="s">
        <v>365</v>
      </c>
      <c r="AA13" s="349"/>
      <c r="AB13" s="343" t="s">
        <v>366</v>
      </c>
      <c r="AC13" s="343"/>
      <c r="AD13" s="344"/>
      <c r="AE13" s="342"/>
      <c r="AF13" s="341"/>
    </row>
    <row r="14" spans="1:32">
      <c r="A14" s="307">
        <v>2</v>
      </c>
      <c r="B14" s="342"/>
      <c r="C14" s="342" t="s">
        <v>229</v>
      </c>
      <c r="D14" s="340" t="s">
        <v>430</v>
      </c>
      <c r="E14" s="342" t="s">
        <v>410</v>
      </c>
      <c r="F14" s="345" t="s">
        <v>172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431</v>
      </c>
      <c r="O14" s="346" t="s">
        <v>365</v>
      </c>
      <c r="P14" s="347" t="s">
        <v>365</v>
      </c>
      <c r="Q14" s="347" t="s">
        <v>365</v>
      </c>
      <c r="R14" s="348" t="s">
        <v>365</v>
      </c>
      <c r="S14" s="349"/>
      <c r="T14" s="343" t="s">
        <v>366</v>
      </c>
      <c r="U14" s="343"/>
      <c r="V14" s="344"/>
      <c r="W14" s="346" t="s">
        <v>365</v>
      </c>
      <c r="X14" s="347" t="s">
        <v>365</v>
      </c>
      <c r="Y14" s="347" t="s">
        <v>365</v>
      </c>
      <c r="Z14" s="348" t="s">
        <v>365</v>
      </c>
      <c r="AA14" s="349"/>
      <c r="AB14" s="343" t="s">
        <v>366</v>
      </c>
      <c r="AC14" s="343"/>
      <c r="AD14" s="344"/>
      <c r="AE14" s="342"/>
      <c r="AF14" s="341"/>
    </row>
    <row r="15" spans="1:32">
      <c r="A15" s="217"/>
      <c r="B15" s="217"/>
      <c r="C15" s="312"/>
      <c r="D15" s="217"/>
      <c r="E15" s="217"/>
      <c r="F15" s="218"/>
      <c r="G15" s="217"/>
      <c r="H15" s="217"/>
      <c r="I15" s="217"/>
      <c r="J15" s="217"/>
      <c r="K15" s="218"/>
      <c r="L15" s="217"/>
      <c r="M15" s="217"/>
      <c r="N15" s="217"/>
      <c r="O15" s="217"/>
      <c r="P15" s="217"/>
      <c r="Q15" s="217"/>
      <c r="R15" s="217"/>
      <c r="S15" s="218"/>
      <c r="T15" s="217"/>
      <c r="U15" s="217"/>
      <c r="V15" s="217"/>
      <c r="W15" s="217"/>
      <c r="X15" s="217"/>
      <c r="Y15" s="217"/>
      <c r="Z15" s="217"/>
      <c r="AA15" s="218"/>
      <c r="AB15" s="217"/>
      <c r="AC15" s="217"/>
      <c r="AD15" s="217"/>
      <c r="AE15" s="217"/>
      <c r="AF15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4 AF4:AF14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4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98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432</v>
      </c>
      <c r="C3" s="146" t="s">
        <v>433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434</v>
      </c>
      <c r="K4" s="69"/>
    </row>
    <row r="5" spans="1:11" ht="18" customHeight="1">
      <c r="A5" s="69"/>
      <c r="B5" s="574" t="s">
        <v>435</v>
      </c>
      <c r="C5" s="575"/>
      <c r="D5" s="153" t="s">
        <v>85</v>
      </c>
      <c r="E5" s="153" t="s">
        <v>436</v>
      </c>
      <c r="F5" s="153" t="s">
        <v>437</v>
      </c>
      <c r="G5" s="153" t="s">
        <v>438</v>
      </c>
      <c r="H5" s="154" t="s">
        <v>439</v>
      </c>
      <c r="I5" s="153" t="s">
        <v>440</v>
      </c>
      <c r="J5" s="155" t="s">
        <v>441</v>
      </c>
      <c r="K5" s="69"/>
    </row>
    <row r="6" spans="1:11" ht="10.5" customHeight="1">
      <c r="A6" s="69"/>
      <c r="B6" s="156" t="s">
        <v>442</v>
      </c>
      <c r="C6" s="157"/>
      <c r="D6" s="576" t="s">
        <v>443</v>
      </c>
      <c r="E6" s="578">
        <v>13</v>
      </c>
      <c r="F6" s="580">
        <v>700</v>
      </c>
      <c r="G6" s="582">
        <v>9100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444</v>
      </c>
      <c r="J7" s="161"/>
      <c r="K7" s="69" t="s">
        <v>96</v>
      </c>
    </row>
    <row r="8" spans="1:11" ht="10.5" customHeight="1">
      <c r="A8" s="69"/>
      <c r="B8" s="156" t="s">
        <v>445</v>
      </c>
      <c r="C8" s="157"/>
      <c r="D8" s="576" t="s">
        <v>446</v>
      </c>
      <c r="E8" s="578">
        <v>157</v>
      </c>
      <c r="F8" s="580">
        <v>200</v>
      </c>
      <c r="G8" s="582">
        <v>31400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444</v>
      </c>
      <c r="J9" s="162"/>
      <c r="K9" s="69" t="s">
        <v>96</v>
      </c>
    </row>
    <row r="10" spans="1:11" ht="10.5" customHeight="1">
      <c r="A10" s="69"/>
      <c r="B10" s="156" t="s">
        <v>447</v>
      </c>
      <c r="C10" s="157"/>
      <c r="D10" s="576" t="s">
        <v>446</v>
      </c>
      <c r="E10" s="578">
        <v>301</v>
      </c>
      <c r="F10" s="580">
        <v>700</v>
      </c>
      <c r="G10" s="582">
        <v>210700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448</v>
      </c>
      <c r="C11" s="160"/>
      <c r="D11" s="577"/>
      <c r="E11" s="579"/>
      <c r="F11" s="581"/>
      <c r="G11" s="583"/>
      <c r="H11" s="356"/>
      <c r="I11" s="356" t="s">
        <v>444</v>
      </c>
      <c r="J11" s="161"/>
      <c r="K11" s="69" t="s">
        <v>96</v>
      </c>
    </row>
    <row r="12" spans="1:11" ht="10.5" customHeight="1">
      <c r="A12" s="69"/>
      <c r="B12" s="156" t="s">
        <v>449</v>
      </c>
      <c r="C12" s="157"/>
      <c r="D12" s="576" t="s">
        <v>446</v>
      </c>
      <c r="E12" s="584">
        <v>3.5</v>
      </c>
      <c r="F12" s="580">
        <v>18000</v>
      </c>
      <c r="G12" s="582">
        <v>63000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450</v>
      </c>
      <c r="C13" s="160"/>
      <c r="D13" s="577"/>
      <c r="E13" s="585"/>
      <c r="F13" s="581"/>
      <c r="G13" s="583"/>
      <c r="H13" s="356"/>
      <c r="I13" s="356" t="s">
        <v>444</v>
      </c>
      <c r="J13" s="161"/>
      <c r="K13" s="69" t="s">
        <v>96</v>
      </c>
    </row>
    <row r="14" spans="1:11" ht="10.5" customHeight="1">
      <c r="A14" s="69"/>
      <c r="B14" s="156" t="s">
        <v>451</v>
      </c>
      <c r="C14" s="157"/>
      <c r="D14" s="576" t="s">
        <v>446</v>
      </c>
      <c r="E14" s="584">
        <v>3</v>
      </c>
      <c r="F14" s="580">
        <v>12300</v>
      </c>
      <c r="G14" s="582">
        <v>36900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452</v>
      </c>
      <c r="C15" s="160"/>
      <c r="D15" s="577"/>
      <c r="E15" s="585"/>
      <c r="F15" s="581"/>
      <c r="G15" s="583"/>
      <c r="H15" s="356"/>
      <c r="I15" s="356" t="s">
        <v>444</v>
      </c>
      <c r="J15" s="161"/>
      <c r="K15" s="69" t="s">
        <v>96</v>
      </c>
    </row>
    <row r="16" spans="1:11" ht="10.5" customHeight="1">
      <c r="A16" s="69"/>
      <c r="B16" s="156" t="s">
        <v>451</v>
      </c>
      <c r="C16" s="157"/>
      <c r="D16" s="576" t="s">
        <v>446</v>
      </c>
      <c r="E16" s="584">
        <v>3</v>
      </c>
      <c r="F16" s="580">
        <v>12300</v>
      </c>
      <c r="G16" s="582">
        <v>36900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453</v>
      </c>
      <c r="C17" s="160"/>
      <c r="D17" s="577"/>
      <c r="E17" s="585"/>
      <c r="F17" s="581"/>
      <c r="G17" s="583"/>
      <c r="H17" s="356"/>
      <c r="I17" s="356" t="s">
        <v>444</v>
      </c>
      <c r="J17" s="161"/>
      <c r="K17" s="69" t="s">
        <v>96</v>
      </c>
    </row>
    <row r="18" spans="1:11" ht="10.5" customHeight="1">
      <c r="A18" s="69"/>
      <c r="B18" s="156" t="s">
        <v>454</v>
      </c>
      <c r="C18" s="157"/>
      <c r="D18" s="576" t="s">
        <v>455</v>
      </c>
      <c r="E18" s="584">
        <v>600</v>
      </c>
      <c r="F18" s="580">
        <v>150</v>
      </c>
      <c r="G18" s="582">
        <v>90000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444</v>
      </c>
      <c r="J19" s="161"/>
      <c r="K19" s="69" t="s">
        <v>96</v>
      </c>
    </row>
    <row r="20" spans="1:11" ht="10.5" customHeight="1">
      <c r="A20" s="69"/>
      <c r="B20" s="156" t="s">
        <v>456</v>
      </c>
      <c r="C20" s="157"/>
      <c r="D20" s="576" t="s">
        <v>457</v>
      </c>
      <c r="E20" s="584">
        <v>2.5</v>
      </c>
      <c r="F20" s="580">
        <v>5400</v>
      </c>
      <c r="G20" s="582">
        <v>13500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458</v>
      </c>
      <c r="C21" s="160"/>
      <c r="D21" s="577"/>
      <c r="E21" s="585"/>
      <c r="F21" s="581"/>
      <c r="G21" s="583"/>
      <c r="H21" s="356"/>
      <c r="I21" s="356" t="s">
        <v>444</v>
      </c>
      <c r="J21" s="161"/>
      <c r="K21" s="69" t="s">
        <v>96</v>
      </c>
    </row>
    <row r="22" spans="1:11" ht="10.5" customHeight="1">
      <c r="A22" s="69"/>
      <c r="B22" s="156" t="s">
        <v>459</v>
      </c>
      <c r="C22" s="157"/>
      <c r="D22" s="576" t="s">
        <v>446</v>
      </c>
      <c r="E22" s="584">
        <v>21</v>
      </c>
      <c r="F22" s="580">
        <v>11000</v>
      </c>
      <c r="G22" s="582">
        <v>231000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460</v>
      </c>
      <c r="C23" s="160"/>
      <c r="D23" s="577"/>
      <c r="E23" s="585"/>
      <c r="F23" s="581"/>
      <c r="G23" s="583"/>
      <c r="H23" s="356"/>
      <c r="I23" s="356" t="s">
        <v>444</v>
      </c>
      <c r="J23" s="161"/>
      <c r="K23" s="69" t="s">
        <v>96</v>
      </c>
    </row>
    <row r="24" spans="1:11" ht="10.5" customHeight="1">
      <c r="A24" s="69"/>
      <c r="B24" s="156" t="s">
        <v>461</v>
      </c>
      <c r="C24" s="157"/>
      <c r="D24" s="576" t="s">
        <v>446</v>
      </c>
      <c r="E24" s="578">
        <v>112</v>
      </c>
      <c r="F24" s="580">
        <v>11100</v>
      </c>
      <c r="G24" s="582">
        <v>1243200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460</v>
      </c>
      <c r="C25" s="160"/>
      <c r="D25" s="577"/>
      <c r="E25" s="579"/>
      <c r="F25" s="581"/>
      <c r="G25" s="583"/>
      <c r="H25" s="356"/>
      <c r="I25" s="356" t="s">
        <v>444</v>
      </c>
      <c r="J25" s="161"/>
      <c r="K25" s="69" t="s">
        <v>96</v>
      </c>
    </row>
    <row r="26" spans="1:11" ht="10.5" customHeight="1">
      <c r="A26" s="69"/>
      <c r="B26" s="156" t="s">
        <v>462</v>
      </c>
      <c r="C26" s="157"/>
      <c r="D26" s="576" t="s">
        <v>463</v>
      </c>
      <c r="E26" s="584">
        <v>1</v>
      </c>
      <c r="F26" s="580">
        <v>11420</v>
      </c>
      <c r="G26" s="582">
        <v>11420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444</v>
      </c>
      <c r="J27" s="161"/>
      <c r="K27" s="69" t="s">
        <v>96</v>
      </c>
    </row>
    <row r="28" spans="1:11" ht="10.5" customHeight="1">
      <c r="A28" s="69"/>
      <c r="B28" s="156" t="s">
        <v>462</v>
      </c>
      <c r="C28" s="157"/>
      <c r="D28" s="576" t="s">
        <v>463</v>
      </c>
      <c r="E28" s="584">
        <v>1</v>
      </c>
      <c r="F28" s="580">
        <v>10000</v>
      </c>
      <c r="G28" s="582">
        <v>10000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444</v>
      </c>
      <c r="J29" s="161"/>
      <c r="K29" s="69" t="s">
        <v>96</v>
      </c>
    </row>
    <row r="30" spans="1:11" ht="10.5" customHeight="1">
      <c r="A30" s="69"/>
      <c r="B30" s="156" t="s">
        <v>462</v>
      </c>
      <c r="C30" s="157"/>
      <c r="D30" s="576" t="s">
        <v>463</v>
      </c>
      <c r="E30" s="584">
        <v>1</v>
      </c>
      <c r="F30" s="580">
        <v>8520</v>
      </c>
      <c r="G30" s="582">
        <v>8520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444</v>
      </c>
      <c r="J31" s="161"/>
      <c r="K31" s="69" t="s">
        <v>96</v>
      </c>
    </row>
    <row r="32" spans="1:11" ht="10.5" customHeight="1">
      <c r="A32" s="69"/>
      <c r="B32" s="156" t="s">
        <v>462</v>
      </c>
      <c r="C32" s="157"/>
      <c r="D32" s="576" t="s">
        <v>463</v>
      </c>
      <c r="E32" s="584">
        <v>1</v>
      </c>
      <c r="F32" s="580">
        <v>7000</v>
      </c>
      <c r="G32" s="582">
        <v>7000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444</v>
      </c>
      <c r="J33" s="161"/>
      <c r="K33" s="69" t="s">
        <v>96</v>
      </c>
    </row>
    <row r="34" spans="1:11" ht="10.5" customHeight="1">
      <c r="A34" s="69"/>
      <c r="B34" s="156" t="s">
        <v>462</v>
      </c>
      <c r="C34" s="157"/>
      <c r="D34" s="576" t="s">
        <v>463</v>
      </c>
      <c r="E34" s="584">
        <v>1</v>
      </c>
      <c r="F34" s="580">
        <v>5850</v>
      </c>
      <c r="G34" s="582">
        <v>5850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444</v>
      </c>
      <c r="J35" s="161"/>
      <c r="K35" s="69" t="s">
        <v>96</v>
      </c>
    </row>
    <row r="36" spans="1:11" ht="10.5" customHeight="1">
      <c r="A36" s="69"/>
      <c r="B36" s="156" t="s">
        <v>462</v>
      </c>
      <c r="C36" s="157"/>
      <c r="D36" s="576" t="s">
        <v>463</v>
      </c>
      <c r="E36" s="584">
        <v>1</v>
      </c>
      <c r="F36" s="580">
        <v>5346</v>
      </c>
      <c r="G36" s="582">
        <v>5346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444</v>
      </c>
      <c r="J37" s="161"/>
      <c r="K37" s="69" t="s">
        <v>96</v>
      </c>
    </row>
    <row r="38" spans="1:11" ht="10.5" customHeight="1">
      <c r="A38" s="69"/>
      <c r="B38" s="156" t="s">
        <v>462</v>
      </c>
      <c r="C38" s="157"/>
      <c r="D38" s="576" t="s">
        <v>463</v>
      </c>
      <c r="E38" s="584">
        <v>1</v>
      </c>
      <c r="F38" s="580">
        <v>4000</v>
      </c>
      <c r="G38" s="582">
        <v>4000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444</v>
      </c>
      <c r="J39" s="161"/>
      <c r="K39" s="69" t="s">
        <v>96</v>
      </c>
    </row>
    <row r="40" spans="1:11" ht="10.5" customHeight="1">
      <c r="A40" s="69"/>
      <c r="B40" s="156" t="s">
        <v>462</v>
      </c>
      <c r="C40" s="157"/>
      <c r="D40" s="576" t="s">
        <v>463</v>
      </c>
      <c r="E40" s="584">
        <v>1</v>
      </c>
      <c r="F40" s="580">
        <v>2250</v>
      </c>
      <c r="G40" s="582">
        <v>2250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444</v>
      </c>
      <c r="J41" s="161"/>
      <c r="K41" s="69" t="s">
        <v>96</v>
      </c>
    </row>
    <row r="42" spans="1:11" ht="10.5" customHeight="1">
      <c r="A42" s="69"/>
      <c r="B42" s="156" t="s">
        <v>462</v>
      </c>
      <c r="C42" s="157"/>
      <c r="D42" s="576" t="s">
        <v>463</v>
      </c>
      <c r="E42" s="584">
        <v>1</v>
      </c>
      <c r="F42" s="580">
        <v>700</v>
      </c>
      <c r="G42" s="582">
        <v>700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444</v>
      </c>
      <c r="J43" s="161"/>
      <c r="K43" s="69" t="s">
        <v>96</v>
      </c>
    </row>
    <row r="44" spans="1:11" ht="10.5" customHeight="1">
      <c r="A44" s="69"/>
      <c r="B44" s="156" t="s">
        <v>462</v>
      </c>
      <c r="C44" s="157"/>
      <c r="D44" s="576" t="s">
        <v>463</v>
      </c>
      <c r="E44" s="584">
        <v>1</v>
      </c>
      <c r="F44" s="580">
        <v>50</v>
      </c>
      <c r="G44" s="582">
        <v>50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444</v>
      </c>
      <c r="J45" s="161"/>
      <c r="K45" s="69" t="s">
        <v>96</v>
      </c>
    </row>
    <row r="46" spans="1:11" ht="10.5" customHeight="1">
      <c r="A46" s="69"/>
      <c r="B46" s="156" t="s">
        <v>464</v>
      </c>
      <c r="C46" s="157"/>
      <c r="D46" s="586" t="s">
        <v>446</v>
      </c>
      <c r="E46" s="588">
        <v>15</v>
      </c>
      <c r="F46" s="590">
        <v>14000</v>
      </c>
      <c r="G46" s="592">
        <v>210000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 t="s">
        <v>448</v>
      </c>
      <c r="C47" s="164"/>
      <c r="D47" s="587"/>
      <c r="E47" s="589"/>
      <c r="F47" s="591"/>
      <c r="G47" s="593"/>
      <c r="H47" s="357"/>
      <c r="I47" s="357" t="s">
        <v>444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465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432</v>
      </c>
      <c r="C52" s="146" t="s">
        <v>433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434</v>
      </c>
      <c r="K53" s="69"/>
    </row>
    <row r="54" spans="1:11" ht="18" customHeight="1">
      <c r="A54" s="69"/>
      <c r="B54" s="574" t="s">
        <v>435</v>
      </c>
      <c r="C54" s="575"/>
      <c r="D54" s="153" t="s">
        <v>85</v>
      </c>
      <c r="E54" s="153" t="s">
        <v>436</v>
      </c>
      <c r="F54" s="153" t="s">
        <v>437</v>
      </c>
      <c r="G54" s="153" t="s">
        <v>438</v>
      </c>
      <c r="H54" s="154" t="s">
        <v>439</v>
      </c>
      <c r="I54" s="153" t="s">
        <v>440</v>
      </c>
      <c r="J54" s="155" t="s">
        <v>441</v>
      </c>
      <c r="K54" s="69"/>
    </row>
    <row r="55" spans="1:11" ht="10.5" customHeight="1">
      <c r="A55" s="69"/>
      <c r="B55" s="156" t="s">
        <v>466</v>
      </c>
      <c r="C55" s="157"/>
      <c r="D55" s="576" t="s">
        <v>455</v>
      </c>
      <c r="E55" s="578">
        <v>1170</v>
      </c>
      <c r="F55" s="580">
        <v>99</v>
      </c>
      <c r="G55" s="582">
        <v>115830</v>
      </c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 t="s">
        <v>444</v>
      </c>
      <c r="J56" s="161"/>
      <c r="K56" s="69" t="s">
        <v>96</v>
      </c>
    </row>
    <row r="57" spans="1:11" ht="10.5" customHeight="1">
      <c r="A57" s="69"/>
      <c r="B57" s="156" t="s">
        <v>467</v>
      </c>
      <c r="C57" s="157"/>
      <c r="D57" s="576" t="s">
        <v>446</v>
      </c>
      <c r="E57" s="578">
        <v>0.1</v>
      </c>
      <c r="F57" s="580">
        <v>154500</v>
      </c>
      <c r="G57" s="582">
        <v>15450</v>
      </c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 t="s">
        <v>444</v>
      </c>
      <c r="J58" s="162"/>
      <c r="K58" s="69" t="s">
        <v>96</v>
      </c>
    </row>
    <row r="59" spans="1:11" ht="10.5" customHeight="1">
      <c r="A59" s="69"/>
      <c r="B59" s="156" t="s">
        <v>468</v>
      </c>
      <c r="C59" s="157"/>
      <c r="D59" s="576" t="s">
        <v>446</v>
      </c>
      <c r="E59" s="578">
        <v>5</v>
      </c>
      <c r="F59" s="580">
        <v>12300</v>
      </c>
      <c r="G59" s="582">
        <v>61500</v>
      </c>
      <c r="H59" s="355"/>
      <c r="I59" s="355"/>
      <c r="J59" s="158"/>
      <c r="K59" s="69" t="s">
        <v>96</v>
      </c>
    </row>
    <row r="60" spans="1:11" ht="10.5" customHeight="1">
      <c r="A60" s="69"/>
      <c r="B60" s="159" t="s">
        <v>448</v>
      </c>
      <c r="C60" s="160"/>
      <c r="D60" s="577"/>
      <c r="E60" s="579"/>
      <c r="F60" s="581"/>
      <c r="G60" s="583"/>
      <c r="H60" s="356"/>
      <c r="I60" s="356" t="s">
        <v>444</v>
      </c>
      <c r="J60" s="161"/>
      <c r="K60" s="69" t="s">
        <v>96</v>
      </c>
    </row>
    <row r="61" spans="1:11" ht="10.5" customHeight="1">
      <c r="A61" s="69"/>
      <c r="B61" s="156" t="s">
        <v>469</v>
      </c>
      <c r="C61" s="157"/>
      <c r="D61" s="576" t="s">
        <v>446</v>
      </c>
      <c r="E61" s="584">
        <v>15</v>
      </c>
      <c r="F61" s="580">
        <v>16700</v>
      </c>
      <c r="G61" s="582">
        <v>250500</v>
      </c>
      <c r="H61" s="355"/>
      <c r="I61" s="355"/>
      <c r="J61" s="158"/>
      <c r="K61" s="69" t="s">
        <v>96</v>
      </c>
    </row>
    <row r="62" spans="1:11" ht="10.5" customHeight="1">
      <c r="A62" s="69"/>
      <c r="B62" s="159" t="s">
        <v>460</v>
      </c>
      <c r="C62" s="160"/>
      <c r="D62" s="577"/>
      <c r="E62" s="585"/>
      <c r="F62" s="581"/>
      <c r="G62" s="583"/>
      <c r="H62" s="356"/>
      <c r="I62" s="356" t="s">
        <v>444</v>
      </c>
      <c r="J62" s="161"/>
      <c r="K62" s="69" t="s">
        <v>96</v>
      </c>
    </row>
    <row r="63" spans="1:11" ht="10.5" customHeight="1">
      <c r="A63" s="69"/>
      <c r="B63" s="156"/>
      <c r="C63" s="157"/>
      <c r="D63" s="576"/>
      <c r="E63" s="584"/>
      <c r="F63" s="580"/>
      <c r="G63" s="582"/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/>
      <c r="J64" s="161"/>
      <c r="K64" s="69" t="s">
        <v>96</v>
      </c>
    </row>
    <row r="65" spans="1:11" ht="10.5" customHeight="1">
      <c r="A65" s="69"/>
      <c r="B65" s="156" t="s">
        <v>470</v>
      </c>
      <c r="C65" s="157"/>
      <c r="D65" s="576"/>
      <c r="E65" s="584"/>
      <c r="F65" s="580"/>
      <c r="G65" s="582">
        <v>2674116</v>
      </c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/>
      <c r="J66" s="161"/>
      <c r="K66" s="69" t="s">
        <v>96</v>
      </c>
    </row>
    <row r="67" spans="1:11" ht="10.5" customHeight="1">
      <c r="A67" s="69"/>
      <c r="B67" s="156"/>
      <c r="C67" s="157"/>
      <c r="D67" s="576"/>
      <c r="E67" s="584"/>
      <c r="F67" s="580"/>
      <c r="G67" s="582"/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/>
      <c r="J68" s="161"/>
      <c r="K68" s="69" t="s">
        <v>96</v>
      </c>
    </row>
    <row r="69" spans="1:11" ht="10.5" customHeight="1">
      <c r="A69" s="69"/>
      <c r="B69" s="156"/>
      <c r="C69" s="157"/>
      <c r="D69" s="576"/>
      <c r="E69" s="584"/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/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432</v>
      </c>
      <c r="C3" s="146" t="s">
        <v>433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434</v>
      </c>
      <c r="K4" s="69"/>
    </row>
    <row r="5" spans="1:11" ht="18" customHeight="1">
      <c r="A5" s="69"/>
      <c r="B5" s="574" t="s">
        <v>435</v>
      </c>
      <c r="C5" s="575"/>
      <c r="D5" s="153" t="s">
        <v>85</v>
      </c>
      <c r="E5" s="153" t="s">
        <v>436</v>
      </c>
      <c r="F5" s="153" t="s">
        <v>437</v>
      </c>
      <c r="G5" s="153" t="s">
        <v>438</v>
      </c>
      <c r="H5" s="154" t="s">
        <v>439</v>
      </c>
      <c r="I5" s="153" t="s">
        <v>440</v>
      </c>
      <c r="J5" s="155" t="s">
        <v>441</v>
      </c>
      <c r="K5" s="69"/>
    </row>
    <row r="6" spans="1:11" ht="10.5" customHeight="1">
      <c r="A6" s="69"/>
      <c r="B6" s="156" t="s">
        <v>471</v>
      </c>
      <c r="C6" s="157"/>
      <c r="D6" s="576" t="s">
        <v>472</v>
      </c>
      <c r="E6" s="578">
        <v>38</v>
      </c>
      <c r="F6" s="580">
        <v>23000</v>
      </c>
      <c r="G6" s="582">
        <v>874000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473</v>
      </c>
      <c r="J7" s="161"/>
      <c r="K7" s="69" t="s">
        <v>96</v>
      </c>
    </row>
    <row r="8" spans="1:11" ht="10.5" customHeight="1">
      <c r="A8" s="69"/>
      <c r="B8" s="156" t="s">
        <v>471</v>
      </c>
      <c r="C8" s="157"/>
      <c r="D8" s="576" t="s">
        <v>472</v>
      </c>
      <c r="E8" s="578">
        <v>2</v>
      </c>
      <c r="F8" s="580">
        <v>23000</v>
      </c>
      <c r="G8" s="582">
        <v>46000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473</v>
      </c>
      <c r="J9" s="162"/>
      <c r="K9" s="69" t="s">
        <v>96</v>
      </c>
    </row>
    <row r="10" spans="1:11" ht="10.5" customHeight="1">
      <c r="A10" s="69"/>
      <c r="B10" s="156"/>
      <c r="C10" s="157"/>
      <c r="D10" s="576"/>
      <c r="E10" s="578"/>
      <c r="F10" s="580"/>
      <c r="G10" s="582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470</v>
      </c>
      <c r="C12" s="157"/>
      <c r="D12" s="576"/>
      <c r="E12" s="584"/>
      <c r="F12" s="580"/>
      <c r="G12" s="582">
        <v>920000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432</v>
      </c>
      <c r="C3" s="146" t="s">
        <v>433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434</v>
      </c>
      <c r="K4" s="69"/>
    </row>
    <row r="5" spans="1:11" ht="18" customHeight="1">
      <c r="A5" s="69"/>
      <c r="B5" s="574" t="s">
        <v>435</v>
      </c>
      <c r="C5" s="575"/>
      <c r="D5" s="153" t="s">
        <v>85</v>
      </c>
      <c r="E5" s="153" t="s">
        <v>436</v>
      </c>
      <c r="F5" s="153" t="s">
        <v>437</v>
      </c>
      <c r="G5" s="153" t="s">
        <v>438</v>
      </c>
      <c r="H5" s="154" t="s">
        <v>439</v>
      </c>
      <c r="I5" s="153" t="s">
        <v>440</v>
      </c>
      <c r="J5" s="155" t="s">
        <v>441</v>
      </c>
      <c r="K5" s="69"/>
    </row>
    <row r="6" spans="1:11" ht="10.5" customHeight="1">
      <c r="A6" s="69"/>
      <c r="B6" s="156" t="s">
        <v>474</v>
      </c>
      <c r="C6" s="157"/>
      <c r="D6" s="576" t="s">
        <v>463</v>
      </c>
      <c r="E6" s="578">
        <v>1</v>
      </c>
      <c r="F6" s="580">
        <v>20000</v>
      </c>
      <c r="G6" s="582">
        <v>20000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475</v>
      </c>
      <c r="C7" s="160"/>
      <c r="D7" s="577"/>
      <c r="E7" s="579"/>
      <c r="F7" s="581"/>
      <c r="G7" s="583"/>
      <c r="H7" s="356"/>
      <c r="I7" s="356" t="s">
        <v>476</v>
      </c>
      <c r="J7" s="161"/>
      <c r="K7" s="69" t="s">
        <v>96</v>
      </c>
    </row>
    <row r="8" spans="1:11" ht="10.5" customHeight="1">
      <c r="A8" s="69"/>
      <c r="B8" s="156" t="s">
        <v>477</v>
      </c>
      <c r="C8" s="157"/>
      <c r="D8" s="576" t="s">
        <v>463</v>
      </c>
      <c r="E8" s="578">
        <v>1</v>
      </c>
      <c r="F8" s="580">
        <v>350000</v>
      </c>
      <c r="G8" s="582">
        <v>350000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476</v>
      </c>
      <c r="J9" s="162"/>
      <c r="K9" s="69" t="s">
        <v>96</v>
      </c>
    </row>
    <row r="10" spans="1:11" ht="10.5" customHeight="1">
      <c r="A10" s="69"/>
      <c r="B10" s="156" t="s">
        <v>477</v>
      </c>
      <c r="C10" s="157"/>
      <c r="D10" s="576" t="s">
        <v>463</v>
      </c>
      <c r="E10" s="578">
        <v>1</v>
      </c>
      <c r="F10" s="580">
        <v>35000</v>
      </c>
      <c r="G10" s="582">
        <v>35000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478</v>
      </c>
      <c r="C11" s="160"/>
      <c r="D11" s="577"/>
      <c r="E11" s="579"/>
      <c r="F11" s="581"/>
      <c r="G11" s="583"/>
      <c r="H11" s="356"/>
      <c r="I11" s="356" t="s">
        <v>476</v>
      </c>
      <c r="J11" s="161"/>
      <c r="K11" s="69" t="s">
        <v>96</v>
      </c>
    </row>
    <row r="12" spans="1:11" ht="10.5" customHeight="1">
      <c r="A12" s="69"/>
      <c r="B12" s="156" t="s">
        <v>479</v>
      </c>
      <c r="C12" s="157"/>
      <c r="D12" s="576" t="s">
        <v>463</v>
      </c>
      <c r="E12" s="584">
        <v>1</v>
      </c>
      <c r="F12" s="580">
        <v>30000</v>
      </c>
      <c r="G12" s="582">
        <v>30000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476</v>
      </c>
      <c r="J13" s="161"/>
      <c r="K13" s="69" t="s">
        <v>96</v>
      </c>
    </row>
    <row r="14" spans="1:11" ht="10.5" customHeight="1">
      <c r="A14" s="69"/>
      <c r="B14" s="156" t="s">
        <v>480</v>
      </c>
      <c r="C14" s="157"/>
      <c r="D14" s="576" t="s">
        <v>463</v>
      </c>
      <c r="E14" s="584">
        <v>1</v>
      </c>
      <c r="F14" s="580">
        <v>30000</v>
      </c>
      <c r="G14" s="582">
        <v>30000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476</v>
      </c>
      <c r="J15" s="161"/>
      <c r="K15" s="69" t="s">
        <v>96</v>
      </c>
    </row>
    <row r="16" spans="1:11" ht="10.5" customHeight="1">
      <c r="A16" s="69"/>
      <c r="B16" s="156" t="s">
        <v>481</v>
      </c>
      <c r="C16" s="157"/>
      <c r="D16" s="576" t="s">
        <v>482</v>
      </c>
      <c r="E16" s="584">
        <v>61</v>
      </c>
      <c r="F16" s="580">
        <v>2500</v>
      </c>
      <c r="G16" s="582">
        <v>152500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483</v>
      </c>
      <c r="C17" s="160"/>
      <c r="D17" s="577"/>
      <c r="E17" s="585"/>
      <c r="F17" s="581"/>
      <c r="G17" s="583"/>
      <c r="H17" s="356"/>
      <c r="I17" s="356" t="s">
        <v>476</v>
      </c>
      <c r="J17" s="161"/>
      <c r="K17" s="69" t="s">
        <v>96</v>
      </c>
    </row>
    <row r="18" spans="1:11" ht="10.5" customHeight="1">
      <c r="A18" s="69"/>
      <c r="B18" s="156" t="s">
        <v>484</v>
      </c>
      <c r="C18" s="157"/>
      <c r="D18" s="576" t="s">
        <v>463</v>
      </c>
      <c r="E18" s="584">
        <v>1</v>
      </c>
      <c r="F18" s="580">
        <v>140000</v>
      </c>
      <c r="G18" s="582">
        <v>140000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476</v>
      </c>
      <c r="J19" s="161"/>
      <c r="K19" s="69" t="s">
        <v>96</v>
      </c>
    </row>
    <row r="20" spans="1:11" ht="10.5" customHeight="1">
      <c r="A20" s="69"/>
      <c r="B20" s="156" t="s">
        <v>484</v>
      </c>
      <c r="C20" s="157"/>
      <c r="D20" s="576" t="s">
        <v>463</v>
      </c>
      <c r="E20" s="584">
        <v>1</v>
      </c>
      <c r="F20" s="580">
        <v>15000</v>
      </c>
      <c r="G20" s="582">
        <v>15000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478</v>
      </c>
      <c r="C21" s="160"/>
      <c r="D21" s="577"/>
      <c r="E21" s="585"/>
      <c r="F21" s="581"/>
      <c r="G21" s="583"/>
      <c r="H21" s="356"/>
      <c r="I21" s="356" t="s">
        <v>476</v>
      </c>
      <c r="J21" s="161"/>
      <c r="K21" s="69" t="s">
        <v>96</v>
      </c>
    </row>
    <row r="22" spans="1:11" ht="10.5" customHeight="1">
      <c r="A22" s="69"/>
      <c r="B22" s="156" t="s">
        <v>485</v>
      </c>
      <c r="C22" s="157"/>
      <c r="D22" s="576" t="s">
        <v>482</v>
      </c>
      <c r="E22" s="584">
        <v>131</v>
      </c>
      <c r="F22" s="580">
        <v>3580</v>
      </c>
      <c r="G22" s="582">
        <v>468980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486</v>
      </c>
      <c r="C23" s="160"/>
      <c r="D23" s="577"/>
      <c r="E23" s="585"/>
      <c r="F23" s="581"/>
      <c r="G23" s="583"/>
      <c r="H23" s="356"/>
      <c r="I23" s="356" t="s">
        <v>476</v>
      </c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 t="s">
        <v>470</v>
      </c>
      <c r="C26" s="157"/>
      <c r="D26" s="576"/>
      <c r="E26" s="584"/>
      <c r="F26" s="580"/>
      <c r="G26" s="582">
        <v>1241480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432</v>
      </c>
      <c r="C3" s="146" t="s">
        <v>433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434</v>
      </c>
      <c r="K4" s="69"/>
    </row>
    <row r="5" spans="1:11" ht="18" customHeight="1">
      <c r="A5" s="69"/>
      <c r="B5" s="574" t="s">
        <v>435</v>
      </c>
      <c r="C5" s="575"/>
      <c r="D5" s="153" t="s">
        <v>85</v>
      </c>
      <c r="E5" s="153" t="s">
        <v>436</v>
      </c>
      <c r="F5" s="153" t="s">
        <v>437</v>
      </c>
      <c r="G5" s="153" t="s">
        <v>438</v>
      </c>
      <c r="H5" s="154" t="s">
        <v>439</v>
      </c>
      <c r="I5" s="153" t="s">
        <v>440</v>
      </c>
      <c r="J5" s="155" t="s">
        <v>441</v>
      </c>
      <c r="K5" s="69"/>
    </row>
    <row r="6" spans="1:11" ht="10.5" customHeight="1">
      <c r="A6" s="69"/>
      <c r="B6" s="156" t="s">
        <v>487</v>
      </c>
      <c r="C6" s="157"/>
      <c r="D6" s="576" t="s">
        <v>488</v>
      </c>
      <c r="E6" s="578">
        <v>1</v>
      </c>
      <c r="F6" s="580">
        <v>76000</v>
      </c>
      <c r="G6" s="582">
        <v>76000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489</v>
      </c>
      <c r="C7" s="160"/>
      <c r="D7" s="577"/>
      <c r="E7" s="579"/>
      <c r="F7" s="581"/>
      <c r="G7" s="583"/>
      <c r="H7" s="356"/>
      <c r="I7" s="356" t="s">
        <v>490</v>
      </c>
      <c r="J7" s="161"/>
      <c r="K7" s="69" t="s">
        <v>96</v>
      </c>
    </row>
    <row r="8" spans="1:11" ht="10.5" customHeight="1">
      <c r="A8" s="69"/>
      <c r="B8" s="156" t="s">
        <v>491</v>
      </c>
      <c r="C8" s="157"/>
      <c r="D8" s="576" t="s">
        <v>488</v>
      </c>
      <c r="E8" s="578">
        <v>1</v>
      </c>
      <c r="F8" s="580">
        <v>81000</v>
      </c>
      <c r="G8" s="582">
        <v>81000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489</v>
      </c>
      <c r="C9" s="160"/>
      <c r="D9" s="577"/>
      <c r="E9" s="579"/>
      <c r="F9" s="581"/>
      <c r="G9" s="583"/>
      <c r="H9" s="356"/>
      <c r="I9" s="356" t="s">
        <v>490</v>
      </c>
      <c r="J9" s="162"/>
      <c r="K9" s="69" t="s">
        <v>96</v>
      </c>
    </row>
    <row r="10" spans="1:11" ht="10.5" customHeight="1">
      <c r="A10" s="69"/>
      <c r="B10" s="156" t="s">
        <v>492</v>
      </c>
      <c r="C10" s="157"/>
      <c r="D10" s="576" t="s">
        <v>488</v>
      </c>
      <c r="E10" s="578">
        <v>5</v>
      </c>
      <c r="F10" s="580">
        <v>5000</v>
      </c>
      <c r="G10" s="582">
        <v>25000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490</v>
      </c>
      <c r="J11" s="161"/>
      <c r="K11" s="69" t="s">
        <v>96</v>
      </c>
    </row>
    <row r="12" spans="1:11" ht="10.5" customHeight="1">
      <c r="A12" s="69"/>
      <c r="B12" s="156" t="s">
        <v>493</v>
      </c>
      <c r="C12" s="157"/>
      <c r="D12" s="576" t="s">
        <v>488</v>
      </c>
      <c r="E12" s="584">
        <v>1</v>
      </c>
      <c r="F12" s="580">
        <v>20000</v>
      </c>
      <c r="G12" s="582">
        <v>20000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490</v>
      </c>
      <c r="J13" s="161"/>
      <c r="K13" s="69" t="s">
        <v>96</v>
      </c>
    </row>
    <row r="14" spans="1:11" ht="10.5" customHeight="1">
      <c r="A14" s="69"/>
      <c r="B14" s="156" t="s">
        <v>494</v>
      </c>
      <c r="C14" s="157"/>
      <c r="D14" s="576" t="s">
        <v>488</v>
      </c>
      <c r="E14" s="584">
        <v>1</v>
      </c>
      <c r="F14" s="580">
        <v>70000</v>
      </c>
      <c r="G14" s="582">
        <v>70000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495</v>
      </c>
      <c r="C15" s="160"/>
      <c r="D15" s="577"/>
      <c r="E15" s="585"/>
      <c r="F15" s="581"/>
      <c r="G15" s="583"/>
      <c r="H15" s="356"/>
      <c r="I15" s="356" t="s">
        <v>490</v>
      </c>
      <c r="J15" s="161"/>
      <c r="K15" s="69" t="s">
        <v>96</v>
      </c>
    </row>
    <row r="16" spans="1:11" ht="10.5" customHeight="1">
      <c r="A16" s="69"/>
      <c r="B16" s="156" t="s">
        <v>496</v>
      </c>
      <c r="C16" s="157"/>
      <c r="D16" s="576" t="s">
        <v>488</v>
      </c>
      <c r="E16" s="584">
        <v>5</v>
      </c>
      <c r="F16" s="580">
        <v>4000</v>
      </c>
      <c r="G16" s="582">
        <v>20000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497</v>
      </c>
      <c r="C17" s="160"/>
      <c r="D17" s="577"/>
      <c r="E17" s="585"/>
      <c r="F17" s="581"/>
      <c r="G17" s="583"/>
      <c r="H17" s="356"/>
      <c r="I17" s="356" t="s">
        <v>490</v>
      </c>
      <c r="J17" s="161"/>
      <c r="K17" s="69" t="s">
        <v>96</v>
      </c>
    </row>
    <row r="18" spans="1:11" ht="10.5" customHeight="1">
      <c r="A18" s="69"/>
      <c r="B18" s="156" t="s">
        <v>496</v>
      </c>
      <c r="C18" s="157"/>
      <c r="D18" s="576" t="s">
        <v>488</v>
      </c>
      <c r="E18" s="584">
        <v>4.5</v>
      </c>
      <c r="F18" s="580">
        <v>5500</v>
      </c>
      <c r="G18" s="582">
        <v>24750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498</v>
      </c>
      <c r="C19" s="160"/>
      <c r="D19" s="577"/>
      <c r="E19" s="585"/>
      <c r="F19" s="581"/>
      <c r="G19" s="583"/>
      <c r="H19" s="356"/>
      <c r="I19" s="356" t="s">
        <v>490</v>
      </c>
      <c r="J19" s="161"/>
      <c r="K19" s="69" t="s">
        <v>96</v>
      </c>
    </row>
    <row r="20" spans="1:11" ht="10.5" customHeight="1">
      <c r="A20" s="69"/>
      <c r="B20" s="156" t="s">
        <v>499</v>
      </c>
      <c r="C20" s="157"/>
      <c r="D20" s="576" t="s">
        <v>488</v>
      </c>
      <c r="E20" s="584">
        <v>5</v>
      </c>
      <c r="F20" s="580">
        <v>4000</v>
      </c>
      <c r="G20" s="582">
        <v>20000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500</v>
      </c>
      <c r="C21" s="160"/>
      <c r="D21" s="577"/>
      <c r="E21" s="585"/>
      <c r="F21" s="581"/>
      <c r="G21" s="583"/>
      <c r="H21" s="356"/>
      <c r="I21" s="356" t="s">
        <v>490</v>
      </c>
      <c r="J21" s="161"/>
      <c r="K21" s="69" t="s">
        <v>96</v>
      </c>
    </row>
    <row r="22" spans="1:11" ht="10.5" customHeight="1">
      <c r="A22" s="69"/>
      <c r="B22" s="156" t="s">
        <v>501</v>
      </c>
      <c r="C22" s="157"/>
      <c r="D22" s="576" t="s">
        <v>488</v>
      </c>
      <c r="E22" s="584">
        <v>1</v>
      </c>
      <c r="F22" s="580">
        <v>50000</v>
      </c>
      <c r="G22" s="582">
        <v>50000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490</v>
      </c>
      <c r="J23" s="161"/>
      <c r="K23" s="69" t="s">
        <v>96</v>
      </c>
    </row>
    <row r="24" spans="1:11" ht="10.5" customHeight="1">
      <c r="A24" s="69"/>
      <c r="B24" s="156" t="s">
        <v>502</v>
      </c>
      <c r="C24" s="157"/>
      <c r="D24" s="576" t="s">
        <v>488</v>
      </c>
      <c r="E24" s="578">
        <v>5</v>
      </c>
      <c r="F24" s="580">
        <v>3000</v>
      </c>
      <c r="G24" s="582">
        <v>15000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490</v>
      </c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 t="s">
        <v>470</v>
      </c>
      <c r="C28" s="157"/>
      <c r="D28" s="576"/>
      <c r="E28" s="584"/>
      <c r="F28" s="580"/>
      <c r="G28" s="582">
        <v>401750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432</v>
      </c>
      <c r="C3" s="146" t="s">
        <v>433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434</v>
      </c>
      <c r="K4" s="69"/>
    </row>
    <row r="5" spans="1:11" ht="18" customHeight="1">
      <c r="A5" s="69"/>
      <c r="B5" s="574" t="s">
        <v>435</v>
      </c>
      <c r="C5" s="575"/>
      <c r="D5" s="153" t="s">
        <v>85</v>
      </c>
      <c r="E5" s="153" t="s">
        <v>436</v>
      </c>
      <c r="F5" s="153" t="s">
        <v>437</v>
      </c>
      <c r="G5" s="153" t="s">
        <v>438</v>
      </c>
      <c r="H5" s="154" t="s">
        <v>439</v>
      </c>
      <c r="I5" s="153" t="s">
        <v>440</v>
      </c>
      <c r="J5" s="155" t="s">
        <v>441</v>
      </c>
      <c r="K5" s="69"/>
    </row>
    <row r="6" spans="1:11" ht="10.5" customHeight="1">
      <c r="A6" s="69"/>
      <c r="B6" s="156" t="s">
        <v>503</v>
      </c>
      <c r="C6" s="157"/>
      <c r="D6" s="576" t="s">
        <v>488</v>
      </c>
      <c r="E6" s="578">
        <v>11</v>
      </c>
      <c r="F6" s="580">
        <v>7000</v>
      </c>
      <c r="G6" s="582">
        <v>77000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504</v>
      </c>
      <c r="J7" s="161"/>
      <c r="K7" s="69" t="s">
        <v>96</v>
      </c>
    </row>
    <row r="8" spans="1:11" ht="10.5" customHeight="1">
      <c r="A8" s="69"/>
      <c r="B8" s="156" t="s">
        <v>505</v>
      </c>
      <c r="C8" s="157"/>
      <c r="D8" s="576" t="s">
        <v>506</v>
      </c>
      <c r="E8" s="578">
        <v>2</v>
      </c>
      <c r="F8" s="580">
        <v>33000</v>
      </c>
      <c r="G8" s="582">
        <v>66000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507</v>
      </c>
      <c r="C9" s="160"/>
      <c r="D9" s="577"/>
      <c r="E9" s="579"/>
      <c r="F9" s="581"/>
      <c r="G9" s="583"/>
      <c r="H9" s="356"/>
      <c r="I9" s="356" t="s">
        <v>504</v>
      </c>
      <c r="J9" s="162"/>
      <c r="K9" s="69" t="s">
        <v>96</v>
      </c>
    </row>
    <row r="10" spans="1:11" ht="10.5" customHeight="1">
      <c r="A10" s="69"/>
      <c r="B10" s="156" t="s">
        <v>505</v>
      </c>
      <c r="C10" s="157"/>
      <c r="D10" s="576" t="s">
        <v>506</v>
      </c>
      <c r="E10" s="578">
        <v>2</v>
      </c>
      <c r="F10" s="580">
        <v>28000</v>
      </c>
      <c r="G10" s="582">
        <v>56000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508</v>
      </c>
      <c r="C11" s="160"/>
      <c r="D11" s="577"/>
      <c r="E11" s="579"/>
      <c r="F11" s="581"/>
      <c r="G11" s="583"/>
      <c r="H11" s="356"/>
      <c r="I11" s="356" t="s">
        <v>504</v>
      </c>
      <c r="J11" s="161"/>
      <c r="K11" s="69" t="s">
        <v>96</v>
      </c>
    </row>
    <row r="12" spans="1:11" ht="10.5" customHeight="1">
      <c r="A12" s="69"/>
      <c r="B12" s="156" t="s">
        <v>509</v>
      </c>
      <c r="C12" s="157"/>
      <c r="D12" s="576" t="s">
        <v>446</v>
      </c>
      <c r="E12" s="584">
        <v>89</v>
      </c>
      <c r="F12" s="580">
        <v>1000</v>
      </c>
      <c r="G12" s="582">
        <v>89000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504</v>
      </c>
      <c r="J13" s="161"/>
      <c r="K13" s="69" t="s">
        <v>96</v>
      </c>
    </row>
    <row r="14" spans="1:11" ht="10.5" customHeight="1">
      <c r="A14" s="69"/>
      <c r="B14" s="156" t="s">
        <v>510</v>
      </c>
      <c r="C14" s="157"/>
      <c r="D14" s="576" t="s">
        <v>488</v>
      </c>
      <c r="E14" s="584">
        <v>15</v>
      </c>
      <c r="F14" s="580">
        <v>44000</v>
      </c>
      <c r="G14" s="582">
        <v>660000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511</v>
      </c>
      <c r="C15" s="160"/>
      <c r="D15" s="577"/>
      <c r="E15" s="585"/>
      <c r="F15" s="581"/>
      <c r="G15" s="583"/>
      <c r="H15" s="356"/>
      <c r="I15" s="356" t="s">
        <v>504</v>
      </c>
      <c r="J15" s="161"/>
      <c r="K15" s="69" t="s">
        <v>96</v>
      </c>
    </row>
    <row r="16" spans="1:11" ht="10.5" customHeight="1">
      <c r="A16" s="69"/>
      <c r="B16" s="156" t="s">
        <v>512</v>
      </c>
      <c r="C16" s="157"/>
      <c r="D16" s="576" t="s">
        <v>506</v>
      </c>
      <c r="E16" s="584">
        <v>4</v>
      </c>
      <c r="F16" s="580">
        <v>20000</v>
      </c>
      <c r="G16" s="582">
        <v>80000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504</v>
      </c>
      <c r="J17" s="161"/>
      <c r="K17" s="69" t="s">
        <v>96</v>
      </c>
    </row>
    <row r="18" spans="1:11" ht="10.5" customHeight="1">
      <c r="A18" s="69"/>
      <c r="B18" s="156" t="s">
        <v>513</v>
      </c>
      <c r="C18" s="157"/>
      <c r="D18" s="576" t="s">
        <v>463</v>
      </c>
      <c r="E18" s="584">
        <v>1</v>
      </c>
      <c r="F18" s="580">
        <v>8000</v>
      </c>
      <c r="G18" s="582">
        <v>8000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504</v>
      </c>
      <c r="J19" s="161"/>
      <c r="K19" s="69" t="s">
        <v>96</v>
      </c>
    </row>
    <row r="20" spans="1:11" ht="10.5" customHeight="1">
      <c r="A20" s="69"/>
      <c r="B20" s="156" t="s">
        <v>514</v>
      </c>
      <c r="C20" s="157"/>
      <c r="D20" s="576" t="s">
        <v>446</v>
      </c>
      <c r="E20" s="584">
        <v>269</v>
      </c>
      <c r="F20" s="580">
        <v>1000</v>
      </c>
      <c r="G20" s="582">
        <v>269000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504</v>
      </c>
      <c r="J21" s="161"/>
      <c r="K21" s="69" t="s">
        <v>96</v>
      </c>
    </row>
    <row r="22" spans="1:11" ht="10.5" customHeight="1">
      <c r="A22" s="69"/>
      <c r="B22" s="156" t="s">
        <v>515</v>
      </c>
      <c r="C22" s="157"/>
      <c r="D22" s="576" t="s">
        <v>488</v>
      </c>
      <c r="E22" s="584">
        <v>12</v>
      </c>
      <c r="F22" s="580">
        <v>4000</v>
      </c>
      <c r="G22" s="582">
        <v>48000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516</v>
      </c>
      <c r="C23" s="160"/>
      <c r="D23" s="577"/>
      <c r="E23" s="585"/>
      <c r="F23" s="581"/>
      <c r="G23" s="583"/>
      <c r="H23" s="356"/>
      <c r="I23" s="356" t="s">
        <v>504</v>
      </c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 t="s">
        <v>470</v>
      </c>
      <c r="C26" s="157"/>
      <c r="D26" s="576"/>
      <c r="E26" s="584"/>
      <c r="F26" s="580"/>
      <c r="G26" s="582">
        <v>1353000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2025-12-15T01:56:04Z</dcterms:modified>
  <cp:category/>
  <cp:contentStatus/>
</cp:coreProperties>
</file>