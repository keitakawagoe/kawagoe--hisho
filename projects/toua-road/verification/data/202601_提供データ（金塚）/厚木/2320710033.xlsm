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filterPrivacy="1" showInkAnnotation="0" updateLinks="never" codeName="ThisWorkbook"/>
  <xr:revisionPtr revIDLastSave="0" documentId="8_{D7E853E3-6A22-4724-9017-DFB78D030A90}" xr6:coauthVersionLast="47" xr6:coauthVersionMax="47" xr10:uidLastSave="{00000000-0000-0000-0000-000000000000}"/>
  <bookViews>
    <workbookView xWindow="28680" yWindow="-120" windowWidth="29040" windowHeight="15720" tabRatio="728" activeTab="6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外注費)" sheetId="14" r:id="rId15"/>
    <sheet name="調書(機械費)" sheetId="16" r:id="rId16"/>
    <sheet name="調書(運搬費)" sheetId="15" r:id="rId17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'工事費一覧表(共通仮設費)'!$A$1:$AF$15</definedName>
    <definedName name="_xlnm.Print_Area" localSheetId="11">'工事費一覧表(現場経費)'!$A$1:$AF$18</definedName>
    <definedName name="_xlnm.Print_Area" localSheetId="6">'工事費一覧表(直接工事費)'!$A$1:$AF$197</definedName>
    <definedName name="_xlnm.Print_Area" localSheetId="0">実行予算書鑑!$A$1:$AM$32</definedName>
    <definedName name="_xlnm.Print_Area" localSheetId="16">'調書(運搬費)'!#REF!</definedName>
    <definedName name="_xlnm.Print_Area" localSheetId="14">'調書(外注費)'!#REF!</definedName>
    <definedName name="_xlnm.Print_Area" localSheetId="15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10" i="34"/>
  <c r="L10" i="34"/>
  <c r="K11" i="34"/>
  <c r="L11" i="34"/>
  <c r="K12" i="34"/>
  <c r="L12" i="34"/>
  <c r="K13" i="34"/>
  <c r="L13" i="34"/>
  <c r="K14" i="34"/>
  <c r="L14" i="34"/>
  <c r="K15" i="34"/>
  <c r="L15" i="34"/>
  <c r="K16" i="34"/>
  <c r="L16" i="34"/>
  <c r="K17" i="34"/>
  <c r="L17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12" i="32"/>
  <c r="L12" i="32"/>
  <c r="K13" i="32"/>
  <c r="L13" i="32"/>
  <c r="K14" i="32"/>
  <c r="L14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K57" i="29"/>
  <c r="L57" i="29"/>
  <c r="K58" i="29"/>
  <c r="L58" i="29"/>
  <c r="K59" i="29"/>
  <c r="L59" i="29"/>
  <c r="K60" i="29"/>
  <c r="L60" i="29"/>
  <c r="K61" i="29"/>
  <c r="L61" i="29"/>
  <c r="K62" i="29"/>
  <c r="L62" i="29"/>
  <c r="K63" i="29"/>
  <c r="L63" i="29"/>
  <c r="K64" i="29"/>
  <c r="L64" i="29"/>
  <c r="K65" i="29"/>
  <c r="L65" i="29"/>
  <c r="K66" i="29"/>
  <c r="L66" i="29"/>
  <c r="K67" i="29"/>
  <c r="L67" i="29"/>
  <c r="K68" i="29"/>
  <c r="L68" i="29"/>
  <c r="K69" i="29"/>
  <c r="L69" i="29"/>
  <c r="K70" i="29"/>
  <c r="L70" i="29"/>
  <c r="K71" i="29"/>
  <c r="L71" i="29"/>
  <c r="K72" i="29"/>
  <c r="L72" i="29"/>
  <c r="K73" i="29"/>
  <c r="L73" i="29"/>
  <c r="K74" i="29"/>
  <c r="L74" i="29"/>
  <c r="K75" i="29"/>
  <c r="L75" i="29"/>
  <c r="K76" i="29"/>
  <c r="L76" i="29"/>
  <c r="K77" i="29"/>
  <c r="L77" i="29"/>
  <c r="K78" i="29"/>
  <c r="L78" i="29"/>
  <c r="K79" i="29"/>
  <c r="L79" i="29"/>
  <c r="K80" i="29"/>
  <c r="L80" i="29"/>
  <c r="K81" i="29"/>
  <c r="L81" i="29"/>
  <c r="K82" i="29"/>
  <c r="L82" i="29"/>
  <c r="K83" i="29"/>
  <c r="L83" i="29"/>
  <c r="K84" i="29"/>
  <c r="L84" i="29"/>
  <c r="K85" i="29"/>
  <c r="L85" i="29"/>
  <c r="K86" i="29"/>
  <c r="L86" i="29"/>
  <c r="K87" i="29"/>
  <c r="L87" i="29"/>
  <c r="K88" i="29"/>
  <c r="L88" i="29"/>
  <c r="K89" i="29"/>
  <c r="L89" i="29"/>
  <c r="K90" i="29"/>
  <c r="L90" i="29"/>
  <c r="K91" i="29"/>
  <c r="L91" i="29"/>
  <c r="K92" i="29"/>
  <c r="L92" i="29"/>
  <c r="K93" i="29"/>
  <c r="L93" i="29"/>
  <c r="K94" i="29"/>
  <c r="L94" i="29"/>
  <c r="K95" i="29"/>
  <c r="L95" i="29"/>
  <c r="K96" i="29"/>
  <c r="L96" i="29"/>
  <c r="K97" i="29"/>
  <c r="L97" i="29"/>
  <c r="K98" i="29"/>
  <c r="L98" i="29"/>
  <c r="K99" i="29"/>
  <c r="L99" i="29"/>
  <c r="K100" i="29"/>
  <c r="L100" i="29"/>
  <c r="K101" i="29"/>
  <c r="L101" i="29"/>
  <c r="K102" i="29"/>
  <c r="L102" i="29"/>
  <c r="K103" i="29"/>
  <c r="L103" i="29"/>
  <c r="K104" i="29"/>
  <c r="L104" i="29"/>
  <c r="K105" i="29"/>
  <c r="L105" i="29"/>
  <c r="K106" i="29"/>
  <c r="L106" i="29"/>
  <c r="K107" i="29"/>
  <c r="L107" i="29"/>
  <c r="K108" i="29"/>
  <c r="L108" i="29"/>
  <c r="K109" i="29"/>
  <c r="L109" i="29"/>
  <c r="K110" i="29"/>
  <c r="L110" i="29"/>
  <c r="K111" i="29"/>
  <c r="L111" i="29"/>
  <c r="K112" i="29"/>
  <c r="L112" i="29"/>
  <c r="K113" i="29"/>
  <c r="L113" i="29"/>
  <c r="K114" i="29"/>
  <c r="L114" i="29"/>
  <c r="K115" i="29"/>
  <c r="L115" i="29"/>
  <c r="K116" i="29"/>
  <c r="L116" i="29"/>
  <c r="K117" i="29"/>
  <c r="L117" i="29"/>
  <c r="K118" i="29"/>
  <c r="L118" i="29"/>
  <c r="K119" i="29"/>
  <c r="L119" i="29"/>
  <c r="K120" i="29"/>
  <c r="L120" i="29"/>
  <c r="K121" i="29"/>
  <c r="L121" i="29"/>
  <c r="K122" i="29"/>
  <c r="L122" i="29"/>
  <c r="K123" i="29"/>
  <c r="L123" i="29"/>
  <c r="K124" i="29"/>
  <c r="L124" i="29"/>
  <c r="K125" i="29"/>
  <c r="L125" i="29"/>
  <c r="K126" i="29"/>
  <c r="L126" i="29"/>
  <c r="K127" i="29"/>
  <c r="L127" i="29"/>
  <c r="K128" i="29"/>
  <c r="L128" i="29"/>
  <c r="K129" i="29"/>
  <c r="L129" i="29"/>
  <c r="K130" i="29"/>
  <c r="L130" i="29"/>
  <c r="K131" i="29"/>
  <c r="L131" i="29"/>
  <c r="K132" i="29"/>
  <c r="L132" i="29"/>
  <c r="K133" i="29"/>
  <c r="L133" i="29"/>
  <c r="K134" i="29"/>
  <c r="L134" i="29"/>
  <c r="K135" i="29"/>
  <c r="L135" i="29"/>
  <c r="K136" i="29"/>
  <c r="L136" i="29"/>
  <c r="K137" i="29"/>
  <c r="L137" i="29"/>
  <c r="K138" i="29"/>
  <c r="L138" i="29"/>
  <c r="K139" i="29"/>
  <c r="L139" i="29"/>
  <c r="K140" i="29"/>
  <c r="L140" i="29"/>
  <c r="K141" i="29"/>
  <c r="L141" i="29"/>
  <c r="K142" i="29"/>
  <c r="L142" i="29"/>
  <c r="K143" i="29"/>
  <c r="L143" i="29"/>
  <c r="K144" i="29"/>
  <c r="L144" i="29"/>
  <c r="K145" i="29"/>
  <c r="L145" i="29"/>
  <c r="K146" i="29"/>
  <c r="L146" i="29"/>
  <c r="K147" i="29"/>
  <c r="L147" i="29"/>
  <c r="K148" i="29"/>
  <c r="L148" i="29"/>
  <c r="K149" i="29"/>
  <c r="L149" i="29"/>
  <c r="K150" i="29"/>
  <c r="L150" i="29"/>
  <c r="K151" i="29"/>
  <c r="L151" i="29"/>
  <c r="K152" i="29"/>
  <c r="L152" i="29"/>
  <c r="K153" i="29"/>
  <c r="L153" i="29"/>
  <c r="K154" i="29"/>
  <c r="L154" i="29"/>
  <c r="K155" i="29"/>
  <c r="L155" i="29"/>
  <c r="K156" i="29"/>
  <c r="L156" i="29"/>
  <c r="K157" i="29"/>
  <c r="L157" i="29"/>
  <c r="K158" i="29"/>
  <c r="L158" i="29"/>
  <c r="K159" i="29"/>
  <c r="L159" i="29"/>
  <c r="K160" i="29"/>
  <c r="L160" i="29"/>
  <c r="K161" i="29"/>
  <c r="L161" i="29"/>
  <c r="K162" i="29"/>
  <c r="L162" i="29"/>
  <c r="K163" i="29"/>
  <c r="L163" i="29"/>
  <c r="K164" i="29"/>
  <c r="L164" i="29"/>
  <c r="K165" i="29"/>
  <c r="L165" i="29"/>
  <c r="K166" i="29"/>
  <c r="L166" i="29"/>
  <c r="K167" i="29"/>
  <c r="L167" i="29"/>
  <c r="K168" i="29"/>
  <c r="L168" i="29"/>
  <c r="K169" i="29"/>
  <c r="L169" i="29"/>
  <c r="K170" i="29"/>
  <c r="L170" i="29"/>
  <c r="K171" i="29"/>
  <c r="L171" i="29"/>
  <c r="K172" i="29"/>
  <c r="L172" i="29"/>
  <c r="K173" i="29"/>
  <c r="L173" i="29"/>
  <c r="K174" i="29"/>
  <c r="L174" i="29"/>
  <c r="K175" i="29"/>
  <c r="L175" i="29"/>
  <c r="K176" i="29"/>
  <c r="L176" i="29"/>
  <c r="K177" i="29"/>
  <c r="L177" i="29"/>
  <c r="K178" i="29"/>
  <c r="L178" i="29"/>
  <c r="K179" i="29"/>
  <c r="L179" i="29"/>
  <c r="K180" i="29"/>
  <c r="L180" i="29"/>
  <c r="K181" i="29"/>
  <c r="L181" i="29"/>
  <c r="K182" i="29"/>
  <c r="L182" i="29"/>
  <c r="K183" i="29"/>
  <c r="L183" i="29"/>
  <c r="K184" i="29"/>
  <c r="L184" i="29"/>
  <c r="K185" i="29"/>
  <c r="L185" i="29"/>
  <c r="K186" i="29"/>
  <c r="L186" i="29"/>
  <c r="K187" i="29"/>
  <c r="L187" i="29"/>
  <c r="K188" i="29"/>
  <c r="L188" i="29"/>
  <c r="K189" i="29"/>
  <c r="L189" i="29"/>
  <c r="K190" i="29"/>
  <c r="L190" i="29"/>
  <c r="K191" i="29"/>
  <c r="L191" i="29"/>
  <c r="K192" i="29"/>
  <c r="L192" i="29"/>
  <c r="K193" i="29"/>
  <c r="L193" i="29"/>
  <c r="K194" i="29"/>
  <c r="L194" i="29"/>
  <c r="K195" i="29"/>
  <c r="L195" i="29"/>
  <c r="K196" i="29"/>
  <c r="L196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 s="1"/>
  <c r="D11" i="25"/>
  <c r="O26" i="25" l="1"/>
  <c r="O21" i="25" s="1"/>
  <c r="Q26" i="25"/>
  <c r="Q21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O22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Q22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<sst xmlns="http://schemas.openxmlformats.org/spreadsheetml/2006/main" count="2640" uniqueCount="737">
  <si>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</si>
  <si>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</si>
  <si>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</si>
  <si>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</si>
  <si>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</si>
  <si>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</si>
  <si>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</si>
  <si>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</si>
  <si>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</si>
  <si>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</si>
  <si>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</si>
  <si>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</si>
  <si>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</si>
  <si>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</si>
  <si>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</si>
  <si>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</si>
  <si>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</si>
  <si>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</si>
  <si>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</si>
  <si>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</si>
  <si>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</si>
  <si>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</si>
  <si>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</si>
  <si>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</si>
  <si>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</si>
  <si>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</si>
  <si>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</si>
  <si>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</si>
  <si>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</si>
  <si>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</si>
  <si>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</si>
  <si>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</si>
  <si>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</si>
  <si>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</si>
  <si>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</si>
  <si>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</si>
  <si>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</si>
  <si>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</si>
  <si>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</si>
  <si>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</si>
  <si>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</si>
  <si>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</si>
  <si>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</si>
  <si>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</si>
  <si>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</si>
  <si>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</si>
  <si>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</si>
  <si>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</si>
  <si>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</si>
  <si>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</si>
  <si>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</si>
  <si>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</si>
  <si>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</si>
  <si>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</si>
  <si>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</si>
  <si>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</si>
  <si>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</si>
  <si>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</si>
  <si>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</si>
  <si>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</si>
  <si>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</si>
  <si>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</si>
  <si>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</si>
  <si>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</si>
  <si>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</si>
  <si>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</si>
  <si>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</si>
  <si>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</si>
  <si>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</si>
  <si>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</si>
  <si>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</si>
  <si>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</si>
  <si>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</si>
  <si>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</si>
  <si>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</si>
  <si>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</si>
  <si>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</si>
  <si>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</si>
  <si>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</si>
  <si>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</si>
  <si>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</si>
  <si>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</si>
  <si>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</si>
  <si>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</si>
  <si>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</si>
  <si>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</si>
  <si>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</si>
  <si>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</si>
  <si>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</si>
  <si>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</si>
  <si>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</si>
  <si>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</si>
  <si>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</si>
  <si>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</si>
  <si>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</si>
  <si>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</si>
  <si>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</si>
  <si>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</si>
  <si>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</si>
  <si>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</si>
  <si>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</si>
  <si>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</si>
  <si>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</si>
  <si>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</si>
  <si>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</si>
  <si>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</si>
  <si>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</si>
  <si>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外注調書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</si>
  <si>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</si>
  <si>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</si>
  <si>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</si>
  <si>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</si>
  <si>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</si>
  <si>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</si>
  <si>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</si>
  <si>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</si>
  <si>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</si>
  <si>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</si>
  <si>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</si>
  <si>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</si>
  <si>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</si>
  <si>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</si>
  <si>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</si>
  <si>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</si>
  <si>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</si>
  <si>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</si>
  <si>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</si>
  <si>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</si>
  <si>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</si>
  <si>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</si>
  <si>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</si>
  <si>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</si>
  <si>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</si>
  <si>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</si>
  <si>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</si>
  <si>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</si>
  <si>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</si>
  <si>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</si>
  <si>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</si>
  <si>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</si>
  <si>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</si>
  <si>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</si>
  <si>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</si>
  <si>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</si>
  <si>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</si>
  <si>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2320710033 F</t>
  </si>
  <si>
    <t>（第1回変更予算）</t>
  </si>
  <si>
    <t>平野　裕貴</t>
  </si>
  <si>
    <t>23-033★愛甲小学校グラウンド改修工事【受託事業】</t>
  </si>
  <si>
    <t>株式会社厚木植木</t>
  </si>
  <si>
    <t>横浜支店</t>
  </si>
  <si>
    <t>厚木市愛甲西1丁目地内</t>
  </si>
  <si>
    <t>2023年6月1日</t>
  </si>
  <si>
    <t>2023年9月30日</t>
  </si>
  <si>
    <t>掘削</t>
  </si>
  <si>
    <t>床掘</t>
  </si>
  <si>
    <t>埋戻し</t>
  </si>
  <si>
    <t>積込(ルーズ)</t>
  </si>
  <si>
    <t>土砂等運搬</t>
  </si>
  <si>
    <t>不陸整正</t>
  </si>
  <si>
    <t>路盤工</t>
  </si>
  <si>
    <t>表層工</t>
  </si>
  <si>
    <t>表面処理工</t>
  </si>
  <si>
    <t>整地工</t>
  </si>
  <si>
    <t>既設側溝清掃工</t>
  </si>
  <si>
    <t>集水桝清掃工</t>
  </si>
  <si>
    <t>吸出し防止材設置工</t>
  </si>
  <si>
    <t>鋤取り工</t>
  </si>
  <si>
    <t>m3</t>
  </si>
  <si>
    <t>発生土</t>
  </si>
  <si>
    <t>RC-40</t>
  </si>
  <si>
    <t>10tダンプ</t>
  </si>
  <si>
    <t>m2</t>
  </si>
  <si>
    <t>RC-40 t=100</t>
  </si>
  <si>
    <t>t=100</t>
  </si>
  <si>
    <t>LO型側溝＋暗渠</t>
  </si>
  <si>
    <t>m</t>
  </si>
  <si>
    <t>箇所</t>
  </si>
  <si>
    <t>200×200</t>
  </si>
  <si>
    <t>整地工内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</si>
  <si>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</si>
  <si>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</si>
  <si>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</si>
  <si>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</si>
  <si>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</si>
  <si>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</si>
  <si>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</si>
  <si>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法定福利費</t>
  </si>
  <si>
    <t>愛甲小学校グラウンド改修工事</t>
  </si>
  <si>
    <t>関東支社</t>
  </si>
  <si>
    <t>厚木出張所</t>
  </si>
  <si>
    <t>厚木市</t>
  </si>
  <si>
    <t>単独</t>
  </si>
  <si>
    <t>F</t>
  </si>
  <si>
    <t>2023年5月17日</t>
  </si>
  <si>
    <t>2023年6月1日 ～ 2023年9月30日</t>
  </si>
  <si>
    <t>直接工事費</t>
  </si>
  <si>
    <t xml:space="preserve">  土工</t>
  </si>
  <si>
    <t xml:space="preserve">  </t>
  </si>
  <si>
    <t>式</t>
  </si>
  <si>
    <t>1号</t>
  </si>
  <si>
    <t>内訳書</t>
  </si>
  <si>
    <t xml:space="preserve">  グラウンド整備工</t>
  </si>
  <si>
    <t>2号</t>
  </si>
  <si>
    <t xml:space="preserve">  施設・設備改修工</t>
  </si>
  <si>
    <t>3号</t>
  </si>
  <si>
    <t xml:space="preserve">  撤去工</t>
  </si>
  <si>
    <t>4号</t>
  </si>
  <si>
    <t xml:space="preserve">  外注経費</t>
  </si>
  <si>
    <t>5号</t>
  </si>
  <si>
    <t xml:space="preserve">  法定福利費</t>
  </si>
  <si>
    <t>6号</t>
  </si>
  <si>
    <t xml:space="preserve">  調整費</t>
  </si>
  <si>
    <t>92号</t>
  </si>
  <si>
    <t>直接工事費　計</t>
  </si>
  <si>
    <t>間接費</t>
  </si>
  <si>
    <t xml:space="preserve">  共通仮設費</t>
  </si>
  <si>
    <t xml:space="preserve">  現場経費</t>
  </si>
  <si>
    <t>間接費 計</t>
  </si>
  <si>
    <t>工事原価</t>
  </si>
  <si>
    <t>粗利益</t>
  </si>
  <si>
    <t>土工</t>
  </si>
  <si>
    <t>グラウンド整備工</t>
  </si>
  <si>
    <t>施設・設備改修工</t>
  </si>
  <si>
    <t>撤去工</t>
  </si>
  <si>
    <t>外注経費</t>
  </si>
  <si>
    <t>調整費</t>
  </si>
  <si>
    <t>計</t>
  </si>
  <si>
    <t>23-033★愛甲小学校グラウンド改修工事【受託事業】</t>
    <phoneticPr fontId="4"/>
  </si>
  <si>
    <t>総括</t>
  </si>
  <si>
    <t>集計行</t>
  </si>
  <si>
    <t>｜直接工事費</t>
  </si>
  <si>
    <t>内訳代価</t>
  </si>
  <si>
    <t>｜｜土工</t>
  </si>
  <si>
    <t>1号内訳書</t>
  </si>
  <si>
    <t>｜｜｜掘削</t>
  </si>
  <si>
    <t>7号内訳書</t>
  </si>
  <si>
    <t>｜｜｜｜技工</t>
  </si>
  <si>
    <t>人</t>
  </si>
  <si>
    <t xml:space="preserve">r00328003 </t>
  </si>
  <si>
    <t xml:space="preserve">{数量=12*3} </t>
  </si>
  <si>
    <t>｜｜｜｜BH0.7ｸﾚｰﾝ</t>
  </si>
  <si>
    <t>台</t>
  </si>
  <si>
    <t xml:space="preserve">k00328020 </t>
  </si>
  <si>
    <t xml:space="preserve">{数量=12*1} </t>
  </si>
  <si>
    <t>｜｜｜｜BH0.15ｸﾚｰﾝ</t>
  </si>
  <si>
    <t xml:space="preserve">k00328016 </t>
  </si>
  <si>
    <t>｜｜｜｜ﾀｲﾔｼｮﾍﾞﾙ0.4</t>
  </si>
  <si>
    <t xml:space="preserve">k00328021 </t>
  </si>
  <si>
    <t>｜｜｜｜2ｔﾀﾞﾝﾌﾟ</t>
  </si>
  <si>
    <t xml:space="preserve">u00328020 </t>
  </si>
  <si>
    <t xml:space="preserve">{数量=12*2} </t>
  </si>
  <si>
    <t>｜｜｜｜労務運搬(Wｷｬﾌﾞ)</t>
  </si>
  <si>
    <t>燃料込</t>
  </si>
  <si>
    <t xml:space="preserve">u00328036 </t>
  </si>
  <si>
    <t>｜｜｜｜軽油</t>
  </si>
  <si>
    <t>L</t>
  </si>
  <si>
    <t xml:space="preserve">s00328123 </t>
  </si>
  <si>
    <t>｜｜｜｜ﾊｲｳｫｯｼｬｰ</t>
  </si>
  <si>
    <t>ﾎｰｽ、ﾉｽﾞﾙ含</t>
  </si>
  <si>
    <t xml:space="preserve">k00328046 </t>
  </si>
  <si>
    <t>｜｜｜｜雑材</t>
  </si>
  <si>
    <t xml:space="preserve">s00328386 </t>
  </si>
  <si>
    <t>｜｜｜床掘</t>
  </si>
  <si>
    <t>8号内訳書</t>
  </si>
  <si>
    <t>｜｜｜｜床掘</t>
  </si>
  <si>
    <t>施工費</t>
  </si>
  <si>
    <t>｜｜｜埋戻し</t>
  </si>
  <si>
    <t>9号内訳書</t>
  </si>
  <si>
    <t>｜｜｜｜埋戻し</t>
  </si>
  <si>
    <t>10号内訳書</t>
  </si>
  <si>
    <t>施工・材料費</t>
  </si>
  <si>
    <t>｜｜｜積込(ルーズ)</t>
  </si>
  <si>
    <t>11号内訳書</t>
  </si>
  <si>
    <t>｜｜｜｜積込(ルーズ)</t>
  </si>
  <si>
    <t>｜｜｜土砂等運搬</t>
  </si>
  <si>
    <t>12号内訳書</t>
  </si>
  <si>
    <t>｜｜｜｜ﾀﾞﾝﾌﾟﾄﾗｯｸ常用10ｔ</t>
  </si>
  <si>
    <t>ｵﾍﾟ燃料付</t>
  </si>
  <si>
    <t xml:space="preserve">u00328003 </t>
  </si>
  <si>
    <t xml:space="preserve">{数量=12*6} </t>
  </si>
  <si>
    <t>｜｜｜｜残土処分費</t>
  </si>
  <si>
    <t>｜｜｜調整費</t>
  </si>
  <si>
    <t>｜｜グラウンド整備工</t>
  </si>
  <si>
    <t>2号内訳書</t>
  </si>
  <si>
    <t>｜｜｜不陸整正</t>
  </si>
  <si>
    <t>13号内訳書</t>
  </si>
  <si>
    <t xml:space="preserve">{数量=5*5} </t>
  </si>
  <si>
    <t>｜｜｜｜ﾀｲﾔﾛｰﾗ</t>
  </si>
  <si>
    <t>8t</t>
  </si>
  <si>
    <t xml:space="preserve">k00328002 </t>
  </si>
  <si>
    <t xml:space="preserve">{数量=5*1} </t>
  </si>
  <si>
    <t>｜｜｜｜ﾀﾝﾃﾞﾑﾛｰﾗ</t>
  </si>
  <si>
    <t>3ｔ、4ｔ</t>
  </si>
  <si>
    <t xml:space="preserve">k00328004 </t>
  </si>
  <si>
    <t>｜｜｜｜ｻｲﾄﾞﾛｰﾗ</t>
  </si>
  <si>
    <t xml:space="preserve">k00328007 </t>
  </si>
  <si>
    <t>｜｜｜｜押ﾌﾞﾙﾄﾞｰｻﾞｰ</t>
  </si>
  <si>
    <t>D20</t>
  </si>
  <si>
    <t xml:space="preserve">k00328023 </t>
  </si>
  <si>
    <t xml:space="preserve">{数量=5*2} </t>
  </si>
  <si>
    <t>｜｜｜路盤工</t>
  </si>
  <si>
    <t>14号内訳書</t>
  </si>
  <si>
    <t xml:space="preserve">{数量=7*5} </t>
  </si>
  <si>
    <t xml:space="preserve">{数量=7*1} </t>
  </si>
  <si>
    <t>｜｜｜｜ﾓｰﾀｰｸﾞﾚｰﾀﾞ</t>
  </si>
  <si>
    <t>3.1m</t>
  </si>
  <si>
    <t xml:space="preserve">k00328024 </t>
  </si>
  <si>
    <t xml:space="preserve">{数量=2*1} </t>
  </si>
  <si>
    <t>｜｜｜｜RC-40(t)</t>
  </si>
  <si>
    <t>t</t>
  </si>
  <si>
    <t xml:space="preserve">s00328271 </t>
  </si>
  <si>
    <t xml:space="preserve">{数量=6,458*0.1*1.8} </t>
  </si>
  <si>
    <t>｜｜｜表層工</t>
  </si>
  <si>
    <t>15号内訳書</t>
  </si>
  <si>
    <t xml:space="preserve">改良岩瀬砂＋不溶性土壌改良 </t>
  </si>
  <si>
    <t>｜｜｜｜表層工</t>
  </si>
  <si>
    <t>｜｜｜表面処理工</t>
  </si>
  <si>
    <t>16号内訳書</t>
  </si>
  <si>
    <t>化粧砂細目 0.003m3/m2 苦汁 1.0kg/m2(ソイルバインダー)</t>
  </si>
  <si>
    <t>｜｜｜｜表面処理工</t>
  </si>
  <si>
    <t>｜｜｜整地工</t>
  </si>
  <si>
    <t>17号内訳書</t>
  </si>
  <si>
    <t>｜｜｜｜整地工</t>
  </si>
  <si>
    <t>｜｜｜既設側溝清掃工</t>
  </si>
  <si>
    <t>18号内訳書</t>
  </si>
  <si>
    <t>｜｜｜｜既設側溝清掃工</t>
  </si>
  <si>
    <t>｜｜｜集水桝清掃工</t>
  </si>
  <si>
    <t>19号内訳書</t>
  </si>
  <si>
    <t>｜｜｜｜集水桝清掃工</t>
  </si>
  <si>
    <t>｜｜｜吸出し防止材設置工</t>
  </si>
  <si>
    <t>20号内訳書</t>
  </si>
  <si>
    <t>｜｜｜｜吸出し防止材設置工</t>
  </si>
  <si>
    <t>｜｜｜鋤取り工</t>
  </si>
  <si>
    <t>85号内訳書</t>
  </si>
  <si>
    <t>｜｜｜｜鋤取り工</t>
  </si>
  <si>
    <t>｜｜施設・設備改修工</t>
  </si>
  <si>
    <t>3号内訳書</t>
  </si>
  <si>
    <t>｜｜｜既設側溝改修工</t>
  </si>
  <si>
    <t>21号内訳書</t>
  </si>
  <si>
    <t>｜｜｜｜既設側溝改修工</t>
  </si>
  <si>
    <t>｜｜｜スプリンクラー調整工</t>
  </si>
  <si>
    <t>22号内訳書</t>
  </si>
  <si>
    <t>｜｜｜｜スプリンクラー調整工</t>
  </si>
  <si>
    <t>｜｜｜スプリンクラー設置工</t>
  </si>
  <si>
    <t>23号内訳書</t>
  </si>
  <si>
    <t>｜｜｜｜スプリンクラー設置工</t>
  </si>
  <si>
    <t>｜｜｜止水栓調整工</t>
  </si>
  <si>
    <t>24号内訳書</t>
  </si>
  <si>
    <t>｜｜｜｜止水栓調整工</t>
  </si>
  <si>
    <t>｜｜｜防球ネット補修工</t>
  </si>
  <si>
    <t>440t 36本 40mm目</t>
  </si>
  <si>
    <t>25号内訳書</t>
  </si>
  <si>
    <t>｜｜｜｜防球ネット補修工</t>
  </si>
  <si>
    <t>｜｜｜防球ネット支柱保護マット設置工</t>
  </si>
  <si>
    <t>発泡ポリウレタンt=40</t>
  </si>
  <si>
    <t>26号内訳書</t>
  </si>
  <si>
    <t xml:space="preserve">ターポリン2類 </t>
  </si>
  <si>
    <t>｜｜｜｜防球ネット支柱保護マット設置工</t>
  </si>
  <si>
    <t>｜｜｜夜間照明脚部保護マット設置工</t>
  </si>
  <si>
    <t>27号内訳書</t>
  </si>
  <si>
    <t>｜｜｜｜夜間照明脚部保護マット設置工</t>
  </si>
  <si>
    <t>｜｜｜朝礼台塗装工</t>
  </si>
  <si>
    <t>接合部塗装塗替え</t>
  </si>
  <si>
    <t>28号内訳書</t>
  </si>
  <si>
    <t>｜｜｜｜朝礼台塗装工</t>
  </si>
  <si>
    <t>｜｜｜北門塗装工</t>
  </si>
  <si>
    <t>塗装塗替え(白)</t>
  </si>
  <si>
    <t>29号内訳書</t>
  </si>
  <si>
    <t>｜｜｜｜北門塗装工</t>
  </si>
  <si>
    <t>｜｜｜メッシュフェンス塗装工</t>
  </si>
  <si>
    <t>塗装塗替え(緑)</t>
  </si>
  <si>
    <t>30号内訳書</t>
  </si>
  <si>
    <t>｜｜｜｜メッシュフェンス塗装工</t>
  </si>
  <si>
    <t>｜｜｜メッシュフェンス設置工</t>
  </si>
  <si>
    <t>H2000</t>
  </si>
  <si>
    <t>31号内訳書</t>
  </si>
  <si>
    <t>｜｜｜｜メッシュフェンス設置工</t>
  </si>
  <si>
    <t>｜｜｜バックネット補修工</t>
  </si>
  <si>
    <t>32号内訳書</t>
  </si>
  <si>
    <t>｜｜｜｜バックネット補修工</t>
  </si>
  <si>
    <t>｜｜｜バスケットゴール塗装工</t>
  </si>
  <si>
    <t>33号内訳書</t>
  </si>
  <si>
    <t>｜｜｜｜バスケットゴール塗装工</t>
  </si>
  <si>
    <t>｜｜｜サッカーゴール補修工</t>
  </si>
  <si>
    <t>34号内訳書</t>
  </si>
  <si>
    <t>｜｜｜｜サッカーゴール補修工</t>
  </si>
  <si>
    <t>｜｜｜競技用砂場補修工</t>
  </si>
  <si>
    <t>砂場用砂</t>
  </si>
  <si>
    <t>35号内訳書</t>
  </si>
  <si>
    <t>｜｜｜｜競技用砂場補修工</t>
  </si>
  <si>
    <t>｜｜｜遊具用砂場設置工</t>
  </si>
  <si>
    <t>合成樹脂製枠、3m×6m</t>
  </si>
  <si>
    <t>36号内訳書</t>
  </si>
  <si>
    <t>｜｜｜｜遊具用砂場設置工</t>
  </si>
  <si>
    <t>｜｜｜踏切板設置工</t>
  </si>
  <si>
    <t>ゴム製 再生材台</t>
  </si>
  <si>
    <t>37号内訳書</t>
  </si>
  <si>
    <t>｜｜｜｜踏切板設置工</t>
  </si>
  <si>
    <t>｜｜｜逆上がり補助板設置工</t>
  </si>
  <si>
    <t>38号内訳書</t>
  </si>
  <si>
    <t>｜｜｜｜逆上がり補助板設置工</t>
  </si>
  <si>
    <t>｜｜｜ポイント杭設置工</t>
  </si>
  <si>
    <t>ポリエチレンロープΦ6</t>
  </si>
  <si>
    <t>39号内訳書</t>
  </si>
  <si>
    <t>｜｜｜｜ポイント杭設置工</t>
  </si>
  <si>
    <t>｜｜｜たたきコンクリート工</t>
  </si>
  <si>
    <t>40号内訳書</t>
  </si>
  <si>
    <t>｜｜｜｜たたきコンクリート工</t>
  </si>
  <si>
    <t>｜｜｜メッシュフェンス支柱補修工</t>
  </si>
  <si>
    <t>86号内訳書</t>
  </si>
  <si>
    <t>｜｜｜｜メッシュフェンス支柱補修工</t>
  </si>
  <si>
    <t>個</t>
  </si>
  <si>
    <t>H=1850</t>
  </si>
  <si>
    <t>ｍ</t>
  </si>
  <si>
    <t>87号内訳書</t>
  </si>
  <si>
    <t>｜｜｜既設側溝部分補修工</t>
  </si>
  <si>
    <t>88号内訳書</t>
  </si>
  <si>
    <t>｜｜｜｜既設側溝部分補修工</t>
  </si>
  <si>
    <t>｜｜｜防球ネット部分補修工</t>
  </si>
  <si>
    <t>A=11.5m2</t>
  </si>
  <si>
    <t>89号内訳書</t>
  </si>
  <si>
    <t>｜｜｜｜防球ネット部分補修工</t>
  </si>
  <si>
    <t>｜｜｜メッシュフェンス防砂ネット設置工</t>
  </si>
  <si>
    <t>H=1.5ｍ　L=80ｍ</t>
  </si>
  <si>
    <t>90号内訳書</t>
  </si>
  <si>
    <t>｜｜｜｜メッシュフェンス防砂ネット設置工</t>
  </si>
  <si>
    <t>｜｜｜コンクリートポール防砂ネット設置工</t>
  </si>
  <si>
    <t>H=1.5ｍ　L=19.82ｍ</t>
  </si>
  <si>
    <t>91号内訳書</t>
  </si>
  <si>
    <t>｜｜｜｜コンクリートポール防砂ネット設置工</t>
  </si>
  <si>
    <t>｜｜撤去工</t>
  </si>
  <si>
    <t>4号内訳書</t>
  </si>
  <si>
    <t>｜｜｜防球ネット撤去工</t>
  </si>
  <si>
    <t>ネット撤去</t>
  </si>
  <si>
    <t>41号内訳書</t>
  </si>
  <si>
    <t>｜｜｜｜防球ネット撤去工</t>
  </si>
  <si>
    <t>｜｜｜防球ネット支柱保護マット撤去工</t>
  </si>
  <si>
    <t>ウレタン製</t>
  </si>
  <si>
    <t>42号内訳書</t>
  </si>
  <si>
    <t>｜｜｜｜防球ネット支柱保護マット撤去工</t>
  </si>
  <si>
    <t>｜｜｜夜間照明脚部保護マット撤去工</t>
  </si>
  <si>
    <t>43号内訳書</t>
  </si>
  <si>
    <t>｜｜｜｜夜間照明脚部保護マット撤去工</t>
  </si>
  <si>
    <t>｜｜｜既設Ｌ型側溝撤去工</t>
  </si>
  <si>
    <t>側溝根上り部</t>
  </si>
  <si>
    <t>44号内訳書</t>
  </si>
  <si>
    <t>｜｜｜｜既設Ｌ型側溝撤去工</t>
  </si>
  <si>
    <t>｜｜｜遊戯用砂場撤去工</t>
  </si>
  <si>
    <t>砂場枠、クッション砂の撤去</t>
  </si>
  <si>
    <t>45号内訳書</t>
  </si>
  <si>
    <t>｜｜｜｜遊戯用砂場撤去工</t>
  </si>
  <si>
    <t>｜｜｜バックネット金網撤去工</t>
  </si>
  <si>
    <t>46号内訳書</t>
  </si>
  <si>
    <t>｜｜｜｜バックネット金網撤去工</t>
  </si>
  <si>
    <t>｜｜｜スプリンクラー撤去工</t>
  </si>
  <si>
    <t>47号内訳書</t>
  </si>
  <si>
    <t>｜｜｜｜スプリンクラー撤去工</t>
  </si>
  <si>
    <t>｜｜｜車止め撤去工</t>
  </si>
  <si>
    <t>48号内訳書</t>
  </si>
  <si>
    <t>｜｜｜｜車止め撤去工</t>
  </si>
  <si>
    <t>｜｜｜舗装版切断濁水運搬</t>
  </si>
  <si>
    <t>ダンプトラック2ｔ</t>
  </si>
  <si>
    <t>回</t>
  </si>
  <si>
    <t>49号内訳書</t>
  </si>
  <si>
    <t>｜｜｜｜舗装版切断濁水運搬</t>
  </si>
  <si>
    <t>｜｜｜散水栓撤去工</t>
  </si>
  <si>
    <t>50号内訳書</t>
  </si>
  <si>
    <t>｜｜｜｜散水栓撤去工</t>
  </si>
  <si>
    <t>｜｜｜伐採・伐根工</t>
  </si>
  <si>
    <t>幹周120cm以上180cm未満</t>
  </si>
  <si>
    <t>本</t>
  </si>
  <si>
    <t>51号内訳書</t>
  </si>
  <si>
    <t>｜｜｜｜伐採・伐根工</t>
  </si>
  <si>
    <t>幹周180cm以上</t>
  </si>
  <si>
    <t>52号内訳書</t>
  </si>
  <si>
    <t>｜｜｜メッシュフェンス撤去工</t>
  </si>
  <si>
    <t>53号内訳書</t>
  </si>
  <si>
    <t>｜｜｜｜メッシュフェンス撤去工</t>
  </si>
  <si>
    <t>｜｜｜逆上がり補助板撤去工</t>
  </si>
  <si>
    <t>54号内訳書</t>
  </si>
  <si>
    <t>｜｜｜｜逆上がり補助板撤去工</t>
  </si>
  <si>
    <t>｜｜｜構造物とりこわし</t>
  </si>
  <si>
    <t>無筋Co</t>
  </si>
  <si>
    <t>55号内訳書</t>
  </si>
  <si>
    <t>｜｜｜｜構造物とりこわし</t>
  </si>
  <si>
    <t>｜｜｜殻処分</t>
  </si>
  <si>
    <t>56号内訳書</t>
  </si>
  <si>
    <t>｜｜｜｜殻処分</t>
  </si>
  <si>
    <t>二次製品</t>
  </si>
  <si>
    <t>57号内訳書</t>
  </si>
  <si>
    <t>｜｜｜殻運搬</t>
  </si>
  <si>
    <t>58号内訳書</t>
  </si>
  <si>
    <t>｜｜｜｜殻運搬</t>
  </si>
  <si>
    <t>59号内訳書</t>
  </si>
  <si>
    <t>｜｜｜鋼材</t>
  </si>
  <si>
    <t>60号内訳書</t>
  </si>
  <si>
    <t>｜｜｜｜鋼材</t>
  </si>
  <si>
    <t>スクラップ評価額</t>
  </si>
  <si>
    <t>｜｜｜木くず処分</t>
  </si>
  <si>
    <t>枝・葉</t>
  </si>
  <si>
    <t>61号内訳書</t>
  </si>
  <si>
    <t>｜｜｜｜木くず処分</t>
  </si>
  <si>
    <t>幹部</t>
  </si>
  <si>
    <t>62号内訳書</t>
  </si>
  <si>
    <t>根</t>
  </si>
  <si>
    <t>63号内訳書</t>
  </si>
  <si>
    <t>解体木くず</t>
  </si>
  <si>
    <t>64号内訳書</t>
  </si>
  <si>
    <t>｜｜｜木くず運搬</t>
  </si>
  <si>
    <t>65号内訳書</t>
  </si>
  <si>
    <t>｜｜｜｜木くず運搬</t>
  </si>
  <si>
    <t>66号内訳書</t>
  </si>
  <si>
    <t>67号内訳書</t>
  </si>
  <si>
    <t>68号内訳書</t>
  </si>
  <si>
    <t>｜｜｜廃プラスチック類処分</t>
  </si>
  <si>
    <t>防球ネット</t>
  </si>
  <si>
    <t>69号内訳書</t>
  </si>
  <si>
    <t>｜｜｜｜廃プラスチック類処分</t>
  </si>
  <si>
    <t>｜｜｜廃プラスチック類運搬</t>
  </si>
  <si>
    <t>70号内訳書</t>
  </si>
  <si>
    <t>｜｜｜｜廃プラスチック類運搬</t>
  </si>
  <si>
    <t>｜｜外注経費</t>
  </si>
  <si>
    <t>5号内訳書</t>
  </si>
  <si>
    <t>｜｜｜外注経費</t>
  </si>
  <si>
    <t>舗装班</t>
  </si>
  <si>
    <t>スポーツ施設班</t>
  </si>
  <si>
    <t>｜｜法定福利費</t>
  </si>
  <si>
    <t>6号内訳書</t>
  </si>
  <si>
    <t>｜｜｜法定福利費</t>
  </si>
  <si>
    <t>｜｜調整費</t>
  </si>
  <si>
    <t>92号内訳書</t>
  </si>
  <si>
    <t>｜｜｜諸雑費</t>
  </si>
  <si>
    <t>調整金</t>
  </si>
  <si>
    <t>予算2</t>
    <phoneticPr fontId="6"/>
  </si>
  <si>
    <t>重機運搬費</t>
  </si>
  <si>
    <t>社員給料</t>
  </si>
  <si>
    <t>準備費</t>
  </si>
  <si>
    <t>事務用品費</t>
  </si>
  <si>
    <t>地代家賃</t>
  </si>
  <si>
    <t>電力用水光熱費</t>
  </si>
  <si>
    <t>仮設費</t>
  </si>
  <si>
    <t>通信費</t>
  </si>
  <si>
    <t>安全費</t>
  </si>
  <si>
    <t>旅費交通費</t>
  </si>
  <si>
    <t>技術管理費</t>
  </si>
  <si>
    <t>保険料</t>
  </si>
  <si>
    <t>車両費</t>
  </si>
  <si>
    <t>雑費</t>
  </si>
  <si>
    <t>0</t>
  </si>
  <si>
    <t>#DIV/0!</t>
  </si>
  <si>
    <t>｜共通仮設費</t>
  </si>
  <si>
    <t>｜｜重機運搬費</t>
  </si>
  <si>
    <t>71号内訳書</t>
  </si>
  <si>
    <t>｜｜｜回送  4ｔｾﾙﾌ</t>
  </si>
  <si>
    <t xml:space="preserve">u00328008 </t>
  </si>
  <si>
    <t>｜｜｜回送  大型ｾﾙﾌ</t>
  </si>
  <si>
    <t xml:space="preserve">u00328009 </t>
  </si>
  <si>
    <t>｜｜｜回送  ﾄﾚｰﾗｰ</t>
  </si>
  <si>
    <t xml:space="preserve">u00328010 </t>
  </si>
  <si>
    <t>｜｜準備費</t>
  </si>
  <si>
    <t>(準備測量・仮設設置撤去・他)</t>
  </si>
  <si>
    <t>72号内訳書</t>
  </si>
  <si>
    <t>｜｜地代家賃</t>
  </si>
  <si>
    <t>(借地費用や駐車場及び宿舎の賃貸等)</t>
  </si>
  <si>
    <t>73号内訳書</t>
  </si>
  <si>
    <t>｜｜仮設費</t>
  </si>
  <si>
    <t>(仮設事務所・倉庫・トイレ(環境改善含む)、仮設電気　等)</t>
  </si>
  <si>
    <t>74号内訳書</t>
  </si>
  <si>
    <t>｜｜安全費</t>
  </si>
  <si>
    <t>(仮設事務所仮囲い・工事看板や安全施設・事務所警備　等)</t>
  </si>
  <si>
    <t>75号内訳書</t>
  </si>
  <si>
    <t>｜｜技術管理費</t>
  </si>
  <si>
    <t>(土質試験・ASP・MC施工関係・完成図書 等)</t>
  </si>
  <si>
    <t>76号内訳書</t>
  </si>
  <si>
    <t>77号</t>
  </si>
  <si>
    <t>(コピー機、トナー、文具、コピー用紙、その他)</t>
  </si>
  <si>
    <t>78号</t>
  </si>
  <si>
    <t>79号</t>
  </si>
  <si>
    <t>(携帯通話料、ネット回線契約、電話回線契約　等)</t>
  </si>
  <si>
    <t>80号</t>
  </si>
  <si>
    <t>(出張、移動旅費等)</t>
  </si>
  <si>
    <t>81号</t>
  </si>
  <si>
    <t>(建退共・労災保険・労災上乗せ保険　等)</t>
  </si>
  <si>
    <t>82号</t>
  </si>
  <si>
    <t>(連絡車)</t>
  </si>
  <si>
    <t>83号</t>
  </si>
  <si>
    <t>(現場特有で発生が見込まれる費用　等)</t>
  </si>
  <si>
    <t>84号</t>
  </si>
  <si>
    <t>｜現場経費</t>
  </si>
  <si>
    <t>｜｜社員給料</t>
  </si>
  <si>
    <t>77号内訳書</t>
  </si>
  <si>
    <t>｜｜｜現場代理人(3級)昼</t>
  </si>
  <si>
    <t>日</t>
  </si>
  <si>
    <t xml:space="preserve">m00328015 </t>
  </si>
  <si>
    <t>｜｜事務用品費</t>
  </si>
  <si>
    <t>78号内訳書</t>
  </si>
  <si>
    <t>｜｜電力用水光熱費</t>
  </si>
  <si>
    <t>79号内訳書</t>
  </si>
  <si>
    <t>｜｜通信費</t>
  </si>
  <si>
    <t>80号内訳書</t>
  </si>
  <si>
    <t>｜｜旅費交通費</t>
  </si>
  <si>
    <t>81号内訳書</t>
  </si>
  <si>
    <t>｜｜保険料</t>
  </si>
  <si>
    <t>82号内訳書</t>
  </si>
  <si>
    <t>｜｜車両費</t>
  </si>
  <si>
    <t>83号内訳書</t>
  </si>
  <si>
    <t>｜｜雑費</t>
  </si>
  <si>
    <t>84号内訳書</t>
  </si>
  <si>
    <t>｜｜｜丁張材</t>
  </si>
  <si>
    <t>｜｜｜雑材</t>
  </si>
  <si>
    <t>工具、スプレー他</t>
  </si>
  <si>
    <t>｜｜｜測量機</t>
  </si>
  <si>
    <t>月</t>
  </si>
  <si>
    <t>工事名称</t>
    <phoneticPr fontId="6"/>
  </si>
  <si>
    <t>23-033★愛甲小学校グラウンド改修工事【受託事業】</t>
    <phoneticPr fontId="6"/>
  </si>
  <si>
    <t>2320710033 F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</si>
  <si>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</si>
  <si>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</si>
  <si>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</si>
  <si>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</si>
  <si>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</si>
  <si>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</si>
  <si>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</si>
  <si>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RC-40(t)</t>
    <phoneticPr fontId="6"/>
  </si>
  <si>
    <t>t</t>
    <phoneticPr fontId="6"/>
  </si>
  <si>
    <t>材料費</t>
    <phoneticPr fontId="6"/>
  </si>
  <si>
    <t>軽油</t>
    <phoneticPr fontId="6"/>
  </si>
  <si>
    <t>L</t>
    <phoneticPr fontId="6"/>
  </si>
  <si>
    <t>雑材</t>
    <phoneticPr fontId="6"/>
  </si>
  <si>
    <t>式</t>
    <phoneticPr fontId="6"/>
  </si>
  <si>
    <t>工具、スプレー他</t>
    <phoneticPr fontId="6"/>
  </si>
  <si>
    <t>丁張材</t>
    <phoneticPr fontId="6"/>
  </si>
  <si>
    <t>計</t>
    <phoneticPr fontId="6"/>
  </si>
  <si>
    <t>技工</t>
    <phoneticPr fontId="6"/>
  </si>
  <si>
    <t>人</t>
    <phoneticPr fontId="6"/>
  </si>
  <si>
    <t>労務費</t>
    <phoneticPr fontId="6"/>
  </si>
  <si>
    <t>コンクリートポール防砂ネット設置工</t>
    <phoneticPr fontId="6"/>
  </si>
  <si>
    <t>施工費</t>
    <phoneticPr fontId="6"/>
  </si>
  <si>
    <t>外注費</t>
    <phoneticPr fontId="6"/>
  </si>
  <si>
    <t>サッカーゴール補修工</t>
    <phoneticPr fontId="6"/>
  </si>
  <si>
    <t>施工・材料費</t>
    <phoneticPr fontId="6"/>
  </si>
  <si>
    <t>スプリンクラー設置工</t>
    <phoneticPr fontId="6"/>
  </si>
  <si>
    <t>箇所</t>
    <phoneticPr fontId="6"/>
  </si>
  <si>
    <t>スプリンクラー調整工</t>
    <phoneticPr fontId="6"/>
  </si>
  <si>
    <t>スプリンクラー撤去工</t>
    <phoneticPr fontId="6"/>
  </si>
  <si>
    <t>たたきコンクリート工</t>
    <phoneticPr fontId="6"/>
  </si>
  <si>
    <t>バスケットゴール塗装工</t>
    <phoneticPr fontId="6"/>
  </si>
  <si>
    <t>バックネット金網撤去工</t>
    <phoneticPr fontId="6"/>
  </si>
  <si>
    <t>バックネット補修工</t>
    <phoneticPr fontId="6"/>
  </si>
  <si>
    <t>ポイント杭設置工</t>
    <phoneticPr fontId="6"/>
  </si>
  <si>
    <t>メッシュフェンス支柱補修工</t>
    <phoneticPr fontId="6"/>
  </si>
  <si>
    <t>個</t>
    <phoneticPr fontId="6"/>
  </si>
  <si>
    <t>メッシュフェンス設置工</t>
    <phoneticPr fontId="6"/>
  </si>
  <si>
    <t>m</t>
    <phoneticPr fontId="6"/>
  </si>
  <si>
    <t>メッシュフェンス撤去工</t>
    <phoneticPr fontId="6"/>
  </si>
  <si>
    <t>メッシュフェンス塗装工</t>
    <phoneticPr fontId="6"/>
  </si>
  <si>
    <t>ｍ</t>
    <phoneticPr fontId="6"/>
  </si>
  <si>
    <t>メッシュフェンス防砂ネット設置工</t>
    <phoneticPr fontId="6"/>
  </si>
  <si>
    <t>外注経費</t>
    <phoneticPr fontId="6"/>
  </si>
  <si>
    <t>スポーツ施設班</t>
    <phoneticPr fontId="6"/>
  </si>
  <si>
    <t>舗装班</t>
    <phoneticPr fontId="6"/>
  </si>
  <si>
    <t>殻運搬</t>
    <phoneticPr fontId="6"/>
  </si>
  <si>
    <t>m3</t>
    <phoneticPr fontId="6"/>
  </si>
  <si>
    <t>外注調書</t>
    <phoneticPr fontId="6"/>
  </si>
  <si>
    <t>殻処分</t>
    <phoneticPr fontId="6"/>
  </si>
  <si>
    <t>既設Ｌ型側溝撤去工</t>
    <phoneticPr fontId="6"/>
  </si>
  <si>
    <t>既設側溝改修工</t>
    <phoneticPr fontId="6"/>
  </si>
  <si>
    <t>既設側溝清掃工</t>
    <phoneticPr fontId="6"/>
  </si>
  <si>
    <t>既設側溝部分補修工</t>
    <phoneticPr fontId="6"/>
  </si>
  <si>
    <t>逆上がり補助板設置工</t>
    <phoneticPr fontId="6"/>
  </si>
  <si>
    <t>逆上がり補助板撤去工</t>
    <phoneticPr fontId="6"/>
  </si>
  <si>
    <t>吸出し防止材設置工</t>
    <phoneticPr fontId="6"/>
  </si>
  <si>
    <t>競技用砂場補修工</t>
    <phoneticPr fontId="6"/>
  </si>
  <si>
    <t>構造物とりこわし</t>
    <phoneticPr fontId="6"/>
  </si>
  <si>
    <t>鋼材</t>
    <phoneticPr fontId="6"/>
  </si>
  <si>
    <t>スクラップ評価額</t>
    <phoneticPr fontId="6"/>
  </si>
  <si>
    <t>散水栓撤去工</t>
    <phoneticPr fontId="6"/>
  </si>
  <si>
    <t>止水栓調整工</t>
    <phoneticPr fontId="6"/>
  </si>
  <si>
    <t>車止め撤去工</t>
    <phoneticPr fontId="6"/>
  </si>
  <si>
    <t>集水桝清掃工</t>
    <phoneticPr fontId="6"/>
  </si>
  <si>
    <t>鋤取り工</t>
    <phoneticPr fontId="6"/>
  </si>
  <si>
    <t>m2</t>
    <phoneticPr fontId="6"/>
  </si>
  <si>
    <t>床掘</t>
    <phoneticPr fontId="6"/>
  </si>
  <si>
    <t>整地工</t>
    <phoneticPr fontId="6"/>
  </si>
  <si>
    <t>積込(ルーズ)</t>
    <phoneticPr fontId="6"/>
  </si>
  <si>
    <t>朝礼台塗装工</t>
    <phoneticPr fontId="6"/>
  </si>
  <si>
    <t>踏切板設置工</t>
    <phoneticPr fontId="6"/>
  </si>
  <si>
    <t>廃プラスチック類運搬</t>
    <phoneticPr fontId="6"/>
  </si>
  <si>
    <t>台</t>
    <phoneticPr fontId="6"/>
  </si>
  <si>
    <t>廃プラスチック類処分</t>
    <phoneticPr fontId="6"/>
  </si>
  <si>
    <t>伐採・伐根工</t>
    <phoneticPr fontId="6"/>
  </si>
  <si>
    <t>本</t>
    <phoneticPr fontId="6"/>
  </si>
  <si>
    <t>表層工</t>
    <phoneticPr fontId="6"/>
  </si>
  <si>
    <t>表面処理工</t>
    <phoneticPr fontId="6"/>
  </si>
  <si>
    <t>舗装版切断濁水運搬</t>
    <phoneticPr fontId="6"/>
  </si>
  <si>
    <t>回</t>
    <phoneticPr fontId="6"/>
  </si>
  <si>
    <t>防球ネット支柱保護マット設置工</t>
    <phoneticPr fontId="6"/>
  </si>
  <si>
    <t>防球ネット支柱保護マット撤去工</t>
    <phoneticPr fontId="6"/>
  </si>
  <si>
    <t>防球ネット撤去工</t>
    <phoneticPr fontId="6"/>
  </si>
  <si>
    <t>防球ネット部分補修工</t>
    <phoneticPr fontId="6"/>
  </si>
  <si>
    <t>防球ネット補修工</t>
    <phoneticPr fontId="6"/>
  </si>
  <si>
    <t>北門塗装工</t>
    <phoneticPr fontId="6"/>
  </si>
  <si>
    <t>埋戻し</t>
    <phoneticPr fontId="6"/>
  </si>
  <si>
    <t>木くず運搬</t>
    <phoneticPr fontId="6"/>
  </si>
  <si>
    <t>木くず処分</t>
    <phoneticPr fontId="6"/>
  </si>
  <si>
    <t>夜間照明脚部保護マット設置工</t>
    <phoneticPr fontId="6"/>
  </si>
  <si>
    <t>夜間照明脚部保護マット撤去工</t>
    <phoneticPr fontId="6"/>
  </si>
  <si>
    <t>遊戯用砂場撤去工</t>
    <phoneticPr fontId="6"/>
  </si>
  <si>
    <t>遊具用砂場設置工</t>
    <phoneticPr fontId="6"/>
  </si>
  <si>
    <t>BH0.15ｸﾚｰﾝ</t>
    <phoneticPr fontId="6"/>
  </si>
  <si>
    <t>機械費</t>
    <phoneticPr fontId="6"/>
  </si>
  <si>
    <t>BH0.7ｸﾚｰﾝ</t>
    <phoneticPr fontId="6"/>
  </si>
  <si>
    <t>ｻｲﾄﾞﾛｰﾗ</t>
    <phoneticPr fontId="6"/>
  </si>
  <si>
    <t>ﾀｲﾔｼｮﾍﾞﾙ0.4</t>
    <phoneticPr fontId="6"/>
  </si>
  <si>
    <t>ﾀｲﾔﾛｰﾗ</t>
    <phoneticPr fontId="6"/>
  </si>
  <si>
    <t>8t</t>
    <phoneticPr fontId="6"/>
  </si>
  <si>
    <t>ﾀﾝﾃﾞﾑﾛｰﾗ</t>
    <phoneticPr fontId="6"/>
  </si>
  <si>
    <t>3ｔ、4ｔ</t>
    <phoneticPr fontId="6"/>
  </si>
  <si>
    <t>ﾊｲｳｫｯｼｬｰ</t>
    <phoneticPr fontId="6"/>
  </si>
  <si>
    <t>ﾎｰｽ、ﾉｽﾞﾙ含</t>
    <phoneticPr fontId="6"/>
  </si>
  <si>
    <t>ﾓｰﾀｰｸﾞﾚｰﾀﾞ</t>
    <phoneticPr fontId="6"/>
  </si>
  <si>
    <t>3.1m</t>
    <phoneticPr fontId="6"/>
  </si>
  <si>
    <t>押ﾌﾞﾙﾄﾞｰｻﾞｰ</t>
    <phoneticPr fontId="6"/>
  </si>
  <si>
    <t>D20</t>
    <phoneticPr fontId="6"/>
  </si>
  <si>
    <t>測量機</t>
    <phoneticPr fontId="6"/>
  </si>
  <si>
    <t>月</t>
    <phoneticPr fontId="6"/>
  </si>
  <si>
    <t>2ｔﾀﾞﾝﾌﾟ</t>
    <phoneticPr fontId="6"/>
  </si>
  <si>
    <t>運搬費</t>
    <phoneticPr fontId="6"/>
  </si>
  <si>
    <t>ﾀﾞﾝﾌﾟﾄﾗｯｸ常用10ｔ</t>
    <phoneticPr fontId="6"/>
  </si>
  <si>
    <t>ｵﾍﾟ燃料付</t>
    <phoneticPr fontId="6"/>
  </si>
  <si>
    <t>回送  4ｔｾﾙﾌ</t>
    <phoneticPr fontId="6"/>
  </si>
  <si>
    <t>回送  ﾄﾚｰﾗｰ</t>
    <phoneticPr fontId="6"/>
  </si>
  <si>
    <t>回送  大型ｾﾙﾌ</t>
    <phoneticPr fontId="6"/>
  </si>
  <si>
    <t>残土処分費</t>
    <phoneticPr fontId="6"/>
  </si>
  <si>
    <t>労務運搬(Wｷｬﾌﾞ)</t>
    <phoneticPr fontId="6"/>
  </si>
  <si>
    <t>燃料込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</si>
</sst>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145</v>
      </c>
      <c r="H3" s="442"/>
      <c r="I3" s="442"/>
      <c r="J3" s="442"/>
      <c r="K3" s="443"/>
      <c r="L3" s="257"/>
      <c r="M3" s="257"/>
      <c r="N3" s="257"/>
      <c r="O3" s="444" t="s">
        <v>146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147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/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135</v>
      </c>
      <c r="F10" s="417"/>
      <c r="G10" s="417"/>
      <c r="H10" s="417"/>
      <c r="I10" s="421" t="s">
        <v>148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136</v>
      </c>
      <c r="F12" s="417"/>
      <c r="G12" s="417"/>
      <c r="H12" s="417"/>
      <c r="I12" s="422" t="s">
        <v>149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137</v>
      </c>
      <c r="F14" s="424"/>
      <c r="G14" s="424"/>
      <c r="H14" s="424"/>
      <c r="I14" s="425">
        <v>62441860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57750000</v>
      </c>
      <c r="J16" s="420"/>
      <c r="K16" s="420"/>
      <c r="L16" s="420"/>
      <c r="M16" s="420"/>
      <c r="N16" s="420"/>
      <c r="O16" s="420"/>
      <c r="P16" s="420"/>
      <c r="Q16" s="416">
        <v>0.92490000000000006</v>
      </c>
      <c r="R16" s="416"/>
      <c r="S16" s="416"/>
      <c r="U16" s="417" t="s">
        <v>16</v>
      </c>
      <c r="V16" s="418"/>
      <c r="W16" s="418"/>
      <c r="X16" s="418"/>
      <c r="Y16" s="419">
        <v>4691860</v>
      </c>
      <c r="Z16" s="420"/>
      <c r="AA16" s="420"/>
      <c r="AB16" s="420"/>
      <c r="AC16" s="420"/>
      <c r="AD16" s="420"/>
      <c r="AE16" s="420"/>
      <c r="AF16" s="420"/>
      <c r="AG16" s="416">
        <v>7.51E-2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150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151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152</v>
      </c>
      <c r="G28" s="407"/>
      <c r="H28" s="407"/>
      <c r="I28" s="407"/>
      <c r="J28" s="407"/>
      <c r="K28" s="407"/>
      <c r="L28" s="387" t="s">
        <v>138</v>
      </c>
      <c r="M28" s="387"/>
      <c r="N28" s="388" t="s">
        <v>153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152</v>
      </c>
      <c r="Z28" s="407"/>
      <c r="AA28" s="407"/>
      <c r="AB28" s="407"/>
      <c r="AC28" s="407"/>
      <c r="AD28" s="407"/>
      <c r="AE28" s="387" t="s">
        <v>138</v>
      </c>
      <c r="AF28" s="387"/>
      <c r="AG28" s="388" t="s">
        <v>153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132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148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145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45078</v>
      </c>
      <c r="D3" s="458"/>
      <c r="E3" s="272" t="s">
        <v>139</v>
      </c>
      <c r="F3" s="459">
        <v>45199</v>
      </c>
      <c r="G3" s="459"/>
      <c r="H3" s="459"/>
      <c r="I3" s="273"/>
      <c r="J3" s="273"/>
      <c r="K3" s="460" t="s">
        <v>30</v>
      </c>
      <c r="L3" s="461"/>
      <c r="M3" s="462"/>
      <c r="N3" s="449">
        <v>62441860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154</v>
      </c>
      <c r="C5" s="276">
        <v>1669838</v>
      </c>
      <c r="D5" s="335">
        <f>IF(C5&lt;&gt;"",C5/$C$20,"")</f>
        <v>4.287495914929472E-2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155</v>
      </c>
      <c r="C6" s="277">
        <v>136000</v>
      </c>
      <c r="D6" s="336">
        <f t="shared" ref="D6:D17" si="0">IF(C6&lt;&gt;"",C6/$C$20,"")</f>
        <v>3.4919521799743939E-3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156</v>
      </c>
      <c r="C7" s="277">
        <v>19600</v>
      </c>
      <c r="D7" s="336">
        <f t="shared" si="0"/>
        <v>5.0325193181983909E-4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156</v>
      </c>
      <c r="C8" s="277">
        <v>340</v>
      </c>
      <c r="D8" s="336">
        <f t="shared" si="0"/>
        <v>8.7298804499359847E-6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157</v>
      </c>
      <c r="C9" s="277">
        <v>124000</v>
      </c>
      <c r="D9" s="336">
        <f t="shared" si="0"/>
        <v>3.1838387523295945E-3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158</v>
      </c>
      <c r="C10" s="277">
        <v>8308554</v>
      </c>
      <c r="D10" s="336">
        <f t="shared" si="0"/>
        <v>0.21333142097599242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159</v>
      </c>
      <c r="C11" s="277">
        <v>813708</v>
      </c>
      <c r="D11" s="336">
        <f t="shared" si="0"/>
        <v>2.0892863415166205E-2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160</v>
      </c>
      <c r="C12" s="277">
        <v>1304516</v>
      </c>
      <c r="D12" s="336">
        <f t="shared" si="0"/>
        <v>3.3494908014790263E-2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161</v>
      </c>
      <c r="C13" s="277">
        <v>23119640</v>
      </c>
      <c r="D13" s="336">
        <f t="shared" si="0"/>
        <v>0.59362262719281755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162</v>
      </c>
      <c r="C14" s="277">
        <v>1291600</v>
      </c>
      <c r="D14" s="336">
        <f t="shared" si="0"/>
        <v>3.3163275262168578E-2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163</v>
      </c>
      <c r="C15" s="277">
        <v>937300</v>
      </c>
      <c r="D15" s="336">
        <f t="shared" si="0"/>
        <v>2.4066226310955875E-2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164</v>
      </c>
      <c r="C16" s="277">
        <v>586000</v>
      </c>
      <c r="D16" s="336">
        <f t="shared" si="0"/>
        <v>1.5046205716654373E-2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165</v>
      </c>
      <c r="C17" s="278">
        <v>119000</v>
      </c>
      <c r="D17" s="336">
        <f t="shared" si="0"/>
        <v>3.0554581574775944E-3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166</v>
      </c>
      <c r="C18" s="278">
        <v>84000</v>
      </c>
      <c r="D18" s="336">
        <f>IF(C18&lt;&gt;"",C18/$C$20,"")</f>
        <v>2.1567939935135962E-3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 t="s">
        <v>167</v>
      </c>
      <c r="C19" s="278">
        <v>432600</v>
      </c>
      <c r="D19" s="336">
        <f>IF(C19&lt;&gt;"",C19/$C$20,"")</f>
        <v>1.1107489066595019E-2</v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38946696</v>
      </c>
      <c r="D20" s="337">
        <f>SUM(D5:D19)</f>
        <v>1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119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120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121</v>
      </c>
      <c r="F30" s="178" t="s">
        <v>122</v>
      </c>
      <c r="G30" s="177" t="s">
        <v>123</v>
      </c>
      <c r="H30" s="178" t="s">
        <v>124</v>
      </c>
      <c r="I30" s="177" t="s">
        <v>125</v>
      </c>
      <c r="J30" s="178" t="s">
        <v>126</v>
      </c>
      <c r="K30" s="177" t="s">
        <v>127</v>
      </c>
      <c r="L30" s="178" t="s">
        <v>128</v>
      </c>
      <c r="M30" s="177" t="s">
        <v>129</v>
      </c>
      <c r="N30" s="179" t="s">
        <v>130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/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154</v>
      </c>
      <c r="K5" s="282"/>
      <c r="L5" s="283" t="s">
        <v>168</v>
      </c>
      <c r="M5" s="284">
        <v>1447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155</v>
      </c>
      <c r="K6" s="289"/>
      <c r="L6" s="290" t="s">
        <v>168</v>
      </c>
      <c r="M6" s="291">
        <v>68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156</v>
      </c>
      <c r="K7" s="289" t="s">
        <v>169</v>
      </c>
      <c r="L7" s="290" t="s">
        <v>168</v>
      </c>
      <c r="M7" s="291">
        <v>4.9000000000000004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156</v>
      </c>
      <c r="K8" s="289" t="s">
        <v>170</v>
      </c>
      <c r="L8" s="290" t="s">
        <v>168</v>
      </c>
      <c r="M8" s="291">
        <v>6.8000000000000005E-2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157</v>
      </c>
      <c r="K9" s="289"/>
      <c r="L9" s="290" t="s">
        <v>168</v>
      </c>
      <c r="M9" s="291">
        <v>62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158</v>
      </c>
      <c r="K10" s="289" t="s">
        <v>171</v>
      </c>
      <c r="L10" s="290" t="s">
        <v>168</v>
      </c>
      <c r="M10" s="291">
        <v>1509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159</v>
      </c>
      <c r="K11" s="289"/>
      <c r="L11" s="290" t="s">
        <v>172</v>
      </c>
      <c r="M11" s="291">
        <v>6458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160</v>
      </c>
      <c r="K12" s="289" t="s">
        <v>173</v>
      </c>
      <c r="L12" s="290" t="s">
        <v>172</v>
      </c>
      <c r="M12" s="291">
        <v>6458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161</v>
      </c>
      <c r="K13" s="289" t="s">
        <v>174</v>
      </c>
      <c r="L13" s="290" t="s">
        <v>172</v>
      </c>
      <c r="M13" s="291">
        <v>6458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162</v>
      </c>
      <c r="K14" s="289"/>
      <c r="L14" s="290" t="s">
        <v>172</v>
      </c>
      <c r="M14" s="291">
        <v>6458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163</v>
      </c>
      <c r="K15" s="289"/>
      <c r="L15" s="290" t="s">
        <v>172</v>
      </c>
      <c r="M15" s="291">
        <v>721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164</v>
      </c>
      <c r="K16" s="289" t="s">
        <v>175</v>
      </c>
      <c r="L16" s="290" t="s">
        <v>176</v>
      </c>
      <c r="M16" s="291">
        <v>293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165</v>
      </c>
      <c r="K17" s="289"/>
      <c r="L17" s="290" t="s">
        <v>177</v>
      </c>
      <c r="M17" s="291">
        <v>34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166</v>
      </c>
      <c r="K18" s="289" t="s">
        <v>178</v>
      </c>
      <c r="L18" s="290" t="s">
        <v>177</v>
      </c>
      <c r="M18" s="291">
        <v>28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 t="s">
        <v>167</v>
      </c>
      <c r="K19" s="295" t="s">
        <v>179</v>
      </c>
      <c r="L19" s="296" t="s">
        <v>172</v>
      </c>
      <c r="M19" s="297">
        <v>721</v>
      </c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148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188</v>
      </c>
      <c r="D5" s="512"/>
      <c r="E5" s="246" t="s">
        <v>133</v>
      </c>
      <c r="F5" s="513" t="s">
        <v>189</v>
      </c>
      <c r="G5" s="514"/>
      <c r="H5" s="246" t="s">
        <v>134</v>
      </c>
      <c r="I5" s="491" t="s">
        <v>150</v>
      </c>
      <c r="J5" s="515"/>
      <c r="K5" s="493"/>
      <c r="L5" s="106" t="s">
        <v>118</v>
      </c>
      <c r="M5" s="491" t="s">
        <v>190</v>
      </c>
      <c r="N5" s="515"/>
      <c r="O5" s="516"/>
      <c r="P5" s="69"/>
    </row>
    <row r="6" spans="1:17" ht="30" customHeight="1">
      <c r="A6" s="69"/>
      <c r="B6" s="107" t="s">
        <v>53</v>
      </c>
      <c r="C6" s="491" t="s">
        <v>145</v>
      </c>
      <c r="D6" s="493"/>
      <c r="E6" s="106"/>
      <c r="F6" s="108" t="s">
        <v>54</v>
      </c>
      <c r="G6" s="108" t="s">
        <v>55</v>
      </c>
      <c r="H6" s="109" t="s">
        <v>180</v>
      </c>
      <c r="I6" s="110" t="s">
        <v>181</v>
      </c>
      <c r="J6" s="110" t="s">
        <v>182</v>
      </c>
      <c r="K6" s="110" t="s">
        <v>183</v>
      </c>
      <c r="L6" s="110" t="s">
        <v>184</v>
      </c>
      <c r="M6" s="111" t="s">
        <v>185</v>
      </c>
      <c r="N6" s="110" t="s">
        <v>186</v>
      </c>
      <c r="O6" s="112" t="s">
        <v>187</v>
      </c>
      <c r="P6" s="247"/>
      <c r="Q6" s="248"/>
    </row>
    <row r="7" spans="1:17" ht="30" customHeight="1">
      <c r="A7" s="69"/>
      <c r="B7" s="107" t="s">
        <v>56</v>
      </c>
      <c r="C7" s="491" t="s">
        <v>149</v>
      </c>
      <c r="D7" s="493"/>
      <c r="E7" s="113" t="s">
        <v>57</v>
      </c>
      <c r="F7" s="249">
        <v>62441860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 t="s">
        <v>191</v>
      </c>
      <c r="D8" s="492"/>
      <c r="E8" s="113" t="s">
        <v>59</v>
      </c>
      <c r="F8" s="249">
        <v>57750000</v>
      </c>
      <c r="G8" s="334">
        <v>0.92490000000000006</v>
      </c>
      <c r="H8" s="250">
        <v>665500</v>
      </c>
      <c r="I8" s="251">
        <v>2016000</v>
      </c>
      <c r="J8" s="251">
        <v>41614068</v>
      </c>
      <c r="K8" s="251">
        <v>741400</v>
      </c>
      <c r="L8" s="252">
        <v>8894860</v>
      </c>
      <c r="M8" s="252"/>
      <c r="N8" s="253">
        <v>2304000</v>
      </c>
      <c r="O8" s="254">
        <v>1514172</v>
      </c>
      <c r="P8" s="255"/>
      <c r="Q8" s="235"/>
    </row>
    <row r="9" spans="1:17" ht="30" customHeight="1">
      <c r="A9" s="69"/>
      <c r="B9" s="107" t="s">
        <v>21</v>
      </c>
      <c r="C9" s="491" t="s">
        <v>151</v>
      </c>
      <c r="D9" s="493"/>
      <c r="E9" s="114" t="s">
        <v>60</v>
      </c>
      <c r="F9" s="249">
        <v>55238240</v>
      </c>
      <c r="G9" s="334">
        <v>0.88460000000000005</v>
      </c>
      <c r="H9" s="250">
        <v>625440</v>
      </c>
      <c r="I9" s="251">
        <v>2016000</v>
      </c>
      <c r="J9" s="251">
        <v>41614068</v>
      </c>
      <c r="K9" s="251">
        <v>729700</v>
      </c>
      <c r="L9" s="252">
        <v>8738860</v>
      </c>
      <c r="M9" s="252"/>
      <c r="N9" s="253"/>
      <c r="O9" s="254">
        <v>1514172</v>
      </c>
      <c r="P9" s="365"/>
      <c r="Q9" s="366"/>
    </row>
    <row r="10" spans="1:17" ht="30" customHeight="1">
      <c r="A10" s="69"/>
      <c r="B10" s="107" t="s">
        <v>61</v>
      </c>
      <c r="C10" s="491" t="s">
        <v>147</v>
      </c>
      <c r="D10" s="493"/>
      <c r="E10" s="114" t="s">
        <v>62</v>
      </c>
      <c r="F10" s="249">
        <v>156000</v>
      </c>
      <c r="G10" s="334">
        <v>2.5000000000000001E-3</v>
      </c>
      <c r="H10" s="250"/>
      <c r="I10" s="253"/>
      <c r="J10" s="253"/>
      <c r="K10" s="253"/>
      <c r="L10" s="251">
        <v>156000</v>
      </c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/>
      <c r="D11" s="493"/>
      <c r="E11" s="114" t="s">
        <v>64</v>
      </c>
      <c r="F11" s="249">
        <v>2355760</v>
      </c>
      <c r="G11" s="334">
        <v>3.7699999999999997E-2</v>
      </c>
      <c r="H11" s="250">
        <v>40060</v>
      </c>
      <c r="I11" s="253"/>
      <c r="J11" s="253"/>
      <c r="K11" s="253">
        <v>11700</v>
      </c>
      <c r="L11" s="251"/>
      <c r="M11" s="252"/>
      <c r="N11" s="253">
        <v>2304000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192</v>
      </c>
      <c r="D12" s="492"/>
      <c r="E12" s="113" t="s">
        <v>66</v>
      </c>
      <c r="F12" s="249">
        <v>4691860</v>
      </c>
      <c r="G12" s="334">
        <v>7.51E-2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193</v>
      </c>
      <c r="D13" s="492"/>
      <c r="E13" s="169" t="s">
        <v>110</v>
      </c>
      <c r="F13" s="249">
        <v>3933837</v>
      </c>
      <c r="G13" s="334">
        <v>6.3E-2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194</v>
      </c>
      <c r="D14" s="493"/>
      <c r="E14" s="114" t="s">
        <v>111</v>
      </c>
      <c r="F14" s="249">
        <v>2997209</v>
      </c>
      <c r="G14" s="334">
        <v>4.8000000000000001E-2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195</v>
      </c>
      <c r="D15" s="495"/>
      <c r="E15" s="114" t="s">
        <v>112</v>
      </c>
      <c r="F15" s="249">
        <v>936628</v>
      </c>
      <c r="G15" s="334">
        <v>1.4999999999999999E-2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116</v>
      </c>
      <c r="C16" s="491" t="s">
        <v>195</v>
      </c>
      <c r="D16" s="493"/>
      <c r="E16" s="113" t="s">
        <v>113</v>
      </c>
      <c r="F16" s="249">
        <v>758023</v>
      </c>
      <c r="G16" s="334">
        <v>1.21E-2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/>
      <c r="D17" s="500"/>
      <c r="E17" s="113" t="s">
        <v>114</v>
      </c>
      <c r="F17" s="249">
        <v>3621628</v>
      </c>
      <c r="G17" s="334">
        <v>5.8000000000000003E-2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115</v>
      </c>
      <c r="F18" s="249">
        <v>-2863605</v>
      </c>
      <c r="G18" s="334">
        <v>-4.5900000000000003E-2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144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148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196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197</v>
      </c>
      <c r="C8" s="166"/>
      <c r="D8" s="517" t="s">
        <v>199</v>
      </c>
      <c r="E8" s="519">
        <v>1</v>
      </c>
      <c r="F8" s="521">
        <v>10258332</v>
      </c>
      <c r="G8" s="523">
        <v>10258332</v>
      </c>
      <c r="H8" s="351" t="s">
        <v>200</v>
      </c>
      <c r="I8" s="525">
        <v>0.16420000000000001</v>
      </c>
      <c r="J8" s="227"/>
      <c r="K8" s="69" t="s">
        <v>96</v>
      </c>
    </row>
    <row r="9" spans="1:11" ht="15.6" customHeight="1">
      <c r="A9" s="69"/>
      <c r="B9" s="224" t="s">
        <v>198</v>
      </c>
      <c r="C9" s="225"/>
      <c r="D9" s="518"/>
      <c r="E9" s="520"/>
      <c r="F9" s="522"/>
      <c r="G9" s="524"/>
      <c r="H9" s="352" t="s">
        <v>201</v>
      </c>
      <c r="I9" s="526"/>
      <c r="J9" s="227"/>
      <c r="K9" s="69" t="s">
        <v>96</v>
      </c>
    </row>
    <row r="10" spans="1:11" ht="15.6" customHeight="1">
      <c r="A10" s="69"/>
      <c r="B10" s="222" t="s">
        <v>202</v>
      </c>
      <c r="C10" s="166"/>
      <c r="D10" s="517" t="s">
        <v>199</v>
      </c>
      <c r="E10" s="519">
        <v>1</v>
      </c>
      <c r="F10" s="521">
        <v>28688364</v>
      </c>
      <c r="G10" s="523">
        <v>28688364</v>
      </c>
      <c r="H10" s="351" t="s">
        <v>203</v>
      </c>
      <c r="I10" s="525">
        <v>0.45939999999999998</v>
      </c>
      <c r="J10" s="223"/>
      <c r="K10" s="69" t="s">
        <v>96</v>
      </c>
    </row>
    <row r="11" spans="1:11" ht="15.6" customHeight="1">
      <c r="A11" s="69"/>
      <c r="B11" s="224" t="s">
        <v>198</v>
      </c>
      <c r="C11" s="225"/>
      <c r="D11" s="518"/>
      <c r="E11" s="520"/>
      <c r="F11" s="522"/>
      <c r="G11" s="524"/>
      <c r="H11" s="352" t="s">
        <v>201</v>
      </c>
      <c r="I11" s="526"/>
      <c r="J11" s="226"/>
      <c r="K11" s="69" t="s">
        <v>96</v>
      </c>
    </row>
    <row r="12" spans="1:11" ht="15.6" customHeight="1">
      <c r="A12" s="69"/>
      <c r="B12" s="222" t="s">
        <v>204</v>
      </c>
      <c r="C12" s="166"/>
      <c r="D12" s="517" t="s">
        <v>199</v>
      </c>
      <c r="E12" s="519">
        <v>1</v>
      </c>
      <c r="F12" s="521">
        <v>10370622</v>
      </c>
      <c r="G12" s="523">
        <v>10370622</v>
      </c>
      <c r="H12" s="351" t="s">
        <v>205</v>
      </c>
      <c r="I12" s="525">
        <v>0.16600000000000001</v>
      </c>
      <c r="J12" s="223"/>
      <c r="K12" s="69" t="s">
        <v>96</v>
      </c>
    </row>
    <row r="13" spans="1:11" ht="15.6" customHeight="1">
      <c r="A13" s="69"/>
      <c r="B13" s="224" t="s">
        <v>198</v>
      </c>
      <c r="C13" s="225"/>
      <c r="D13" s="518"/>
      <c r="E13" s="520"/>
      <c r="F13" s="522"/>
      <c r="G13" s="524"/>
      <c r="H13" s="352" t="s">
        <v>201</v>
      </c>
      <c r="I13" s="526"/>
      <c r="J13" s="226"/>
      <c r="K13" s="69" t="s">
        <v>96</v>
      </c>
    </row>
    <row r="14" spans="1:11" ht="15.6" customHeight="1">
      <c r="A14" s="69"/>
      <c r="B14" s="222" t="s">
        <v>206</v>
      </c>
      <c r="C14" s="166"/>
      <c r="D14" s="517" t="s">
        <v>199</v>
      </c>
      <c r="E14" s="519">
        <v>1</v>
      </c>
      <c r="F14" s="521">
        <v>1773366</v>
      </c>
      <c r="G14" s="523">
        <v>1773366</v>
      </c>
      <c r="H14" s="351" t="s">
        <v>207</v>
      </c>
      <c r="I14" s="525">
        <v>2.8400000000000002E-2</v>
      </c>
      <c r="J14" s="223"/>
      <c r="K14" s="69" t="s">
        <v>96</v>
      </c>
    </row>
    <row r="15" spans="1:11" ht="15.6" customHeight="1">
      <c r="A15" s="69"/>
      <c r="B15" s="224" t="s">
        <v>198</v>
      </c>
      <c r="C15" s="225"/>
      <c r="D15" s="518"/>
      <c r="E15" s="520"/>
      <c r="F15" s="522"/>
      <c r="G15" s="524"/>
      <c r="H15" s="352" t="s">
        <v>201</v>
      </c>
      <c r="I15" s="526"/>
      <c r="J15" s="226"/>
      <c r="K15" s="69" t="s">
        <v>96</v>
      </c>
    </row>
    <row r="16" spans="1:11" ht="15.6" customHeight="1">
      <c r="A16" s="69"/>
      <c r="B16" s="222" t="s">
        <v>208</v>
      </c>
      <c r="C16" s="166"/>
      <c r="D16" s="517" t="s">
        <v>199</v>
      </c>
      <c r="E16" s="519">
        <v>1</v>
      </c>
      <c r="F16" s="521">
        <v>2620000</v>
      </c>
      <c r="G16" s="523">
        <v>2620000</v>
      </c>
      <c r="H16" s="351" t="s">
        <v>209</v>
      </c>
      <c r="I16" s="525">
        <v>4.19E-2</v>
      </c>
      <c r="J16" s="223"/>
      <c r="K16" s="69" t="s">
        <v>96</v>
      </c>
    </row>
    <row r="17" spans="1:11" ht="15.6" customHeight="1">
      <c r="A17" s="69"/>
      <c r="B17" s="224" t="s">
        <v>198</v>
      </c>
      <c r="C17" s="225"/>
      <c r="D17" s="518"/>
      <c r="E17" s="520"/>
      <c r="F17" s="522"/>
      <c r="G17" s="524"/>
      <c r="H17" s="352" t="s">
        <v>201</v>
      </c>
      <c r="I17" s="526"/>
      <c r="J17" s="226"/>
      <c r="K17" s="69" t="s">
        <v>96</v>
      </c>
    </row>
    <row r="18" spans="1:11" ht="15.6" customHeight="1">
      <c r="A18" s="69"/>
      <c r="B18" s="222" t="s">
        <v>210</v>
      </c>
      <c r="C18" s="166"/>
      <c r="D18" s="517" t="s">
        <v>199</v>
      </c>
      <c r="E18" s="519">
        <v>1</v>
      </c>
      <c r="F18" s="521">
        <v>1514172</v>
      </c>
      <c r="G18" s="523">
        <v>1514172</v>
      </c>
      <c r="H18" s="351" t="s">
        <v>211</v>
      </c>
      <c r="I18" s="525">
        <v>2.4199999999999999E-2</v>
      </c>
      <c r="J18" s="223"/>
      <c r="K18" s="69" t="s">
        <v>96</v>
      </c>
    </row>
    <row r="19" spans="1:11" ht="15.6" customHeight="1">
      <c r="A19" s="69"/>
      <c r="B19" s="224" t="s">
        <v>198</v>
      </c>
      <c r="C19" s="225"/>
      <c r="D19" s="518"/>
      <c r="E19" s="520"/>
      <c r="F19" s="522"/>
      <c r="G19" s="524"/>
      <c r="H19" s="352" t="s">
        <v>201</v>
      </c>
      <c r="I19" s="526"/>
      <c r="J19" s="226"/>
      <c r="K19" s="69" t="s">
        <v>96</v>
      </c>
    </row>
    <row r="20" spans="1:11" ht="15.6" customHeight="1">
      <c r="A20" s="69"/>
      <c r="B20" s="222" t="s">
        <v>212</v>
      </c>
      <c r="C20" s="166"/>
      <c r="D20" s="517" t="s">
        <v>199</v>
      </c>
      <c r="E20" s="519">
        <v>1</v>
      </c>
      <c r="F20" s="521">
        <v>13384</v>
      </c>
      <c r="G20" s="523">
        <v>13384</v>
      </c>
      <c r="H20" s="351" t="s">
        <v>213</v>
      </c>
      <c r="I20" s="525">
        <v>2.0000000000000001E-4</v>
      </c>
      <c r="J20" s="223"/>
      <c r="K20" s="69" t="s">
        <v>96</v>
      </c>
    </row>
    <row r="21" spans="1:11" ht="15.6" customHeight="1">
      <c r="A21" s="69"/>
      <c r="B21" s="224" t="s">
        <v>198</v>
      </c>
      <c r="C21" s="225"/>
      <c r="D21" s="518"/>
      <c r="E21" s="520"/>
      <c r="F21" s="522"/>
      <c r="G21" s="524"/>
      <c r="H21" s="352" t="s">
        <v>201</v>
      </c>
      <c r="I21" s="526"/>
      <c r="J21" s="226"/>
      <c r="K21" s="69" t="s">
        <v>96</v>
      </c>
    </row>
    <row r="22" spans="1:11" ht="15.6" customHeight="1">
      <c r="A22" s="69"/>
      <c r="B22" s="222" t="s">
        <v>214</v>
      </c>
      <c r="C22" s="166"/>
      <c r="D22" s="517"/>
      <c r="E22" s="519"/>
      <c r="F22" s="521"/>
      <c r="G22" s="523">
        <v>55238240</v>
      </c>
      <c r="H22" s="351"/>
      <c r="I22" s="525">
        <v>0.88460000000000005</v>
      </c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/>
      <c r="I23" s="526"/>
      <c r="J23" s="226"/>
      <c r="K23" s="69" t="s">
        <v>96</v>
      </c>
    </row>
    <row r="24" spans="1:11" ht="15.6" customHeight="1">
      <c r="A24" s="69"/>
      <c r="B24" s="222"/>
      <c r="C24" s="166"/>
      <c r="D24" s="517"/>
      <c r="E24" s="519"/>
      <c r="F24" s="521"/>
      <c r="G24" s="523"/>
      <c r="H24" s="351"/>
      <c r="I24" s="525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526"/>
      <c r="J25" s="226"/>
      <c r="K25" s="69" t="s">
        <v>96</v>
      </c>
    </row>
    <row r="26" spans="1:11" ht="15.6" customHeight="1">
      <c r="A26" s="69"/>
      <c r="B26" s="222" t="s">
        <v>215</v>
      </c>
      <c r="C26" s="166"/>
      <c r="D26" s="517"/>
      <c r="E26" s="519"/>
      <c r="F26" s="521"/>
      <c r="G26" s="523"/>
      <c r="H26" s="351"/>
      <c r="I26" s="525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526"/>
      <c r="J27" s="226"/>
      <c r="K27" s="69" t="s">
        <v>96</v>
      </c>
    </row>
    <row r="28" spans="1:11" ht="15.6" customHeight="1">
      <c r="A28" s="69"/>
      <c r="B28" s="222" t="s">
        <v>216</v>
      </c>
      <c r="C28" s="166"/>
      <c r="D28" s="517" t="s">
        <v>199</v>
      </c>
      <c r="E28" s="519">
        <v>1</v>
      </c>
      <c r="F28" s="521">
        <v>156000</v>
      </c>
      <c r="G28" s="523">
        <v>156000</v>
      </c>
      <c r="H28" s="351"/>
      <c r="I28" s="525">
        <v>2.5000000000000001E-3</v>
      </c>
      <c r="J28" s="223"/>
      <c r="K28" s="69" t="s">
        <v>96</v>
      </c>
    </row>
    <row r="29" spans="1:11" ht="15.6" customHeight="1">
      <c r="A29" s="69"/>
      <c r="B29" s="224" t="s">
        <v>198</v>
      </c>
      <c r="C29" s="225"/>
      <c r="D29" s="518"/>
      <c r="E29" s="520"/>
      <c r="F29" s="522"/>
      <c r="G29" s="524"/>
      <c r="H29" s="352"/>
      <c r="I29" s="526"/>
      <c r="J29" s="226"/>
      <c r="K29" s="69" t="s">
        <v>96</v>
      </c>
    </row>
    <row r="30" spans="1:11" ht="15.6" customHeight="1">
      <c r="A30" s="69"/>
      <c r="B30" s="222" t="s">
        <v>217</v>
      </c>
      <c r="C30" s="166"/>
      <c r="D30" s="517" t="s">
        <v>199</v>
      </c>
      <c r="E30" s="519">
        <v>1</v>
      </c>
      <c r="F30" s="521">
        <v>2355760</v>
      </c>
      <c r="G30" s="523">
        <v>2355760</v>
      </c>
      <c r="H30" s="351"/>
      <c r="I30" s="525">
        <v>3.7699999999999997E-2</v>
      </c>
      <c r="J30" s="223"/>
      <c r="K30" s="69" t="s">
        <v>96</v>
      </c>
    </row>
    <row r="31" spans="1:11" ht="15.6" customHeight="1">
      <c r="A31" s="69"/>
      <c r="B31" s="224" t="s">
        <v>198</v>
      </c>
      <c r="C31" s="225"/>
      <c r="D31" s="518"/>
      <c r="E31" s="520"/>
      <c r="F31" s="522"/>
      <c r="G31" s="524"/>
      <c r="H31" s="352"/>
      <c r="I31" s="526"/>
      <c r="J31" s="226"/>
      <c r="K31" s="69" t="s">
        <v>96</v>
      </c>
    </row>
    <row r="32" spans="1:11" ht="15.6" customHeight="1">
      <c r="A32" s="69"/>
      <c r="B32" s="222" t="s">
        <v>218</v>
      </c>
      <c r="C32" s="166"/>
      <c r="D32" s="532"/>
      <c r="E32" s="519"/>
      <c r="F32" s="521"/>
      <c r="G32" s="523">
        <v>2511760</v>
      </c>
      <c r="H32" s="351"/>
      <c r="I32" s="525">
        <v>4.02E-2</v>
      </c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526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525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526"/>
      <c r="J35" s="226"/>
      <c r="K35" s="69" t="s">
        <v>96</v>
      </c>
    </row>
    <row r="36" spans="1:11" ht="15.6" customHeight="1">
      <c r="A36" s="69"/>
      <c r="B36" s="301" t="s">
        <v>219</v>
      </c>
      <c r="C36" s="302"/>
      <c r="D36" s="517"/>
      <c r="E36" s="519"/>
      <c r="F36" s="521"/>
      <c r="G36" s="523">
        <v>57750000</v>
      </c>
      <c r="H36" s="351"/>
      <c r="I36" s="525">
        <v>0.92490000000000006</v>
      </c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144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148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/>
      <c r="C43" s="166"/>
      <c r="D43" s="517"/>
      <c r="E43" s="519"/>
      <c r="F43" s="521"/>
      <c r="G43" s="523"/>
      <c r="H43" s="351"/>
      <c r="I43" s="525"/>
      <c r="J43" s="223"/>
      <c r="K43" s="69" t="s">
        <v>96</v>
      </c>
    </row>
    <row r="44" spans="1:11" ht="15.6" customHeight="1">
      <c r="A44" s="69"/>
      <c r="B44" s="224"/>
      <c r="C44" s="225"/>
      <c r="D44" s="518"/>
      <c r="E44" s="520"/>
      <c r="F44" s="522"/>
      <c r="G44" s="524"/>
      <c r="H44" s="352"/>
      <c r="I44" s="526"/>
      <c r="J44" s="226"/>
      <c r="K44" s="69" t="s">
        <v>96</v>
      </c>
    </row>
    <row r="45" spans="1:11" ht="15.6" customHeight="1">
      <c r="A45" s="69"/>
      <c r="B45" s="222" t="s">
        <v>220</v>
      </c>
      <c r="C45" s="166"/>
      <c r="D45" s="517"/>
      <c r="E45" s="519"/>
      <c r="F45" s="521"/>
      <c r="G45" s="523">
        <v>4691860</v>
      </c>
      <c r="H45" s="351"/>
      <c r="I45" s="525">
        <v>7.51E-2</v>
      </c>
      <c r="J45" s="227"/>
      <c r="K45" s="69" t="s">
        <v>96</v>
      </c>
    </row>
    <row r="46" spans="1:11" ht="15.6" customHeight="1">
      <c r="A46" s="69"/>
      <c r="B46" s="224"/>
      <c r="C46" s="225"/>
      <c r="D46" s="518"/>
      <c r="E46" s="520"/>
      <c r="F46" s="522"/>
      <c r="G46" s="524"/>
      <c r="H46" s="352"/>
      <c r="I46" s="526"/>
      <c r="J46" s="227"/>
      <c r="K46" s="69" t="s">
        <v>96</v>
      </c>
    </row>
    <row r="47" spans="1:11" ht="15.6" customHeight="1">
      <c r="A47" s="69"/>
      <c r="B47" s="222"/>
      <c r="C47" s="166"/>
      <c r="D47" s="517"/>
      <c r="E47" s="519"/>
      <c r="F47" s="521"/>
      <c r="G47" s="523"/>
      <c r="H47" s="351"/>
      <c r="I47" s="525"/>
      <c r="J47" s="223"/>
      <c r="K47" s="69" t="s">
        <v>96</v>
      </c>
    </row>
    <row r="48" spans="1:11" ht="15.6" customHeight="1">
      <c r="A48" s="69"/>
      <c r="B48" s="224"/>
      <c r="C48" s="225"/>
      <c r="D48" s="518"/>
      <c r="E48" s="520"/>
      <c r="F48" s="522"/>
      <c r="G48" s="524"/>
      <c r="H48" s="352"/>
      <c r="I48" s="526"/>
      <c r="J48" s="226"/>
      <c r="K48" s="69" t="s">
        <v>96</v>
      </c>
    </row>
    <row r="49" spans="1:11" ht="15.6" customHeight="1">
      <c r="A49" s="69"/>
      <c r="B49" s="222" t="s">
        <v>131</v>
      </c>
      <c r="C49" s="166"/>
      <c r="D49" s="517"/>
      <c r="E49" s="519"/>
      <c r="F49" s="521"/>
      <c r="G49" s="523">
        <v>62441860</v>
      </c>
      <c r="H49" s="351"/>
      <c r="I49" s="525">
        <v>1</v>
      </c>
      <c r="J49" s="223"/>
      <c r="K49" s="69" t="s">
        <v>96</v>
      </c>
    </row>
    <row r="50" spans="1:11" ht="15.6" customHeight="1">
      <c r="A50" s="69"/>
      <c r="B50" s="224"/>
      <c r="C50" s="225"/>
      <c r="D50" s="518"/>
      <c r="E50" s="520"/>
      <c r="F50" s="522"/>
      <c r="G50" s="524"/>
      <c r="H50" s="352"/>
      <c r="I50" s="526"/>
      <c r="J50" s="226"/>
      <c r="K50" s="69" t="s">
        <v>96</v>
      </c>
    </row>
    <row r="51" spans="1:11" ht="15.6" customHeight="1">
      <c r="A51" s="69"/>
      <c r="B51" s="222"/>
      <c r="C51" s="166"/>
      <c r="D51" s="517"/>
      <c r="E51" s="519"/>
      <c r="F51" s="521"/>
      <c r="G51" s="523"/>
      <c r="H51" s="351"/>
      <c r="I51" s="525"/>
      <c r="J51" s="223"/>
      <c r="K51" s="69" t="s">
        <v>96</v>
      </c>
    </row>
    <row r="52" spans="1:11" ht="15.6" customHeight="1">
      <c r="A52" s="69"/>
      <c r="B52" s="224"/>
      <c r="C52" s="225"/>
      <c r="D52" s="518"/>
      <c r="E52" s="520"/>
      <c r="F52" s="522"/>
      <c r="G52" s="524"/>
      <c r="H52" s="352"/>
      <c r="I52" s="526"/>
      <c r="J52" s="226"/>
      <c r="K52" s="69" t="s">
        <v>96</v>
      </c>
    </row>
    <row r="53" spans="1:11" ht="15.6" customHeight="1">
      <c r="A53" s="69"/>
      <c r="B53" s="222"/>
      <c r="C53" s="166"/>
      <c r="D53" s="517"/>
      <c r="E53" s="519"/>
      <c r="F53" s="521"/>
      <c r="G53" s="523"/>
      <c r="H53" s="351"/>
      <c r="I53" s="525"/>
      <c r="J53" s="223"/>
      <c r="K53" s="69" t="s">
        <v>96</v>
      </c>
    </row>
    <row r="54" spans="1:11" ht="15.6" customHeight="1">
      <c r="A54" s="69"/>
      <c r="B54" s="224"/>
      <c r="C54" s="225"/>
      <c r="D54" s="518"/>
      <c r="E54" s="520"/>
      <c r="F54" s="522"/>
      <c r="G54" s="524"/>
      <c r="H54" s="352"/>
      <c r="I54" s="526"/>
      <c r="J54" s="226"/>
      <c r="K54" s="69" t="s">
        <v>96</v>
      </c>
    </row>
    <row r="55" spans="1:11" ht="15.6" customHeight="1">
      <c r="A55" s="69"/>
      <c r="B55" s="222"/>
      <c r="C55" s="166"/>
      <c r="D55" s="517"/>
      <c r="E55" s="519"/>
      <c r="F55" s="521"/>
      <c r="G55" s="523"/>
      <c r="H55" s="351"/>
      <c r="I55" s="525"/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526"/>
      <c r="J56" s="226"/>
      <c r="K56" s="69" t="s">
        <v>96</v>
      </c>
    </row>
    <row r="57" spans="1:11" ht="15.6" customHeight="1">
      <c r="A57" s="69"/>
      <c r="B57" s="222"/>
      <c r="C57" s="166"/>
      <c r="D57" s="517"/>
      <c r="E57" s="519"/>
      <c r="F57" s="521"/>
      <c r="G57" s="523"/>
      <c r="H57" s="351"/>
      <c r="I57" s="525"/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526"/>
      <c r="J58" s="226"/>
      <c r="K58" s="69" t="s">
        <v>96</v>
      </c>
    </row>
    <row r="59" spans="1:11" ht="15.6" customHeight="1">
      <c r="A59" s="69"/>
      <c r="B59" s="222"/>
      <c r="C59" s="166"/>
      <c r="D59" s="517"/>
      <c r="E59" s="519"/>
      <c r="F59" s="521"/>
      <c r="G59" s="523"/>
      <c r="H59" s="351"/>
      <c r="I59" s="525"/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526"/>
      <c r="J60" s="226"/>
      <c r="K60" s="69" t="s">
        <v>96</v>
      </c>
    </row>
    <row r="61" spans="1:11" ht="15.6" customHeight="1">
      <c r="A61" s="69"/>
      <c r="B61" s="222"/>
      <c r="C61" s="166"/>
      <c r="D61" s="517"/>
      <c r="E61" s="519"/>
      <c r="F61" s="521"/>
      <c r="G61" s="523"/>
      <c r="H61" s="351"/>
      <c r="I61" s="525"/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526"/>
      <c r="J62" s="226"/>
      <c r="K62" s="69" t="s">
        <v>96</v>
      </c>
    </row>
    <row r="63" spans="1:11" ht="15.6" customHeight="1">
      <c r="A63" s="69"/>
      <c r="B63" s="222"/>
      <c r="C63" s="166"/>
      <c r="D63" s="517"/>
      <c r="E63" s="519"/>
      <c r="F63" s="521"/>
      <c r="G63" s="523"/>
      <c r="H63" s="351"/>
      <c r="I63" s="525"/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526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525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526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525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526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525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526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525"/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526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525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531"/>
      <c r="J74" s="230"/>
      <c r="K74" s="69" t="s">
        <v>96</v>
      </c>
    </row>
  </sheetData>
  <mergeCells count="164"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F33D7-6FFA-4E6F-B9BD-A45307DB1917}">
  <sheetPr codeName="Sheet4">
    <pageSetUpPr fitToPage="1"/>
  </sheetPr>
  <dimension ref="A1:K37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228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221</v>
      </c>
      <c r="C6" s="166"/>
      <c r="D6" s="517" t="s">
        <v>199</v>
      </c>
      <c r="E6" s="519">
        <v>1</v>
      </c>
      <c r="F6" s="521">
        <v>10258332</v>
      </c>
      <c r="G6" s="523">
        <v>10258332</v>
      </c>
      <c r="H6" s="351" t="s">
        <v>200</v>
      </c>
      <c r="I6" s="351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 t="s">
        <v>201</v>
      </c>
      <c r="I7" s="352"/>
      <c r="J7" s="226"/>
      <c r="K7" s="69" t="s">
        <v>96</v>
      </c>
    </row>
    <row r="8" spans="1:11" ht="15.6" customHeight="1">
      <c r="A8" s="69"/>
      <c r="B8" s="222" t="s">
        <v>222</v>
      </c>
      <c r="C8" s="166"/>
      <c r="D8" s="517" t="s">
        <v>199</v>
      </c>
      <c r="E8" s="519">
        <v>1</v>
      </c>
      <c r="F8" s="521">
        <v>28688364</v>
      </c>
      <c r="G8" s="523">
        <v>28688364</v>
      </c>
      <c r="H8" s="351" t="s">
        <v>203</v>
      </c>
      <c r="I8" s="351"/>
      <c r="J8" s="227"/>
      <c r="K8" s="69" t="s">
        <v>96</v>
      </c>
    </row>
    <row r="9" spans="1:11" ht="15.6" customHeight="1">
      <c r="A9" s="69"/>
      <c r="B9" s="224"/>
      <c r="C9" s="225"/>
      <c r="D9" s="518"/>
      <c r="E9" s="520"/>
      <c r="F9" s="522"/>
      <c r="G9" s="524"/>
      <c r="H9" s="352" t="s">
        <v>201</v>
      </c>
      <c r="I9" s="352"/>
      <c r="J9" s="227"/>
      <c r="K9" s="69" t="s">
        <v>96</v>
      </c>
    </row>
    <row r="10" spans="1:11" ht="15.6" customHeight="1">
      <c r="A10" s="69"/>
      <c r="B10" s="222" t="s">
        <v>223</v>
      </c>
      <c r="C10" s="166"/>
      <c r="D10" s="517" t="s">
        <v>199</v>
      </c>
      <c r="E10" s="519">
        <v>1</v>
      </c>
      <c r="F10" s="521">
        <v>10370622</v>
      </c>
      <c r="G10" s="523">
        <v>10370622</v>
      </c>
      <c r="H10" s="351" t="s">
        <v>205</v>
      </c>
      <c r="I10" s="351"/>
      <c r="J10" s="223"/>
      <c r="K10" s="69" t="s">
        <v>96</v>
      </c>
    </row>
    <row r="11" spans="1:11" ht="15.6" customHeight="1">
      <c r="A11" s="69"/>
      <c r="B11" s="224"/>
      <c r="C11" s="225"/>
      <c r="D11" s="518"/>
      <c r="E11" s="520"/>
      <c r="F11" s="522"/>
      <c r="G11" s="524"/>
      <c r="H11" s="352" t="s">
        <v>201</v>
      </c>
      <c r="I11" s="352"/>
      <c r="J11" s="226"/>
      <c r="K11" s="69" t="s">
        <v>96</v>
      </c>
    </row>
    <row r="12" spans="1:11" ht="15.6" customHeight="1">
      <c r="A12" s="69"/>
      <c r="B12" s="222" t="s">
        <v>224</v>
      </c>
      <c r="C12" s="166"/>
      <c r="D12" s="517" t="s">
        <v>199</v>
      </c>
      <c r="E12" s="519">
        <v>1</v>
      </c>
      <c r="F12" s="521">
        <v>1773366</v>
      </c>
      <c r="G12" s="523">
        <v>1773366</v>
      </c>
      <c r="H12" s="351" t="s">
        <v>207</v>
      </c>
      <c r="I12" s="351"/>
      <c r="J12" s="223"/>
      <c r="K12" s="69" t="s">
        <v>96</v>
      </c>
    </row>
    <row r="13" spans="1:11" ht="15.6" customHeight="1">
      <c r="A13" s="69"/>
      <c r="B13" s="224"/>
      <c r="C13" s="225"/>
      <c r="D13" s="518"/>
      <c r="E13" s="520"/>
      <c r="F13" s="522"/>
      <c r="G13" s="524"/>
      <c r="H13" s="352" t="s">
        <v>201</v>
      </c>
      <c r="I13" s="352"/>
      <c r="J13" s="226"/>
      <c r="K13" s="69" t="s">
        <v>96</v>
      </c>
    </row>
    <row r="14" spans="1:11" ht="15.6" customHeight="1">
      <c r="A14" s="69"/>
      <c r="B14" s="222" t="s">
        <v>225</v>
      </c>
      <c r="C14" s="166"/>
      <c r="D14" s="517" t="s">
        <v>199</v>
      </c>
      <c r="E14" s="519">
        <v>1</v>
      </c>
      <c r="F14" s="521">
        <v>2620000</v>
      </c>
      <c r="G14" s="523">
        <v>2620000</v>
      </c>
      <c r="H14" s="351" t="s">
        <v>209</v>
      </c>
      <c r="I14" s="351"/>
      <c r="J14" s="223"/>
      <c r="K14" s="69" t="s">
        <v>96</v>
      </c>
    </row>
    <row r="15" spans="1:11" ht="15.6" customHeight="1">
      <c r="A15" s="69"/>
      <c r="B15" s="224"/>
      <c r="C15" s="225"/>
      <c r="D15" s="518"/>
      <c r="E15" s="520"/>
      <c r="F15" s="522"/>
      <c r="G15" s="524"/>
      <c r="H15" s="352" t="s">
        <v>201</v>
      </c>
      <c r="I15" s="352"/>
      <c r="J15" s="226"/>
      <c r="K15" s="69" t="s">
        <v>96</v>
      </c>
    </row>
    <row r="16" spans="1:11" ht="15.6" customHeight="1">
      <c r="A16" s="69"/>
      <c r="B16" s="222" t="s">
        <v>187</v>
      </c>
      <c r="C16" s="166"/>
      <c r="D16" s="517" t="s">
        <v>199</v>
      </c>
      <c r="E16" s="519">
        <v>1</v>
      </c>
      <c r="F16" s="521">
        <v>1514172</v>
      </c>
      <c r="G16" s="523">
        <v>1514172</v>
      </c>
      <c r="H16" s="351" t="s">
        <v>211</v>
      </c>
      <c r="I16" s="351"/>
      <c r="J16" s="223"/>
      <c r="K16" s="69" t="s">
        <v>96</v>
      </c>
    </row>
    <row r="17" spans="1:11" ht="15.6" customHeight="1">
      <c r="A17" s="69"/>
      <c r="B17" s="224"/>
      <c r="C17" s="225"/>
      <c r="D17" s="518"/>
      <c r="E17" s="520"/>
      <c r="F17" s="522"/>
      <c r="G17" s="524"/>
      <c r="H17" s="352" t="s">
        <v>201</v>
      </c>
      <c r="I17" s="352"/>
      <c r="J17" s="226"/>
      <c r="K17" s="69" t="s">
        <v>96</v>
      </c>
    </row>
    <row r="18" spans="1:11" ht="15.6" customHeight="1">
      <c r="A18" s="69"/>
      <c r="B18" s="222" t="s">
        <v>226</v>
      </c>
      <c r="C18" s="166"/>
      <c r="D18" s="517" t="s">
        <v>199</v>
      </c>
      <c r="E18" s="519">
        <v>1</v>
      </c>
      <c r="F18" s="521">
        <v>13384</v>
      </c>
      <c r="G18" s="523">
        <v>13384</v>
      </c>
      <c r="H18" s="351" t="s">
        <v>213</v>
      </c>
      <c r="I18" s="351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 t="s">
        <v>201</v>
      </c>
      <c r="I19" s="352"/>
      <c r="J19" s="226"/>
      <c r="K19" s="69" t="s">
        <v>96</v>
      </c>
    </row>
    <row r="20" spans="1:11" ht="15.6" customHeight="1">
      <c r="A20" s="69"/>
      <c r="B20" s="222"/>
      <c r="C20" s="166"/>
      <c r="D20" s="517"/>
      <c r="E20" s="519"/>
      <c r="F20" s="521"/>
      <c r="G20" s="523"/>
      <c r="H20" s="351"/>
      <c r="I20" s="351"/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/>
      <c r="I21" s="352"/>
      <c r="J21" s="226"/>
      <c r="K21" s="69" t="s">
        <v>96</v>
      </c>
    </row>
    <row r="22" spans="1:11" ht="15.6" customHeight="1">
      <c r="A22" s="69"/>
      <c r="B22" s="222" t="s">
        <v>227</v>
      </c>
      <c r="C22" s="166"/>
      <c r="D22" s="517"/>
      <c r="E22" s="519"/>
      <c r="F22" s="521"/>
      <c r="G22" s="523">
        <v>55238240</v>
      </c>
      <c r="H22" s="351"/>
      <c r="I22" s="351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/>
      <c r="I23" s="352"/>
      <c r="J23" s="226"/>
      <c r="K23" s="69" t="s">
        <v>96</v>
      </c>
    </row>
    <row r="24" spans="1:11" ht="15.6" customHeight="1">
      <c r="A24" s="69"/>
      <c r="B24" s="222"/>
      <c r="C24" s="166"/>
      <c r="D24" s="517"/>
      <c r="E24" s="519"/>
      <c r="F24" s="521"/>
      <c r="G24" s="523"/>
      <c r="H24" s="351"/>
      <c r="I24" s="351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352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352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352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352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352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352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353"/>
      <c r="J37" s="230"/>
      <c r="K37" s="69" t="s">
        <v>96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197"/>
  <sheetViews>
    <sheetView tabSelected="1" zoomScaleNormal="100" zoomScaleSheetLayoutView="85" workbookViewId="0">
      <pane xSplit="4" ySplit="4" topLeftCell="E11" activePane="bottomRight" state="frozen"/>
      <selection pane="topRight"/>
      <selection pane="bottomLeft"/>
      <selection pane="bottomRight" activeCell="AG197" sqref="AG197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23-033★愛甲小学校グラウンド改修工事【受託事業】</v>
      </c>
      <c r="G1" s="306"/>
      <c r="H1" s="190" t="s">
        <v>140</v>
      </c>
      <c r="I1" s="333">
        <v>62441860</v>
      </c>
      <c r="J1" s="339">
        <f>I4/I$1</f>
        <v>0.92486034208462076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534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229</v>
      </c>
      <c r="D4" s="340" t="s">
        <v>188</v>
      </c>
      <c r="E4" s="342"/>
      <c r="F4" s="345" t="s">
        <v>199</v>
      </c>
      <c r="G4" s="308">
        <v>1</v>
      </c>
      <c r="H4" s="309">
        <v>57750000</v>
      </c>
      <c r="I4" s="309">
        <v>57750000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230</v>
      </c>
      <c r="D5" s="340" t="s">
        <v>231</v>
      </c>
      <c r="E5" s="342"/>
      <c r="F5" s="345" t="s">
        <v>199</v>
      </c>
      <c r="G5" s="308">
        <v>1</v>
      </c>
      <c r="H5" s="309">
        <v>55238240</v>
      </c>
      <c r="I5" s="309">
        <v>55238240</v>
      </c>
      <c r="J5" s="211"/>
      <c r="K5" s="212" t="str">
        <f>IF(OR(J5="",G5=J5),"","*")</f>
        <v/>
      </c>
      <c r="L5" s="338">
        <f>IF($A5&lt;=L$1,I5/I$4,"")</f>
        <v>0.95650632034632033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232</v>
      </c>
      <c r="D6" s="340" t="s">
        <v>233</v>
      </c>
      <c r="E6" s="342"/>
      <c r="F6" s="345" t="s">
        <v>199</v>
      </c>
      <c r="G6" s="308">
        <v>1</v>
      </c>
      <c r="H6" s="309">
        <v>10258332</v>
      </c>
      <c r="I6" s="309">
        <v>10258332</v>
      </c>
      <c r="J6" s="211">
        <v>1</v>
      </c>
      <c r="K6" s="212" t="str">
        <f>IF(OR(J6="",G6=J6),"","*")</f>
        <v/>
      </c>
      <c r="L6" s="338">
        <f>IF($A6&lt;=L$1,I6/I$4,"")</f>
        <v>0.17763345454545454</v>
      </c>
      <c r="M6" s="343"/>
      <c r="N6" s="344" t="s">
        <v>234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232</v>
      </c>
      <c r="D7" s="340" t="s">
        <v>235</v>
      </c>
      <c r="E7" s="342"/>
      <c r="F7" s="345" t="s">
        <v>168</v>
      </c>
      <c r="G7" s="308">
        <v>1447</v>
      </c>
      <c r="H7" s="309">
        <v>1154</v>
      </c>
      <c r="I7" s="309">
        <v>1669838</v>
      </c>
      <c r="J7" s="211">
        <v>1447</v>
      </c>
      <c r="K7" s="212" t="str">
        <f>IF(OR(J7="",G7=J7),"","*")</f>
        <v/>
      </c>
      <c r="L7" s="338">
        <f>IF($A7&lt;=L$1,I7/I$4,"")</f>
        <v>2.8914943722943724E-2</v>
      </c>
      <c r="M7" s="343"/>
      <c r="N7" s="344" t="s">
        <v>236</v>
      </c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/>
      <c r="AF7" s="341"/>
    </row>
    <row r="8" spans="1:32">
      <c r="A8" s="307">
        <v>4</v>
      </c>
      <c r="B8" s="342"/>
      <c r="C8" s="342" t="s">
        <v>181</v>
      </c>
      <c r="D8" s="340" t="s">
        <v>237</v>
      </c>
      <c r="E8" s="342"/>
      <c r="F8" s="345" t="s">
        <v>238</v>
      </c>
      <c r="G8" s="308">
        <v>36</v>
      </c>
      <c r="H8" s="309">
        <v>21000</v>
      </c>
      <c r="I8" s="309">
        <v>756000</v>
      </c>
      <c r="J8" s="211"/>
      <c r="K8" s="212" t="str">
        <f>IF(OR(J8="",G8=J8),"","*")</f>
        <v/>
      </c>
      <c r="L8" s="338" t="str">
        <f>IF($A8&lt;=L$1,I8/I$4,"")</f>
        <v/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 t="s">
        <v>239</v>
      </c>
      <c r="AF8" s="341" t="s">
        <v>240</v>
      </c>
    </row>
    <row r="9" spans="1:32">
      <c r="A9" s="307">
        <v>4</v>
      </c>
      <c r="B9" s="342"/>
      <c r="C9" s="342" t="s">
        <v>183</v>
      </c>
      <c r="D9" s="340" t="s">
        <v>241</v>
      </c>
      <c r="E9" s="342"/>
      <c r="F9" s="345" t="s">
        <v>242</v>
      </c>
      <c r="G9" s="308">
        <v>12</v>
      </c>
      <c r="H9" s="309">
        <v>18000</v>
      </c>
      <c r="I9" s="309">
        <v>216000</v>
      </c>
      <c r="J9" s="211"/>
      <c r="K9" s="212" t="str">
        <f>IF(OR(J9="",G9=J9),"","*")</f>
        <v/>
      </c>
      <c r="L9" s="338" t="str">
        <f>IF($A9&lt;=L$1,I9/I$4,"")</f>
        <v/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 t="s">
        <v>243</v>
      </c>
      <c r="AF9" s="341" t="s">
        <v>244</v>
      </c>
    </row>
    <row r="10" spans="1:32">
      <c r="A10" s="307">
        <v>4</v>
      </c>
      <c r="B10" s="342"/>
      <c r="C10" s="342" t="s">
        <v>183</v>
      </c>
      <c r="D10" s="340" t="s">
        <v>245</v>
      </c>
      <c r="E10" s="342"/>
      <c r="F10" s="345" t="s">
        <v>242</v>
      </c>
      <c r="G10" s="308">
        <v>12</v>
      </c>
      <c r="H10" s="309">
        <v>8000</v>
      </c>
      <c r="I10" s="309">
        <v>96000</v>
      </c>
      <c r="J10" s="211"/>
      <c r="K10" s="212" t="str">
        <f>IF(OR(J10="",G10=J10),"","*")</f>
        <v/>
      </c>
      <c r="L10" s="338" t="str">
        <f>IF($A10&lt;=L$1,I10/I$4,"")</f>
        <v/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 t="s">
        <v>246</v>
      </c>
      <c r="AF10" s="341" t="s">
        <v>244</v>
      </c>
    </row>
    <row r="11" spans="1:32">
      <c r="A11" s="307">
        <v>4</v>
      </c>
      <c r="B11" s="342"/>
      <c r="C11" s="342" t="s">
        <v>183</v>
      </c>
      <c r="D11" s="340" t="s">
        <v>247</v>
      </c>
      <c r="E11" s="342"/>
      <c r="F11" s="345" t="s">
        <v>242</v>
      </c>
      <c r="G11" s="308">
        <v>12</v>
      </c>
      <c r="H11" s="309">
        <v>4300</v>
      </c>
      <c r="I11" s="309">
        <v>51600</v>
      </c>
      <c r="J11" s="211"/>
      <c r="K11" s="212" t="str">
        <f>IF(OR(J11="",G11=J11),"","*")</f>
        <v/>
      </c>
      <c r="L11" s="338" t="str">
        <f>IF($A11&lt;=L$1,I11/I$4,"")</f>
        <v/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 t="s">
        <v>248</v>
      </c>
      <c r="AF11" s="341" t="s">
        <v>244</v>
      </c>
    </row>
    <row r="12" spans="1:32">
      <c r="A12" s="307">
        <v>4</v>
      </c>
      <c r="B12" s="342"/>
      <c r="C12" s="342" t="s">
        <v>184</v>
      </c>
      <c r="D12" s="340" t="s">
        <v>249</v>
      </c>
      <c r="E12" s="342"/>
      <c r="F12" s="345" t="s">
        <v>242</v>
      </c>
      <c r="G12" s="308">
        <v>24</v>
      </c>
      <c r="H12" s="309">
        <v>5000</v>
      </c>
      <c r="I12" s="309">
        <v>120000</v>
      </c>
      <c r="J12" s="211"/>
      <c r="K12" s="212" t="str">
        <f>IF(OR(J12="",G12=J12),"","*")</f>
        <v/>
      </c>
      <c r="L12" s="338" t="str">
        <f>IF($A12&lt;=L$1,I12/I$4,"")</f>
        <v/>
      </c>
      <c r="M12" s="343"/>
      <c r="N12" s="344"/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 t="s">
        <v>250</v>
      </c>
      <c r="AF12" s="341" t="s">
        <v>251</v>
      </c>
    </row>
    <row r="13" spans="1:32">
      <c r="A13" s="307">
        <v>4</v>
      </c>
      <c r="B13" s="342"/>
      <c r="C13" s="342" t="s">
        <v>184</v>
      </c>
      <c r="D13" s="340" t="s">
        <v>252</v>
      </c>
      <c r="E13" s="342" t="s">
        <v>253</v>
      </c>
      <c r="F13" s="345" t="s">
        <v>242</v>
      </c>
      <c r="G13" s="308">
        <v>12</v>
      </c>
      <c r="H13" s="309">
        <v>4000</v>
      </c>
      <c r="I13" s="309">
        <v>48000</v>
      </c>
      <c r="J13" s="211"/>
      <c r="K13" s="212" t="str">
        <f>IF(OR(J13="",G13=J13),"","*")</f>
        <v/>
      </c>
      <c r="L13" s="338" t="str">
        <f>IF($A13&lt;=L$1,I13/I$4,"")</f>
        <v/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 t="s">
        <v>254</v>
      </c>
      <c r="AF13" s="341" t="s">
        <v>244</v>
      </c>
    </row>
    <row r="14" spans="1:32">
      <c r="A14" s="307">
        <v>4</v>
      </c>
      <c r="B14" s="342"/>
      <c r="C14" s="342" t="s">
        <v>180</v>
      </c>
      <c r="D14" s="340" t="s">
        <v>255</v>
      </c>
      <c r="E14" s="342"/>
      <c r="F14" s="345" t="s">
        <v>256</v>
      </c>
      <c r="G14" s="308">
        <v>2200</v>
      </c>
      <c r="H14" s="309">
        <v>150</v>
      </c>
      <c r="I14" s="309">
        <v>330000</v>
      </c>
      <c r="J14" s="211"/>
      <c r="K14" s="212" t="str">
        <f>IF(OR(J14="",G14=J14),"","*")</f>
        <v/>
      </c>
      <c r="L14" s="338" t="str">
        <f>IF($A14&lt;=L$1,I14/I$4,"")</f>
        <v/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 t="s">
        <v>257</v>
      </c>
      <c r="AF14" s="341"/>
    </row>
    <row r="15" spans="1:32">
      <c r="A15" s="307">
        <v>4</v>
      </c>
      <c r="B15" s="342"/>
      <c r="C15" s="342" t="s">
        <v>183</v>
      </c>
      <c r="D15" s="340" t="s">
        <v>258</v>
      </c>
      <c r="E15" s="342" t="s">
        <v>259</v>
      </c>
      <c r="F15" s="345" t="s">
        <v>242</v>
      </c>
      <c r="G15" s="308">
        <v>12</v>
      </c>
      <c r="H15" s="309">
        <v>4000</v>
      </c>
      <c r="I15" s="309">
        <v>48000</v>
      </c>
      <c r="J15" s="211"/>
      <c r="K15" s="212" t="str">
        <f>IF(OR(J15="",G15=J15),"","*")</f>
        <v/>
      </c>
      <c r="L15" s="338" t="str">
        <f>IF($A15&lt;=L$1,I15/I$4,"")</f>
        <v/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 t="s">
        <v>260</v>
      </c>
      <c r="AF15" s="341" t="s">
        <v>244</v>
      </c>
    </row>
    <row r="16" spans="1:32">
      <c r="A16" s="307">
        <v>4</v>
      </c>
      <c r="B16" s="342"/>
      <c r="C16" s="342" t="s">
        <v>180</v>
      </c>
      <c r="D16" s="340" t="s">
        <v>261</v>
      </c>
      <c r="E16" s="342"/>
      <c r="F16" s="345" t="s">
        <v>199</v>
      </c>
      <c r="G16" s="308">
        <v>1</v>
      </c>
      <c r="H16" s="309">
        <v>4400</v>
      </c>
      <c r="I16" s="309">
        <v>4400</v>
      </c>
      <c r="J16" s="211"/>
      <c r="K16" s="212" t="str">
        <f>IF(OR(J16="",G16=J16),"","*")</f>
        <v/>
      </c>
      <c r="L16" s="338" t="str">
        <f>IF($A16&lt;=L$1,I16/I$4,"")</f>
        <v/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 t="s">
        <v>262</v>
      </c>
      <c r="AF16" s="341"/>
    </row>
    <row r="17" spans="1:32">
      <c r="A17" s="307">
        <v>3</v>
      </c>
      <c r="B17" s="342"/>
      <c r="C17" s="342" t="s">
        <v>232</v>
      </c>
      <c r="D17" s="340" t="s">
        <v>263</v>
      </c>
      <c r="E17" s="342"/>
      <c r="F17" s="345" t="s">
        <v>168</v>
      </c>
      <c r="G17" s="308">
        <v>68</v>
      </c>
      <c r="H17" s="309">
        <v>2000</v>
      </c>
      <c r="I17" s="309">
        <v>136000</v>
      </c>
      <c r="J17" s="211">
        <v>68</v>
      </c>
      <c r="K17" s="212" t="str">
        <f>IF(OR(J17="",G17=J17),"","*")</f>
        <v/>
      </c>
      <c r="L17" s="338">
        <f>IF($A17&lt;=L$1,I17/I$4,"")</f>
        <v>2.3549783549783551E-3</v>
      </c>
      <c r="M17" s="343"/>
      <c r="N17" s="344" t="s">
        <v>264</v>
      </c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/>
      <c r="AF17" s="341"/>
    </row>
    <row r="18" spans="1:32">
      <c r="A18" s="307">
        <v>4</v>
      </c>
      <c r="B18" s="342"/>
      <c r="C18" s="342" t="s">
        <v>182</v>
      </c>
      <c r="D18" s="340" t="s">
        <v>265</v>
      </c>
      <c r="E18" s="342" t="s">
        <v>266</v>
      </c>
      <c r="F18" s="345" t="s">
        <v>168</v>
      </c>
      <c r="G18" s="308">
        <v>68</v>
      </c>
      <c r="H18" s="309">
        <v>2000</v>
      </c>
      <c r="I18" s="309">
        <v>136000</v>
      </c>
      <c r="J18" s="211"/>
      <c r="K18" s="212" t="str">
        <f>IF(OR(J18="",G18=J18),"","*")</f>
        <v/>
      </c>
      <c r="L18" s="338" t="str">
        <f>IF($A18&lt;=L$1,I18/I$4,"")</f>
        <v/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/>
      <c r="AF18" s="341"/>
    </row>
    <row r="19" spans="1:32">
      <c r="A19" s="307">
        <v>3</v>
      </c>
      <c r="B19" s="342"/>
      <c r="C19" s="342" t="s">
        <v>232</v>
      </c>
      <c r="D19" s="340" t="s">
        <v>267</v>
      </c>
      <c r="E19" s="342" t="s">
        <v>169</v>
      </c>
      <c r="F19" s="345" t="s">
        <v>168</v>
      </c>
      <c r="G19" s="308">
        <v>4.9000000000000004</v>
      </c>
      <c r="H19" s="309">
        <v>4000</v>
      </c>
      <c r="I19" s="309">
        <v>19600</v>
      </c>
      <c r="J19" s="211">
        <v>4.9000000000000004</v>
      </c>
      <c r="K19" s="212" t="str">
        <f>IF(OR(J19="",G19=J19),"","*")</f>
        <v/>
      </c>
      <c r="L19" s="338">
        <f>IF($A19&lt;=L$1,I19/I$4,"")</f>
        <v>3.3939393939393938E-4</v>
      </c>
      <c r="M19" s="343"/>
      <c r="N19" s="344" t="s">
        <v>268</v>
      </c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/>
      <c r="AF19" s="341"/>
    </row>
    <row r="20" spans="1:32">
      <c r="A20" s="307">
        <v>4</v>
      </c>
      <c r="B20" s="342"/>
      <c r="C20" s="342" t="s">
        <v>182</v>
      </c>
      <c r="D20" s="340" t="s">
        <v>269</v>
      </c>
      <c r="E20" s="342" t="s">
        <v>266</v>
      </c>
      <c r="F20" s="345" t="s">
        <v>168</v>
      </c>
      <c r="G20" s="308">
        <v>4.9000000000000004</v>
      </c>
      <c r="H20" s="309">
        <v>4000</v>
      </c>
      <c r="I20" s="309">
        <v>19600</v>
      </c>
      <c r="J20" s="211"/>
      <c r="K20" s="212" t="str">
        <f>IF(OR(J20="",G20=J20),"","*")</f>
        <v/>
      </c>
      <c r="L20" s="338" t="str">
        <f>IF($A20&lt;=L$1,I20/I$4,"")</f>
        <v/>
      </c>
      <c r="M20" s="343"/>
      <c r="N20" s="344"/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/>
      <c r="AF20" s="341"/>
    </row>
    <row r="21" spans="1:32">
      <c r="A21" s="307">
        <v>3</v>
      </c>
      <c r="B21" s="342"/>
      <c r="C21" s="342" t="s">
        <v>232</v>
      </c>
      <c r="D21" s="340" t="s">
        <v>267</v>
      </c>
      <c r="E21" s="342" t="s">
        <v>170</v>
      </c>
      <c r="F21" s="345" t="s">
        <v>168</v>
      </c>
      <c r="G21" s="308">
        <v>6.8000000000000005E-2</v>
      </c>
      <c r="H21" s="309">
        <v>5000</v>
      </c>
      <c r="I21" s="309">
        <v>340</v>
      </c>
      <c r="J21" s="211">
        <v>6.8000000000000005E-2</v>
      </c>
      <c r="K21" s="212" t="str">
        <f>IF(OR(J21="",G21=J21),"","*")</f>
        <v/>
      </c>
      <c r="L21" s="338">
        <f>IF($A21&lt;=L$1,I21/I$4,"")</f>
        <v>5.8874458874458873E-6</v>
      </c>
      <c r="M21" s="343"/>
      <c r="N21" s="344" t="s">
        <v>270</v>
      </c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/>
      <c r="AF21" s="341"/>
    </row>
    <row r="22" spans="1:32">
      <c r="A22" s="307">
        <v>4</v>
      </c>
      <c r="B22" s="342"/>
      <c r="C22" s="342" t="s">
        <v>182</v>
      </c>
      <c r="D22" s="340" t="s">
        <v>269</v>
      </c>
      <c r="E22" s="342" t="s">
        <v>271</v>
      </c>
      <c r="F22" s="345" t="s">
        <v>168</v>
      </c>
      <c r="G22" s="308">
        <v>6.8000000000000005E-2</v>
      </c>
      <c r="H22" s="309">
        <v>5000</v>
      </c>
      <c r="I22" s="309">
        <v>340</v>
      </c>
      <c r="J22" s="211"/>
      <c r="K22" s="212" t="str">
        <f>IF(OR(J22="",G22=J22),"","*")</f>
        <v/>
      </c>
      <c r="L22" s="338" t="str">
        <f>IF($A22&lt;=L$1,I22/I$4,"")</f>
        <v/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/>
      <c r="AF22" s="341"/>
    </row>
    <row r="23" spans="1:32">
      <c r="A23" s="307">
        <v>3</v>
      </c>
      <c r="B23" s="342"/>
      <c r="C23" s="342" t="s">
        <v>232</v>
      </c>
      <c r="D23" s="340" t="s">
        <v>272</v>
      </c>
      <c r="E23" s="342"/>
      <c r="F23" s="345" t="s">
        <v>168</v>
      </c>
      <c r="G23" s="308">
        <v>62</v>
      </c>
      <c r="H23" s="309">
        <v>2000</v>
      </c>
      <c r="I23" s="309">
        <v>124000</v>
      </c>
      <c r="J23" s="211">
        <v>62</v>
      </c>
      <c r="K23" s="212" t="str">
        <f>IF(OR(J23="",G23=J23),"","*")</f>
        <v/>
      </c>
      <c r="L23" s="338">
        <f>IF($A23&lt;=L$1,I23/I$4,"")</f>
        <v>2.1471861471861471E-3</v>
      </c>
      <c r="M23" s="343"/>
      <c r="N23" s="344" t="s">
        <v>273</v>
      </c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/>
      <c r="AF23" s="341"/>
    </row>
    <row r="24" spans="1:32">
      <c r="A24" s="307">
        <v>4</v>
      </c>
      <c r="B24" s="342"/>
      <c r="C24" s="342" t="s">
        <v>182</v>
      </c>
      <c r="D24" s="340" t="s">
        <v>274</v>
      </c>
      <c r="E24" s="342" t="s">
        <v>266</v>
      </c>
      <c r="F24" s="345" t="s">
        <v>168</v>
      </c>
      <c r="G24" s="308">
        <v>62</v>
      </c>
      <c r="H24" s="309">
        <v>2000</v>
      </c>
      <c r="I24" s="309">
        <v>124000</v>
      </c>
      <c r="J24" s="211"/>
      <c r="K24" s="212" t="str">
        <f>IF(OR(J24="",G24=J24),"","*")</f>
        <v/>
      </c>
      <c r="L24" s="338" t="str">
        <f>IF($A24&lt;=L$1,I24/I$4,"")</f>
        <v/>
      </c>
      <c r="M24" s="343"/>
      <c r="N24" s="344"/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/>
      <c r="AF24" s="341"/>
    </row>
    <row r="25" spans="1:32">
      <c r="A25" s="307">
        <v>3</v>
      </c>
      <c r="B25" s="342"/>
      <c r="C25" s="342" t="s">
        <v>232</v>
      </c>
      <c r="D25" s="340" t="s">
        <v>275</v>
      </c>
      <c r="E25" s="342" t="s">
        <v>171</v>
      </c>
      <c r="F25" s="345" t="s">
        <v>168</v>
      </c>
      <c r="G25" s="308">
        <v>1509</v>
      </c>
      <c r="H25" s="309">
        <v>5506</v>
      </c>
      <c r="I25" s="309">
        <v>8308554</v>
      </c>
      <c r="J25" s="211">
        <v>1509</v>
      </c>
      <c r="K25" s="212" t="str">
        <f>IF(OR(J25="",G25=J25),"","*")</f>
        <v/>
      </c>
      <c r="L25" s="338">
        <f>IF($A25&lt;=L$1,I25/I$4,"")</f>
        <v>0.14387106493506494</v>
      </c>
      <c r="M25" s="343"/>
      <c r="N25" s="344" t="s">
        <v>276</v>
      </c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/>
      <c r="AF25" s="341"/>
    </row>
    <row r="26" spans="1:32">
      <c r="A26" s="307">
        <v>4</v>
      </c>
      <c r="B26" s="342"/>
      <c r="C26" s="342" t="s">
        <v>184</v>
      </c>
      <c r="D26" s="340" t="s">
        <v>277</v>
      </c>
      <c r="E26" s="342" t="s">
        <v>278</v>
      </c>
      <c r="F26" s="345" t="s">
        <v>242</v>
      </c>
      <c r="G26" s="308">
        <v>69</v>
      </c>
      <c r="H26" s="309">
        <v>43000</v>
      </c>
      <c r="I26" s="309">
        <v>2967000</v>
      </c>
      <c r="J26" s="211"/>
      <c r="K26" s="212" t="str">
        <f>IF(OR(J26="",G26=J26),"","*")</f>
        <v/>
      </c>
      <c r="L26" s="338" t="str">
        <f>IF($A26&lt;=L$1,I26/I$4,"")</f>
        <v/>
      </c>
      <c r="M26" s="343"/>
      <c r="N26" s="344"/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 t="s">
        <v>279</v>
      </c>
      <c r="AF26" s="341" t="s">
        <v>280</v>
      </c>
    </row>
    <row r="27" spans="1:32">
      <c r="A27" s="307">
        <v>4</v>
      </c>
      <c r="B27" s="342"/>
      <c r="C27" s="342" t="s">
        <v>184</v>
      </c>
      <c r="D27" s="340" t="s">
        <v>281</v>
      </c>
      <c r="E27" s="342"/>
      <c r="F27" s="345" t="s">
        <v>168</v>
      </c>
      <c r="G27" s="308">
        <v>1509</v>
      </c>
      <c r="H27" s="309">
        <v>3540</v>
      </c>
      <c r="I27" s="309">
        <v>5341860</v>
      </c>
      <c r="J27" s="211"/>
      <c r="K27" s="212" t="str">
        <f>IF(OR(J27="",G27=J27),"","*")</f>
        <v/>
      </c>
      <c r="L27" s="338" t="str">
        <f>IF($A27&lt;=L$1,I27/I$4,"")</f>
        <v/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/>
      <c r="AF27" s="341"/>
    </row>
    <row r="28" spans="1:32">
      <c r="A28" s="307">
        <v>4</v>
      </c>
      <c r="B28" s="342"/>
      <c r="C28" s="342" t="s">
        <v>180</v>
      </c>
      <c r="D28" s="340" t="s">
        <v>261</v>
      </c>
      <c r="E28" s="342"/>
      <c r="F28" s="345" t="s">
        <v>199</v>
      </c>
      <c r="G28" s="308">
        <v>1</v>
      </c>
      <c r="H28" s="309">
        <v>1140</v>
      </c>
      <c r="I28" s="309">
        <v>1140</v>
      </c>
      <c r="J28" s="211"/>
      <c r="K28" s="212" t="str">
        <f>IF(OR(J28="",G28=J28),"","*")</f>
        <v/>
      </c>
      <c r="L28" s="338" t="str">
        <f>IF($A28&lt;=L$1,I28/I$4,"")</f>
        <v/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 t="s">
        <v>262</v>
      </c>
      <c r="AF28" s="341"/>
    </row>
    <row r="29" spans="1:32">
      <c r="A29" s="307">
        <v>3</v>
      </c>
      <c r="B29" s="342"/>
      <c r="C29" s="342"/>
      <c r="D29" s="340" t="s">
        <v>282</v>
      </c>
      <c r="E29" s="342"/>
      <c r="F29" s="345" t="s">
        <v>199</v>
      </c>
      <c r="G29" s="308">
        <v>1</v>
      </c>
      <c r="H29" s="309">
        <v>0</v>
      </c>
      <c r="I29" s="309">
        <v>0</v>
      </c>
      <c r="J29" s="211"/>
      <c r="K29" s="212" t="str">
        <f>IF(OR(J29="",G29=J29),"","*")</f>
        <v/>
      </c>
      <c r="L29" s="338">
        <f>IF($A29&lt;=L$1,I29/I$4,"")</f>
        <v>0</v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/>
      <c r="AF29" s="341"/>
    </row>
    <row r="30" spans="1:32">
      <c r="A30" s="307">
        <v>2</v>
      </c>
      <c r="B30" s="342"/>
      <c r="C30" s="342" t="s">
        <v>232</v>
      </c>
      <c r="D30" s="340" t="s">
        <v>283</v>
      </c>
      <c r="E30" s="342"/>
      <c r="F30" s="345" t="s">
        <v>199</v>
      </c>
      <c r="G30" s="308">
        <v>1</v>
      </c>
      <c r="H30" s="309">
        <v>28688364</v>
      </c>
      <c r="I30" s="309">
        <v>28688364</v>
      </c>
      <c r="J30" s="211">
        <v>1</v>
      </c>
      <c r="K30" s="212" t="str">
        <f>IF(OR(J30="",G30=J30),"","*")</f>
        <v/>
      </c>
      <c r="L30" s="338">
        <f>IF($A30&lt;=L$1,I30/I$4,"")</f>
        <v>0.49676820779220782</v>
      </c>
      <c r="M30" s="343"/>
      <c r="N30" s="344" t="s">
        <v>284</v>
      </c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/>
      <c r="AF30" s="341"/>
    </row>
    <row r="31" spans="1:32">
      <c r="A31" s="307">
        <v>3</v>
      </c>
      <c r="B31" s="342"/>
      <c r="C31" s="342" t="s">
        <v>232</v>
      </c>
      <c r="D31" s="340" t="s">
        <v>285</v>
      </c>
      <c r="E31" s="342"/>
      <c r="F31" s="345" t="s">
        <v>172</v>
      </c>
      <c r="G31" s="308">
        <v>6458</v>
      </c>
      <c r="H31" s="309">
        <v>126</v>
      </c>
      <c r="I31" s="309">
        <v>813708</v>
      </c>
      <c r="J31" s="211">
        <v>6458</v>
      </c>
      <c r="K31" s="212" t="str">
        <f>IF(OR(J31="",G31=J31),"","*")</f>
        <v/>
      </c>
      <c r="L31" s="338">
        <f>IF($A31&lt;=L$1,I31/I$4,"")</f>
        <v>1.4090181818181818E-2</v>
      </c>
      <c r="M31" s="343"/>
      <c r="N31" s="344" t="s">
        <v>286</v>
      </c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/>
      <c r="AF31" s="341"/>
    </row>
    <row r="32" spans="1:32">
      <c r="A32" s="307">
        <v>4</v>
      </c>
      <c r="B32" s="342"/>
      <c r="C32" s="342" t="s">
        <v>181</v>
      </c>
      <c r="D32" s="340" t="s">
        <v>237</v>
      </c>
      <c r="E32" s="342"/>
      <c r="F32" s="345" t="s">
        <v>238</v>
      </c>
      <c r="G32" s="308">
        <v>25</v>
      </c>
      <c r="H32" s="309">
        <v>21000</v>
      </c>
      <c r="I32" s="309">
        <v>525000</v>
      </c>
      <c r="J32" s="211"/>
      <c r="K32" s="212" t="str">
        <f>IF(OR(J32="",G32=J32),"","*")</f>
        <v/>
      </c>
      <c r="L32" s="338" t="str">
        <f>IF($A32&lt;=L$1,I32/I$4,"")</f>
        <v/>
      </c>
      <c r="M32" s="343"/>
      <c r="N32" s="344"/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 t="s">
        <v>239</v>
      </c>
      <c r="AF32" s="341" t="s">
        <v>287</v>
      </c>
    </row>
    <row r="33" spans="1:32">
      <c r="A33" s="307">
        <v>4</v>
      </c>
      <c r="B33" s="342"/>
      <c r="C33" s="342" t="s">
        <v>183</v>
      </c>
      <c r="D33" s="340" t="s">
        <v>288</v>
      </c>
      <c r="E33" s="342" t="s">
        <v>289</v>
      </c>
      <c r="F33" s="345" t="s">
        <v>242</v>
      </c>
      <c r="G33" s="308">
        <v>5</v>
      </c>
      <c r="H33" s="309">
        <v>5500</v>
      </c>
      <c r="I33" s="309">
        <v>27500</v>
      </c>
      <c r="J33" s="211"/>
      <c r="K33" s="212" t="str">
        <f>IF(OR(J33="",G33=J33),"","*")</f>
        <v/>
      </c>
      <c r="L33" s="338" t="str">
        <f>IF($A33&lt;=L$1,I33/I$4,"")</f>
        <v/>
      </c>
      <c r="M33" s="343"/>
      <c r="N33" s="344"/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 t="s">
        <v>290</v>
      </c>
      <c r="AF33" s="341" t="s">
        <v>291</v>
      </c>
    </row>
    <row r="34" spans="1:32">
      <c r="A34" s="307">
        <v>4</v>
      </c>
      <c r="B34" s="342"/>
      <c r="C34" s="342" t="s">
        <v>183</v>
      </c>
      <c r="D34" s="340" t="s">
        <v>292</v>
      </c>
      <c r="E34" s="342" t="s">
        <v>293</v>
      </c>
      <c r="F34" s="345" t="s">
        <v>242</v>
      </c>
      <c r="G34" s="308">
        <v>5</v>
      </c>
      <c r="H34" s="309">
        <v>4000</v>
      </c>
      <c r="I34" s="309">
        <v>20000</v>
      </c>
      <c r="J34" s="211"/>
      <c r="K34" s="212" t="str">
        <f>IF(OR(J34="",G34=J34),"","*")</f>
        <v/>
      </c>
      <c r="L34" s="338" t="str">
        <f>IF($A34&lt;=L$1,I34/I$4,"")</f>
        <v/>
      </c>
      <c r="M34" s="343"/>
      <c r="N34" s="344"/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 t="s">
        <v>294</v>
      </c>
      <c r="AF34" s="341" t="s">
        <v>291</v>
      </c>
    </row>
    <row r="35" spans="1:32">
      <c r="A35" s="307">
        <v>4</v>
      </c>
      <c r="B35" s="342"/>
      <c r="C35" s="342" t="s">
        <v>183</v>
      </c>
      <c r="D35" s="340" t="s">
        <v>295</v>
      </c>
      <c r="E35" s="342"/>
      <c r="F35" s="345" t="s">
        <v>242</v>
      </c>
      <c r="G35" s="308">
        <v>5</v>
      </c>
      <c r="H35" s="309">
        <v>1500</v>
      </c>
      <c r="I35" s="309">
        <v>7500</v>
      </c>
      <c r="J35" s="211"/>
      <c r="K35" s="212" t="str">
        <f>IF(OR(J35="",G35=J35),"","*")</f>
        <v/>
      </c>
      <c r="L35" s="338" t="str">
        <f>IF($A35&lt;=L$1,I35/I$4,"")</f>
        <v/>
      </c>
      <c r="M35" s="343"/>
      <c r="N35" s="344"/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 t="s">
        <v>296</v>
      </c>
      <c r="AF35" s="341" t="s">
        <v>291</v>
      </c>
    </row>
    <row r="36" spans="1:32">
      <c r="A36" s="307">
        <v>4</v>
      </c>
      <c r="B36" s="342"/>
      <c r="C36" s="342" t="s">
        <v>183</v>
      </c>
      <c r="D36" s="340" t="s">
        <v>297</v>
      </c>
      <c r="E36" s="342" t="s">
        <v>298</v>
      </c>
      <c r="F36" s="345" t="s">
        <v>242</v>
      </c>
      <c r="G36" s="308">
        <v>5</v>
      </c>
      <c r="H36" s="309">
        <v>6000</v>
      </c>
      <c r="I36" s="309">
        <v>30000</v>
      </c>
      <c r="J36" s="211"/>
      <c r="K36" s="212" t="str">
        <f>IF(OR(J36="",G36=J36),"","*")</f>
        <v/>
      </c>
      <c r="L36" s="338" t="str">
        <f>IF($A36&lt;=L$1,I36/I$4,"")</f>
        <v/>
      </c>
      <c r="M36" s="343"/>
      <c r="N36" s="344"/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 t="s">
        <v>299</v>
      </c>
      <c r="AF36" s="341" t="s">
        <v>291</v>
      </c>
    </row>
    <row r="37" spans="1:32">
      <c r="A37" s="307">
        <v>4</v>
      </c>
      <c r="B37" s="342"/>
      <c r="C37" s="342" t="s">
        <v>183</v>
      </c>
      <c r="D37" s="340" t="s">
        <v>245</v>
      </c>
      <c r="E37" s="342"/>
      <c r="F37" s="345" t="s">
        <v>242</v>
      </c>
      <c r="G37" s="308">
        <v>5</v>
      </c>
      <c r="H37" s="309">
        <v>8000</v>
      </c>
      <c r="I37" s="309">
        <v>40000</v>
      </c>
      <c r="J37" s="211"/>
      <c r="K37" s="212" t="str">
        <f>IF(OR(J37="",G37=J37),"","*")</f>
        <v/>
      </c>
      <c r="L37" s="338" t="str">
        <f>IF($A37&lt;=L$1,I37/I$4,"")</f>
        <v/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 t="s">
        <v>246</v>
      </c>
      <c r="AF37" s="341" t="s">
        <v>291</v>
      </c>
    </row>
    <row r="38" spans="1:32">
      <c r="A38" s="307">
        <v>4</v>
      </c>
      <c r="B38" s="342"/>
      <c r="C38" s="342" t="s">
        <v>180</v>
      </c>
      <c r="D38" s="340" t="s">
        <v>255</v>
      </c>
      <c r="E38" s="342"/>
      <c r="F38" s="345" t="s">
        <v>256</v>
      </c>
      <c r="G38" s="308">
        <v>500</v>
      </c>
      <c r="H38" s="309">
        <v>150</v>
      </c>
      <c r="I38" s="309">
        <v>75000</v>
      </c>
      <c r="J38" s="211"/>
      <c r="K38" s="212" t="str">
        <f>IF(OR(J38="",G38=J38),"","*")</f>
        <v/>
      </c>
      <c r="L38" s="338" t="str">
        <f>IF($A38&lt;=L$1,I38/I$4,"")</f>
        <v/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 t="s">
        <v>257</v>
      </c>
      <c r="AF38" s="341"/>
    </row>
    <row r="39" spans="1:32">
      <c r="A39" s="307">
        <v>4</v>
      </c>
      <c r="B39" s="342"/>
      <c r="C39" s="342" t="s">
        <v>183</v>
      </c>
      <c r="D39" s="340" t="s">
        <v>258</v>
      </c>
      <c r="E39" s="342" t="s">
        <v>259</v>
      </c>
      <c r="F39" s="345" t="s">
        <v>242</v>
      </c>
      <c r="G39" s="308">
        <v>5</v>
      </c>
      <c r="H39" s="309">
        <v>4000</v>
      </c>
      <c r="I39" s="309">
        <v>20000</v>
      </c>
      <c r="J39" s="211"/>
      <c r="K39" s="212" t="str">
        <f>IF(OR(J39="",G39=J39),"","*")</f>
        <v/>
      </c>
      <c r="L39" s="338" t="str">
        <f>IF($A39&lt;=L$1,I39/I$4,"")</f>
        <v/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 t="s">
        <v>260</v>
      </c>
      <c r="AF39" s="341" t="s">
        <v>291</v>
      </c>
    </row>
    <row r="40" spans="1:32">
      <c r="A40" s="307">
        <v>4</v>
      </c>
      <c r="B40" s="342"/>
      <c r="C40" s="342" t="s">
        <v>184</v>
      </c>
      <c r="D40" s="340" t="s">
        <v>249</v>
      </c>
      <c r="E40" s="342"/>
      <c r="F40" s="345" t="s">
        <v>242</v>
      </c>
      <c r="G40" s="308">
        <v>10</v>
      </c>
      <c r="H40" s="309">
        <v>5000</v>
      </c>
      <c r="I40" s="309">
        <v>50000</v>
      </c>
      <c r="J40" s="211"/>
      <c r="K40" s="212" t="str">
        <f>IF(OR(J40="",G40=J40),"","*")</f>
        <v/>
      </c>
      <c r="L40" s="338" t="str">
        <f>IF($A40&lt;=L$1,I40/I$4,"")</f>
        <v/>
      </c>
      <c r="M40" s="343"/>
      <c r="N40" s="344"/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 t="s">
        <v>250</v>
      </c>
      <c r="AF40" s="341" t="s">
        <v>300</v>
      </c>
    </row>
    <row r="41" spans="1:32">
      <c r="A41" s="307">
        <v>4</v>
      </c>
      <c r="B41" s="342"/>
      <c r="C41" s="342" t="s">
        <v>184</v>
      </c>
      <c r="D41" s="340" t="s">
        <v>252</v>
      </c>
      <c r="E41" s="342" t="s">
        <v>253</v>
      </c>
      <c r="F41" s="345" t="s">
        <v>242</v>
      </c>
      <c r="G41" s="308">
        <v>5</v>
      </c>
      <c r="H41" s="309">
        <v>4000</v>
      </c>
      <c r="I41" s="309">
        <v>20000</v>
      </c>
      <c r="J41" s="211"/>
      <c r="K41" s="212" t="str">
        <f>IF(OR(J41="",G41=J41),"","*")</f>
        <v/>
      </c>
      <c r="L41" s="338" t="str">
        <f>IF($A41&lt;=L$1,I41/I$4,"")</f>
        <v/>
      </c>
      <c r="M41" s="343"/>
      <c r="N41" s="344"/>
      <c r="O41" s="310">
        <v>0</v>
      </c>
      <c r="P41" s="311">
        <v>0</v>
      </c>
      <c r="Q41" s="311">
        <v>0</v>
      </c>
      <c r="R41" s="211">
        <v>0</v>
      </c>
      <c r="S41" s="212"/>
      <c r="T41" s="213" t="e">
        <v>#DIV/0!</v>
      </c>
      <c r="U41" s="214"/>
      <c r="V41" s="215"/>
      <c r="W41" s="310">
        <v>0</v>
      </c>
      <c r="X41" s="311">
        <v>0</v>
      </c>
      <c r="Y41" s="311">
        <v>0</v>
      </c>
      <c r="Z41" s="211">
        <v>0</v>
      </c>
      <c r="AA41" s="212"/>
      <c r="AB41" s="213" t="e">
        <v>#DIV/0!</v>
      </c>
      <c r="AC41" s="214"/>
      <c r="AD41" s="215"/>
      <c r="AE41" s="342" t="s">
        <v>254</v>
      </c>
      <c r="AF41" s="341" t="s">
        <v>291</v>
      </c>
    </row>
    <row r="42" spans="1:32">
      <c r="A42" s="307">
        <v>4</v>
      </c>
      <c r="B42" s="342"/>
      <c r="C42" s="342" t="s">
        <v>180</v>
      </c>
      <c r="D42" s="340" t="s">
        <v>261</v>
      </c>
      <c r="E42" s="342"/>
      <c r="F42" s="345" t="s">
        <v>199</v>
      </c>
      <c r="G42" s="308">
        <v>1</v>
      </c>
      <c r="H42" s="309">
        <v>5000</v>
      </c>
      <c r="I42" s="309">
        <v>5000</v>
      </c>
      <c r="J42" s="211"/>
      <c r="K42" s="212" t="str">
        <f>IF(OR(J42="",G42=J42),"","*")</f>
        <v/>
      </c>
      <c r="L42" s="338" t="str">
        <f>IF($A42&lt;=L$1,I42/I$4,"")</f>
        <v/>
      </c>
      <c r="M42" s="343"/>
      <c r="N42" s="344"/>
      <c r="O42" s="310">
        <v>0</v>
      </c>
      <c r="P42" s="311">
        <v>0</v>
      </c>
      <c r="Q42" s="311">
        <v>0</v>
      </c>
      <c r="R42" s="211">
        <v>0</v>
      </c>
      <c r="S42" s="212"/>
      <c r="T42" s="213" t="e">
        <v>#DIV/0!</v>
      </c>
      <c r="U42" s="214"/>
      <c r="V42" s="215"/>
      <c r="W42" s="310">
        <v>0</v>
      </c>
      <c r="X42" s="311">
        <v>0</v>
      </c>
      <c r="Y42" s="311">
        <v>0</v>
      </c>
      <c r="Z42" s="211">
        <v>0</v>
      </c>
      <c r="AA42" s="212"/>
      <c r="AB42" s="213" t="e">
        <v>#DIV/0!</v>
      </c>
      <c r="AC42" s="214"/>
      <c r="AD42" s="215"/>
      <c r="AE42" s="342" t="s">
        <v>262</v>
      </c>
      <c r="AF42" s="341"/>
    </row>
    <row r="43" spans="1:32">
      <c r="A43" s="307">
        <v>3</v>
      </c>
      <c r="B43" s="342"/>
      <c r="C43" s="342" t="s">
        <v>232</v>
      </c>
      <c r="D43" s="340" t="s">
        <v>301</v>
      </c>
      <c r="E43" s="342" t="s">
        <v>173</v>
      </c>
      <c r="F43" s="345" t="s">
        <v>172</v>
      </c>
      <c r="G43" s="308">
        <v>6458</v>
      </c>
      <c r="H43" s="309">
        <v>202</v>
      </c>
      <c r="I43" s="309">
        <v>1304516</v>
      </c>
      <c r="J43" s="211">
        <v>6458</v>
      </c>
      <c r="K43" s="212" t="str">
        <f>IF(OR(J43="",G43=J43),"","*")</f>
        <v/>
      </c>
      <c r="L43" s="338">
        <f>IF($A43&lt;=L$1,I43/I$4,"")</f>
        <v>2.2589021645021645E-2</v>
      </c>
      <c r="M43" s="343"/>
      <c r="N43" s="344" t="s">
        <v>302</v>
      </c>
      <c r="O43" s="310">
        <v>0</v>
      </c>
      <c r="P43" s="311">
        <v>0</v>
      </c>
      <c r="Q43" s="311">
        <v>0</v>
      </c>
      <c r="R43" s="211">
        <v>0</v>
      </c>
      <c r="S43" s="212"/>
      <c r="T43" s="213" t="e">
        <v>#DIV/0!</v>
      </c>
      <c r="U43" s="214"/>
      <c r="V43" s="215"/>
      <c r="W43" s="310">
        <v>0</v>
      </c>
      <c r="X43" s="311">
        <v>0</v>
      </c>
      <c r="Y43" s="311">
        <v>0</v>
      </c>
      <c r="Z43" s="211">
        <v>0</v>
      </c>
      <c r="AA43" s="212"/>
      <c r="AB43" s="213" t="e">
        <v>#DIV/0!</v>
      </c>
      <c r="AC43" s="214"/>
      <c r="AD43" s="215"/>
      <c r="AE43" s="342"/>
      <c r="AF43" s="341"/>
    </row>
    <row r="44" spans="1:32">
      <c r="A44" s="307">
        <v>4</v>
      </c>
      <c r="B44" s="342"/>
      <c r="C44" s="342" t="s">
        <v>181</v>
      </c>
      <c r="D44" s="340" t="s">
        <v>237</v>
      </c>
      <c r="E44" s="342"/>
      <c r="F44" s="345" t="s">
        <v>238</v>
      </c>
      <c r="G44" s="308">
        <v>35</v>
      </c>
      <c r="H44" s="309">
        <v>21000</v>
      </c>
      <c r="I44" s="309">
        <v>735000</v>
      </c>
      <c r="J44" s="211"/>
      <c r="K44" s="212" t="str">
        <f>IF(OR(J44="",G44=J44),"","*")</f>
        <v/>
      </c>
      <c r="L44" s="338" t="str">
        <f>IF($A44&lt;=L$1,I44/I$4,"")</f>
        <v/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/>
      <c r="T44" s="213" t="e">
        <v>#DIV/0!</v>
      </c>
      <c r="U44" s="214"/>
      <c r="V44" s="215"/>
      <c r="W44" s="310">
        <v>0</v>
      </c>
      <c r="X44" s="311">
        <v>0</v>
      </c>
      <c r="Y44" s="311">
        <v>0</v>
      </c>
      <c r="Z44" s="211">
        <v>0</v>
      </c>
      <c r="AA44" s="212"/>
      <c r="AB44" s="213" t="e">
        <v>#DIV/0!</v>
      </c>
      <c r="AC44" s="214"/>
      <c r="AD44" s="215"/>
      <c r="AE44" s="342" t="s">
        <v>239</v>
      </c>
      <c r="AF44" s="341" t="s">
        <v>303</v>
      </c>
    </row>
    <row r="45" spans="1:32">
      <c r="A45" s="307">
        <v>4</v>
      </c>
      <c r="B45" s="342"/>
      <c r="C45" s="342" t="s">
        <v>183</v>
      </c>
      <c r="D45" s="340" t="s">
        <v>288</v>
      </c>
      <c r="E45" s="342" t="s">
        <v>289</v>
      </c>
      <c r="F45" s="345" t="s">
        <v>242</v>
      </c>
      <c r="G45" s="308">
        <v>7</v>
      </c>
      <c r="H45" s="309">
        <v>5500</v>
      </c>
      <c r="I45" s="309">
        <v>38500</v>
      </c>
      <c r="J45" s="211"/>
      <c r="K45" s="212" t="str">
        <f>IF(OR(J45="",G45=J45),"","*")</f>
        <v/>
      </c>
      <c r="L45" s="338" t="str">
        <f>IF($A45&lt;=L$1,I45/I$4,"")</f>
        <v/>
      </c>
      <c r="M45" s="343"/>
      <c r="N45" s="344"/>
      <c r="O45" s="310">
        <v>0</v>
      </c>
      <c r="P45" s="311">
        <v>0</v>
      </c>
      <c r="Q45" s="311">
        <v>0</v>
      </c>
      <c r="R45" s="211">
        <v>0</v>
      </c>
      <c r="S45" s="212"/>
      <c r="T45" s="213" t="e">
        <v>#DIV/0!</v>
      </c>
      <c r="U45" s="214"/>
      <c r="V45" s="215"/>
      <c r="W45" s="310">
        <v>0</v>
      </c>
      <c r="X45" s="311">
        <v>0</v>
      </c>
      <c r="Y45" s="311">
        <v>0</v>
      </c>
      <c r="Z45" s="211">
        <v>0</v>
      </c>
      <c r="AA45" s="212"/>
      <c r="AB45" s="213" t="e">
        <v>#DIV/0!</v>
      </c>
      <c r="AC45" s="214"/>
      <c r="AD45" s="215"/>
      <c r="AE45" s="342" t="s">
        <v>290</v>
      </c>
      <c r="AF45" s="341" t="s">
        <v>304</v>
      </c>
    </row>
    <row r="46" spans="1:32">
      <c r="A46" s="307">
        <v>4</v>
      </c>
      <c r="B46" s="342"/>
      <c r="C46" s="342" t="s">
        <v>183</v>
      </c>
      <c r="D46" s="340" t="s">
        <v>292</v>
      </c>
      <c r="E46" s="342" t="s">
        <v>293</v>
      </c>
      <c r="F46" s="345" t="s">
        <v>242</v>
      </c>
      <c r="G46" s="308">
        <v>7</v>
      </c>
      <c r="H46" s="309">
        <v>4000</v>
      </c>
      <c r="I46" s="309">
        <v>28000</v>
      </c>
      <c r="J46" s="211"/>
      <c r="K46" s="212" t="str">
        <f>IF(OR(J46="",G46=J46),"","*")</f>
        <v/>
      </c>
      <c r="L46" s="338" t="str">
        <f>IF($A46&lt;=L$1,I46/I$4,"")</f>
        <v/>
      </c>
      <c r="M46" s="343"/>
      <c r="N46" s="344"/>
      <c r="O46" s="310">
        <v>0</v>
      </c>
      <c r="P46" s="311">
        <v>0</v>
      </c>
      <c r="Q46" s="311">
        <v>0</v>
      </c>
      <c r="R46" s="211">
        <v>0</v>
      </c>
      <c r="S46" s="212"/>
      <c r="T46" s="213" t="e">
        <v>#DIV/0!</v>
      </c>
      <c r="U46" s="214"/>
      <c r="V46" s="215"/>
      <c r="W46" s="310">
        <v>0</v>
      </c>
      <c r="X46" s="311">
        <v>0</v>
      </c>
      <c r="Y46" s="311">
        <v>0</v>
      </c>
      <c r="Z46" s="211">
        <v>0</v>
      </c>
      <c r="AA46" s="212"/>
      <c r="AB46" s="213" t="e">
        <v>#DIV/0!</v>
      </c>
      <c r="AC46" s="214"/>
      <c r="AD46" s="215"/>
      <c r="AE46" s="342" t="s">
        <v>294</v>
      </c>
      <c r="AF46" s="341" t="s">
        <v>304</v>
      </c>
    </row>
    <row r="47" spans="1:32">
      <c r="A47" s="307">
        <v>4</v>
      </c>
      <c r="B47" s="342"/>
      <c r="C47" s="342" t="s">
        <v>183</v>
      </c>
      <c r="D47" s="340" t="s">
        <v>295</v>
      </c>
      <c r="E47" s="342"/>
      <c r="F47" s="345" t="s">
        <v>242</v>
      </c>
      <c r="G47" s="308">
        <v>7</v>
      </c>
      <c r="H47" s="309">
        <v>1500</v>
      </c>
      <c r="I47" s="309">
        <v>10500</v>
      </c>
      <c r="J47" s="211"/>
      <c r="K47" s="212" t="str">
        <f>IF(OR(J47="",G47=J47),"","*")</f>
        <v/>
      </c>
      <c r="L47" s="338" t="str">
        <f>IF($A47&lt;=L$1,I47/I$4,"")</f>
        <v/>
      </c>
      <c r="M47" s="343"/>
      <c r="N47" s="344"/>
      <c r="O47" s="310">
        <v>0</v>
      </c>
      <c r="P47" s="311">
        <v>0</v>
      </c>
      <c r="Q47" s="311">
        <v>0</v>
      </c>
      <c r="R47" s="211">
        <v>0</v>
      </c>
      <c r="S47" s="212"/>
      <c r="T47" s="213" t="e">
        <v>#DIV/0!</v>
      </c>
      <c r="U47" s="214"/>
      <c r="V47" s="215"/>
      <c r="W47" s="310">
        <v>0</v>
      </c>
      <c r="X47" s="311">
        <v>0</v>
      </c>
      <c r="Y47" s="311">
        <v>0</v>
      </c>
      <c r="Z47" s="211">
        <v>0</v>
      </c>
      <c r="AA47" s="212"/>
      <c r="AB47" s="213" t="e">
        <v>#DIV/0!</v>
      </c>
      <c r="AC47" s="214"/>
      <c r="AD47" s="215"/>
      <c r="AE47" s="342" t="s">
        <v>296</v>
      </c>
      <c r="AF47" s="341" t="s">
        <v>304</v>
      </c>
    </row>
    <row r="48" spans="1:32">
      <c r="A48" s="307">
        <v>4</v>
      </c>
      <c r="B48" s="342"/>
      <c r="C48" s="342" t="s">
        <v>183</v>
      </c>
      <c r="D48" s="340" t="s">
        <v>247</v>
      </c>
      <c r="E48" s="342"/>
      <c r="F48" s="345" t="s">
        <v>242</v>
      </c>
      <c r="G48" s="308">
        <v>7</v>
      </c>
      <c r="H48" s="309">
        <v>4300</v>
      </c>
      <c r="I48" s="309">
        <v>30100</v>
      </c>
      <c r="J48" s="211"/>
      <c r="K48" s="212" t="str">
        <f>IF(OR(J48="",G48=J48),"","*")</f>
        <v/>
      </c>
      <c r="L48" s="338" t="str">
        <f>IF($A48&lt;=L$1,I48/I$4,"")</f>
        <v/>
      </c>
      <c r="M48" s="343"/>
      <c r="N48" s="344"/>
      <c r="O48" s="310">
        <v>0</v>
      </c>
      <c r="P48" s="311">
        <v>0</v>
      </c>
      <c r="Q48" s="311">
        <v>0</v>
      </c>
      <c r="R48" s="211">
        <v>0</v>
      </c>
      <c r="S48" s="212"/>
      <c r="T48" s="213" t="e">
        <v>#DIV/0!</v>
      </c>
      <c r="U48" s="214"/>
      <c r="V48" s="215"/>
      <c r="W48" s="310">
        <v>0</v>
      </c>
      <c r="X48" s="311">
        <v>0</v>
      </c>
      <c r="Y48" s="311">
        <v>0</v>
      </c>
      <c r="Z48" s="211">
        <v>0</v>
      </c>
      <c r="AA48" s="212"/>
      <c r="AB48" s="213" t="e">
        <v>#DIV/0!</v>
      </c>
      <c r="AC48" s="214"/>
      <c r="AD48" s="215"/>
      <c r="AE48" s="342" t="s">
        <v>248</v>
      </c>
      <c r="AF48" s="341" t="s">
        <v>304</v>
      </c>
    </row>
    <row r="49" spans="1:32">
      <c r="A49" s="307">
        <v>4</v>
      </c>
      <c r="B49" s="342"/>
      <c r="C49" s="342" t="s">
        <v>183</v>
      </c>
      <c r="D49" s="340" t="s">
        <v>297</v>
      </c>
      <c r="E49" s="342" t="s">
        <v>298</v>
      </c>
      <c r="F49" s="345" t="s">
        <v>242</v>
      </c>
      <c r="G49" s="308">
        <v>7</v>
      </c>
      <c r="H49" s="309">
        <v>6000</v>
      </c>
      <c r="I49" s="309">
        <v>42000</v>
      </c>
      <c r="J49" s="211"/>
      <c r="K49" s="212" t="str">
        <f>IF(OR(J49="",G49=J49),"","*")</f>
        <v/>
      </c>
      <c r="L49" s="338" t="str">
        <f>IF($A49&lt;=L$1,I49/I$4,"")</f>
        <v/>
      </c>
      <c r="M49" s="343"/>
      <c r="N49" s="344"/>
      <c r="O49" s="310">
        <v>0</v>
      </c>
      <c r="P49" s="311">
        <v>0</v>
      </c>
      <c r="Q49" s="311">
        <v>0</v>
      </c>
      <c r="R49" s="211">
        <v>0</v>
      </c>
      <c r="S49" s="212"/>
      <c r="T49" s="213" t="e">
        <v>#DIV/0!</v>
      </c>
      <c r="U49" s="214"/>
      <c r="V49" s="215"/>
      <c r="W49" s="310">
        <v>0</v>
      </c>
      <c r="X49" s="311">
        <v>0</v>
      </c>
      <c r="Y49" s="311">
        <v>0</v>
      </c>
      <c r="Z49" s="211">
        <v>0</v>
      </c>
      <c r="AA49" s="212"/>
      <c r="AB49" s="213" t="e">
        <v>#DIV/0!</v>
      </c>
      <c r="AC49" s="214"/>
      <c r="AD49" s="215"/>
      <c r="AE49" s="342" t="s">
        <v>299</v>
      </c>
      <c r="AF49" s="341" t="s">
        <v>304</v>
      </c>
    </row>
    <row r="50" spans="1:32">
      <c r="A50" s="307">
        <v>4</v>
      </c>
      <c r="B50" s="342"/>
      <c r="C50" s="342" t="s">
        <v>183</v>
      </c>
      <c r="D50" s="340" t="s">
        <v>305</v>
      </c>
      <c r="E50" s="342" t="s">
        <v>306</v>
      </c>
      <c r="F50" s="345" t="s">
        <v>242</v>
      </c>
      <c r="G50" s="308">
        <v>2</v>
      </c>
      <c r="H50" s="309">
        <v>12000</v>
      </c>
      <c r="I50" s="309">
        <v>24000</v>
      </c>
      <c r="J50" s="211"/>
      <c r="K50" s="212" t="str">
        <f>IF(OR(J50="",G50=J50),"","*")</f>
        <v/>
      </c>
      <c r="L50" s="338" t="str">
        <f>IF($A50&lt;=L$1,I50/I$4,"")</f>
        <v/>
      </c>
      <c r="M50" s="343"/>
      <c r="N50" s="344"/>
      <c r="O50" s="310">
        <v>0</v>
      </c>
      <c r="P50" s="311">
        <v>0</v>
      </c>
      <c r="Q50" s="311">
        <v>0</v>
      </c>
      <c r="R50" s="211">
        <v>0</v>
      </c>
      <c r="S50" s="212"/>
      <c r="T50" s="213" t="e">
        <v>#DIV/0!</v>
      </c>
      <c r="U50" s="214"/>
      <c r="V50" s="215"/>
      <c r="W50" s="310">
        <v>0</v>
      </c>
      <c r="X50" s="311">
        <v>0</v>
      </c>
      <c r="Y50" s="311">
        <v>0</v>
      </c>
      <c r="Z50" s="211">
        <v>0</v>
      </c>
      <c r="AA50" s="212"/>
      <c r="AB50" s="213" t="e">
        <v>#DIV/0!</v>
      </c>
      <c r="AC50" s="214"/>
      <c r="AD50" s="215"/>
      <c r="AE50" s="342" t="s">
        <v>307</v>
      </c>
      <c r="AF50" s="341" t="s">
        <v>308</v>
      </c>
    </row>
    <row r="51" spans="1:32">
      <c r="A51" s="307">
        <v>4</v>
      </c>
      <c r="B51" s="342"/>
      <c r="C51" s="342" t="s">
        <v>184</v>
      </c>
      <c r="D51" s="340" t="s">
        <v>249</v>
      </c>
      <c r="E51" s="342"/>
      <c r="F51" s="345" t="s">
        <v>242</v>
      </c>
      <c r="G51" s="308">
        <v>7</v>
      </c>
      <c r="H51" s="309">
        <v>5000</v>
      </c>
      <c r="I51" s="309">
        <v>35000</v>
      </c>
      <c r="J51" s="211"/>
      <c r="K51" s="212" t="str">
        <f>IF(OR(J51="",G51=J51),"","*")</f>
        <v/>
      </c>
      <c r="L51" s="338" t="str">
        <f>IF($A51&lt;=L$1,I51/I$4,"")</f>
        <v/>
      </c>
      <c r="M51" s="343"/>
      <c r="N51" s="344"/>
      <c r="O51" s="310">
        <v>0</v>
      </c>
      <c r="P51" s="311">
        <v>0</v>
      </c>
      <c r="Q51" s="311">
        <v>0</v>
      </c>
      <c r="R51" s="211">
        <v>0</v>
      </c>
      <c r="S51" s="212"/>
      <c r="T51" s="213" t="e">
        <v>#DIV/0!</v>
      </c>
      <c r="U51" s="214"/>
      <c r="V51" s="215"/>
      <c r="W51" s="310">
        <v>0</v>
      </c>
      <c r="X51" s="311">
        <v>0</v>
      </c>
      <c r="Y51" s="311">
        <v>0</v>
      </c>
      <c r="Z51" s="211">
        <v>0</v>
      </c>
      <c r="AA51" s="212"/>
      <c r="AB51" s="213" t="e">
        <v>#DIV/0!</v>
      </c>
      <c r="AC51" s="214"/>
      <c r="AD51" s="215"/>
      <c r="AE51" s="342" t="s">
        <v>250</v>
      </c>
      <c r="AF51" s="341" t="s">
        <v>304</v>
      </c>
    </row>
    <row r="52" spans="1:32">
      <c r="A52" s="307">
        <v>4</v>
      </c>
      <c r="B52" s="342"/>
      <c r="C52" s="342" t="s">
        <v>184</v>
      </c>
      <c r="D52" s="340" t="s">
        <v>252</v>
      </c>
      <c r="E52" s="342" t="s">
        <v>253</v>
      </c>
      <c r="F52" s="345" t="s">
        <v>242</v>
      </c>
      <c r="G52" s="308">
        <v>7</v>
      </c>
      <c r="H52" s="309">
        <v>4000</v>
      </c>
      <c r="I52" s="309">
        <v>28000</v>
      </c>
      <c r="J52" s="211"/>
      <c r="K52" s="212" t="str">
        <f>IF(OR(J52="",G52=J52),"","*")</f>
        <v/>
      </c>
      <c r="L52" s="338" t="str">
        <f>IF($A52&lt;=L$1,I52/I$4,"")</f>
        <v/>
      </c>
      <c r="M52" s="343"/>
      <c r="N52" s="344"/>
      <c r="O52" s="310">
        <v>0</v>
      </c>
      <c r="P52" s="311">
        <v>0</v>
      </c>
      <c r="Q52" s="311">
        <v>0</v>
      </c>
      <c r="R52" s="211">
        <v>0</v>
      </c>
      <c r="S52" s="212"/>
      <c r="T52" s="213" t="e">
        <v>#DIV/0!</v>
      </c>
      <c r="U52" s="214"/>
      <c r="V52" s="215"/>
      <c r="W52" s="310">
        <v>0</v>
      </c>
      <c r="X52" s="311">
        <v>0</v>
      </c>
      <c r="Y52" s="311">
        <v>0</v>
      </c>
      <c r="Z52" s="211">
        <v>0</v>
      </c>
      <c r="AA52" s="212"/>
      <c r="AB52" s="213" t="e">
        <v>#DIV/0!</v>
      </c>
      <c r="AC52" s="214"/>
      <c r="AD52" s="215"/>
      <c r="AE52" s="342" t="s">
        <v>254</v>
      </c>
      <c r="AF52" s="341" t="s">
        <v>304</v>
      </c>
    </row>
    <row r="53" spans="1:32">
      <c r="A53" s="307">
        <v>4</v>
      </c>
      <c r="B53" s="342"/>
      <c r="C53" s="342" t="s">
        <v>180</v>
      </c>
      <c r="D53" s="340" t="s">
        <v>255</v>
      </c>
      <c r="E53" s="342"/>
      <c r="F53" s="345" t="s">
        <v>256</v>
      </c>
      <c r="G53" s="308">
        <v>600</v>
      </c>
      <c r="H53" s="309">
        <v>150</v>
      </c>
      <c r="I53" s="309">
        <v>90000</v>
      </c>
      <c r="J53" s="211"/>
      <c r="K53" s="212" t="str">
        <f>IF(OR(J53="",G53=J53),"","*")</f>
        <v/>
      </c>
      <c r="L53" s="338" t="str">
        <f>IF($A53&lt;=L$1,I53/I$4,"")</f>
        <v/>
      </c>
      <c r="M53" s="343"/>
      <c r="N53" s="344"/>
      <c r="O53" s="310">
        <v>0</v>
      </c>
      <c r="P53" s="311">
        <v>0</v>
      </c>
      <c r="Q53" s="311">
        <v>0</v>
      </c>
      <c r="R53" s="211">
        <v>0</v>
      </c>
      <c r="S53" s="212"/>
      <c r="T53" s="213" t="e">
        <v>#DIV/0!</v>
      </c>
      <c r="U53" s="214"/>
      <c r="V53" s="215"/>
      <c r="W53" s="310">
        <v>0</v>
      </c>
      <c r="X53" s="311">
        <v>0</v>
      </c>
      <c r="Y53" s="311">
        <v>0</v>
      </c>
      <c r="Z53" s="211">
        <v>0</v>
      </c>
      <c r="AA53" s="212"/>
      <c r="AB53" s="213" t="e">
        <v>#DIV/0!</v>
      </c>
      <c r="AC53" s="214"/>
      <c r="AD53" s="215"/>
      <c r="AE53" s="342" t="s">
        <v>257</v>
      </c>
      <c r="AF53" s="341"/>
    </row>
    <row r="54" spans="1:32">
      <c r="A54" s="307">
        <v>4</v>
      </c>
      <c r="B54" s="342"/>
      <c r="C54" s="342" t="s">
        <v>180</v>
      </c>
      <c r="D54" s="340" t="s">
        <v>309</v>
      </c>
      <c r="E54" s="342"/>
      <c r="F54" s="345" t="s">
        <v>310</v>
      </c>
      <c r="G54" s="308">
        <v>1162</v>
      </c>
      <c r="H54" s="309">
        <v>100</v>
      </c>
      <c r="I54" s="309">
        <v>116200</v>
      </c>
      <c r="J54" s="211"/>
      <c r="K54" s="212" t="str">
        <f>IF(OR(J54="",G54=J54),"","*")</f>
        <v/>
      </c>
      <c r="L54" s="338" t="str">
        <f>IF($A54&lt;=L$1,I54/I$4,"")</f>
        <v/>
      </c>
      <c r="M54" s="343"/>
      <c r="N54" s="344"/>
      <c r="O54" s="310">
        <v>0</v>
      </c>
      <c r="P54" s="311">
        <v>0</v>
      </c>
      <c r="Q54" s="311">
        <v>0</v>
      </c>
      <c r="R54" s="211">
        <v>0</v>
      </c>
      <c r="S54" s="212"/>
      <c r="T54" s="213" t="e">
        <v>#DIV/0!</v>
      </c>
      <c r="U54" s="214"/>
      <c r="V54" s="215"/>
      <c r="W54" s="310">
        <v>0</v>
      </c>
      <c r="X54" s="311">
        <v>0</v>
      </c>
      <c r="Y54" s="311">
        <v>0</v>
      </c>
      <c r="Z54" s="211">
        <v>0</v>
      </c>
      <c r="AA54" s="212"/>
      <c r="AB54" s="213" t="e">
        <v>#DIV/0!</v>
      </c>
      <c r="AC54" s="214"/>
      <c r="AD54" s="215"/>
      <c r="AE54" s="342" t="s">
        <v>311</v>
      </c>
      <c r="AF54" s="341" t="s">
        <v>312</v>
      </c>
    </row>
    <row r="55" spans="1:32">
      <c r="A55" s="307">
        <v>4</v>
      </c>
      <c r="B55" s="342"/>
      <c r="C55" s="342" t="s">
        <v>184</v>
      </c>
      <c r="D55" s="340" t="s">
        <v>277</v>
      </c>
      <c r="E55" s="342" t="s">
        <v>278</v>
      </c>
      <c r="F55" s="345" t="s">
        <v>242</v>
      </c>
      <c r="G55" s="308">
        <v>3</v>
      </c>
      <c r="H55" s="309">
        <v>43000</v>
      </c>
      <c r="I55" s="309">
        <v>129000</v>
      </c>
      <c r="J55" s="211"/>
      <c r="K55" s="212" t="str">
        <f>IF(OR(J55="",G55=J55),"","*")</f>
        <v/>
      </c>
      <c r="L55" s="338" t="str">
        <f>IF($A55&lt;=L$1,I55/I$4,"")</f>
        <v/>
      </c>
      <c r="M55" s="343"/>
      <c r="N55" s="344"/>
      <c r="O55" s="310">
        <v>0</v>
      </c>
      <c r="P55" s="311">
        <v>0</v>
      </c>
      <c r="Q55" s="311">
        <v>0</v>
      </c>
      <c r="R55" s="211">
        <v>0</v>
      </c>
      <c r="S55" s="212"/>
      <c r="T55" s="213" t="e">
        <v>#DIV/0!</v>
      </c>
      <c r="U55" s="214"/>
      <c r="V55" s="215"/>
      <c r="W55" s="310">
        <v>0</v>
      </c>
      <c r="X55" s="311">
        <v>0</v>
      </c>
      <c r="Y55" s="311">
        <v>0</v>
      </c>
      <c r="Z55" s="211">
        <v>0</v>
      </c>
      <c r="AA55" s="212"/>
      <c r="AB55" s="213" t="e">
        <v>#DIV/0!</v>
      </c>
      <c r="AC55" s="214"/>
      <c r="AD55" s="215"/>
      <c r="AE55" s="342" t="s">
        <v>279</v>
      </c>
      <c r="AF55" s="341"/>
    </row>
    <row r="56" spans="1:32">
      <c r="A56" s="307">
        <v>4</v>
      </c>
      <c r="B56" s="342"/>
      <c r="C56" s="342" t="s">
        <v>180</v>
      </c>
      <c r="D56" s="340" t="s">
        <v>261</v>
      </c>
      <c r="E56" s="342"/>
      <c r="F56" s="345" t="s">
        <v>199</v>
      </c>
      <c r="G56" s="308">
        <v>1</v>
      </c>
      <c r="H56" s="309">
        <v>3700</v>
      </c>
      <c r="I56" s="309">
        <v>3700</v>
      </c>
      <c r="J56" s="211"/>
      <c r="K56" s="212" t="str">
        <f>IF(OR(J56="",G56=J56),"","*")</f>
        <v/>
      </c>
      <c r="L56" s="338" t="str">
        <f>IF($A56&lt;=L$1,I56/I$4,"")</f>
        <v/>
      </c>
      <c r="M56" s="343"/>
      <c r="N56" s="344"/>
      <c r="O56" s="310">
        <v>0</v>
      </c>
      <c r="P56" s="311">
        <v>0</v>
      </c>
      <c r="Q56" s="311">
        <v>0</v>
      </c>
      <c r="R56" s="211">
        <v>0</v>
      </c>
      <c r="S56" s="212"/>
      <c r="T56" s="213" t="e">
        <v>#DIV/0!</v>
      </c>
      <c r="U56" s="214"/>
      <c r="V56" s="215"/>
      <c r="W56" s="310">
        <v>0</v>
      </c>
      <c r="X56" s="311">
        <v>0</v>
      </c>
      <c r="Y56" s="311">
        <v>0</v>
      </c>
      <c r="Z56" s="211">
        <v>0</v>
      </c>
      <c r="AA56" s="212"/>
      <c r="AB56" s="213" t="e">
        <v>#DIV/0!</v>
      </c>
      <c r="AC56" s="214"/>
      <c r="AD56" s="215"/>
      <c r="AE56" s="342" t="s">
        <v>262</v>
      </c>
      <c r="AF56" s="341"/>
    </row>
    <row r="57" spans="1:32">
      <c r="A57" s="307">
        <v>3</v>
      </c>
      <c r="B57" s="342"/>
      <c r="C57" s="342" t="s">
        <v>232</v>
      </c>
      <c r="D57" s="340" t="s">
        <v>313</v>
      </c>
      <c r="E57" s="342" t="s">
        <v>174</v>
      </c>
      <c r="F57" s="345" t="s">
        <v>172</v>
      </c>
      <c r="G57" s="308">
        <v>6458</v>
      </c>
      <c r="H57" s="309">
        <v>3580</v>
      </c>
      <c r="I57" s="309">
        <v>23119640</v>
      </c>
      <c r="J57" s="211">
        <v>6458</v>
      </c>
      <c r="K57" s="212" t="str">
        <f>IF(OR(J57="",G57=J57),"","*")</f>
        <v/>
      </c>
      <c r="L57" s="338">
        <f>IF($A57&lt;=L$1,I57/I$4,"")</f>
        <v>0.40034008658008657</v>
      </c>
      <c r="M57" s="343"/>
      <c r="N57" s="344" t="s">
        <v>314</v>
      </c>
      <c r="O57" s="310">
        <v>0</v>
      </c>
      <c r="P57" s="311">
        <v>0</v>
      </c>
      <c r="Q57" s="311">
        <v>0</v>
      </c>
      <c r="R57" s="211">
        <v>0</v>
      </c>
      <c r="S57" s="212"/>
      <c r="T57" s="213" t="e">
        <v>#DIV/0!</v>
      </c>
      <c r="U57" s="214"/>
      <c r="V57" s="215"/>
      <c r="W57" s="310">
        <v>0</v>
      </c>
      <c r="X57" s="311">
        <v>0</v>
      </c>
      <c r="Y57" s="311">
        <v>0</v>
      </c>
      <c r="Z57" s="211">
        <v>0</v>
      </c>
      <c r="AA57" s="212"/>
      <c r="AB57" s="213" t="e">
        <v>#DIV/0!</v>
      </c>
      <c r="AC57" s="214"/>
      <c r="AD57" s="215"/>
      <c r="AE57" s="342"/>
      <c r="AF57" s="341" t="s">
        <v>315</v>
      </c>
    </row>
    <row r="58" spans="1:32">
      <c r="A58" s="307">
        <v>4</v>
      </c>
      <c r="B58" s="342"/>
      <c r="C58" s="342" t="s">
        <v>182</v>
      </c>
      <c r="D58" s="340" t="s">
        <v>316</v>
      </c>
      <c r="E58" s="342" t="s">
        <v>271</v>
      </c>
      <c r="F58" s="345" t="s">
        <v>172</v>
      </c>
      <c r="G58" s="308">
        <v>6458</v>
      </c>
      <c r="H58" s="309">
        <v>3580</v>
      </c>
      <c r="I58" s="309">
        <v>23119640</v>
      </c>
      <c r="J58" s="211"/>
      <c r="K58" s="212" t="str">
        <f>IF(OR(J58="",G58=J58),"","*")</f>
        <v/>
      </c>
      <c r="L58" s="338" t="str">
        <f>IF($A58&lt;=L$1,I58/I$4,"")</f>
        <v/>
      </c>
      <c r="M58" s="343"/>
      <c r="N58" s="344"/>
      <c r="O58" s="310">
        <v>0</v>
      </c>
      <c r="P58" s="311">
        <v>0</v>
      </c>
      <c r="Q58" s="311">
        <v>0</v>
      </c>
      <c r="R58" s="211">
        <v>0</v>
      </c>
      <c r="S58" s="212"/>
      <c r="T58" s="213" t="e">
        <v>#DIV/0!</v>
      </c>
      <c r="U58" s="214"/>
      <c r="V58" s="215"/>
      <c r="W58" s="310">
        <v>0</v>
      </c>
      <c r="X58" s="311">
        <v>0</v>
      </c>
      <c r="Y58" s="311">
        <v>0</v>
      </c>
      <c r="Z58" s="211">
        <v>0</v>
      </c>
      <c r="AA58" s="212"/>
      <c r="AB58" s="213" t="e">
        <v>#DIV/0!</v>
      </c>
      <c r="AC58" s="214"/>
      <c r="AD58" s="215"/>
      <c r="AE58" s="342"/>
      <c r="AF58" s="341"/>
    </row>
    <row r="59" spans="1:32">
      <c r="A59" s="307">
        <v>3</v>
      </c>
      <c r="B59" s="342"/>
      <c r="C59" s="342" t="s">
        <v>232</v>
      </c>
      <c r="D59" s="340" t="s">
        <v>317</v>
      </c>
      <c r="E59" s="342"/>
      <c r="F59" s="345" t="s">
        <v>172</v>
      </c>
      <c r="G59" s="308">
        <v>6458</v>
      </c>
      <c r="H59" s="309">
        <v>200</v>
      </c>
      <c r="I59" s="309">
        <v>1291600</v>
      </c>
      <c r="J59" s="211">
        <v>6458</v>
      </c>
      <c r="K59" s="212" t="str">
        <f>IF(OR(J59="",G59=J59),"","*")</f>
        <v/>
      </c>
      <c r="L59" s="338">
        <f>IF($A59&lt;=L$1,I59/I$4,"")</f>
        <v>2.2365367965367967E-2</v>
      </c>
      <c r="M59" s="343"/>
      <c r="N59" s="344" t="s">
        <v>318</v>
      </c>
      <c r="O59" s="310">
        <v>0</v>
      </c>
      <c r="P59" s="311">
        <v>0</v>
      </c>
      <c r="Q59" s="311">
        <v>0</v>
      </c>
      <c r="R59" s="211">
        <v>0</v>
      </c>
      <c r="S59" s="212"/>
      <c r="T59" s="213" t="e">
        <v>#DIV/0!</v>
      </c>
      <c r="U59" s="214"/>
      <c r="V59" s="215"/>
      <c r="W59" s="310">
        <v>0</v>
      </c>
      <c r="X59" s="311">
        <v>0</v>
      </c>
      <c r="Y59" s="311">
        <v>0</v>
      </c>
      <c r="Z59" s="211">
        <v>0</v>
      </c>
      <c r="AA59" s="212"/>
      <c r="AB59" s="213" t="e">
        <v>#DIV/0!</v>
      </c>
      <c r="AC59" s="214"/>
      <c r="AD59" s="215"/>
      <c r="AE59" s="342"/>
      <c r="AF59" s="341" t="s">
        <v>319</v>
      </c>
    </row>
    <row r="60" spans="1:32">
      <c r="A60" s="307">
        <v>4</v>
      </c>
      <c r="B60" s="342"/>
      <c r="C60" s="342" t="s">
        <v>182</v>
      </c>
      <c r="D60" s="340" t="s">
        <v>320</v>
      </c>
      <c r="E60" s="342" t="s">
        <v>271</v>
      </c>
      <c r="F60" s="345" t="s">
        <v>172</v>
      </c>
      <c r="G60" s="308">
        <v>6458</v>
      </c>
      <c r="H60" s="309">
        <v>200</v>
      </c>
      <c r="I60" s="309">
        <v>1291600</v>
      </c>
      <c r="J60" s="211"/>
      <c r="K60" s="212" t="str">
        <f>IF(OR(J60="",G60=J60),"","*")</f>
        <v/>
      </c>
      <c r="L60" s="338" t="str">
        <f>IF($A60&lt;=L$1,I60/I$4,"")</f>
        <v/>
      </c>
      <c r="M60" s="343"/>
      <c r="N60" s="344"/>
      <c r="O60" s="310">
        <v>0</v>
      </c>
      <c r="P60" s="311">
        <v>0</v>
      </c>
      <c r="Q60" s="311">
        <v>0</v>
      </c>
      <c r="R60" s="211">
        <v>0</v>
      </c>
      <c r="S60" s="212"/>
      <c r="T60" s="213" t="e">
        <v>#DIV/0!</v>
      </c>
      <c r="U60" s="214"/>
      <c r="V60" s="215"/>
      <c r="W60" s="310">
        <v>0</v>
      </c>
      <c r="X60" s="311">
        <v>0</v>
      </c>
      <c r="Y60" s="311">
        <v>0</v>
      </c>
      <c r="Z60" s="211">
        <v>0</v>
      </c>
      <c r="AA60" s="212"/>
      <c r="AB60" s="213" t="e">
        <v>#DIV/0!</v>
      </c>
      <c r="AC60" s="214"/>
      <c r="AD60" s="215"/>
      <c r="AE60" s="342"/>
      <c r="AF60" s="341"/>
    </row>
    <row r="61" spans="1:32">
      <c r="A61" s="307">
        <v>3</v>
      </c>
      <c r="B61" s="342"/>
      <c r="C61" s="342" t="s">
        <v>232</v>
      </c>
      <c r="D61" s="340" t="s">
        <v>321</v>
      </c>
      <c r="E61" s="342"/>
      <c r="F61" s="345" t="s">
        <v>172</v>
      </c>
      <c r="G61" s="308">
        <v>721</v>
      </c>
      <c r="H61" s="309">
        <v>1300</v>
      </c>
      <c r="I61" s="309">
        <v>937300</v>
      </c>
      <c r="J61" s="211">
        <v>721</v>
      </c>
      <c r="K61" s="212" t="str">
        <f>IF(OR(J61="",G61=J61),"","*")</f>
        <v/>
      </c>
      <c r="L61" s="338">
        <f>IF($A61&lt;=L$1,I61/I$4,"")</f>
        <v>1.6230303030303029E-2</v>
      </c>
      <c r="M61" s="343"/>
      <c r="N61" s="344" t="s">
        <v>322</v>
      </c>
      <c r="O61" s="310">
        <v>0</v>
      </c>
      <c r="P61" s="311">
        <v>0</v>
      </c>
      <c r="Q61" s="311">
        <v>0</v>
      </c>
      <c r="R61" s="211">
        <v>0</v>
      </c>
      <c r="S61" s="212"/>
      <c r="T61" s="213" t="e">
        <v>#DIV/0!</v>
      </c>
      <c r="U61" s="214"/>
      <c r="V61" s="215"/>
      <c r="W61" s="310">
        <v>0</v>
      </c>
      <c r="X61" s="311">
        <v>0</v>
      </c>
      <c r="Y61" s="311">
        <v>0</v>
      </c>
      <c r="Z61" s="211">
        <v>0</v>
      </c>
      <c r="AA61" s="212"/>
      <c r="AB61" s="213" t="e">
        <v>#DIV/0!</v>
      </c>
      <c r="AC61" s="214"/>
      <c r="AD61" s="215"/>
      <c r="AE61" s="342"/>
      <c r="AF61" s="341"/>
    </row>
    <row r="62" spans="1:32">
      <c r="A62" s="307">
        <v>4</v>
      </c>
      <c r="B62" s="342"/>
      <c r="C62" s="342" t="s">
        <v>182</v>
      </c>
      <c r="D62" s="340" t="s">
        <v>323</v>
      </c>
      <c r="E62" s="342" t="s">
        <v>266</v>
      </c>
      <c r="F62" s="345" t="s">
        <v>172</v>
      </c>
      <c r="G62" s="308">
        <v>721</v>
      </c>
      <c r="H62" s="309">
        <v>1300</v>
      </c>
      <c r="I62" s="309">
        <v>937300</v>
      </c>
      <c r="J62" s="211"/>
      <c r="K62" s="212" t="str">
        <f>IF(OR(J62="",G62=J62),"","*")</f>
        <v/>
      </c>
      <c r="L62" s="338" t="str">
        <f>IF($A62&lt;=L$1,I62/I$4,"")</f>
        <v/>
      </c>
      <c r="M62" s="343"/>
      <c r="N62" s="344"/>
      <c r="O62" s="310">
        <v>0</v>
      </c>
      <c r="P62" s="311">
        <v>0</v>
      </c>
      <c r="Q62" s="311">
        <v>0</v>
      </c>
      <c r="R62" s="211">
        <v>0</v>
      </c>
      <c r="S62" s="212"/>
      <c r="T62" s="213" t="e">
        <v>#DIV/0!</v>
      </c>
      <c r="U62" s="214"/>
      <c r="V62" s="215"/>
      <c r="W62" s="310">
        <v>0</v>
      </c>
      <c r="X62" s="311">
        <v>0</v>
      </c>
      <c r="Y62" s="311">
        <v>0</v>
      </c>
      <c r="Z62" s="211">
        <v>0</v>
      </c>
      <c r="AA62" s="212"/>
      <c r="AB62" s="213" t="e">
        <v>#DIV/0!</v>
      </c>
      <c r="AC62" s="214"/>
      <c r="AD62" s="215"/>
      <c r="AE62" s="342"/>
      <c r="AF62" s="341"/>
    </row>
    <row r="63" spans="1:32">
      <c r="A63" s="307">
        <v>3</v>
      </c>
      <c r="B63" s="342"/>
      <c r="C63" s="342" t="s">
        <v>232</v>
      </c>
      <c r="D63" s="340" t="s">
        <v>324</v>
      </c>
      <c r="E63" s="342" t="s">
        <v>175</v>
      </c>
      <c r="F63" s="345" t="s">
        <v>176</v>
      </c>
      <c r="G63" s="308">
        <v>293</v>
      </c>
      <c r="H63" s="309">
        <v>2000</v>
      </c>
      <c r="I63" s="309">
        <v>586000</v>
      </c>
      <c r="J63" s="211">
        <v>293</v>
      </c>
      <c r="K63" s="212" t="str">
        <f>IF(OR(J63="",G63=J63),"","*")</f>
        <v/>
      </c>
      <c r="L63" s="338">
        <f>IF($A63&lt;=L$1,I63/I$4,"")</f>
        <v>1.0147186147186148E-2</v>
      </c>
      <c r="M63" s="343"/>
      <c r="N63" s="344" t="s">
        <v>325</v>
      </c>
      <c r="O63" s="310">
        <v>0</v>
      </c>
      <c r="P63" s="311">
        <v>0</v>
      </c>
      <c r="Q63" s="311">
        <v>0</v>
      </c>
      <c r="R63" s="211">
        <v>0</v>
      </c>
      <c r="S63" s="212"/>
      <c r="T63" s="213" t="e">
        <v>#DIV/0!</v>
      </c>
      <c r="U63" s="214"/>
      <c r="V63" s="215"/>
      <c r="W63" s="310">
        <v>0</v>
      </c>
      <c r="X63" s="311">
        <v>0</v>
      </c>
      <c r="Y63" s="311">
        <v>0</v>
      </c>
      <c r="Z63" s="211">
        <v>0</v>
      </c>
      <c r="AA63" s="212"/>
      <c r="AB63" s="213" t="e">
        <v>#DIV/0!</v>
      </c>
      <c r="AC63" s="214"/>
      <c r="AD63" s="215"/>
      <c r="AE63" s="342"/>
      <c r="AF63" s="341"/>
    </row>
    <row r="64" spans="1:32">
      <c r="A64" s="307">
        <v>4</v>
      </c>
      <c r="B64" s="342"/>
      <c r="C64" s="342" t="s">
        <v>182</v>
      </c>
      <c r="D64" s="340" t="s">
        <v>326</v>
      </c>
      <c r="E64" s="342" t="s">
        <v>266</v>
      </c>
      <c r="F64" s="345" t="s">
        <v>176</v>
      </c>
      <c r="G64" s="308">
        <v>293</v>
      </c>
      <c r="H64" s="309">
        <v>2000</v>
      </c>
      <c r="I64" s="309">
        <v>586000</v>
      </c>
      <c r="J64" s="211"/>
      <c r="K64" s="212" t="str">
        <f>IF(OR(J64="",G64=J64),"","*")</f>
        <v/>
      </c>
      <c r="L64" s="338" t="str">
        <f>IF($A64&lt;=L$1,I64/I$4,"")</f>
        <v/>
      </c>
      <c r="M64" s="343"/>
      <c r="N64" s="344"/>
      <c r="O64" s="310">
        <v>0</v>
      </c>
      <c r="P64" s="311">
        <v>0</v>
      </c>
      <c r="Q64" s="311">
        <v>0</v>
      </c>
      <c r="R64" s="211">
        <v>0</v>
      </c>
      <c r="S64" s="212"/>
      <c r="T64" s="213" t="e">
        <v>#DIV/0!</v>
      </c>
      <c r="U64" s="214"/>
      <c r="V64" s="215"/>
      <c r="W64" s="310">
        <v>0</v>
      </c>
      <c r="X64" s="311">
        <v>0</v>
      </c>
      <c r="Y64" s="311">
        <v>0</v>
      </c>
      <c r="Z64" s="211">
        <v>0</v>
      </c>
      <c r="AA64" s="212"/>
      <c r="AB64" s="213" t="e">
        <v>#DIV/0!</v>
      </c>
      <c r="AC64" s="214"/>
      <c r="AD64" s="215"/>
      <c r="AE64" s="342"/>
      <c r="AF64" s="341"/>
    </row>
    <row r="65" spans="1:32">
      <c r="A65" s="307">
        <v>3</v>
      </c>
      <c r="B65" s="342"/>
      <c r="C65" s="342" t="s">
        <v>232</v>
      </c>
      <c r="D65" s="340" t="s">
        <v>327</v>
      </c>
      <c r="E65" s="342"/>
      <c r="F65" s="345" t="s">
        <v>177</v>
      </c>
      <c r="G65" s="308">
        <v>34</v>
      </c>
      <c r="H65" s="309">
        <v>3500</v>
      </c>
      <c r="I65" s="309">
        <v>119000</v>
      </c>
      <c r="J65" s="211">
        <v>34</v>
      </c>
      <c r="K65" s="212" t="str">
        <f>IF(OR(J65="",G65=J65),"","*")</f>
        <v/>
      </c>
      <c r="L65" s="338">
        <f>IF($A65&lt;=L$1,I65/I$4,"")</f>
        <v>2.0606060606060605E-3</v>
      </c>
      <c r="M65" s="343"/>
      <c r="N65" s="344" t="s">
        <v>328</v>
      </c>
      <c r="O65" s="310">
        <v>0</v>
      </c>
      <c r="P65" s="311">
        <v>0</v>
      </c>
      <c r="Q65" s="311">
        <v>0</v>
      </c>
      <c r="R65" s="211">
        <v>0</v>
      </c>
      <c r="S65" s="212"/>
      <c r="T65" s="213" t="e">
        <v>#DIV/0!</v>
      </c>
      <c r="U65" s="214"/>
      <c r="V65" s="215"/>
      <c r="W65" s="310">
        <v>0</v>
      </c>
      <c r="X65" s="311">
        <v>0</v>
      </c>
      <c r="Y65" s="311">
        <v>0</v>
      </c>
      <c r="Z65" s="211">
        <v>0</v>
      </c>
      <c r="AA65" s="212"/>
      <c r="AB65" s="213" t="e">
        <v>#DIV/0!</v>
      </c>
      <c r="AC65" s="214"/>
      <c r="AD65" s="215"/>
      <c r="AE65" s="342"/>
      <c r="AF65" s="341"/>
    </row>
    <row r="66" spans="1:32">
      <c r="A66" s="307">
        <v>4</v>
      </c>
      <c r="B66" s="342"/>
      <c r="C66" s="342" t="s">
        <v>182</v>
      </c>
      <c r="D66" s="340" t="s">
        <v>329</v>
      </c>
      <c r="E66" s="342" t="s">
        <v>266</v>
      </c>
      <c r="F66" s="345" t="s">
        <v>177</v>
      </c>
      <c r="G66" s="308">
        <v>34</v>
      </c>
      <c r="H66" s="309">
        <v>3500</v>
      </c>
      <c r="I66" s="309">
        <v>119000</v>
      </c>
      <c r="J66" s="211"/>
      <c r="K66" s="212" t="str">
        <f>IF(OR(J66="",G66=J66),"","*")</f>
        <v/>
      </c>
      <c r="L66" s="338" t="str">
        <f>IF($A66&lt;=L$1,I66/I$4,"")</f>
        <v/>
      </c>
      <c r="M66" s="343"/>
      <c r="N66" s="344"/>
      <c r="O66" s="310">
        <v>0</v>
      </c>
      <c r="P66" s="311">
        <v>0</v>
      </c>
      <c r="Q66" s="311">
        <v>0</v>
      </c>
      <c r="R66" s="211">
        <v>0</v>
      </c>
      <c r="S66" s="212"/>
      <c r="T66" s="213" t="e">
        <v>#DIV/0!</v>
      </c>
      <c r="U66" s="214"/>
      <c r="V66" s="215"/>
      <c r="W66" s="310">
        <v>0</v>
      </c>
      <c r="X66" s="311">
        <v>0</v>
      </c>
      <c r="Y66" s="311">
        <v>0</v>
      </c>
      <c r="Z66" s="211">
        <v>0</v>
      </c>
      <c r="AA66" s="212"/>
      <c r="AB66" s="213" t="e">
        <v>#DIV/0!</v>
      </c>
      <c r="AC66" s="214"/>
      <c r="AD66" s="215"/>
      <c r="AE66" s="342"/>
      <c r="AF66" s="341"/>
    </row>
    <row r="67" spans="1:32">
      <c r="A67" s="307">
        <v>3</v>
      </c>
      <c r="B67" s="342"/>
      <c r="C67" s="342" t="s">
        <v>232</v>
      </c>
      <c r="D67" s="340" t="s">
        <v>330</v>
      </c>
      <c r="E67" s="342" t="s">
        <v>178</v>
      </c>
      <c r="F67" s="345" t="s">
        <v>177</v>
      </c>
      <c r="G67" s="308">
        <v>28</v>
      </c>
      <c r="H67" s="309">
        <v>3000</v>
      </c>
      <c r="I67" s="309">
        <v>84000</v>
      </c>
      <c r="J67" s="211">
        <v>28</v>
      </c>
      <c r="K67" s="212" t="str">
        <f>IF(OR(J67="",G67=J67),"","*")</f>
        <v/>
      </c>
      <c r="L67" s="338">
        <f>IF($A67&lt;=L$1,I67/I$4,"")</f>
        <v>1.4545454545454545E-3</v>
      </c>
      <c r="M67" s="343"/>
      <c r="N67" s="344" t="s">
        <v>331</v>
      </c>
      <c r="O67" s="310">
        <v>0</v>
      </c>
      <c r="P67" s="311">
        <v>0</v>
      </c>
      <c r="Q67" s="311">
        <v>0</v>
      </c>
      <c r="R67" s="211">
        <v>0</v>
      </c>
      <c r="S67" s="212"/>
      <c r="T67" s="213" t="e">
        <v>#DIV/0!</v>
      </c>
      <c r="U67" s="214"/>
      <c r="V67" s="215"/>
      <c r="W67" s="310">
        <v>0</v>
      </c>
      <c r="X67" s="311">
        <v>0</v>
      </c>
      <c r="Y67" s="311">
        <v>0</v>
      </c>
      <c r="Z67" s="211">
        <v>0</v>
      </c>
      <c r="AA67" s="212"/>
      <c r="AB67" s="213" t="e">
        <v>#DIV/0!</v>
      </c>
      <c r="AC67" s="214"/>
      <c r="AD67" s="215"/>
      <c r="AE67" s="342"/>
      <c r="AF67" s="341"/>
    </row>
    <row r="68" spans="1:32">
      <c r="A68" s="307">
        <v>4</v>
      </c>
      <c r="B68" s="342"/>
      <c r="C68" s="342" t="s">
        <v>182</v>
      </c>
      <c r="D68" s="340" t="s">
        <v>332</v>
      </c>
      <c r="E68" s="342" t="s">
        <v>271</v>
      </c>
      <c r="F68" s="345" t="s">
        <v>177</v>
      </c>
      <c r="G68" s="308">
        <v>28</v>
      </c>
      <c r="H68" s="309">
        <v>3000</v>
      </c>
      <c r="I68" s="309">
        <v>84000</v>
      </c>
      <c r="J68" s="211"/>
      <c r="K68" s="212" t="str">
        <f>IF(OR(J68="",G68=J68),"","*")</f>
        <v/>
      </c>
      <c r="L68" s="338" t="str">
        <f>IF($A68&lt;=L$1,I68/I$4,"")</f>
        <v/>
      </c>
      <c r="M68" s="343"/>
      <c r="N68" s="344"/>
      <c r="O68" s="310">
        <v>0</v>
      </c>
      <c r="P68" s="311">
        <v>0</v>
      </c>
      <c r="Q68" s="311">
        <v>0</v>
      </c>
      <c r="R68" s="211">
        <v>0</v>
      </c>
      <c r="S68" s="212"/>
      <c r="T68" s="213" t="e">
        <v>#DIV/0!</v>
      </c>
      <c r="U68" s="214"/>
      <c r="V68" s="215"/>
      <c r="W68" s="310">
        <v>0</v>
      </c>
      <c r="X68" s="311">
        <v>0</v>
      </c>
      <c r="Y68" s="311">
        <v>0</v>
      </c>
      <c r="Z68" s="211">
        <v>0</v>
      </c>
      <c r="AA68" s="212"/>
      <c r="AB68" s="213" t="e">
        <v>#DIV/0!</v>
      </c>
      <c r="AC68" s="214"/>
      <c r="AD68" s="215"/>
      <c r="AE68" s="342"/>
      <c r="AF68" s="341"/>
    </row>
    <row r="69" spans="1:32">
      <c r="A69" s="307">
        <v>3</v>
      </c>
      <c r="B69" s="342"/>
      <c r="C69" s="342"/>
      <c r="D69" s="340" t="s">
        <v>282</v>
      </c>
      <c r="E69" s="342"/>
      <c r="F69" s="345" t="s">
        <v>199</v>
      </c>
      <c r="G69" s="308">
        <v>1</v>
      </c>
      <c r="H69" s="309">
        <v>0</v>
      </c>
      <c r="I69" s="309">
        <v>0</v>
      </c>
      <c r="J69" s="211"/>
      <c r="K69" s="212" t="str">
        <f>IF(OR(J69="",G69=J69),"","*")</f>
        <v/>
      </c>
      <c r="L69" s="338">
        <f>IF($A69&lt;=L$1,I69/I$4,"")</f>
        <v>0</v>
      </c>
      <c r="M69" s="343"/>
      <c r="N69" s="344"/>
      <c r="O69" s="310">
        <v>0</v>
      </c>
      <c r="P69" s="311">
        <v>0</v>
      </c>
      <c r="Q69" s="311">
        <v>0</v>
      </c>
      <c r="R69" s="211">
        <v>0</v>
      </c>
      <c r="S69" s="212"/>
      <c r="T69" s="213" t="e">
        <v>#DIV/0!</v>
      </c>
      <c r="U69" s="214"/>
      <c r="V69" s="215"/>
      <c r="W69" s="310">
        <v>0</v>
      </c>
      <c r="X69" s="311">
        <v>0</v>
      </c>
      <c r="Y69" s="311">
        <v>0</v>
      </c>
      <c r="Z69" s="211">
        <v>0</v>
      </c>
      <c r="AA69" s="212"/>
      <c r="AB69" s="213" t="e">
        <v>#DIV/0!</v>
      </c>
      <c r="AC69" s="214"/>
      <c r="AD69" s="215"/>
      <c r="AE69" s="342"/>
      <c r="AF69" s="341"/>
    </row>
    <row r="70" spans="1:32">
      <c r="A70" s="307">
        <v>3</v>
      </c>
      <c r="B70" s="342"/>
      <c r="C70" s="342" t="s">
        <v>232</v>
      </c>
      <c r="D70" s="340" t="s">
        <v>333</v>
      </c>
      <c r="E70" s="342" t="s">
        <v>179</v>
      </c>
      <c r="F70" s="345" t="s">
        <v>172</v>
      </c>
      <c r="G70" s="308">
        <v>721</v>
      </c>
      <c r="H70" s="309">
        <v>600</v>
      </c>
      <c r="I70" s="309">
        <v>432600</v>
      </c>
      <c r="J70" s="211">
        <v>721</v>
      </c>
      <c r="K70" s="212" t="str">
        <f>IF(OR(J70="",G70=J70),"","*")</f>
        <v/>
      </c>
      <c r="L70" s="338">
        <f>IF($A70&lt;=L$1,I70/I$4,"")</f>
        <v>7.4909090909090906E-3</v>
      </c>
      <c r="M70" s="343"/>
      <c r="N70" s="344" t="s">
        <v>334</v>
      </c>
      <c r="O70" s="310">
        <v>0</v>
      </c>
      <c r="P70" s="311">
        <v>0</v>
      </c>
      <c r="Q70" s="311">
        <v>0</v>
      </c>
      <c r="R70" s="211">
        <v>0</v>
      </c>
      <c r="S70" s="212"/>
      <c r="T70" s="213" t="e">
        <v>#DIV/0!</v>
      </c>
      <c r="U70" s="214"/>
      <c r="V70" s="215"/>
      <c r="W70" s="310">
        <v>0</v>
      </c>
      <c r="X70" s="311">
        <v>0</v>
      </c>
      <c r="Y70" s="311">
        <v>0</v>
      </c>
      <c r="Z70" s="211">
        <v>0</v>
      </c>
      <c r="AA70" s="212"/>
      <c r="AB70" s="213" t="e">
        <v>#DIV/0!</v>
      </c>
      <c r="AC70" s="214"/>
      <c r="AD70" s="215"/>
      <c r="AE70" s="342"/>
      <c r="AF70" s="341"/>
    </row>
    <row r="71" spans="1:32">
      <c r="A71" s="307">
        <v>4</v>
      </c>
      <c r="B71" s="342"/>
      <c r="C71" s="342" t="s">
        <v>182</v>
      </c>
      <c r="D71" s="340" t="s">
        <v>335</v>
      </c>
      <c r="E71" s="342" t="s">
        <v>266</v>
      </c>
      <c r="F71" s="345" t="s">
        <v>172</v>
      </c>
      <c r="G71" s="308">
        <v>721</v>
      </c>
      <c r="H71" s="309">
        <v>600</v>
      </c>
      <c r="I71" s="309">
        <v>432600</v>
      </c>
      <c r="J71" s="211"/>
      <c r="K71" s="212" t="str">
        <f>IF(OR(J71="",G71=J71),"","*")</f>
        <v/>
      </c>
      <c r="L71" s="338" t="str">
        <f>IF($A71&lt;=L$1,I71/I$4,"")</f>
        <v/>
      </c>
      <c r="M71" s="343"/>
      <c r="N71" s="344"/>
      <c r="O71" s="310">
        <v>0</v>
      </c>
      <c r="P71" s="311">
        <v>0</v>
      </c>
      <c r="Q71" s="311">
        <v>0</v>
      </c>
      <c r="R71" s="211">
        <v>0</v>
      </c>
      <c r="S71" s="212"/>
      <c r="T71" s="213" t="e">
        <v>#DIV/0!</v>
      </c>
      <c r="U71" s="214"/>
      <c r="V71" s="215"/>
      <c r="W71" s="310">
        <v>0</v>
      </c>
      <c r="X71" s="311">
        <v>0</v>
      </c>
      <c r="Y71" s="311">
        <v>0</v>
      </c>
      <c r="Z71" s="211">
        <v>0</v>
      </c>
      <c r="AA71" s="212"/>
      <c r="AB71" s="213" t="e">
        <v>#DIV/0!</v>
      </c>
      <c r="AC71" s="214"/>
      <c r="AD71" s="215"/>
      <c r="AE71" s="342"/>
      <c r="AF71" s="341"/>
    </row>
    <row r="72" spans="1:32">
      <c r="A72" s="307">
        <v>2</v>
      </c>
      <c r="B72" s="342"/>
      <c r="C72" s="342" t="s">
        <v>232</v>
      </c>
      <c r="D72" s="340" t="s">
        <v>336</v>
      </c>
      <c r="E72" s="342"/>
      <c r="F72" s="345" t="s">
        <v>199</v>
      </c>
      <c r="G72" s="308">
        <v>1</v>
      </c>
      <c r="H72" s="309">
        <v>10370622</v>
      </c>
      <c r="I72" s="309">
        <v>10370622</v>
      </c>
      <c r="J72" s="211">
        <v>1</v>
      </c>
      <c r="K72" s="212" t="str">
        <f>IF(OR(J72="",G72=J72),"","*")</f>
        <v/>
      </c>
      <c r="L72" s="338">
        <f>IF($A72&lt;=L$1,I72/I$4,"")</f>
        <v>0.17957787012987014</v>
      </c>
      <c r="M72" s="343"/>
      <c r="N72" s="344" t="s">
        <v>337</v>
      </c>
      <c r="O72" s="310">
        <v>0</v>
      </c>
      <c r="P72" s="311">
        <v>0</v>
      </c>
      <c r="Q72" s="311">
        <v>0</v>
      </c>
      <c r="R72" s="211">
        <v>0</v>
      </c>
      <c r="S72" s="212"/>
      <c r="T72" s="213" t="e">
        <v>#DIV/0!</v>
      </c>
      <c r="U72" s="214"/>
      <c r="V72" s="215"/>
      <c r="W72" s="310">
        <v>0</v>
      </c>
      <c r="X72" s="311">
        <v>0</v>
      </c>
      <c r="Y72" s="311">
        <v>0</v>
      </c>
      <c r="Z72" s="211">
        <v>0</v>
      </c>
      <c r="AA72" s="212"/>
      <c r="AB72" s="213" t="e">
        <v>#DIV/0!</v>
      </c>
      <c r="AC72" s="214"/>
      <c r="AD72" s="215"/>
      <c r="AE72" s="342"/>
      <c r="AF72" s="341"/>
    </row>
    <row r="73" spans="1:32">
      <c r="A73" s="307">
        <v>3</v>
      </c>
      <c r="B73" s="342"/>
      <c r="C73" s="342" t="s">
        <v>232</v>
      </c>
      <c r="D73" s="340" t="s">
        <v>338</v>
      </c>
      <c r="E73" s="342"/>
      <c r="F73" s="345" t="s">
        <v>176</v>
      </c>
      <c r="G73" s="308">
        <v>20</v>
      </c>
      <c r="H73" s="309">
        <v>9500</v>
      </c>
      <c r="I73" s="309">
        <v>190000</v>
      </c>
      <c r="J73" s="211">
        <v>20</v>
      </c>
      <c r="K73" s="212" t="str">
        <f>IF(OR(J73="",G73=J73),"","*")</f>
        <v/>
      </c>
      <c r="L73" s="338">
        <f>IF($A73&lt;=L$1,I73/I$4,"")</f>
        <v>3.29004329004329E-3</v>
      </c>
      <c r="M73" s="343"/>
      <c r="N73" s="344" t="s">
        <v>339</v>
      </c>
      <c r="O73" s="310">
        <v>0</v>
      </c>
      <c r="P73" s="311">
        <v>0</v>
      </c>
      <c r="Q73" s="311">
        <v>0</v>
      </c>
      <c r="R73" s="211">
        <v>0</v>
      </c>
      <c r="S73" s="212"/>
      <c r="T73" s="213" t="e">
        <v>#DIV/0!</v>
      </c>
      <c r="U73" s="214"/>
      <c r="V73" s="215"/>
      <c r="W73" s="310">
        <v>0</v>
      </c>
      <c r="X73" s="311">
        <v>0</v>
      </c>
      <c r="Y73" s="311">
        <v>0</v>
      </c>
      <c r="Z73" s="211">
        <v>0</v>
      </c>
      <c r="AA73" s="212"/>
      <c r="AB73" s="213" t="e">
        <v>#DIV/0!</v>
      </c>
      <c r="AC73" s="214"/>
      <c r="AD73" s="215"/>
      <c r="AE73" s="342"/>
      <c r="AF73" s="341"/>
    </row>
    <row r="74" spans="1:32">
      <c r="A74" s="307">
        <v>4</v>
      </c>
      <c r="B74" s="342"/>
      <c r="C74" s="342" t="s">
        <v>182</v>
      </c>
      <c r="D74" s="340" t="s">
        <v>340</v>
      </c>
      <c r="E74" s="342" t="s">
        <v>271</v>
      </c>
      <c r="F74" s="345" t="s">
        <v>176</v>
      </c>
      <c r="G74" s="308">
        <v>20</v>
      </c>
      <c r="H74" s="309">
        <v>9500</v>
      </c>
      <c r="I74" s="309">
        <v>190000</v>
      </c>
      <c r="J74" s="211"/>
      <c r="K74" s="212" t="str">
        <f>IF(OR(J74="",G74=J74),"","*")</f>
        <v/>
      </c>
      <c r="L74" s="338" t="str">
        <f>IF($A74&lt;=L$1,I74/I$4,"")</f>
        <v/>
      </c>
      <c r="M74" s="343"/>
      <c r="N74" s="344"/>
      <c r="O74" s="310">
        <v>0</v>
      </c>
      <c r="P74" s="311">
        <v>0</v>
      </c>
      <c r="Q74" s="311">
        <v>0</v>
      </c>
      <c r="R74" s="211">
        <v>0</v>
      </c>
      <c r="S74" s="212"/>
      <c r="T74" s="213" t="e">
        <v>#DIV/0!</v>
      </c>
      <c r="U74" s="214"/>
      <c r="V74" s="215"/>
      <c r="W74" s="310">
        <v>0</v>
      </c>
      <c r="X74" s="311">
        <v>0</v>
      </c>
      <c r="Y74" s="311">
        <v>0</v>
      </c>
      <c r="Z74" s="211">
        <v>0</v>
      </c>
      <c r="AA74" s="212"/>
      <c r="AB74" s="213" t="e">
        <v>#DIV/0!</v>
      </c>
      <c r="AC74" s="214"/>
      <c r="AD74" s="215"/>
      <c r="AE74" s="342"/>
      <c r="AF74" s="341"/>
    </row>
    <row r="75" spans="1:32">
      <c r="A75" s="307">
        <v>3</v>
      </c>
      <c r="B75" s="342"/>
      <c r="C75" s="342" t="s">
        <v>232</v>
      </c>
      <c r="D75" s="340" t="s">
        <v>341</v>
      </c>
      <c r="E75" s="342"/>
      <c r="F75" s="345" t="s">
        <v>177</v>
      </c>
      <c r="G75" s="308">
        <v>2</v>
      </c>
      <c r="H75" s="309">
        <v>65000</v>
      </c>
      <c r="I75" s="309">
        <v>130000</v>
      </c>
      <c r="J75" s="211">
        <v>2</v>
      </c>
      <c r="K75" s="212" t="str">
        <f>IF(OR(J75="",G75=J75),"","*")</f>
        <v/>
      </c>
      <c r="L75" s="338">
        <f>IF($A75&lt;=L$1,I75/I$4,"")</f>
        <v>2.2510822510822511E-3</v>
      </c>
      <c r="M75" s="343"/>
      <c r="N75" s="344" t="s">
        <v>342</v>
      </c>
      <c r="O75" s="310">
        <v>0</v>
      </c>
      <c r="P75" s="311">
        <v>0</v>
      </c>
      <c r="Q75" s="311">
        <v>0</v>
      </c>
      <c r="R75" s="211">
        <v>0</v>
      </c>
      <c r="S75" s="212"/>
      <c r="T75" s="213" t="e">
        <v>#DIV/0!</v>
      </c>
      <c r="U75" s="214"/>
      <c r="V75" s="215"/>
      <c r="W75" s="310">
        <v>0</v>
      </c>
      <c r="X75" s="311">
        <v>0</v>
      </c>
      <c r="Y75" s="311">
        <v>0</v>
      </c>
      <c r="Z75" s="211">
        <v>0</v>
      </c>
      <c r="AA75" s="212"/>
      <c r="AB75" s="213" t="e">
        <v>#DIV/0!</v>
      </c>
      <c r="AC75" s="214"/>
      <c r="AD75" s="215"/>
      <c r="AE75" s="342"/>
      <c r="AF75" s="341"/>
    </row>
    <row r="76" spans="1:32">
      <c r="A76" s="307">
        <v>4</v>
      </c>
      <c r="B76" s="342"/>
      <c r="C76" s="342" t="s">
        <v>182</v>
      </c>
      <c r="D76" s="340" t="s">
        <v>343</v>
      </c>
      <c r="E76" s="342" t="s">
        <v>266</v>
      </c>
      <c r="F76" s="345" t="s">
        <v>177</v>
      </c>
      <c r="G76" s="308">
        <v>2</v>
      </c>
      <c r="H76" s="309">
        <v>65000</v>
      </c>
      <c r="I76" s="309">
        <v>130000</v>
      </c>
      <c r="J76" s="211"/>
      <c r="K76" s="212" t="str">
        <f>IF(OR(J76="",G76=J76),"","*")</f>
        <v/>
      </c>
      <c r="L76" s="338" t="str">
        <f>IF($A76&lt;=L$1,I76/I$4,"")</f>
        <v/>
      </c>
      <c r="M76" s="343"/>
      <c r="N76" s="344"/>
      <c r="O76" s="310">
        <v>0</v>
      </c>
      <c r="P76" s="311">
        <v>0</v>
      </c>
      <c r="Q76" s="311">
        <v>0</v>
      </c>
      <c r="R76" s="211">
        <v>0</v>
      </c>
      <c r="S76" s="212"/>
      <c r="T76" s="213" t="e">
        <v>#DIV/0!</v>
      </c>
      <c r="U76" s="214"/>
      <c r="V76" s="215"/>
      <c r="W76" s="310">
        <v>0</v>
      </c>
      <c r="X76" s="311">
        <v>0</v>
      </c>
      <c r="Y76" s="311">
        <v>0</v>
      </c>
      <c r="Z76" s="211">
        <v>0</v>
      </c>
      <c r="AA76" s="212"/>
      <c r="AB76" s="213" t="e">
        <v>#DIV/0!</v>
      </c>
      <c r="AC76" s="214"/>
      <c r="AD76" s="215"/>
      <c r="AE76" s="342"/>
      <c r="AF76" s="341"/>
    </row>
    <row r="77" spans="1:32">
      <c r="A77" s="307">
        <v>3</v>
      </c>
      <c r="B77" s="342"/>
      <c r="C77" s="342" t="s">
        <v>232</v>
      </c>
      <c r="D77" s="340" t="s">
        <v>344</v>
      </c>
      <c r="E77" s="342"/>
      <c r="F77" s="345" t="s">
        <v>177</v>
      </c>
      <c r="G77" s="308">
        <v>1</v>
      </c>
      <c r="H77" s="309">
        <v>400000</v>
      </c>
      <c r="I77" s="309">
        <v>400000</v>
      </c>
      <c r="J77" s="211">
        <v>1</v>
      </c>
      <c r="K77" s="212" t="str">
        <f>IF(OR(J77="",G77=J77),"","*")</f>
        <v/>
      </c>
      <c r="L77" s="338">
        <f>IF($A77&lt;=L$1,I77/I$4,"")</f>
        <v>6.9264069264069264E-3</v>
      </c>
      <c r="M77" s="343"/>
      <c r="N77" s="344" t="s">
        <v>345</v>
      </c>
      <c r="O77" s="310">
        <v>0</v>
      </c>
      <c r="P77" s="311">
        <v>0</v>
      </c>
      <c r="Q77" s="311">
        <v>0</v>
      </c>
      <c r="R77" s="211">
        <v>0</v>
      </c>
      <c r="S77" s="212"/>
      <c r="T77" s="213" t="e">
        <v>#DIV/0!</v>
      </c>
      <c r="U77" s="214"/>
      <c r="V77" s="215"/>
      <c r="W77" s="310">
        <v>0</v>
      </c>
      <c r="X77" s="311">
        <v>0</v>
      </c>
      <c r="Y77" s="311">
        <v>0</v>
      </c>
      <c r="Z77" s="211">
        <v>0</v>
      </c>
      <c r="AA77" s="212"/>
      <c r="AB77" s="213" t="e">
        <v>#DIV/0!</v>
      </c>
      <c r="AC77" s="214"/>
      <c r="AD77" s="215"/>
      <c r="AE77" s="342"/>
      <c r="AF77" s="341"/>
    </row>
    <row r="78" spans="1:32">
      <c r="A78" s="307">
        <v>4</v>
      </c>
      <c r="B78" s="342"/>
      <c r="C78" s="342" t="s">
        <v>182</v>
      </c>
      <c r="D78" s="340" t="s">
        <v>346</v>
      </c>
      <c r="E78" s="342" t="s">
        <v>271</v>
      </c>
      <c r="F78" s="345" t="s">
        <v>177</v>
      </c>
      <c r="G78" s="308">
        <v>1</v>
      </c>
      <c r="H78" s="309">
        <v>400000</v>
      </c>
      <c r="I78" s="309">
        <v>400000</v>
      </c>
      <c r="J78" s="211"/>
      <c r="K78" s="212" t="str">
        <f>IF(OR(J78="",G78=J78),"","*")</f>
        <v/>
      </c>
      <c r="L78" s="338" t="str">
        <f>IF($A78&lt;=L$1,I78/I$4,"")</f>
        <v/>
      </c>
      <c r="M78" s="343"/>
      <c r="N78" s="344"/>
      <c r="O78" s="310">
        <v>0</v>
      </c>
      <c r="P78" s="311">
        <v>0</v>
      </c>
      <c r="Q78" s="311">
        <v>0</v>
      </c>
      <c r="R78" s="211">
        <v>0</v>
      </c>
      <c r="S78" s="212"/>
      <c r="T78" s="213" t="e">
        <v>#DIV/0!</v>
      </c>
      <c r="U78" s="214"/>
      <c r="V78" s="215"/>
      <c r="W78" s="310">
        <v>0</v>
      </c>
      <c r="X78" s="311">
        <v>0</v>
      </c>
      <c r="Y78" s="311">
        <v>0</v>
      </c>
      <c r="Z78" s="211">
        <v>0</v>
      </c>
      <c r="AA78" s="212"/>
      <c r="AB78" s="213" t="e">
        <v>#DIV/0!</v>
      </c>
      <c r="AC78" s="214"/>
      <c r="AD78" s="215"/>
      <c r="AE78" s="342"/>
      <c r="AF78" s="341"/>
    </row>
    <row r="79" spans="1:32">
      <c r="A79" s="307">
        <v>3</v>
      </c>
      <c r="B79" s="342"/>
      <c r="C79" s="342" t="s">
        <v>232</v>
      </c>
      <c r="D79" s="340" t="s">
        <v>347</v>
      </c>
      <c r="E79" s="342"/>
      <c r="F79" s="345" t="s">
        <v>177</v>
      </c>
      <c r="G79" s="308">
        <v>1</v>
      </c>
      <c r="H79" s="309">
        <v>8000</v>
      </c>
      <c r="I79" s="309">
        <v>8000</v>
      </c>
      <c r="J79" s="211">
        <v>1</v>
      </c>
      <c r="K79" s="212" t="str">
        <f>IF(OR(J79="",G79=J79),"","*")</f>
        <v/>
      </c>
      <c r="L79" s="338">
        <f>IF($A79&lt;=L$1,I79/I$4,"")</f>
        <v>1.3852813852813852E-4</v>
      </c>
      <c r="M79" s="343"/>
      <c r="N79" s="344" t="s">
        <v>348</v>
      </c>
      <c r="O79" s="310">
        <v>0</v>
      </c>
      <c r="P79" s="311">
        <v>0</v>
      </c>
      <c r="Q79" s="311">
        <v>0</v>
      </c>
      <c r="R79" s="211">
        <v>0</v>
      </c>
      <c r="S79" s="212"/>
      <c r="T79" s="213" t="e">
        <v>#DIV/0!</v>
      </c>
      <c r="U79" s="214"/>
      <c r="V79" s="215"/>
      <c r="W79" s="310">
        <v>0</v>
      </c>
      <c r="X79" s="311">
        <v>0</v>
      </c>
      <c r="Y79" s="311">
        <v>0</v>
      </c>
      <c r="Z79" s="211">
        <v>0</v>
      </c>
      <c r="AA79" s="212"/>
      <c r="AB79" s="213" t="e">
        <v>#DIV/0!</v>
      </c>
      <c r="AC79" s="214"/>
      <c r="AD79" s="215"/>
      <c r="AE79" s="342"/>
      <c r="AF79" s="341"/>
    </row>
    <row r="80" spans="1:32">
      <c r="A80" s="307">
        <v>4</v>
      </c>
      <c r="B80" s="342"/>
      <c r="C80" s="342" t="s">
        <v>182</v>
      </c>
      <c r="D80" s="340" t="s">
        <v>349</v>
      </c>
      <c r="E80" s="342" t="s">
        <v>266</v>
      </c>
      <c r="F80" s="345" t="s">
        <v>177</v>
      </c>
      <c r="G80" s="308">
        <v>1</v>
      </c>
      <c r="H80" s="309">
        <v>8000</v>
      </c>
      <c r="I80" s="309">
        <v>8000</v>
      </c>
      <c r="J80" s="211"/>
      <c r="K80" s="212" t="str">
        <f>IF(OR(J80="",G80=J80),"","*")</f>
        <v/>
      </c>
      <c r="L80" s="338" t="str">
        <f>IF($A80&lt;=L$1,I80/I$4,"")</f>
        <v/>
      </c>
      <c r="M80" s="343"/>
      <c r="N80" s="344"/>
      <c r="O80" s="310">
        <v>0</v>
      </c>
      <c r="P80" s="311">
        <v>0</v>
      </c>
      <c r="Q80" s="311">
        <v>0</v>
      </c>
      <c r="R80" s="211">
        <v>0</v>
      </c>
      <c r="S80" s="212"/>
      <c r="T80" s="213" t="e">
        <v>#DIV/0!</v>
      </c>
      <c r="U80" s="214"/>
      <c r="V80" s="215"/>
      <c r="W80" s="310">
        <v>0</v>
      </c>
      <c r="X80" s="311">
        <v>0</v>
      </c>
      <c r="Y80" s="311">
        <v>0</v>
      </c>
      <c r="Z80" s="211">
        <v>0</v>
      </c>
      <c r="AA80" s="212"/>
      <c r="AB80" s="213" t="e">
        <v>#DIV/0!</v>
      </c>
      <c r="AC80" s="214"/>
      <c r="AD80" s="215"/>
      <c r="AE80" s="342"/>
      <c r="AF80" s="341"/>
    </row>
    <row r="81" spans="1:32">
      <c r="A81" s="307">
        <v>3</v>
      </c>
      <c r="B81" s="342"/>
      <c r="C81" s="342" t="s">
        <v>232</v>
      </c>
      <c r="D81" s="340" t="s">
        <v>350</v>
      </c>
      <c r="E81" s="342" t="s">
        <v>351</v>
      </c>
      <c r="F81" s="345" t="s">
        <v>172</v>
      </c>
      <c r="G81" s="308">
        <v>736</v>
      </c>
      <c r="H81" s="309">
        <v>2000</v>
      </c>
      <c r="I81" s="309">
        <v>1472000</v>
      </c>
      <c r="J81" s="211">
        <v>736</v>
      </c>
      <c r="K81" s="212" t="str">
        <f>IF(OR(J81="",G81=J81),"","*")</f>
        <v/>
      </c>
      <c r="L81" s="338">
        <f>IF($A81&lt;=L$1,I81/I$4,"")</f>
        <v>2.5489177489177488E-2</v>
      </c>
      <c r="M81" s="343"/>
      <c r="N81" s="344" t="s">
        <v>352</v>
      </c>
      <c r="O81" s="310">
        <v>0</v>
      </c>
      <c r="P81" s="311">
        <v>0</v>
      </c>
      <c r="Q81" s="311">
        <v>0</v>
      </c>
      <c r="R81" s="211">
        <v>0</v>
      </c>
      <c r="S81" s="212"/>
      <c r="T81" s="213" t="e">
        <v>#DIV/0!</v>
      </c>
      <c r="U81" s="214"/>
      <c r="V81" s="215"/>
      <c r="W81" s="310">
        <v>0</v>
      </c>
      <c r="X81" s="311">
        <v>0</v>
      </c>
      <c r="Y81" s="311">
        <v>0</v>
      </c>
      <c r="Z81" s="211">
        <v>0</v>
      </c>
      <c r="AA81" s="212"/>
      <c r="AB81" s="213" t="e">
        <v>#DIV/0!</v>
      </c>
      <c r="AC81" s="214"/>
      <c r="AD81" s="215"/>
      <c r="AE81" s="342"/>
      <c r="AF81" s="341"/>
    </row>
    <row r="82" spans="1:32">
      <c r="A82" s="307">
        <v>4</v>
      </c>
      <c r="B82" s="342"/>
      <c r="C82" s="342" t="s">
        <v>182</v>
      </c>
      <c r="D82" s="340" t="s">
        <v>353</v>
      </c>
      <c r="E82" s="342" t="s">
        <v>271</v>
      </c>
      <c r="F82" s="345" t="s">
        <v>172</v>
      </c>
      <c r="G82" s="308">
        <v>736</v>
      </c>
      <c r="H82" s="309">
        <v>2000</v>
      </c>
      <c r="I82" s="309">
        <v>1472000</v>
      </c>
      <c r="J82" s="211"/>
      <c r="K82" s="212" t="str">
        <f>IF(OR(J82="",G82=J82),"","*")</f>
        <v/>
      </c>
      <c r="L82" s="338" t="str">
        <f>IF($A82&lt;=L$1,I82/I$4,"")</f>
        <v/>
      </c>
      <c r="M82" s="343"/>
      <c r="N82" s="344"/>
      <c r="O82" s="310">
        <v>0</v>
      </c>
      <c r="P82" s="311">
        <v>0</v>
      </c>
      <c r="Q82" s="311">
        <v>0</v>
      </c>
      <c r="R82" s="211">
        <v>0</v>
      </c>
      <c r="S82" s="212"/>
      <c r="T82" s="213" t="e">
        <v>#DIV/0!</v>
      </c>
      <c r="U82" s="214"/>
      <c r="V82" s="215"/>
      <c r="W82" s="310">
        <v>0</v>
      </c>
      <c r="X82" s="311">
        <v>0</v>
      </c>
      <c r="Y82" s="311">
        <v>0</v>
      </c>
      <c r="Z82" s="211">
        <v>0</v>
      </c>
      <c r="AA82" s="212"/>
      <c r="AB82" s="213" t="e">
        <v>#DIV/0!</v>
      </c>
      <c r="AC82" s="214"/>
      <c r="AD82" s="215"/>
      <c r="AE82" s="342"/>
      <c r="AF82" s="341"/>
    </row>
    <row r="83" spans="1:32">
      <c r="A83" s="307">
        <v>3</v>
      </c>
      <c r="B83" s="342"/>
      <c r="C83" s="342" t="s">
        <v>232</v>
      </c>
      <c r="D83" s="340" t="s">
        <v>354</v>
      </c>
      <c r="E83" s="342" t="s">
        <v>355</v>
      </c>
      <c r="F83" s="345" t="s">
        <v>177</v>
      </c>
      <c r="G83" s="308">
        <v>37</v>
      </c>
      <c r="H83" s="309">
        <v>40000</v>
      </c>
      <c r="I83" s="309">
        <v>1480000</v>
      </c>
      <c r="J83" s="211">
        <v>37</v>
      </c>
      <c r="K83" s="212" t="str">
        <f>IF(OR(J83="",G83=J83),"","*")</f>
        <v/>
      </c>
      <c r="L83" s="338">
        <f>IF($A83&lt;=L$1,I83/I$4,"")</f>
        <v>2.5627705627705628E-2</v>
      </c>
      <c r="M83" s="343"/>
      <c r="N83" s="344" t="s">
        <v>356</v>
      </c>
      <c r="O83" s="310">
        <v>0</v>
      </c>
      <c r="P83" s="311">
        <v>0</v>
      </c>
      <c r="Q83" s="311">
        <v>0</v>
      </c>
      <c r="R83" s="211">
        <v>0</v>
      </c>
      <c r="S83" s="212"/>
      <c r="T83" s="213" t="e">
        <v>#DIV/0!</v>
      </c>
      <c r="U83" s="214"/>
      <c r="V83" s="215"/>
      <c r="W83" s="310">
        <v>0</v>
      </c>
      <c r="X83" s="311">
        <v>0</v>
      </c>
      <c r="Y83" s="311">
        <v>0</v>
      </c>
      <c r="Z83" s="211">
        <v>0</v>
      </c>
      <c r="AA83" s="212"/>
      <c r="AB83" s="213" t="e">
        <v>#DIV/0!</v>
      </c>
      <c r="AC83" s="214"/>
      <c r="AD83" s="215"/>
      <c r="AE83" s="342"/>
      <c r="AF83" s="341" t="s">
        <v>357</v>
      </c>
    </row>
    <row r="84" spans="1:32">
      <c r="A84" s="307">
        <v>4</v>
      </c>
      <c r="B84" s="342"/>
      <c r="C84" s="342" t="s">
        <v>182</v>
      </c>
      <c r="D84" s="340" t="s">
        <v>358</v>
      </c>
      <c r="E84" s="342" t="s">
        <v>271</v>
      </c>
      <c r="F84" s="345" t="s">
        <v>177</v>
      </c>
      <c r="G84" s="308">
        <v>37</v>
      </c>
      <c r="H84" s="309">
        <v>40000</v>
      </c>
      <c r="I84" s="309">
        <v>1480000</v>
      </c>
      <c r="J84" s="211"/>
      <c r="K84" s="212" t="str">
        <f>IF(OR(J84="",G84=J84),"","*")</f>
        <v/>
      </c>
      <c r="L84" s="338" t="str">
        <f>IF($A84&lt;=L$1,I84/I$4,"")</f>
        <v/>
      </c>
      <c r="M84" s="343"/>
      <c r="N84" s="344"/>
      <c r="O84" s="310">
        <v>0</v>
      </c>
      <c r="P84" s="311">
        <v>0</v>
      </c>
      <c r="Q84" s="311">
        <v>0</v>
      </c>
      <c r="R84" s="211">
        <v>0</v>
      </c>
      <c r="S84" s="212"/>
      <c r="T84" s="213" t="e">
        <v>#DIV/0!</v>
      </c>
      <c r="U84" s="214"/>
      <c r="V84" s="215"/>
      <c r="W84" s="310">
        <v>0</v>
      </c>
      <c r="X84" s="311">
        <v>0</v>
      </c>
      <c r="Y84" s="311">
        <v>0</v>
      </c>
      <c r="Z84" s="211">
        <v>0</v>
      </c>
      <c r="AA84" s="212"/>
      <c r="AB84" s="213" t="e">
        <v>#DIV/0!</v>
      </c>
      <c r="AC84" s="214"/>
      <c r="AD84" s="215"/>
      <c r="AE84" s="342"/>
      <c r="AF84" s="341"/>
    </row>
    <row r="85" spans="1:32">
      <c r="A85" s="307">
        <v>3</v>
      </c>
      <c r="B85" s="342"/>
      <c r="C85" s="342" t="s">
        <v>232</v>
      </c>
      <c r="D85" s="340" t="s">
        <v>359</v>
      </c>
      <c r="E85" s="342" t="s">
        <v>355</v>
      </c>
      <c r="F85" s="345" t="s">
        <v>177</v>
      </c>
      <c r="G85" s="308">
        <v>7</v>
      </c>
      <c r="H85" s="309">
        <v>55000</v>
      </c>
      <c r="I85" s="309">
        <v>385000</v>
      </c>
      <c r="J85" s="211">
        <v>7</v>
      </c>
      <c r="K85" s="212" t="str">
        <f>IF(OR(J85="",G85=J85),"","*")</f>
        <v/>
      </c>
      <c r="L85" s="338">
        <f>IF($A85&lt;=L$1,I85/I$4,"")</f>
        <v>6.6666666666666671E-3</v>
      </c>
      <c r="M85" s="343"/>
      <c r="N85" s="344" t="s">
        <v>360</v>
      </c>
      <c r="O85" s="310">
        <v>0</v>
      </c>
      <c r="P85" s="311">
        <v>0</v>
      </c>
      <c r="Q85" s="311">
        <v>0</v>
      </c>
      <c r="R85" s="211">
        <v>0</v>
      </c>
      <c r="S85" s="212"/>
      <c r="T85" s="213" t="e">
        <v>#DIV/0!</v>
      </c>
      <c r="U85" s="214"/>
      <c r="V85" s="215"/>
      <c r="W85" s="310">
        <v>0</v>
      </c>
      <c r="X85" s="311">
        <v>0</v>
      </c>
      <c r="Y85" s="311">
        <v>0</v>
      </c>
      <c r="Z85" s="211">
        <v>0</v>
      </c>
      <c r="AA85" s="212"/>
      <c r="AB85" s="213" t="e">
        <v>#DIV/0!</v>
      </c>
      <c r="AC85" s="214"/>
      <c r="AD85" s="215"/>
      <c r="AE85" s="342"/>
      <c r="AF85" s="341" t="s">
        <v>357</v>
      </c>
    </row>
    <row r="86" spans="1:32">
      <c r="A86" s="307">
        <v>4</v>
      </c>
      <c r="B86" s="342"/>
      <c r="C86" s="342" t="s">
        <v>182</v>
      </c>
      <c r="D86" s="340" t="s">
        <v>361</v>
      </c>
      <c r="E86" s="342" t="s">
        <v>271</v>
      </c>
      <c r="F86" s="345" t="s">
        <v>177</v>
      </c>
      <c r="G86" s="308">
        <v>7</v>
      </c>
      <c r="H86" s="309">
        <v>55000</v>
      </c>
      <c r="I86" s="309">
        <v>385000</v>
      </c>
      <c r="J86" s="211"/>
      <c r="K86" s="212" t="str">
        <f>IF(OR(J86="",G86=J86),"","*")</f>
        <v/>
      </c>
      <c r="L86" s="338" t="str">
        <f>IF($A86&lt;=L$1,I86/I$4,"")</f>
        <v/>
      </c>
      <c r="M86" s="343"/>
      <c r="N86" s="344"/>
      <c r="O86" s="310">
        <v>0</v>
      </c>
      <c r="P86" s="311">
        <v>0</v>
      </c>
      <c r="Q86" s="311">
        <v>0</v>
      </c>
      <c r="R86" s="211">
        <v>0</v>
      </c>
      <c r="S86" s="212"/>
      <c r="T86" s="213" t="e">
        <v>#DIV/0!</v>
      </c>
      <c r="U86" s="214"/>
      <c r="V86" s="215"/>
      <c r="W86" s="310">
        <v>0</v>
      </c>
      <c r="X86" s="311">
        <v>0</v>
      </c>
      <c r="Y86" s="311">
        <v>0</v>
      </c>
      <c r="Z86" s="211">
        <v>0</v>
      </c>
      <c r="AA86" s="212"/>
      <c r="AB86" s="213" t="e">
        <v>#DIV/0!</v>
      </c>
      <c r="AC86" s="214"/>
      <c r="AD86" s="215"/>
      <c r="AE86" s="342"/>
      <c r="AF86" s="341"/>
    </row>
    <row r="87" spans="1:32">
      <c r="A87" s="307">
        <v>3</v>
      </c>
      <c r="B87" s="342"/>
      <c r="C87" s="342" t="s">
        <v>232</v>
      </c>
      <c r="D87" s="340" t="s">
        <v>362</v>
      </c>
      <c r="E87" s="342" t="s">
        <v>363</v>
      </c>
      <c r="F87" s="345" t="s">
        <v>177</v>
      </c>
      <c r="G87" s="308">
        <v>1</v>
      </c>
      <c r="H87" s="309">
        <v>31000</v>
      </c>
      <c r="I87" s="309">
        <v>31000</v>
      </c>
      <c r="J87" s="211">
        <v>1</v>
      </c>
      <c r="K87" s="212" t="str">
        <f>IF(OR(J87="",G87=J87),"","*")</f>
        <v/>
      </c>
      <c r="L87" s="338">
        <f>IF($A87&lt;=L$1,I87/I$4,"")</f>
        <v>5.3679653679653677E-4</v>
      </c>
      <c r="M87" s="343"/>
      <c r="N87" s="344" t="s">
        <v>364</v>
      </c>
      <c r="O87" s="310">
        <v>0</v>
      </c>
      <c r="P87" s="311">
        <v>0</v>
      </c>
      <c r="Q87" s="311">
        <v>0</v>
      </c>
      <c r="R87" s="211">
        <v>0</v>
      </c>
      <c r="S87" s="212"/>
      <c r="T87" s="213" t="e">
        <v>#DIV/0!</v>
      </c>
      <c r="U87" s="214"/>
      <c r="V87" s="215"/>
      <c r="W87" s="310">
        <v>0</v>
      </c>
      <c r="X87" s="311">
        <v>0</v>
      </c>
      <c r="Y87" s="311">
        <v>0</v>
      </c>
      <c r="Z87" s="211">
        <v>0</v>
      </c>
      <c r="AA87" s="212"/>
      <c r="AB87" s="213" t="e">
        <v>#DIV/0!</v>
      </c>
      <c r="AC87" s="214"/>
      <c r="AD87" s="215"/>
      <c r="AE87" s="342"/>
      <c r="AF87" s="341"/>
    </row>
    <row r="88" spans="1:32">
      <c r="A88" s="307">
        <v>4</v>
      </c>
      <c r="B88" s="342"/>
      <c r="C88" s="342" t="s">
        <v>182</v>
      </c>
      <c r="D88" s="340" t="s">
        <v>365</v>
      </c>
      <c r="E88" s="342" t="s">
        <v>271</v>
      </c>
      <c r="F88" s="345" t="s">
        <v>177</v>
      </c>
      <c r="G88" s="308">
        <v>1</v>
      </c>
      <c r="H88" s="309">
        <v>31000</v>
      </c>
      <c r="I88" s="309">
        <v>31000</v>
      </c>
      <c r="J88" s="211"/>
      <c r="K88" s="212" t="str">
        <f>IF(OR(J88="",G88=J88),"","*")</f>
        <v/>
      </c>
      <c r="L88" s="338" t="str">
        <f>IF($A88&lt;=L$1,I88/I$4,"")</f>
        <v/>
      </c>
      <c r="M88" s="343"/>
      <c r="N88" s="344"/>
      <c r="O88" s="310">
        <v>0</v>
      </c>
      <c r="P88" s="311">
        <v>0</v>
      </c>
      <c r="Q88" s="311">
        <v>0</v>
      </c>
      <c r="R88" s="211">
        <v>0</v>
      </c>
      <c r="S88" s="212"/>
      <c r="T88" s="213" t="e">
        <v>#DIV/0!</v>
      </c>
      <c r="U88" s="214"/>
      <c r="V88" s="215"/>
      <c r="W88" s="310">
        <v>0</v>
      </c>
      <c r="X88" s="311">
        <v>0</v>
      </c>
      <c r="Y88" s="311">
        <v>0</v>
      </c>
      <c r="Z88" s="211">
        <v>0</v>
      </c>
      <c r="AA88" s="212"/>
      <c r="AB88" s="213" t="e">
        <v>#DIV/0!</v>
      </c>
      <c r="AC88" s="214"/>
      <c r="AD88" s="215"/>
      <c r="AE88" s="342"/>
      <c r="AF88" s="341"/>
    </row>
    <row r="89" spans="1:32">
      <c r="A89" s="307">
        <v>3</v>
      </c>
      <c r="B89" s="342"/>
      <c r="C89" s="342" t="s">
        <v>232</v>
      </c>
      <c r="D89" s="340" t="s">
        <v>366</v>
      </c>
      <c r="E89" s="342" t="s">
        <v>367</v>
      </c>
      <c r="F89" s="345" t="s">
        <v>177</v>
      </c>
      <c r="G89" s="308">
        <v>1</v>
      </c>
      <c r="H89" s="309">
        <v>161365</v>
      </c>
      <c r="I89" s="309">
        <v>161365</v>
      </c>
      <c r="J89" s="211">
        <v>1</v>
      </c>
      <c r="K89" s="212" t="str">
        <f>IF(OR(J89="",G89=J89),"","*")</f>
        <v/>
      </c>
      <c r="L89" s="338">
        <f>IF($A89&lt;=L$1,I89/I$4,"")</f>
        <v>2.7941991341991343E-3</v>
      </c>
      <c r="M89" s="343"/>
      <c r="N89" s="344" t="s">
        <v>368</v>
      </c>
      <c r="O89" s="310">
        <v>0</v>
      </c>
      <c r="P89" s="311">
        <v>0</v>
      </c>
      <c r="Q89" s="311">
        <v>0</v>
      </c>
      <c r="R89" s="211">
        <v>0</v>
      </c>
      <c r="S89" s="212"/>
      <c r="T89" s="213" t="e">
        <v>#DIV/0!</v>
      </c>
      <c r="U89" s="214"/>
      <c r="V89" s="215"/>
      <c r="W89" s="310">
        <v>0</v>
      </c>
      <c r="X89" s="311">
        <v>0</v>
      </c>
      <c r="Y89" s="311">
        <v>0</v>
      </c>
      <c r="Z89" s="211">
        <v>0</v>
      </c>
      <c r="AA89" s="212"/>
      <c r="AB89" s="213" t="e">
        <v>#DIV/0!</v>
      </c>
      <c r="AC89" s="214"/>
      <c r="AD89" s="215"/>
      <c r="AE89" s="342"/>
      <c r="AF89" s="341"/>
    </row>
    <row r="90" spans="1:32">
      <c r="A90" s="307">
        <v>4</v>
      </c>
      <c r="B90" s="342"/>
      <c r="C90" s="342" t="s">
        <v>182</v>
      </c>
      <c r="D90" s="340" t="s">
        <v>369</v>
      </c>
      <c r="E90" s="342" t="s">
        <v>271</v>
      </c>
      <c r="F90" s="345" t="s">
        <v>177</v>
      </c>
      <c r="G90" s="308">
        <v>1</v>
      </c>
      <c r="H90" s="309">
        <v>161365</v>
      </c>
      <c r="I90" s="309">
        <v>161365</v>
      </c>
      <c r="J90" s="211"/>
      <c r="K90" s="212" t="str">
        <f>IF(OR(J90="",G90=J90),"","*")</f>
        <v/>
      </c>
      <c r="L90" s="338" t="str">
        <f>IF($A90&lt;=L$1,I90/I$4,"")</f>
        <v/>
      </c>
      <c r="M90" s="343"/>
      <c r="N90" s="344"/>
      <c r="O90" s="310">
        <v>0</v>
      </c>
      <c r="P90" s="311">
        <v>0</v>
      </c>
      <c r="Q90" s="311">
        <v>0</v>
      </c>
      <c r="R90" s="211">
        <v>0</v>
      </c>
      <c r="S90" s="212"/>
      <c r="T90" s="213" t="e">
        <v>#DIV/0!</v>
      </c>
      <c r="U90" s="214"/>
      <c r="V90" s="215"/>
      <c r="W90" s="310">
        <v>0</v>
      </c>
      <c r="X90" s="311">
        <v>0</v>
      </c>
      <c r="Y90" s="311">
        <v>0</v>
      </c>
      <c r="Z90" s="211">
        <v>0</v>
      </c>
      <c r="AA90" s="212"/>
      <c r="AB90" s="213" t="e">
        <v>#DIV/0!</v>
      </c>
      <c r="AC90" s="214"/>
      <c r="AD90" s="215"/>
      <c r="AE90" s="342"/>
      <c r="AF90" s="341"/>
    </row>
    <row r="91" spans="1:32">
      <c r="A91" s="307">
        <v>3</v>
      </c>
      <c r="B91" s="342"/>
      <c r="C91" s="342" t="s">
        <v>232</v>
      </c>
      <c r="D91" s="340" t="s">
        <v>370</v>
      </c>
      <c r="E91" s="342" t="s">
        <v>371</v>
      </c>
      <c r="F91" s="345" t="s">
        <v>176</v>
      </c>
      <c r="G91" s="308">
        <v>97</v>
      </c>
      <c r="H91" s="309">
        <v>6100</v>
      </c>
      <c r="I91" s="309">
        <v>591700</v>
      </c>
      <c r="J91" s="211">
        <v>97</v>
      </c>
      <c r="K91" s="212" t="str">
        <f>IF(OR(J91="",G91=J91),"","*")</f>
        <v/>
      </c>
      <c r="L91" s="338">
        <f>IF($A91&lt;=L$1,I91/I$4,"")</f>
        <v>1.0245887445887445E-2</v>
      </c>
      <c r="M91" s="343"/>
      <c r="N91" s="344" t="s">
        <v>372</v>
      </c>
      <c r="O91" s="310">
        <v>0</v>
      </c>
      <c r="P91" s="311">
        <v>0</v>
      </c>
      <c r="Q91" s="311">
        <v>0</v>
      </c>
      <c r="R91" s="211">
        <v>0</v>
      </c>
      <c r="S91" s="212"/>
      <c r="T91" s="213" t="e">
        <v>#DIV/0!</v>
      </c>
      <c r="U91" s="214"/>
      <c r="V91" s="215"/>
      <c r="W91" s="310">
        <v>0</v>
      </c>
      <c r="X91" s="311">
        <v>0</v>
      </c>
      <c r="Y91" s="311">
        <v>0</v>
      </c>
      <c r="Z91" s="211">
        <v>0</v>
      </c>
      <c r="AA91" s="212"/>
      <c r="AB91" s="213" t="e">
        <v>#DIV/0!</v>
      </c>
      <c r="AC91" s="214"/>
      <c r="AD91" s="215"/>
      <c r="AE91" s="342"/>
      <c r="AF91" s="341"/>
    </row>
    <row r="92" spans="1:32">
      <c r="A92" s="307">
        <v>4</v>
      </c>
      <c r="B92" s="342"/>
      <c r="C92" s="342" t="s">
        <v>182</v>
      </c>
      <c r="D92" s="340" t="s">
        <v>373</v>
      </c>
      <c r="E92" s="342" t="s">
        <v>271</v>
      </c>
      <c r="F92" s="345" t="s">
        <v>176</v>
      </c>
      <c r="G92" s="308">
        <v>97</v>
      </c>
      <c r="H92" s="309">
        <v>6100</v>
      </c>
      <c r="I92" s="309">
        <v>591700</v>
      </c>
      <c r="J92" s="211"/>
      <c r="K92" s="212" t="str">
        <f>IF(OR(J92="",G92=J92),"","*")</f>
        <v/>
      </c>
      <c r="L92" s="338" t="str">
        <f>IF($A92&lt;=L$1,I92/I$4,"")</f>
        <v/>
      </c>
      <c r="M92" s="343"/>
      <c r="N92" s="344"/>
      <c r="O92" s="310">
        <v>0</v>
      </c>
      <c r="P92" s="311">
        <v>0</v>
      </c>
      <c r="Q92" s="311">
        <v>0</v>
      </c>
      <c r="R92" s="211">
        <v>0</v>
      </c>
      <c r="S92" s="212"/>
      <c r="T92" s="213" t="e">
        <v>#DIV/0!</v>
      </c>
      <c r="U92" s="214"/>
      <c r="V92" s="215"/>
      <c r="W92" s="310">
        <v>0</v>
      </c>
      <c r="X92" s="311">
        <v>0</v>
      </c>
      <c r="Y92" s="311">
        <v>0</v>
      </c>
      <c r="Z92" s="211">
        <v>0</v>
      </c>
      <c r="AA92" s="212"/>
      <c r="AB92" s="213" t="e">
        <v>#DIV/0!</v>
      </c>
      <c r="AC92" s="214"/>
      <c r="AD92" s="215"/>
      <c r="AE92" s="342"/>
      <c r="AF92" s="341"/>
    </row>
    <row r="93" spans="1:32">
      <c r="A93" s="307">
        <v>3</v>
      </c>
      <c r="B93" s="342"/>
      <c r="C93" s="342" t="s">
        <v>232</v>
      </c>
      <c r="D93" s="340" t="s">
        <v>374</v>
      </c>
      <c r="E93" s="342" t="s">
        <v>375</v>
      </c>
      <c r="F93" s="345" t="s">
        <v>176</v>
      </c>
      <c r="G93" s="308">
        <v>0</v>
      </c>
      <c r="H93" s="309">
        <v>0</v>
      </c>
      <c r="I93" s="309">
        <v>0</v>
      </c>
      <c r="J93" s="211">
        <v>52</v>
      </c>
      <c r="K93" s="212" t="str">
        <f>IF(OR(J93="",G93=J93),"","*")</f>
        <v>*</v>
      </c>
      <c r="L93" s="338">
        <f>IF($A93&lt;=L$1,I93/I$4,"")</f>
        <v>0</v>
      </c>
      <c r="M93" s="343"/>
      <c r="N93" s="344" t="s">
        <v>376</v>
      </c>
      <c r="O93" s="310">
        <v>0</v>
      </c>
      <c r="P93" s="311">
        <v>0</v>
      </c>
      <c r="Q93" s="311">
        <v>0</v>
      </c>
      <c r="R93" s="211">
        <v>0</v>
      </c>
      <c r="S93" s="212"/>
      <c r="T93" s="213" t="e">
        <v>#DIV/0!</v>
      </c>
      <c r="U93" s="214"/>
      <c r="V93" s="215"/>
      <c r="W93" s="310">
        <v>0</v>
      </c>
      <c r="X93" s="311">
        <v>0</v>
      </c>
      <c r="Y93" s="311">
        <v>0</v>
      </c>
      <c r="Z93" s="211">
        <v>0</v>
      </c>
      <c r="AA93" s="212"/>
      <c r="AB93" s="213" t="e">
        <v>#DIV/0!</v>
      </c>
      <c r="AC93" s="214"/>
      <c r="AD93" s="215"/>
      <c r="AE93" s="342"/>
      <c r="AF93" s="341"/>
    </row>
    <row r="94" spans="1:32">
      <c r="A94" s="307">
        <v>4</v>
      </c>
      <c r="B94" s="342"/>
      <c r="C94" s="342" t="s">
        <v>182</v>
      </c>
      <c r="D94" s="340" t="s">
        <v>377</v>
      </c>
      <c r="E94" s="342" t="s">
        <v>271</v>
      </c>
      <c r="F94" s="345" t="s">
        <v>176</v>
      </c>
      <c r="G94" s="308">
        <v>0</v>
      </c>
      <c r="H94" s="309">
        <v>35000</v>
      </c>
      <c r="I94" s="309">
        <v>0</v>
      </c>
      <c r="J94" s="211"/>
      <c r="K94" s="212" t="str">
        <f>IF(OR(J94="",G94=J94),"","*")</f>
        <v/>
      </c>
      <c r="L94" s="338" t="str">
        <f>IF($A94&lt;=L$1,I94/I$4,"")</f>
        <v/>
      </c>
      <c r="M94" s="343"/>
      <c r="N94" s="344"/>
      <c r="O94" s="310">
        <v>0</v>
      </c>
      <c r="P94" s="311">
        <v>0</v>
      </c>
      <c r="Q94" s="311">
        <v>0</v>
      </c>
      <c r="R94" s="211">
        <v>0</v>
      </c>
      <c r="S94" s="212"/>
      <c r="T94" s="213" t="e">
        <v>#DIV/0!</v>
      </c>
      <c r="U94" s="214"/>
      <c r="V94" s="215"/>
      <c r="W94" s="310">
        <v>0</v>
      </c>
      <c r="X94" s="311">
        <v>0</v>
      </c>
      <c r="Y94" s="311">
        <v>0</v>
      </c>
      <c r="Z94" s="211">
        <v>0</v>
      </c>
      <c r="AA94" s="212"/>
      <c r="AB94" s="213" t="e">
        <v>#DIV/0!</v>
      </c>
      <c r="AC94" s="214"/>
      <c r="AD94" s="215"/>
      <c r="AE94" s="342"/>
      <c r="AF94" s="341"/>
    </row>
    <row r="95" spans="1:32">
      <c r="A95" s="307">
        <v>3</v>
      </c>
      <c r="B95" s="342"/>
      <c r="C95" s="342" t="s">
        <v>232</v>
      </c>
      <c r="D95" s="340" t="s">
        <v>378</v>
      </c>
      <c r="E95" s="342"/>
      <c r="F95" s="345" t="s">
        <v>177</v>
      </c>
      <c r="G95" s="308">
        <v>1</v>
      </c>
      <c r="H95" s="309">
        <v>1268240</v>
      </c>
      <c r="I95" s="309">
        <v>1268240</v>
      </c>
      <c r="J95" s="211">
        <v>1</v>
      </c>
      <c r="K95" s="212" t="str">
        <f>IF(OR(J95="",G95=J95),"","*")</f>
        <v/>
      </c>
      <c r="L95" s="338">
        <f>IF($A95&lt;=L$1,I95/I$4,"")</f>
        <v>2.19608658008658E-2</v>
      </c>
      <c r="M95" s="343"/>
      <c r="N95" s="344" t="s">
        <v>379</v>
      </c>
      <c r="O95" s="310">
        <v>0</v>
      </c>
      <c r="P95" s="311">
        <v>0</v>
      </c>
      <c r="Q95" s="311">
        <v>0</v>
      </c>
      <c r="R95" s="211">
        <v>0</v>
      </c>
      <c r="S95" s="212"/>
      <c r="T95" s="213" t="e">
        <v>#DIV/0!</v>
      </c>
      <c r="U95" s="214"/>
      <c r="V95" s="215"/>
      <c r="W95" s="310">
        <v>0</v>
      </c>
      <c r="X95" s="311">
        <v>0</v>
      </c>
      <c r="Y95" s="311">
        <v>0</v>
      </c>
      <c r="Z95" s="211">
        <v>0</v>
      </c>
      <c r="AA95" s="212"/>
      <c r="AB95" s="213" t="e">
        <v>#DIV/0!</v>
      </c>
      <c r="AC95" s="214"/>
      <c r="AD95" s="215"/>
      <c r="AE95" s="342"/>
      <c r="AF95" s="341"/>
    </row>
    <row r="96" spans="1:32">
      <c r="A96" s="307">
        <v>4</v>
      </c>
      <c r="B96" s="342"/>
      <c r="C96" s="342" t="s">
        <v>182</v>
      </c>
      <c r="D96" s="340" t="s">
        <v>380</v>
      </c>
      <c r="E96" s="342" t="s">
        <v>271</v>
      </c>
      <c r="F96" s="345" t="s">
        <v>177</v>
      </c>
      <c r="G96" s="308">
        <v>1</v>
      </c>
      <c r="H96" s="309">
        <v>1268240</v>
      </c>
      <c r="I96" s="309">
        <v>1268240</v>
      </c>
      <c r="J96" s="211"/>
      <c r="K96" s="212" t="str">
        <f>IF(OR(J96="",G96=J96),"","*")</f>
        <v/>
      </c>
      <c r="L96" s="338" t="str">
        <f>IF($A96&lt;=L$1,I96/I$4,"")</f>
        <v/>
      </c>
      <c r="M96" s="343"/>
      <c r="N96" s="344"/>
      <c r="O96" s="310">
        <v>0</v>
      </c>
      <c r="P96" s="311">
        <v>0</v>
      </c>
      <c r="Q96" s="311">
        <v>0</v>
      </c>
      <c r="R96" s="211">
        <v>0</v>
      </c>
      <c r="S96" s="212"/>
      <c r="T96" s="213" t="e">
        <v>#DIV/0!</v>
      </c>
      <c r="U96" s="214"/>
      <c r="V96" s="215"/>
      <c r="W96" s="310">
        <v>0</v>
      </c>
      <c r="X96" s="311">
        <v>0</v>
      </c>
      <c r="Y96" s="311">
        <v>0</v>
      </c>
      <c r="Z96" s="211">
        <v>0</v>
      </c>
      <c r="AA96" s="212"/>
      <c r="AB96" s="213" t="e">
        <v>#DIV/0!</v>
      </c>
      <c r="AC96" s="214"/>
      <c r="AD96" s="215"/>
      <c r="AE96" s="342"/>
      <c r="AF96" s="341"/>
    </row>
    <row r="97" spans="1:32">
      <c r="A97" s="307">
        <v>3</v>
      </c>
      <c r="B97" s="342"/>
      <c r="C97" s="342" t="s">
        <v>232</v>
      </c>
      <c r="D97" s="340" t="s">
        <v>381</v>
      </c>
      <c r="E97" s="342"/>
      <c r="F97" s="345" t="s">
        <v>177</v>
      </c>
      <c r="G97" s="308">
        <v>2</v>
      </c>
      <c r="H97" s="309">
        <v>60000</v>
      </c>
      <c r="I97" s="309">
        <v>120000</v>
      </c>
      <c r="J97" s="211">
        <v>2</v>
      </c>
      <c r="K97" s="212" t="str">
        <f>IF(OR(J97="",G97=J97),"","*")</f>
        <v/>
      </c>
      <c r="L97" s="338">
        <f>IF($A97&lt;=L$1,I97/I$4,"")</f>
        <v>2.0779220779220779E-3</v>
      </c>
      <c r="M97" s="343"/>
      <c r="N97" s="344" t="s">
        <v>382</v>
      </c>
      <c r="O97" s="310">
        <v>0</v>
      </c>
      <c r="P97" s="311">
        <v>0</v>
      </c>
      <c r="Q97" s="311">
        <v>0</v>
      </c>
      <c r="R97" s="211">
        <v>0</v>
      </c>
      <c r="S97" s="212"/>
      <c r="T97" s="213" t="e">
        <v>#DIV/0!</v>
      </c>
      <c r="U97" s="214"/>
      <c r="V97" s="215"/>
      <c r="W97" s="310">
        <v>0</v>
      </c>
      <c r="X97" s="311">
        <v>0</v>
      </c>
      <c r="Y97" s="311">
        <v>0</v>
      </c>
      <c r="Z97" s="211">
        <v>0</v>
      </c>
      <c r="AA97" s="212"/>
      <c r="AB97" s="213" t="e">
        <v>#DIV/0!</v>
      </c>
      <c r="AC97" s="214"/>
      <c r="AD97" s="215"/>
      <c r="AE97" s="342"/>
      <c r="AF97" s="341"/>
    </row>
    <row r="98" spans="1:32">
      <c r="A98" s="307">
        <v>4</v>
      </c>
      <c r="B98" s="342"/>
      <c r="C98" s="342" t="s">
        <v>182</v>
      </c>
      <c r="D98" s="340" t="s">
        <v>383</v>
      </c>
      <c r="E98" s="342" t="s">
        <v>271</v>
      </c>
      <c r="F98" s="345" t="s">
        <v>177</v>
      </c>
      <c r="G98" s="308">
        <v>2</v>
      </c>
      <c r="H98" s="309">
        <v>60000</v>
      </c>
      <c r="I98" s="309">
        <v>120000</v>
      </c>
      <c r="J98" s="211"/>
      <c r="K98" s="212" t="str">
        <f>IF(OR(J98="",G98=J98),"","*")</f>
        <v/>
      </c>
      <c r="L98" s="338" t="str">
        <f>IF($A98&lt;=L$1,I98/I$4,"")</f>
        <v/>
      </c>
      <c r="M98" s="343"/>
      <c r="N98" s="344"/>
      <c r="O98" s="310">
        <v>0</v>
      </c>
      <c r="P98" s="311">
        <v>0</v>
      </c>
      <c r="Q98" s="311">
        <v>0</v>
      </c>
      <c r="R98" s="211">
        <v>0</v>
      </c>
      <c r="S98" s="212"/>
      <c r="T98" s="213" t="e">
        <v>#DIV/0!</v>
      </c>
      <c r="U98" s="214"/>
      <c r="V98" s="215"/>
      <c r="W98" s="310">
        <v>0</v>
      </c>
      <c r="X98" s="311">
        <v>0</v>
      </c>
      <c r="Y98" s="311">
        <v>0</v>
      </c>
      <c r="Z98" s="211">
        <v>0</v>
      </c>
      <c r="AA98" s="212"/>
      <c r="AB98" s="213" t="e">
        <v>#DIV/0!</v>
      </c>
      <c r="AC98" s="214"/>
      <c r="AD98" s="215"/>
      <c r="AE98" s="342"/>
      <c r="AF98" s="341"/>
    </row>
    <row r="99" spans="1:32">
      <c r="A99" s="307">
        <v>3</v>
      </c>
      <c r="B99" s="342"/>
      <c r="C99" s="342" t="s">
        <v>232</v>
      </c>
      <c r="D99" s="340" t="s">
        <v>384</v>
      </c>
      <c r="E99" s="342"/>
      <c r="F99" s="345" t="s">
        <v>199</v>
      </c>
      <c r="G99" s="308">
        <v>1</v>
      </c>
      <c r="H99" s="309">
        <v>550000</v>
      </c>
      <c r="I99" s="309">
        <v>550000</v>
      </c>
      <c r="J99" s="211">
        <v>1</v>
      </c>
      <c r="K99" s="212" t="str">
        <f>IF(OR(J99="",G99=J99),"","*")</f>
        <v/>
      </c>
      <c r="L99" s="338">
        <f>IF($A99&lt;=L$1,I99/I$4,"")</f>
        <v>9.5238095238095247E-3</v>
      </c>
      <c r="M99" s="343"/>
      <c r="N99" s="344" t="s">
        <v>385</v>
      </c>
      <c r="O99" s="310">
        <v>0</v>
      </c>
      <c r="P99" s="311">
        <v>0</v>
      </c>
      <c r="Q99" s="311">
        <v>0</v>
      </c>
      <c r="R99" s="211">
        <v>0</v>
      </c>
      <c r="S99" s="212"/>
      <c r="T99" s="213" t="e">
        <v>#DIV/0!</v>
      </c>
      <c r="U99" s="214"/>
      <c r="V99" s="215"/>
      <c r="W99" s="310">
        <v>0</v>
      </c>
      <c r="X99" s="311">
        <v>0</v>
      </c>
      <c r="Y99" s="311">
        <v>0</v>
      </c>
      <c r="Z99" s="211">
        <v>0</v>
      </c>
      <c r="AA99" s="212"/>
      <c r="AB99" s="213" t="e">
        <v>#DIV/0!</v>
      </c>
      <c r="AC99" s="214"/>
      <c r="AD99" s="215"/>
      <c r="AE99" s="342"/>
      <c r="AF99" s="341"/>
    </row>
    <row r="100" spans="1:32">
      <c r="A100" s="307">
        <v>4</v>
      </c>
      <c r="B100" s="342"/>
      <c r="C100" s="342" t="s">
        <v>182</v>
      </c>
      <c r="D100" s="340" t="s">
        <v>386</v>
      </c>
      <c r="E100" s="342" t="s">
        <v>271</v>
      </c>
      <c r="F100" s="345" t="s">
        <v>199</v>
      </c>
      <c r="G100" s="308">
        <v>1</v>
      </c>
      <c r="H100" s="309">
        <v>550000</v>
      </c>
      <c r="I100" s="309">
        <v>550000</v>
      </c>
      <c r="J100" s="211"/>
      <c r="K100" s="212" t="str">
        <f>IF(OR(J100="",G100=J100),"","*")</f>
        <v/>
      </c>
      <c r="L100" s="338" t="str">
        <f>IF($A100&lt;=L$1,I100/I$4,"")</f>
        <v/>
      </c>
      <c r="M100" s="343"/>
      <c r="N100" s="344"/>
      <c r="O100" s="310">
        <v>0</v>
      </c>
      <c r="P100" s="311">
        <v>0</v>
      </c>
      <c r="Q100" s="311">
        <v>0</v>
      </c>
      <c r="R100" s="211">
        <v>0</v>
      </c>
      <c r="S100" s="212"/>
      <c r="T100" s="213" t="e">
        <v>#DIV/0!</v>
      </c>
      <c r="U100" s="214"/>
      <c r="V100" s="215"/>
      <c r="W100" s="310">
        <v>0</v>
      </c>
      <c r="X100" s="311">
        <v>0</v>
      </c>
      <c r="Y100" s="311">
        <v>0</v>
      </c>
      <c r="Z100" s="211">
        <v>0</v>
      </c>
      <c r="AA100" s="212"/>
      <c r="AB100" s="213" t="e">
        <v>#DIV/0!</v>
      </c>
      <c r="AC100" s="214"/>
      <c r="AD100" s="215"/>
      <c r="AE100" s="342"/>
      <c r="AF100" s="341"/>
    </row>
    <row r="101" spans="1:32">
      <c r="A101" s="307">
        <v>3</v>
      </c>
      <c r="B101" s="342"/>
      <c r="C101" s="342" t="s">
        <v>232</v>
      </c>
      <c r="D101" s="340" t="s">
        <v>387</v>
      </c>
      <c r="E101" s="342" t="s">
        <v>388</v>
      </c>
      <c r="F101" s="345" t="s">
        <v>177</v>
      </c>
      <c r="G101" s="308">
        <v>1</v>
      </c>
      <c r="H101" s="309">
        <v>300000</v>
      </c>
      <c r="I101" s="309">
        <v>300000</v>
      </c>
      <c r="J101" s="211">
        <v>1</v>
      </c>
      <c r="K101" s="212" t="str">
        <f>IF(OR(J101="",G101=J101),"","*")</f>
        <v/>
      </c>
      <c r="L101" s="338">
        <f>IF($A101&lt;=L$1,I101/I$4,"")</f>
        <v>5.1948051948051948E-3</v>
      </c>
      <c r="M101" s="343"/>
      <c r="N101" s="344" t="s">
        <v>389</v>
      </c>
      <c r="O101" s="310">
        <v>0</v>
      </c>
      <c r="P101" s="311">
        <v>0</v>
      </c>
      <c r="Q101" s="311">
        <v>0</v>
      </c>
      <c r="R101" s="211">
        <v>0</v>
      </c>
      <c r="S101" s="212"/>
      <c r="T101" s="213" t="e">
        <v>#DIV/0!</v>
      </c>
      <c r="U101" s="214"/>
      <c r="V101" s="215"/>
      <c r="W101" s="310">
        <v>0</v>
      </c>
      <c r="X101" s="311">
        <v>0</v>
      </c>
      <c r="Y101" s="311">
        <v>0</v>
      </c>
      <c r="Z101" s="211">
        <v>0</v>
      </c>
      <c r="AA101" s="212"/>
      <c r="AB101" s="213" t="e">
        <v>#DIV/0!</v>
      </c>
      <c r="AC101" s="214"/>
      <c r="AD101" s="215"/>
      <c r="AE101" s="342"/>
      <c r="AF101" s="341"/>
    </row>
    <row r="102" spans="1:32">
      <c r="A102" s="307">
        <v>4</v>
      </c>
      <c r="B102" s="342"/>
      <c r="C102" s="342" t="s">
        <v>182</v>
      </c>
      <c r="D102" s="340" t="s">
        <v>390</v>
      </c>
      <c r="E102" s="342" t="s">
        <v>271</v>
      </c>
      <c r="F102" s="345" t="s">
        <v>177</v>
      </c>
      <c r="G102" s="308">
        <v>1</v>
      </c>
      <c r="H102" s="309">
        <v>300000</v>
      </c>
      <c r="I102" s="309">
        <v>300000</v>
      </c>
      <c r="J102" s="211"/>
      <c r="K102" s="212" t="str">
        <f>IF(OR(J102="",G102=J102),"","*")</f>
        <v/>
      </c>
      <c r="L102" s="338" t="str">
        <f>IF($A102&lt;=L$1,I102/I$4,"")</f>
        <v/>
      </c>
      <c r="M102" s="343"/>
      <c r="N102" s="344"/>
      <c r="O102" s="310">
        <v>0</v>
      </c>
      <c r="P102" s="311">
        <v>0</v>
      </c>
      <c r="Q102" s="311">
        <v>0</v>
      </c>
      <c r="R102" s="211">
        <v>0</v>
      </c>
      <c r="S102" s="212"/>
      <c r="T102" s="213" t="e">
        <v>#DIV/0!</v>
      </c>
      <c r="U102" s="214"/>
      <c r="V102" s="215"/>
      <c r="W102" s="310">
        <v>0</v>
      </c>
      <c r="X102" s="311">
        <v>0</v>
      </c>
      <c r="Y102" s="311">
        <v>0</v>
      </c>
      <c r="Z102" s="211">
        <v>0</v>
      </c>
      <c r="AA102" s="212"/>
      <c r="AB102" s="213" t="e">
        <v>#DIV/0!</v>
      </c>
      <c r="AC102" s="214"/>
      <c r="AD102" s="215"/>
      <c r="AE102" s="342"/>
      <c r="AF102" s="341"/>
    </row>
    <row r="103" spans="1:32">
      <c r="A103" s="307">
        <v>3</v>
      </c>
      <c r="B103" s="342"/>
      <c r="C103" s="342" t="s">
        <v>232</v>
      </c>
      <c r="D103" s="340" t="s">
        <v>391</v>
      </c>
      <c r="E103" s="342" t="s">
        <v>392</v>
      </c>
      <c r="F103" s="345" t="s">
        <v>177</v>
      </c>
      <c r="G103" s="308">
        <v>1</v>
      </c>
      <c r="H103" s="309">
        <v>1100000</v>
      </c>
      <c r="I103" s="309">
        <v>1100000</v>
      </c>
      <c r="J103" s="211">
        <v>1</v>
      </c>
      <c r="K103" s="212" t="str">
        <f>IF(OR(J103="",G103=J103),"","*")</f>
        <v/>
      </c>
      <c r="L103" s="338">
        <f>IF($A103&lt;=L$1,I103/I$4,"")</f>
        <v>1.9047619047619049E-2</v>
      </c>
      <c r="M103" s="343"/>
      <c r="N103" s="344" t="s">
        <v>393</v>
      </c>
      <c r="O103" s="310">
        <v>0</v>
      </c>
      <c r="P103" s="311">
        <v>0</v>
      </c>
      <c r="Q103" s="311">
        <v>0</v>
      </c>
      <c r="R103" s="211">
        <v>0</v>
      </c>
      <c r="S103" s="212"/>
      <c r="T103" s="213" t="e">
        <v>#DIV/0!</v>
      </c>
      <c r="U103" s="214"/>
      <c r="V103" s="215"/>
      <c r="W103" s="310">
        <v>0</v>
      </c>
      <c r="X103" s="311">
        <v>0</v>
      </c>
      <c r="Y103" s="311">
        <v>0</v>
      </c>
      <c r="Z103" s="211">
        <v>0</v>
      </c>
      <c r="AA103" s="212"/>
      <c r="AB103" s="213" t="e">
        <v>#DIV/0!</v>
      </c>
      <c r="AC103" s="214"/>
      <c r="AD103" s="215"/>
      <c r="AE103" s="342"/>
      <c r="AF103" s="341"/>
    </row>
    <row r="104" spans="1:32">
      <c r="A104" s="307">
        <v>4</v>
      </c>
      <c r="B104" s="342"/>
      <c r="C104" s="342" t="s">
        <v>182</v>
      </c>
      <c r="D104" s="340" t="s">
        <v>394</v>
      </c>
      <c r="E104" s="342" t="s">
        <v>271</v>
      </c>
      <c r="F104" s="345" t="s">
        <v>177</v>
      </c>
      <c r="G104" s="308">
        <v>1</v>
      </c>
      <c r="H104" s="309">
        <v>1100000</v>
      </c>
      <c r="I104" s="309">
        <v>1100000</v>
      </c>
      <c r="J104" s="211"/>
      <c r="K104" s="212" t="str">
        <f>IF(OR(J104="",G104=J104),"","*")</f>
        <v/>
      </c>
      <c r="L104" s="338" t="str">
        <f>IF($A104&lt;=L$1,I104/I$4,"")</f>
        <v/>
      </c>
      <c r="M104" s="343"/>
      <c r="N104" s="344"/>
      <c r="O104" s="310">
        <v>0</v>
      </c>
      <c r="P104" s="311">
        <v>0</v>
      </c>
      <c r="Q104" s="311">
        <v>0</v>
      </c>
      <c r="R104" s="211">
        <v>0</v>
      </c>
      <c r="S104" s="212"/>
      <c r="T104" s="213" t="e">
        <v>#DIV/0!</v>
      </c>
      <c r="U104" s="214"/>
      <c r="V104" s="215"/>
      <c r="W104" s="310">
        <v>0</v>
      </c>
      <c r="X104" s="311">
        <v>0</v>
      </c>
      <c r="Y104" s="311">
        <v>0</v>
      </c>
      <c r="Z104" s="211">
        <v>0</v>
      </c>
      <c r="AA104" s="212"/>
      <c r="AB104" s="213" t="e">
        <v>#DIV/0!</v>
      </c>
      <c r="AC104" s="214"/>
      <c r="AD104" s="215"/>
      <c r="AE104" s="342"/>
      <c r="AF104" s="341"/>
    </row>
    <row r="105" spans="1:32">
      <c r="A105" s="307">
        <v>3</v>
      </c>
      <c r="B105" s="342"/>
      <c r="C105" s="342" t="s">
        <v>232</v>
      </c>
      <c r="D105" s="340" t="s">
        <v>395</v>
      </c>
      <c r="E105" s="342" t="s">
        <v>396</v>
      </c>
      <c r="F105" s="345" t="s">
        <v>177</v>
      </c>
      <c r="G105" s="308">
        <v>2</v>
      </c>
      <c r="H105" s="309">
        <v>45000</v>
      </c>
      <c r="I105" s="309">
        <v>90000</v>
      </c>
      <c r="J105" s="211">
        <v>2</v>
      </c>
      <c r="K105" s="212" t="str">
        <f>IF(OR(J105="",G105=J105),"","*")</f>
        <v/>
      </c>
      <c r="L105" s="338">
        <f>IF($A105&lt;=L$1,I105/I$4,"")</f>
        <v>1.5584415584415584E-3</v>
      </c>
      <c r="M105" s="343"/>
      <c r="N105" s="344" t="s">
        <v>397</v>
      </c>
      <c r="O105" s="310">
        <v>0</v>
      </c>
      <c r="P105" s="311">
        <v>0</v>
      </c>
      <c r="Q105" s="311">
        <v>0</v>
      </c>
      <c r="R105" s="211">
        <v>0</v>
      </c>
      <c r="S105" s="212"/>
      <c r="T105" s="213" t="e">
        <v>#DIV/0!</v>
      </c>
      <c r="U105" s="214"/>
      <c r="V105" s="215"/>
      <c r="W105" s="310">
        <v>0</v>
      </c>
      <c r="X105" s="311">
        <v>0</v>
      </c>
      <c r="Y105" s="311">
        <v>0</v>
      </c>
      <c r="Z105" s="211">
        <v>0</v>
      </c>
      <c r="AA105" s="212"/>
      <c r="AB105" s="213" t="e">
        <v>#DIV/0!</v>
      </c>
      <c r="AC105" s="214"/>
      <c r="AD105" s="215"/>
      <c r="AE105" s="342"/>
      <c r="AF105" s="341"/>
    </row>
    <row r="106" spans="1:32">
      <c r="A106" s="307">
        <v>4</v>
      </c>
      <c r="B106" s="342"/>
      <c r="C106" s="342" t="s">
        <v>182</v>
      </c>
      <c r="D106" s="340" t="s">
        <v>398</v>
      </c>
      <c r="E106" s="342" t="s">
        <v>271</v>
      </c>
      <c r="F106" s="345" t="s">
        <v>177</v>
      </c>
      <c r="G106" s="308">
        <v>2</v>
      </c>
      <c r="H106" s="309">
        <v>45000</v>
      </c>
      <c r="I106" s="309">
        <v>90000</v>
      </c>
      <c r="J106" s="211"/>
      <c r="K106" s="212" t="str">
        <f>IF(OR(J106="",G106=J106),"","*")</f>
        <v/>
      </c>
      <c r="L106" s="338" t="str">
        <f>IF($A106&lt;=L$1,I106/I$4,"")</f>
        <v/>
      </c>
      <c r="M106" s="343"/>
      <c r="N106" s="344"/>
      <c r="O106" s="310">
        <v>0</v>
      </c>
      <c r="P106" s="311">
        <v>0</v>
      </c>
      <c r="Q106" s="311">
        <v>0</v>
      </c>
      <c r="R106" s="211">
        <v>0</v>
      </c>
      <c r="S106" s="212"/>
      <c r="T106" s="213" t="e">
        <v>#DIV/0!</v>
      </c>
      <c r="U106" s="214"/>
      <c r="V106" s="215"/>
      <c r="W106" s="310">
        <v>0</v>
      </c>
      <c r="X106" s="311">
        <v>0</v>
      </c>
      <c r="Y106" s="311">
        <v>0</v>
      </c>
      <c r="Z106" s="211">
        <v>0</v>
      </c>
      <c r="AA106" s="212"/>
      <c r="AB106" s="213" t="e">
        <v>#DIV/0!</v>
      </c>
      <c r="AC106" s="214"/>
      <c r="AD106" s="215"/>
      <c r="AE106" s="342"/>
      <c r="AF106" s="341"/>
    </row>
    <row r="107" spans="1:32">
      <c r="A107" s="307">
        <v>3</v>
      </c>
      <c r="B107" s="342"/>
      <c r="C107" s="342" t="s">
        <v>232</v>
      </c>
      <c r="D107" s="340" t="s">
        <v>399</v>
      </c>
      <c r="E107" s="342"/>
      <c r="F107" s="345" t="s">
        <v>177</v>
      </c>
      <c r="G107" s="308">
        <v>1</v>
      </c>
      <c r="H107" s="309">
        <v>60000</v>
      </c>
      <c r="I107" s="309">
        <v>60000</v>
      </c>
      <c r="J107" s="211">
        <v>1</v>
      </c>
      <c r="K107" s="212" t="str">
        <f>IF(OR(J107="",G107=J107),"","*")</f>
        <v/>
      </c>
      <c r="L107" s="338">
        <f>IF($A107&lt;=L$1,I107/I$4,"")</f>
        <v>1.038961038961039E-3</v>
      </c>
      <c r="M107" s="343"/>
      <c r="N107" s="344" t="s">
        <v>400</v>
      </c>
      <c r="O107" s="310">
        <v>0</v>
      </c>
      <c r="P107" s="311">
        <v>0</v>
      </c>
      <c r="Q107" s="311">
        <v>0</v>
      </c>
      <c r="R107" s="211">
        <v>0</v>
      </c>
      <c r="S107" s="212"/>
      <c r="T107" s="213" t="e">
        <v>#DIV/0!</v>
      </c>
      <c r="U107" s="214"/>
      <c r="V107" s="215"/>
      <c r="W107" s="310">
        <v>0</v>
      </c>
      <c r="X107" s="311">
        <v>0</v>
      </c>
      <c r="Y107" s="311">
        <v>0</v>
      </c>
      <c r="Z107" s="211">
        <v>0</v>
      </c>
      <c r="AA107" s="212"/>
      <c r="AB107" s="213" t="e">
        <v>#DIV/0!</v>
      </c>
      <c r="AC107" s="214"/>
      <c r="AD107" s="215"/>
      <c r="AE107" s="342"/>
      <c r="AF107" s="341"/>
    </row>
    <row r="108" spans="1:32">
      <c r="A108" s="307">
        <v>4</v>
      </c>
      <c r="B108" s="342"/>
      <c r="C108" s="342" t="s">
        <v>182</v>
      </c>
      <c r="D108" s="340" t="s">
        <v>401</v>
      </c>
      <c r="E108" s="342" t="s">
        <v>271</v>
      </c>
      <c r="F108" s="345" t="s">
        <v>177</v>
      </c>
      <c r="G108" s="308">
        <v>1</v>
      </c>
      <c r="H108" s="309">
        <v>60000</v>
      </c>
      <c r="I108" s="309">
        <v>60000</v>
      </c>
      <c r="J108" s="211"/>
      <c r="K108" s="212" t="str">
        <f>IF(OR(J108="",G108=J108),"","*")</f>
        <v/>
      </c>
      <c r="L108" s="338" t="str">
        <f>IF($A108&lt;=L$1,I108/I$4,"")</f>
        <v/>
      </c>
      <c r="M108" s="343"/>
      <c r="N108" s="344"/>
      <c r="O108" s="310">
        <v>0</v>
      </c>
      <c r="P108" s="311">
        <v>0</v>
      </c>
      <c r="Q108" s="311">
        <v>0</v>
      </c>
      <c r="R108" s="211">
        <v>0</v>
      </c>
      <c r="S108" s="212"/>
      <c r="T108" s="213" t="e">
        <v>#DIV/0!</v>
      </c>
      <c r="U108" s="214"/>
      <c r="V108" s="215"/>
      <c r="W108" s="310">
        <v>0</v>
      </c>
      <c r="X108" s="311">
        <v>0</v>
      </c>
      <c r="Y108" s="311">
        <v>0</v>
      </c>
      <c r="Z108" s="211">
        <v>0</v>
      </c>
      <c r="AA108" s="212"/>
      <c r="AB108" s="213" t="e">
        <v>#DIV/0!</v>
      </c>
      <c r="AC108" s="214"/>
      <c r="AD108" s="215"/>
      <c r="AE108" s="342"/>
      <c r="AF108" s="341"/>
    </row>
    <row r="109" spans="1:32">
      <c r="A109" s="307">
        <v>3</v>
      </c>
      <c r="B109" s="342"/>
      <c r="C109" s="342" t="s">
        <v>232</v>
      </c>
      <c r="D109" s="340" t="s">
        <v>402</v>
      </c>
      <c r="E109" s="342" t="s">
        <v>403</v>
      </c>
      <c r="F109" s="345" t="s">
        <v>177</v>
      </c>
      <c r="G109" s="308">
        <v>116</v>
      </c>
      <c r="H109" s="309">
        <v>700</v>
      </c>
      <c r="I109" s="309">
        <v>81200</v>
      </c>
      <c r="J109" s="211">
        <v>116</v>
      </c>
      <c r="K109" s="212" t="str">
        <f>IF(OR(J109="",G109=J109),"","*")</f>
        <v/>
      </c>
      <c r="L109" s="338">
        <f>IF($A109&lt;=L$1,I109/I$4,"")</f>
        <v>1.406060606060606E-3</v>
      </c>
      <c r="M109" s="343"/>
      <c r="N109" s="344" t="s">
        <v>404</v>
      </c>
      <c r="O109" s="310">
        <v>0</v>
      </c>
      <c r="P109" s="311">
        <v>0</v>
      </c>
      <c r="Q109" s="311">
        <v>0</v>
      </c>
      <c r="R109" s="211">
        <v>0</v>
      </c>
      <c r="S109" s="212"/>
      <c r="T109" s="213" t="e">
        <v>#DIV/0!</v>
      </c>
      <c r="U109" s="214"/>
      <c r="V109" s="215"/>
      <c r="W109" s="310">
        <v>0</v>
      </c>
      <c r="X109" s="311">
        <v>0</v>
      </c>
      <c r="Y109" s="311">
        <v>0</v>
      </c>
      <c r="Z109" s="211">
        <v>0</v>
      </c>
      <c r="AA109" s="212"/>
      <c r="AB109" s="213" t="e">
        <v>#DIV/0!</v>
      </c>
      <c r="AC109" s="214"/>
      <c r="AD109" s="215"/>
      <c r="AE109" s="342"/>
      <c r="AF109" s="341"/>
    </row>
    <row r="110" spans="1:32">
      <c r="A110" s="307">
        <v>4</v>
      </c>
      <c r="B110" s="342"/>
      <c r="C110" s="342" t="s">
        <v>182</v>
      </c>
      <c r="D110" s="340" t="s">
        <v>405</v>
      </c>
      <c r="E110" s="342" t="s">
        <v>271</v>
      </c>
      <c r="F110" s="345" t="s">
        <v>177</v>
      </c>
      <c r="G110" s="308">
        <v>116</v>
      </c>
      <c r="H110" s="309">
        <v>700</v>
      </c>
      <c r="I110" s="309">
        <v>81200</v>
      </c>
      <c r="J110" s="211"/>
      <c r="K110" s="212" t="str">
        <f>IF(OR(J110="",G110=J110),"","*")</f>
        <v/>
      </c>
      <c r="L110" s="338" t="str">
        <f>IF($A110&lt;=L$1,I110/I$4,"")</f>
        <v/>
      </c>
      <c r="M110" s="343"/>
      <c r="N110" s="344"/>
      <c r="O110" s="310">
        <v>0</v>
      </c>
      <c r="P110" s="311">
        <v>0</v>
      </c>
      <c r="Q110" s="311">
        <v>0</v>
      </c>
      <c r="R110" s="211">
        <v>0</v>
      </c>
      <c r="S110" s="212"/>
      <c r="T110" s="213" t="e">
        <v>#DIV/0!</v>
      </c>
      <c r="U110" s="214"/>
      <c r="V110" s="215"/>
      <c r="W110" s="310">
        <v>0</v>
      </c>
      <c r="X110" s="311">
        <v>0</v>
      </c>
      <c r="Y110" s="311">
        <v>0</v>
      </c>
      <c r="Z110" s="211">
        <v>0</v>
      </c>
      <c r="AA110" s="212"/>
      <c r="AB110" s="213" t="e">
        <v>#DIV/0!</v>
      </c>
      <c r="AC110" s="214"/>
      <c r="AD110" s="215"/>
      <c r="AE110" s="342"/>
      <c r="AF110" s="341"/>
    </row>
    <row r="111" spans="1:32">
      <c r="A111" s="307">
        <v>3</v>
      </c>
      <c r="B111" s="342"/>
      <c r="C111" s="342" t="s">
        <v>232</v>
      </c>
      <c r="D111" s="340" t="s">
        <v>406</v>
      </c>
      <c r="E111" s="342"/>
      <c r="F111" s="345" t="s">
        <v>177</v>
      </c>
      <c r="G111" s="308">
        <v>6</v>
      </c>
      <c r="H111" s="309">
        <v>25000</v>
      </c>
      <c r="I111" s="309">
        <v>150000</v>
      </c>
      <c r="J111" s="211">
        <v>6</v>
      </c>
      <c r="K111" s="212" t="str">
        <f>IF(OR(J111="",G111=J111),"","*")</f>
        <v/>
      </c>
      <c r="L111" s="338">
        <f>IF($A111&lt;=L$1,I111/I$4,"")</f>
        <v>2.5974025974025974E-3</v>
      </c>
      <c r="M111" s="343"/>
      <c r="N111" s="344" t="s">
        <v>407</v>
      </c>
      <c r="O111" s="310">
        <v>0</v>
      </c>
      <c r="P111" s="311">
        <v>0</v>
      </c>
      <c r="Q111" s="311">
        <v>0</v>
      </c>
      <c r="R111" s="211">
        <v>0</v>
      </c>
      <c r="S111" s="212"/>
      <c r="T111" s="213" t="e">
        <v>#DIV/0!</v>
      </c>
      <c r="U111" s="214"/>
      <c r="V111" s="215"/>
      <c r="W111" s="310">
        <v>0</v>
      </c>
      <c r="X111" s="311">
        <v>0</v>
      </c>
      <c r="Y111" s="311">
        <v>0</v>
      </c>
      <c r="Z111" s="211">
        <v>0</v>
      </c>
      <c r="AA111" s="212"/>
      <c r="AB111" s="213" t="e">
        <v>#DIV/0!</v>
      </c>
      <c r="AC111" s="214"/>
      <c r="AD111" s="215"/>
      <c r="AE111" s="342"/>
      <c r="AF111" s="341"/>
    </row>
    <row r="112" spans="1:32">
      <c r="A112" s="307">
        <v>4</v>
      </c>
      <c r="B112" s="342"/>
      <c r="C112" s="342" t="s">
        <v>182</v>
      </c>
      <c r="D112" s="340" t="s">
        <v>408</v>
      </c>
      <c r="E112" s="342" t="s">
        <v>271</v>
      </c>
      <c r="F112" s="345" t="s">
        <v>177</v>
      </c>
      <c r="G112" s="308">
        <v>6</v>
      </c>
      <c r="H112" s="309">
        <v>25000</v>
      </c>
      <c r="I112" s="309">
        <v>150000</v>
      </c>
      <c r="J112" s="211"/>
      <c r="K112" s="212" t="str">
        <f>IF(OR(J112="",G112=J112),"","*")</f>
        <v/>
      </c>
      <c r="L112" s="338" t="str">
        <f>IF($A112&lt;=L$1,I112/I$4,"")</f>
        <v/>
      </c>
      <c r="M112" s="343"/>
      <c r="N112" s="344"/>
      <c r="O112" s="310">
        <v>0</v>
      </c>
      <c r="P112" s="311">
        <v>0</v>
      </c>
      <c r="Q112" s="311">
        <v>0</v>
      </c>
      <c r="R112" s="211">
        <v>0</v>
      </c>
      <c r="S112" s="212"/>
      <c r="T112" s="213" t="e">
        <v>#DIV/0!</v>
      </c>
      <c r="U112" s="214"/>
      <c r="V112" s="215"/>
      <c r="W112" s="310">
        <v>0</v>
      </c>
      <c r="X112" s="311">
        <v>0</v>
      </c>
      <c r="Y112" s="311">
        <v>0</v>
      </c>
      <c r="Z112" s="211">
        <v>0</v>
      </c>
      <c r="AA112" s="212"/>
      <c r="AB112" s="213" t="e">
        <v>#DIV/0!</v>
      </c>
      <c r="AC112" s="214"/>
      <c r="AD112" s="215"/>
      <c r="AE112" s="342"/>
      <c r="AF112" s="341"/>
    </row>
    <row r="113" spans="1:32">
      <c r="A113" s="307">
        <v>3</v>
      </c>
      <c r="B113" s="342"/>
      <c r="C113" s="342" t="s">
        <v>232</v>
      </c>
      <c r="D113" s="340" t="s">
        <v>409</v>
      </c>
      <c r="E113" s="342"/>
      <c r="F113" s="345" t="s">
        <v>177</v>
      </c>
      <c r="G113" s="308">
        <v>30</v>
      </c>
      <c r="H113" s="309">
        <v>26000</v>
      </c>
      <c r="I113" s="309">
        <v>780000</v>
      </c>
      <c r="J113" s="211">
        <v>30</v>
      </c>
      <c r="K113" s="212" t="str">
        <f>IF(OR(J113="",G113=J113),"","*")</f>
        <v/>
      </c>
      <c r="L113" s="338">
        <f>IF($A113&lt;=L$1,I113/I$4,"")</f>
        <v>1.3506493506493506E-2</v>
      </c>
      <c r="M113" s="343"/>
      <c r="N113" s="344" t="s">
        <v>410</v>
      </c>
      <c r="O113" s="310">
        <v>0</v>
      </c>
      <c r="P113" s="311">
        <v>0</v>
      </c>
      <c r="Q113" s="311">
        <v>0</v>
      </c>
      <c r="R113" s="211">
        <v>0</v>
      </c>
      <c r="S113" s="212"/>
      <c r="T113" s="213" t="e">
        <v>#DIV/0!</v>
      </c>
      <c r="U113" s="214"/>
      <c r="V113" s="215"/>
      <c r="W113" s="310">
        <v>0</v>
      </c>
      <c r="X113" s="311">
        <v>0</v>
      </c>
      <c r="Y113" s="311">
        <v>0</v>
      </c>
      <c r="Z113" s="211">
        <v>0</v>
      </c>
      <c r="AA113" s="212"/>
      <c r="AB113" s="213" t="e">
        <v>#DIV/0!</v>
      </c>
      <c r="AC113" s="214"/>
      <c r="AD113" s="215"/>
      <c r="AE113" s="342"/>
      <c r="AF113" s="341"/>
    </row>
    <row r="114" spans="1:32">
      <c r="A114" s="307">
        <v>4</v>
      </c>
      <c r="B114" s="342"/>
      <c r="C114" s="342" t="s">
        <v>182</v>
      </c>
      <c r="D114" s="340" t="s">
        <v>411</v>
      </c>
      <c r="E114" s="342" t="s">
        <v>266</v>
      </c>
      <c r="F114" s="345" t="s">
        <v>412</v>
      </c>
      <c r="G114" s="308">
        <v>30</v>
      </c>
      <c r="H114" s="309">
        <v>26000</v>
      </c>
      <c r="I114" s="309">
        <v>780000</v>
      </c>
      <c r="J114" s="211"/>
      <c r="K114" s="212" t="str">
        <f>IF(OR(J114="",G114=J114),"","*")</f>
        <v/>
      </c>
      <c r="L114" s="338" t="str">
        <f>IF($A114&lt;=L$1,I114/I$4,"")</f>
        <v/>
      </c>
      <c r="M114" s="343"/>
      <c r="N114" s="344"/>
      <c r="O114" s="310">
        <v>0</v>
      </c>
      <c r="P114" s="311">
        <v>0</v>
      </c>
      <c r="Q114" s="311">
        <v>0</v>
      </c>
      <c r="R114" s="211">
        <v>0</v>
      </c>
      <c r="S114" s="212"/>
      <c r="T114" s="213" t="e">
        <v>#DIV/0!</v>
      </c>
      <c r="U114" s="214"/>
      <c r="V114" s="215"/>
      <c r="W114" s="310">
        <v>0</v>
      </c>
      <c r="X114" s="311">
        <v>0</v>
      </c>
      <c r="Y114" s="311">
        <v>0</v>
      </c>
      <c r="Z114" s="211">
        <v>0</v>
      </c>
      <c r="AA114" s="212"/>
      <c r="AB114" s="213" t="e">
        <v>#DIV/0!</v>
      </c>
      <c r="AC114" s="214"/>
      <c r="AD114" s="215"/>
      <c r="AE114" s="342"/>
      <c r="AF114" s="341"/>
    </row>
    <row r="115" spans="1:32">
      <c r="A115" s="307">
        <v>3</v>
      </c>
      <c r="B115" s="342"/>
      <c r="C115" s="342" t="s">
        <v>232</v>
      </c>
      <c r="D115" s="340" t="s">
        <v>370</v>
      </c>
      <c r="E115" s="342" t="s">
        <v>413</v>
      </c>
      <c r="F115" s="345" t="s">
        <v>414</v>
      </c>
      <c r="G115" s="308">
        <v>52</v>
      </c>
      <c r="H115" s="309">
        <v>6100</v>
      </c>
      <c r="I115" s="309">
        <v>317200</v>
      </c>
      <c r="J115" s="211">
        <v>52</v>
      </c>
      <c r="K115" s="212" t="str">
        <f>IF(OR(J115="",G115=J115),"","*")</f>
        <v/>
      </c>
      <c r="L115" s="338">
        <f>IF($A115&lt;=L$1,I115/I$4,"")</f>
        <v>5.4926406926406922E-3</v>
      </c>
      <c r="M115" s="343"/>
      <c r="N115" s="344" t="s">
        <v>415</v>
      </c>
      <c r="O115" s="310">
        <v>0</v>
      </c>
      <c r="P115" s="311">
        <v>0</v>
      </c>
      <c r="Q115" s="311">
        <v>0</v>
      </c>
      <c r="R115" s="211">
        <v>0</v>
      </c>
      <c r="S115" s="212"/>
      <c r="T115" s="213" t="e">
        <v>#DIV/0!</v>
      </c>
      <c r="U115" s="214"/>
      <c r="V115" s="215"/>
      <c r="W115" s="310">
        <v>0</v>
      </c>
      <c r="X115" s="311">
        <v>0</v>
      </c>
      <c r="Y115" s="311">
        <v>0</v>
      </c>
      <c r="Z115" s="211">
        <v>0</v>
      </c>
      <c r="AA115" s="212"/>
      <c r="AB115" s="213" t="e">
        <v>#DIV/0!</v>
      </c>
      <c r="AC115" s="214"/>
      <c r="AD115" s="215"/>
      <c r="AE115" s="342"/>
      <c r="AF115" s="341"/>
    </row>
    <row r="116" spans="1:32">
      <c r="A116" s="307">
        <v>4</v>
      </c>
      <c r="B116" s="342"/>
      <c r="C116" s="342" t="s">
        <v>182</v>
      </c>
      <c r="D116" s="340" t="s">
        <v>373</v>
      </c>
      <c r="E116" s="342" t="s">
        <v>266</v>
      </c>
      <c r="F116" s="345" t="s">
        <v>414</v>
      </c>
      <c r="G116" s="308">
        <v>52</v>
      </c>
      <c r="H116" s="309">
        <v>6100</v>
      </c>
      <c r="I116" s="309">
        <v>317200</v>
      </c>
      <c r="J116" s="211"/>
      <c r="K116" s="212" t="str">
        <f>IF(OR(J116="",G116=J116),"","*")</f>
        <v/>
      </c>
      <c r="L116" s="338" t="str">
        <f>IF($A116&lt;=L$1,I116/I$4,"")</f>
        <v/>
      </c>
      <c r="M116" s="343"/>
      <c r="N116" s="344"/>
      <c r="O116" s="310">
        <v>0</v>
      </c>
      <c r="P116" s="311">
        <v>0</v>
      </c>
      <c r="Q116" s="311">
        <v>0</v>
      </c>
      <c r="R116" s="211">
        <v>0</v>
      </c>
      <c r="S116" s="212"/>
      <c r="T116" s="213" t="e">
        <v>#DIV/0!</v>
      </c>
      <c r="U116" s="214"/>
      <c r="V116" s="215"/>
      <c r="W116" s="310">
        <v>0</v>
      </c>
      <c r="X116" s="311">
        <v>0</v>
      </c>
      <c r="Y116" s="311">
        <v>0</v>
      </c>
      <c r="Z116" s="211">
        <v>0</v>
      </c>
      <c r="AA116" s="212"/>
      <c r="AB116" s="213" t="e">
        <v>#DIV/0!</v>
      </c>
      <c r="AC116" s="214"/>
      <c r="AD116" s="215"/>
      <c r="AE116" s="342"/>
      <c r="AF116" s="341"/>
    </row>
    <row r="117" spans="1:32">
      <c r="A117" s="307">
        <v>3</v>
      </c>
      <c r="B117" s="342"/>
      <c r="C117" s="342" t="s">
        <v>232</v>
      </c>
      <c r="D117" s="340" t="s">
        <v>416</v>
      </c>
      <c r="E117" s="342"/>
      <c r="F117" s="345" t="s">
        <v>177</v>
      </c>
      <c r="G117" s="308">
        <v>5</v>
      </c>
      <c r="H117" s="309">
        <v>47000</v>
      </c>
      <c r="I117" s="309">
        <v>235000</v>
      </c>
      <c r="J117" s="211">
        <v>5</v>
      </c>
      <c r="K117" s="212" t="str">
        <f>IF(OR(J117="",G117=J117),"","*")</f>
        <v/>
      </c>
      <c r="L117" s="338">
        <f>IF($A117&lt;=L$1,I117/I$4,"")</f>
        <v>4.0692640692640697E-3</v>
      </c>
      <c r="M117" s="343"/>
      <c r="N117" s="344" t="s">
        <v>417</v>
      </c>
      <c r="O117" s="310">
        <v>0</v>
      </c>
      <c r="P117" s="311">
        <v>0</v>
      </c>
      <c r="Q117" s="311">
        <v>0</v>
      </c>
      <c r="R117" s="211">
        <v>0</v>
      </c>
      <c r="S117" s="212"/>
      <c r="T117" s="213" t="e">
        <v>#DIV/0!</v>
      </c>
      <c r="U117" s="214"/>
      <c r="V117" s="215"/>
      <c r="W117" s="310">
        <v>0</v>
      </c>
      <c r="X117" s="311">
        <v>0</v>
      </c>
      <c r="Y117" s="311">
        <v>0</v>
      </c>
      <c r="Z117" s="211">
        <v>0</v>
      </c>
      <c r="AA117" s="212"/>
      <c r="AB117" s="213" t="e">
        <v>#DIV/0!</v>
      </c>
      <c r="AC117" s="214"/>
      <c r="AD117" s="215"/>
      <c r="AE117" s="342"/>
      <c r="AF117" s="341"/>
    </row>
    <row r="118" spans="1:32">
      <c r="A118" s="307">
        <v>4</v>
      </c>
      <c r="B118" s="342"/>
      <c r="C118" s="342" t="s">
        <v>182</v>
      </c>
      <c r="D118" s="340" t="s">
        <v>418</v>
      </c>
      <c r="E118" s="342" t="s">
        <v>266</v>
      </c>
      <c r="F118" s="345" t="s">
        <v>177</v>
      </c>
      <c r="G118" s="308">
        <v>5</v>
      </c>
      <c r="H118" s="309">
        <v>47000</v>
      </c>
      <c r="I118" s="309">
        <v>235000</v>
      </c>
      <c r="J118" s="211"/>
      <c r="K118" s="212" t="str">
        <f>IF(OR(J118="",G118=J118),"","*")</f>
        <v/>
      </c>
      <c r="L118" s="338" t="str">
        <f>IF($A118&lt;=L$1,I118/I$4,"")</f>
        <v/>
      </c>
      <c r="M118" s="343"/>
      <c r="N118" s="344"/>
      <c r="O118" s="310">
        <v>0</v>
      </c>
      <c r="P118" s="311">
        <v>0</v>
      </c>
      <c r="Q118" s="311">
        <v>0</v>
      </c>
      <c r="R118" s="211">
        <v>0</v>
      </c>
      <c r="S118" s="212"/>
      <c r="T118" s="213" t="e">
        <v>#DIV/0!</v>
      </c>
      <c r="U118" s="214"/>
      <c r="V118" s="215"/>
      <c r="W118" s="310">
        <v>0</v>
      </c>
      <c r="X118" s="311">
        <v>0</v>
      </c>
      <c r="Y118" s="311">
        <v>0</v>
      </c>
      <c r="Z118" s="211">
        <v>0</v>
      </c>
      <c r="AA118" s="212"/>
      <c r="AB118" s="213" t="e">
        <v>#DIV/0!</v>
      </c>
      <c r="AC118" s="214"/>
      <c r="AD118" s="215"/>
      <c r="AE118" s="342"/>
      <c r="AF118" s="341"/>
    </row>
    <row r="119" spans="1:32">
      <c r="A119" s="307">
        <v>3</v>
      </c>
      <c r="B119" s="342"/>
      <c r="C119" s="342" t="s">
        <v>232</v>
      </c>
      <c r="D119" s="340" t="s">
        <v>419</v>
      </c>
      <c r="E119" s="342" t="s">
        <v>420</v>
      </c>
      <c r="F119" s="345" t="s">
        <v>199</v>
      </c>
      <c r="G119" s="308">
        <v>1</v>
      </c>
      <c r="H119" s="309">
        <v>76050</v>
      </c>
      <c r="I119" s="309">
        <v>76050</v>
      </c>
      <c r="J119" s="211">
        <v>1</v>
      </c>
      <c r="K119" s="212" t="str">
        <f>IF(OR(J119="",G119=J119),"","*")</f>
        <v/>
      </c>
      <c r="L119" s="338">
        <f>IF($A119&lt;=L$1,I119/I$4,"")</f>
        <v>1.3168831168831169E-3</v>
      </c>
      <c r="M119" s="343"/>
      <c r="N119" s="344" t="s">
        <v>421</v>
      </c>
      <c r="O119" s="310">
        <v>0</v>
      </c>
      <c r="P119" s="311">
        <v>0</v>
      </c>
      <c r="Q119" s="311">
        <v>0</v>
      </c>
      <c r="R119" s="211">
        <v>0</v>
      </c>
      <c r="S119" s="212"/>
      <c r="T119" s="213" t="e">
        <v>#DIV/0!</v>
      </c>
      <c r="U119" s="214"/>
      <c r="V119" s="215"/>
      <c r="W119" s="310">
        <v>0</v>
      </c>
      <c r="X119" s="311">
        <v>0</v>
      </c>
      <c r="Y119" s="311">
        <v>0</v>
      </c>
      <c r="Z119" s="211">
        <v>0</v>
      </c>
      <c r="AA119" s="212"/>
      <c r="AB119" s="213" t="e">
        <v>#DIV/0!</v>
      </c>
      <c r="AC119" s="214"/>
      <c r="AD119" s="215"/>
      <c r="AE119" s="342"/>
      <c r="AF119" s="341"/>
    </row>
    <row r="120" spans="1:32">
      <c r="A120" s="307">
        <v>4</v>
      </c>
      <c r="B120" s="342"/>
      <c r="C120" s="342" t="s">
        <v>182</v>
      </c>
      <c r="D120" s="340" t="s">
        <v>422</v>
      </c>
      <c r="E120" s="342" t="s">
        <v>266</v>
      </c>
      <c r="F120" s="345" t="s">
        <v>199</v>
      </c>
      <c r="G120" s="308">
        <v>1</v>
      </c>
      <c r="H120" s="309">
        <v>76050</v>
      </c>
      <c r="I120" s="309">
        <v>76050</v>
      </c>
      <c r="J120" s="211"/>
      <c r="K120" s="212" t="str">
        <f>IF(OR(J120="",G120=J120),"","*")</f>
        <v/>
      </c>
      <c r="L120" s="338" t="str">
        <f>IF($A120&lt;=L$1,I120/I$4,"")</f>
        <v/>
      </c>
      <c r="M120" s="343"/>
      <c r="N120" s="344"/>
      <c r="O120" s="310">
        <v>0</v>
      </c>
      <c r="P120" s="311">
        <v>0</v>
      </c>
      <c r="Q120" s="311">
        <v>0</v>
      </c>
      <c r="R120" s="211">
        <v>0</v>
      </c>
      <c r="S120" s="212"/>
      <c r="T120" s="213" t="e">
        <v>#DIV/0!</v>
      </c>
      <c r="U120" s="214"/>
      <c r="V120" s="215"/>
      <c r="W120" s="310">
        <v>0</v>
      </c>
      <c r="X120" s="311">
        <v>0</v>
      </c>
      <c r="Y120" s="311">
        <v>0</v>
      </c>
      <c r="Z120" s="211">
        <v>0</v>
      </c>
      <c r="AA120" s="212"/>
      <c r="AB120" s="213" t="e">
        <v>#DIV/0!</v>
      </c>
      <c r="AC120" s="214"/>
      <c r="AD120" s="215"/>
      <c r="AE120" s="342"/>
      <c r="AF120" s="341"/>
    </row>
    <row r="121" spans="1:32">
      <c r="A121" s="307">
        <v>3</v>
      </c>
      <c r="B121" s="342"/>
      <c r="C121" s="342" t="s">
        <v>232</v>
      </c>
      <c r="D121" s="340" t="s">
        <v>423</v>
      </c>
      <c r="E121" s="342" t="s">
        <v>424</v>
      </c>
      <c r="F121" s="345" t="s">
        <v>199</v>
      </c>
      <c r="G121" s="308">
        <v>1</v>
      </c>
      <c r="H121" s="309">
        <v>264400</v>
      </c>
      <c r="I121" s="309">
        <v>264400</v>
      </c>
      <c r="J121" s="211">
        <v>1</v>
      </c>
      <c r="K121" s="212" t="str">
        <f>IF(OR(J121="",G121=J121),"","*")</f>
        <v/>
      </c>
      <c r="L121" s="338">
        <f>IF($A121&lt;=L$1,I121/I$4,"")</f>
        <v>4.5783549783549784E-3</v>
      </c>
      <c r="M121" s="343"/>
      <c r="N121" s="344" t="s">
        <v>425</v>
      </c>
      <c r="O121" s="310">
        <v>0</v>
      </c>
      <c r="P121" s="311">
        <v>0</v>
      </c>
      <c r="Q121" s="311">
        <v>0</v>
      </c>
      <c r="R121" s="211">
        <v>0</v>
      </c>
      <c r="S121" s="212"/>
      <c r="T121" s="213" t="e">
        <v>#DIV/0!</v>
      </c>
      <c r="U121" s="214"/>
      <c r="V121" s="215"/>
      <c r="W121" s="310">
        <v>0</v>
      </c>
      <c r="X121" s="311">
        <v>0</v>
      </c>
      <c r="Y121" s="311">
        <v>0</v>
      </c>
      <c r="Z121" s="211">
        <v>0</v>
      </c>
      <c r="AA121" s="212"/>
      <c r="AB121" s="213" t="e">
        <v>#DIV/0!</v>
      </c>
      <c r="AC121" s="214"/>
      <c r="AD121" s="215"/>
      <c r="AE121" s="342"/>
      <c r="AF121" s="341"/>
    </row>
    <row r="122" spans="1:32">
      <c r="A122" s="307">
        <v>4</v>
      </c>
      <c r="B122" s="342"/>
      <c r="C122" s="342" t="s">
        <v>182</v>
      </c>
      <c r="D122" s="340" t="s">
        <v>426</v>
      </c>
      <c r="E122" s="342" t="s">
        <v>266</v>
      </c>
      <c r="F122" s="345" t="s">
        <v>199</v>
      </c>
      <c r="G122" s="308">
        <v>1</v>
      </c>
      <c r="H122" s="309">
        <v>264400</v>
      </c>
      <c r="I122" s="309">
        <v>264400</v>
      </c>
      <c r="J122" s="211"/>
      <c r="K122" s="212" t="str">
        <f>IF(OR(J122="",G122=J122),"","*")</f>
        <v/>
      </c>
      <c r="L122" s="338" t="str">
        <f>IF($A122&lt;=L$1,I122/I$4,"")</f>
        <v/>
      </c>
      <c r="M122" s="343"/>
      <c r="N122" s="344"/>
      <c r="O122" s="310">
        <v>0</v>
      </c>
      <c r="P122" s="311">
        <v>0</v>
      </c>
      <c r="Q122" s="311">
        <v>0</v>
      </c>
      <c r="R122" s="211">
        <v>0</v>
      </c>
      <c r="S122" s="212"/>
      <c r="T122" s="213" t="e">
        <v>#DIV/0!</v>
      </c>
      <c r="U122" s="214"/>
      <c r="V122" s="215"/>
      <c r="W122" s="310">
        <v>0</v>
      </c>
      <c r="X122" s="311">
        <v>0</v>
      </c>
      <c r="Y122" s="311">
        <v>0</v>
      </c>
      <c r="Z122" s="211">
        <v>0</v>
      </c>
      <c r="AA122" s="212"/>
      <c r="AB122" s="213" t="e">
        <v>#DIV/0!</v>
      </c>
      <c r="AC122" s="214"/>
      <c r="AD122" s="215"/>
      <c r="AE122" s="342"/>
      <c r="AF122" s="341"/>
    </row>
    <row r="123" spans="1:32">
      <c r="A123" s="307">
        <v>3</v>
      </c>
      <c r="B123" s="342"/>
      <c r="C123" s="342" t="s">
        <v>232</v>
      </c>
      <c r="D123" s="340" t="s">
        <v>427</v>
      </c>
      <c r="E123" s="342" t="s">
        <v>428</v>
      </c>
      <c r="F123" s="345" t="s">
        <v>199</v>
      </c>
      <c r="G123" s="308">
        <v>1</v>
      </c>
      <c r="H123" s="309">
        <v>129467</v>
      </c>
      <c r="I123" s="309">
        <v>129467</v>
      </c>
      <c r="J123" s="211">
        <v>1</v>
      </c>
      <c r="K123" s="212" t="str">
        <f>IF(OR(J123="",G123=J123),"","*")</f>
        <v/>
      </c>
      <c r="L123" s="338">
        <f>IF($A123&lt;=L$1,I123/I$4,"")</f>
        <v>2.241852813852814E-3</v>
      </c>
      <c r="M123" s="343"/>
      <c r="N123" s="344" t="s">
        <v>429</v>
      </c>
      <c r="O123" s="310">
        <v>0</v>
      </c>
      <c r="P123" s="311">
        <v>0</v>
      </c>
      <c r="Q123" s="311">
        <v>0</v>
      </c>
      <c r="R123" s="211">
        <v>0</v>
      </c>
      <c r="S123" s="212"/>
      <c r="T123" s="213" t="e">
        <v>#DIV/0!</v>
      </c>
      <c r="U123" s="214"/>
      <c r="V123" s="215"/>
      <c r="W123" s="310">
        <v>0</v>
      </c>
      <c r="X123" s="311">
        <v>0</v>
      </c>
      <c r="Y123" s="311">
        <v>0</v>
      </c>
      <c r="Z123" s="211">
        <v>0</v>
      </c>
      <c r="AA123" s="212"/>
      <c r="AB123" s="213" t="e">
        <v>#DIV/0!</v>
      </c>
      <c r="AC123" s="214"/>
      <c r="AD123" s="215"/>
      <c r="AE123" s="342"/>
      <c r="AF123" s="341"/>
    </row>
    <row r="124" spans="1:32">
      <c r="A124" s="307">
        <v>4</v>
      </c>
      <c r="B124" s="342"/>
      <c r="C124" s="342" t="s">
        <v>182</v>
      </c>
      <c r="D124" s="340" t="s">
        <v>430</v>
      </c>
      <c r="E124" s="342" t="s">
        <v>266</v>
      </c>
      <c r="F124" s="345" t="s">
        <v>199</v>
      </c>
      <c r="G124" s="308">
        <v>1</v>
      </c>
      <c r="H124" s="309">
        <v>129467</v>
      </c>
      <c r="I124" s="309">
        <v>129467</v>
      </c>
      <c r="J124" s="211"/>
      <c r="K124" s="212" t="str">
        <f>IF(OR(J124="",G124=J124),"","*")</f>
        <v/>
      </c>
      <c r="L124" s="338" t="str">
        <f>IF($A124&lt;=L$1,I124/I$4,"")</f>
        <v/>
      </c>
      <c r="M124" s="343"/>
      <c r="N124" s="344"/>
      <c r="O124" s="310">
        <v>0</v>
      </c>
      <c r="P124" s="311">
        <v>0</v>
      </c>
      <c r="Q124" s="311">
        <v>0</v>
      </c>
      <c r="R124" s="211">
        <v>0</v>
      </c>
      <c r="S124" s="212"/>
      <c r="T124" s="213" t="e">
        <v>#DIV/0!</v>
      </c>
      <c r="U124" s="214"/>
      <c r="V124" s="215"/>
      <c r="W124" s="310">
        <v>0</v>
      </c>
      <c r="X124" s="311">
        <v>0</v>
      </c>
      <c r="Y124" s="311">
        <v>0</v>
      </c>
      <c r="Z124" s="211">
        <v>0</v>
      </c>
      <c r="AA124" s="212"/>
      <c r="AB124" s="213" t="e">
        <v>#DIV/0!</v>
      </c>
      <c r="AC124" s="214"/>
      <c r="AD124" s="215"/>
      <c r="AE124" s="342"/>
      <c r="AF124" s="341"/>
    </row>
    <row r="125" spans="1:32">
      <c r="A125" s="307">
        <v>2</v>
      </c>
      <c r="B125" s="342"/>
      <c r="C125" s="342" t="s">
        <v>232</v>
      </c>
      <c r="D125" s="340" t="s">
        <v>431</v>
      </c>
      <c r="E125" s="342"/>
      <c r="F125" s="345" t="s">
        <v>199</v>
      </c>
      <c r="G125" s="308">
        <v>1</v>
      </c>
      <c r="H125" s="309">
        <v>1773366</v>
      </c>
      <c r="I125" s="309">
        <v>1773366</v>
      </c>
      <c r="J125" s="211">
        <v>1</v>
      </c>
      <c r="K125" s="212" t="str">
        <f>IF(OR(J125="",G125=J125),"","*")</f>
        <v/>
      </c>
      <c r="L125" s="338">
        <f>IF($A125&lt;=L$1,I125/I$4,"")</f>
        <v>3.0707636363636364E-2</v>
      </c>
      <c r="M125" s="343"/>
      <c r="N125" s="344" t="s">
        <v>432</v>
      </c>
      <c r="O125" s="310">
        <v>0</v>
      </c>
      <c r="P125" s="311">
        <v>0</v>
      </c>
      <c r="Q125" s="311">
        <v>0</v>
      </c>
      <c r="R125" s="211">
        <v>0</v>
      </c>
      <c r="S125" s="212"/>
      <c r="T125" s="213" t="e">
        <v>#DIV/0!</v>
      </c>
      <c r="U125" s="214"/>
      <c r="V125" s="215"/>
      <c r="W125" s="310">
        <v>0</v>
      </c>
      <c r="X125" s="311">
        <v>0</v>
      </c>
      <c r="Y125" s="311">
        <v>0</v>
      </c>
      <c r="Z125" s="211">
        <v>0</v>
      </c>
      <c r="AA125" s="212"/>
      <c r="AB125" s="213" t="e">
        <v>#DIV/0!</v>
      </c>
      <c r="AC125" s="214"/>
      <c r="AD125" s="215"/>
      <c r="AE125" s="342"/>
      <c r="AF125" s="341"/>
    </row>
    <row r="126" spans="1:32">
      <c r="A126" s="307">
        <v>3</v>
      </c>
      <c r="B126" s="342"/>
      <c r="C126" s="342" t="s">
        <v>232</v>
      </c>
      <c r="D126" s="340" t="s">
        <v>433</v>
      </c>
      <c r="E126" s="342" t="s">
        <v>434</v>
      </c>
      <c r="F126" s="345" t="s">
        <v>172</v>
      </c>
      <c r="G126" s="308">
        <v>654</v>
      </c>
      <c r="H126" s="309">
        <v>900</v>
      </c>
      <c r="I126" s="309">
        <v>588600</v>
      </c>
      <c r="J126" s="211">
        <v>654</v>
      </c>
      <c r="K126" s="212" t="str">
        <f>IF(OR(J126="",G126=J126),"","*")</f>
        <v/>
      </c>
      <c r="L126" s="338">
        <f>IF($A126&lt;=L$1,I126/I$4,"")</f>
        <v>1.0192207792207792E-2</v>
      </c>
      <c r="M126" s="343"/>
      <c r="N126" s="344" t="s">
        <v>435</v>
      </c>
      <c r="O126" s="310">
        <v>0</v>
      </c>
      <c r="P126" s="311">
        <v>0</v>
      </c>
      <c r="Q126" s="311">
        <v>0</v>
      </c>
      <c r="R126" s="211">
        <v>0</v>
      </c>
      <c r="S126" s="212"/>
      <c r="T126" s="213" t="e">
        <v>#DIV/0!</v>
      </c>
      <c r="U126" s="214"/>
      <c r="V126" s="215"/>
      <c r="W126" s="310">
        <v>0</v>
      </c>
      <c r="X126" s="311">
        <v>0</v>
      </c>
      <c r="Y126" s="311">
        <v>0</v>
      </c>
      <c r="Z126" s="211">
        <v>0</v>
      </c>
      <c r="AA126" s="212"/>
      <c r="AB126" s="213" t="e">
        <v>#DIV/0!</v>
      </c>
      <c r="AC126" s="214"/>
      <c r="AD126" s="215"/>
      <c r="AE126" s="342"/>
      <c r="AF126" s="341"/>
    </row>
    <row r="127" spans="1:32">
      <c r="A127" s="307">
        <v>4</v>
      </c>
      <c r="B127" s="342"/>
      <c r="C127" s="342" t="s">
        <v>182</v>
      </c>
      <c r="D127" s="340" t="s">
        <v>436</v>
      </c>
      <c r="E127" s="342" t="s">
        <v>266</v>
      </c>
      <c r="F127" s="345" t="s">
        <v>172</v>
      </c>
      <c r="G127" s="308">
        <v>654</v>
      </c>
      <c r="H127" s="309">
        <v>900</v>
      </c>
      <c r="I127" s="309">
        <v>588600</v>
      </c>
      <c r="J127" s="211"/>
      <c r="K127" s="212" t="str">
        <f>IF(OR(J127="",G127=J127),"","*")</f>
        <v/>
      </c>
      <c r="L127" s="338" t="str">
        <f>IF($A127&lt;=L$1,I127/I$4,"")</f>
        <v/>
      </c>
      <c r="M127" s="343"/>
      <c r="N127" s="344"/>
      <c r="O127" s="310">
        <v>0</v>
      </c>
      <c r="P127" s="311">
        <v>0</v>
      </c>
      <c r="Q127" s="311">
        <v>0</v>
      </c>
      <c r="R127" s="211">
        <v>0</v>
      </c>
      <c r="S127" s="212"/>
      <c r="T127" s="213" t="e">
        <v>#DIV/0!</v>
      </c>
      <c r="U127" s="214"/>
      <c r="V127" s="215"/>
      <c r="W127" s="310">
        <v>0</v>
      </c>
      <c r="X127" s="311">
        <v>0</v>
      </c>
      <c r="Y127" s="311">
        <v>0</v>
      </c>
      <c r="Z127" s="211">
        <v>0</v>
      </c>
      <c r="AA127" s="212"/>
      <c r="AB127" s="213" t="e">
        <v>#DIV/0!</v>
      </c>
      <c r="AC127" s="214"/>
      <c r="AD127" s="215"/>
      <c r="AE127" s="342"/>
      <c r="AF127" s="341"/>
    </row>
    <row r="128" spans="1:32">
      <c r="A128" s="307">
        <v>3</v>
      </c>
      <c r="B128" s="342"/>
      <c r="C128" s="342" t="s">
        <v>232</v>
      </c>
      <c r="D128" s="340" t="s">
        <v>437</v>
      </c>
      <c r="E128" s="342" t="s">
        <v>438</v>
      </c>
      <c r="F128" s="345" t="s">
        <v>177</v>
      </c>
      <c r="G128" s="308">
        <v>37</v>
      </c>
      <c r="H128" s="309">
        <v>1000</v>
      </c>
      <c r="I128" s="309">
        <v>37000</v>
      </c>
      <c r="J128" s="211">
        <v>37</v>
      </c>
      <c r="K128" s="212" t="str">
        <f>IF(OR(J128="",G128=J128),"","*")</f>
        <v/>
      </c>
      <c r="L128" s="338">
        <f>IF($A128&lt;=L$1,I128/I$4,"")</f>
        <v>6.4069264069264065E-4</v>
      </c>
      <c r="M128" s="343"/>
      <c r="N128" s="344" t="s">
        <v>439</v>
      </c>
      <c r="O128" s="310">
        <v>0</v>
      </c>
      <c r="P128" s="311">
        <v>0</v>
      </c>
      <c r="Q128" s="311">
        <v>0</v>
      </c>
      <c r="R128" s="211">
        <v>0</v>
      </c>
      <c r="S128" s="212"/>
      <c r="T128" s="213" t="e">
        <v>#DIV/0!</v>
      </c>
      <c r="U128" s="214"/>
      <c r="V128" s="215"/>
      <c r="W128" s="310">
        <v>0</v>
      </c>
      <c r="X128" s="311">
        <v>0</v>
      </c>
      <c r="Y128" s="311">
        <v>0</v>
      </c>
      <c r="Z128" s="211">
        <v>0</v>
      </c>
      <c r="AA128" s="212"/>
      <c r="AB128" s="213" t="e">
        <v>#DIV/0!</v>
      </c>
      <c r="AC128" s="214"/>
      <c r="AD128" s="215"/>
      <c r="AE128" s="342"/>
      <c r="AF128" s="341"/>
    </row>
    <row r="129" spans="1:32">
      <c r="A129" s="307">
        <v>4</v>
      </c>
      <c r="B129" s="342"/>
      <c r="C129" s="342" t="s">
        <v>182</v>
      </c>
      <c r="D129" s="340" t="s">
        <v>440</v>
      </c>
      <c r="E129" s="342" t="s">
        <v>266</v>
      </c>
      <c r="F129" s="345" t="s">
        <v>177</v>
      </c>
      <c r="G129" s="308">
        <v>37</v>
      </c>
      <c r="H129" s="309">
        <v>1000</v>
      </c>
      <c r="I129" s="309">
        <v>37000</v>
      </c>
      <c r="J129" s="211"/>
      <c r="K129" s="212" t="str">
        <f>IF(OR(J129="",G129=J129),"","*")</f>
        <v/>
      </c>
      <c r="L129" s="338" t="str">
        <f>IF($A129&lt;=L$1,I129/I$4,"")</f>
        <v/>
      </c>
      <c r="M129" s="343"/>
      <c r="N129" s="344"/>
      <c r="O129" s="310">
        <v>0</v>
      </c>
      <c r="P129" s="311">
        <v>0</v>
      </c>
      <c r="Q129" s="311">
        <v>0</v>
      </c>
      <c r="R129" s="211">
        <v>0</v>
      </c>
      <c r="S129" s="212"/>
      <c r="T129" s="213" t="e">
        <v>#DIV/0!</v>
      </c>
      <c r="U129" s="214"/>
      <c r="V129" s="215"/>
      <c r="W129" s="310">
        <v>0</v>
      </c>
      <c r="X129" s="311">
        <v>0</v>
      </c>
      <c r="Y129" s="311">
        <v>0</v>
      </c>
      <c r="Z129" s="211">
        <v>0</v>
      </c>
      <c r="AA129" s="212"/>
      <c r="AB129" s="213" t="e">
        <v>#DIV/0!</v>
      </c>
      <c r="AC129" s="214"/>
      <c r="AD129" s="215"/>
      <c r="AE129" s="342"/>
      <c r="AF129" s="341"/>
    </row>
    <row r="130" spans="1:32">
      <c r="A130" s="307">
        <v>3</v>
      </c>
      <c r="B130" s="342"/>
      <c r="C130" s="342" t="s">
        <v>232</v>
      </c>
      <c r="D130" s="340" t="s">
        <v>441</v>
      </c>
      <c r="E130" s="342" t="s">
        <v>438</v>
      </c>
      <c r="F130" s="345" t="s">
        <v>177</v>
      </c>
      <c r="G130" s="308">
        <v>7</v>
      </c>
      <c r="H130" s="309">
        <v>1000</v>
      </c>
      <c r="I130" s="309">
        <v>7000</v>
      </c>
      <c r="J130" s="211">
        <v>7</v>
      </c>
      <c r="K130" s="212" t="str">
        <f>IF(OR(J130="",G130=J130),"","*")</f>
        <v/>
      </c>
      <c r="L130" s="338">
        <f>IF($A130&lt;=L$1,I130/I$4,"")</f>
        <v>1.2121212121212121E-4</v>
      </c>
      <c r="M130" s="343"/>
      <c r="N130" s="344" t="s">
        <v>442</v>
      </c>
      <c r="O130" s="310">
        <v>0</v>
      </c>
      <c r="P130" s="311">
        <v>0</v>
      </c>
      <c r="Q130" s="311">
        <v>0</v>
      </c>
      <c r="R130" s="211">
        <v>0</v>
      </c>
      <c r="S130" s="212"/>
      <c r="T130" s="213" t="e">
        <v>#DIV/0!</v>
      </c>
      <c r="U130" s="214"/>
      <c r="V130" s="215"/>
      <c r="W130" s="310">
        <v>0</v>
      </c>
      <c r="X130" s="311">
        <v>0</v>
      </c>
      <c r="Y130" s="311">
        <v>0</v>
      </c>
      <c r="Z130" s="211">
        <v>0</v>
      </c>
      <c r="AA130" s="212"/>
      <c r="AB130" s="213" t="e">
        <v>#DIV/0!</v>
      </c>
      <c r="AC130" s="214"/>
      <c r="AD130" s="215"/>
      <c r="AE130" s="342"/>
      <c r="AF130" s="341"/>
    </row>
    <row r="131" spans="1:32">
      <c r="A131" s="307">
        <v>4</v>
      </c>
      <c r="B131" s="342"/>
      <c r="C131" s="342" t="s">
        <v>182</v>
      </c>
      <c r="D131" s="340" t="s">
        <v>443</v>
      </c>
      <c r="E131" s="342" t="s">
        <v>266</v>
      </c>
      <c r="F131" s="345" t="s">
        <v>177</v>
      </c>
      <c r="G131" s="308">
        <v>7</v>
      </c>
      <c r="H131" s="309">
        <v>1000</v>
      </c>
      <c r="I131" s="309">
        <v>7000</v>
      </c>
      <c r="J131" s="211"/>
      <c r="K131" s="212" t="str">
        <f>IF(OR(J131="",G131=J131),"","*")</f>
        <v/>
      </c>
      <c r="L131" s="338" t="str">
        <f>IF($A131&lt;=L$1,I131/I$4,"")</f>
        <v/>
      </c>
      <c r="M131" s="343"/>
      <c r="N131" s="344"/>
      <c r="O131" s="310">
        <v>0</v>
      </c>
      <c r="P131" s="311">
        <v>0</v>
      </c>
      <c r="Q131" s="311">
        <v>0</v>
      </c>
      <c r="R131" s="211">
        <v>0</v>
      </c>
      <c r="S131" s="212"/>
      <c r="T131" s="213" t="e">
        <v>#DIV/0!</v>
      </c>
      <c r="U131" s="214"/>
      <c r="V131" s="215"/>
      <c r="W131" s="310">
        <v>0</v>
      </c>
      <c r="X131" s="311">
        <v>0</v>
      </c>
      <c r="Y131" s="311">
        <v>0</v>
      </c>
      <c r="Z131" s="211">
        <v>0</v>
      </c>
      <c r="AA131" s="212"/>
      <c r="AB131" s="213" t="e">
        <v>#DIV/0!</v>
      </c>
      <c r="AC131" s="214"/>
      <c r="AD131" s="215"/>
      <c r="AE131" s="342"/>
      <c r="AF131" s="341"/>
    </row>
    <row r="132" spans="1:32">
      <c r="A132" s="307">
        <v>3</v>
      </c>
      <c r="B132" s="342"/>
      <c r="C132" s="342" t="s">
        <v>232</v>
      </c>
      <c r="D132" s="340" t="s">
        <v>444</v>
      </c>
      <c r="E132" s="342" t="s">
        <v>445</v>
      </c>
      <c r="F132" s="345" t="s">
        <v>176</v>
      </c>
      <c r="G132" s="308">
        <v>20</v>
      </c>
      <c r="H132" s="309">
        <v>1300</v>
      </c>
      <c r="I132" s="309">
        <v>26000</v>
      </c>
      <c r="J132" s="211">
        <v>20</v>
      </c>
      <c r="K132" s="212" t="str">
        <f>IF(OR(J132="",G132=J132),"","*")</f>
        <v/>
      </c>
      <c r="L132" s="338">
        <f>IF($A132&lt;=L$1,I132/I$4,"")</f>
        <v>4.5021645021645019E-4</v>
      </c>
      <c r="M132" s="343"/>
      <c r="N132" s="344" t="s">
        <v>446</v>
      </c>
      <c r="O132" s="310">
        <v>0</v>
      </c>
      <c r="P132" s="311">
        <v>0</v>
      </c>
      <c r="Q132" s="311">
        <v>0</v>
      </c>
      <c r="R132" s="211">
        <v>0</v>
      </c>
      <c r="S132" s="212"/>
      <c r="T132" s="213" t="e">
        <v>#DIV/0!</v>
      </c>
      <c r="U132" s="214"/>
      <c r="V132" s="215"/>
      <c r="W132" s="310">
        <v>0</v>
      </c>
      <c r="X132" s="311">
        <v>0</v>
      </c>
      <c r="Y132" s="311">
        <v>0</v>
      </c>
      <c r="Z132" s="211">
        <v>0</v>
      </c>
      <c r="AA132" s="212"/>
      <c r="AB132" s="213" t="e">
        <v>#DIV/0!</v>
      </c>
      <c r="AC132" s="214"/>
      <c r="AD132" s="215"/>
      <c r="AE132" s="342"/>
      <c r="AF132" s="341"/>
    </row>
    <row r="133" spans="1:32">
      <c r="A133" s="307">
        <v>4</v>
      </c>
      <c r="B133" s="342"/>
      <c r="C133" s="342" t="s">
        <v>182</v>
      </c>
      <c r="D133" s="340" t="s">
        <v>447</v>
      </c>
      <c r="E133" s="342" t="s">
        <v>266</v>
      </c>
      <c r="F133" s="345" t="s">
        <v>176</v>
      </c>
      <c r="G133" s="308">
        <v>20</v>
      </c>
      <c r="H133" s="309">
        <v>1300</v>
      </c>
      <c r="I133" s="309">
        <v>26000</v>
      </c>
      <c r="J133" s="211"/>
      <c r="K133" s="212" t="str">
        <f>IF(OR(J133="",G133=J133),"","*")</f>
        <v/>
      </c>
      <c r="L133" s="338" t="str">
        <f>IF($A133&lt;=L$1,I133/I$4,"")</f>
        <v/>
      </c>
      <c r="M133" s="343"/>
      <c r="N133" s="344"/>
      <c r="O133" s="310">
        <v>0</v>
      </c>
      <c r="P133" s="311">
        <v>0</v>
      </c>
      <c r="Q133" s="311">
        <v>0</v>
      </c>
      <c r="R133" s="211">
        <v>0</v>
      </c>
      <c r="S133" s="212"/>
      <c r="T133" s="213" t="e">
        <v>#DIV/0!</v>
      </c>
      <c r="U133" s="214"/>
      <c r="V133" s="215"/>
      <c r="W133" s="310">
        <v>0</v>
      </c>
      <c r="X133" s="311">
        <v>0</v>
      </c>
      <c r="Y133" s="311">
        <v>0</v>
      </c>
      <c r="Z133" s="211">
        <v>0</v>
      </c>
      <c r="AA133" s="212"/>
      <c r="AB133" s="213" t="e">
        <v>#DIV/0!</v>
      </c>
      <c r="AC133" s="214"/>
      <c r="AD133" s="215"/>
      <c r="AE133" s="342"/>
      <c r="AF133" s="341"/>
    </row>
    <row r="134" spans="1:32">
      <c r="A134" s="307">
        <v>3</v>
      </c>
      <c r="B134" s="342"/>
      <c r="C134" s="342" t="s">
        <v>232</v>
      </c>
      <c r="D134" s="340" t="s">
        <v>448</v>
      </c>
      <c r="E134" s="342" t="s">
        <v>449</v>
      </c>
      <c r="F134" s="345" t="s">
        <v>177</v>
      </c>
      <c r="G134" s="308">
        <v>1</v>
      </c>
      <c r="H134" s="309">
        <v>17000</v>
      </c>
      <c r="I134" s="309">
        <v>17000</v>
      </c>
      <c r="J134" s="211">
        <v>1</v>
      </c>
      <c r="K134" s="212" t="str">
        <f>IF(OR(J134="",G134=J134),"","*")</f>
        <v/>
      </c>
      <c r="L134" s="338">
        <f>IF($A134&lt;=L$1,I134/I$4,"")</f>
        <v>2.9437229437229438E-4</v>
      </c>
      <c r="M134" s="343"/>
      <c r="N134" s="344" t="s">
        <v>450</v>
      </c>
      <c r="O134" s="310">
        <v>0</v>
      </c>
      <c r="P134" s="311">
        <v>0</v>
      </c>
      <c r="Q134" s="311">
        <v>0</v>
      </c>
      <c r="R134" s="211">
        <v>0</v>
      </c>
      <c r="S134" s="212"/>
      <c r="T134" s="213" t="e">
        <v>#DIV/0!</v>
      </c>
      <c r="U134" s="214"/>
      <c r="V134" s="215"/>
      <c r="W134" s="310">
        <v>0</v>
      </c>
      <c r="X134" s="311">
        <v>0</v>
      </c>
      <c r="Y134" s="311">
        <v>0</v>
      </c>
      <c r="Z134" s="211">
        <v>0</v>
      </c>
      <c r="AA134" s="212"/>
      <c r="AB134" s="213" t="e">
        <v>#DIV/0!</v>
      </c>
      <c r="AC134" s="214"/>
      <c r="AD134" s="215"/>
      <c r="AE134" s="342"/>
      <c r="AF134" s="341"/>
    </row>
    <row r="135" spans="1:32">
      <c r="A135" s="307">
        <v>4</v>
      </c>
      <c r="B135" s="342"/>
      <c r="C135" s="342" t="s">
        <v>182</v>
      </c>
      <c r="D135" s="340" t="s">
        <v>451</v>
      </c>
      <c r="E135" s="342" t="s">
        <v>266</v>
      </c>
      <c r="F135" s="345" t="s">
        <v>177</v>
      </c>
      <c r="G135" s="308">
        <v>1</v>
      </c>
      <c r="H135" s="309">
        <v>17000</v>
      </c>
      <c r="I135" s="309">
        <v>17000</v>
      </c>
      <c r="J135" s="211"/>
      <c r="K135" s="212" t="str">
        <f>IF(OR(J135="",G135=J135),"","*")</f>
        <v/>
      </c>
      <c r="L135" s="338" t="str">
        <f>IF($A135&lt;=L$1,I135/I$4,"")</f>
        <v/>
      </c>
      <c r="M135" s="343"/>
      <c r="N135" s="344"/>
      <c r="O135" s="310">
        <v>0</v>
      </c>
      <c r="P135" s="311">
        <v>0</v>
      </c>
      <c r="Q135" s="311">
        <v>0</v>
      </c>
      <c r="R135" s="211">
        <v>0</v>
      </c>
      <c r="S135" s="212"/>
      <c r="T135" s="213" t="e">
        <v>#DIV/0!</v>
      </c>
      <c r="U135" s="214"/>
      <c r="V135" s="215"/>
      <c r="W135" s="310">
        <v>0</v>
      </c>
      <c r="X135" s="311">
        <v>0</v>
      </c>
      <c r="Y135" s="311">
        <v>0</v>
      </c>
      <c r="Z135" s="211">
        <v>0</v>
      </c>
      <c r="AA135" s="212"/>
      <c r="AB135" s="213" t="e">
        <v>#DIV/0!</v>
      </c>
      <c r="AC135" s="214"/>
      <c r="AD135" s="215"/>
      <c r="AE135" s="342"/>
      <c r="AF135" s="341"/>
    </row>
    <row r="136" spans="1:32">
      <c r="A136" s="307">
        <v>3</v>
      </c>
      <c r="B136" s="342"/>
      <c r="C136" s="342" t="s">
        <v>232</v>
      </c>
      <c r="D136" s="340" t="s">
        <v>452</v>
      </c>
      <c r="E136" s="342"/>
      <c r="F136" s="345" t="s">
        <v>177</v>
      </c>
      <c r="G136" s="308">
        <v>1</v>
      </c>
      <c r="H136" s="309">
        <v>48000</v>
      </c>
      <c r="I136" s="309">
        <v>48000</v>
      </c>
      <c r="J136" s="211">
        <v>1</v>
      </c>
      <c r="K136" s="212" t="str">
        <f>IF(OR(J136="",G136=J136),"","*")</f>
        <v/>
      </c>
      <c r="L136" s="338">
        <f>IF($A136&lt;=L$1,I136/I$4,"")</f>
        <v>8.3116883116883121E-4</v>
      </c>
      <c r="M136" s="343"/>
      <c r="N136" s="344" t="s">
        <v>453</v>
      </c>
      <c r="O136" s="310">
        <v>0</v>
      </c>
      <c r="P136" s="311">
        <v>0</v>
      </c>
      <c r="Q136" s="311">
        <v>0</v>
      </c>
      <c r="R136" s="211">
        <v>0</v>
      </c>
      <c r="S136" s="212"/>
      <c r="T136" s="213" t="e">
        <v>#DIV/0!</v>
      </c>
      <c r="U136" s="214"/>
      <c r="V136" s="215"/>
      <c r="W136" s="310">
        <v>0</v>
      </c>
      <c r="X136" s="311">
        <v>0</v>
      </c>
      <c r="Y136" s="311">
        <v>0</v>
      </c>
      <c r="Z136" s="211">
        <v>0</v>
      </c>
      <c r="AA136" s="212"/>
      <c r="AB136" s="213" t="e">
        <v>#DIV/0!</v>
      </c>
      <c r="AC136" s="214"/>
      <c r="AD136" s="215"/>
      <c r="AE136" s="342"/>
      <c r="AF136" s="341"/>
    </row>
    <row r="137" spans="1:32">
      <c r="A137" s="307">
        <v>4</v>
      </c>
      <c r="B137" s="342"/>
      <c r="C137" s="342" t="s">
        <v>182</v>
      </c>
      <c r="D137" s="340" t="s">
        <v>454</v>
      </c>
      <c r="E137" s="342" t="s">
        <v>266</v>
      </c>
      <c r="F137" s="345" t="s">
        <v>177</v>
      </c>
      <c r="G137" s="308">
        <v>1</v>
      </c>
      <c r="H137" s="309">
        <v>48000</v>
      </c>
      <c r="I137" s="309">
        <v>48000</v>
      </c>
      <c r="J137" s="211"/>
      <c r="K137" s="212" t="str">
        <f>IF(OR(J137="",G137=J137),"","*")</f>
        <v/>
      </c>
      <c r="L137" s="338" t="str">
        <f>IF($A137&lt;=L$1,I137/I$4,"")</f>
        <v/>
      </c>
      <c r="M137" s="343"/>
      <c r="N137" s="344"/>
      <c r="O137" s="310">
        <v>0</v>
      </c>
      <c r="P137" s="311">
        <v>0</v>
      </c>
      <c r="Q137" s="311">
        <v>0</v>
      </c>
      <c r="R137" s="211">
        <v>0</v>
      </c>
      <c r="S137" s="212"/>
      <c r="T137" s="213" t="e">
        <v>#DIV/0!</v>
      </c>
      <c r="U137" s="214"/>
      <c r="V137" s="215"/>
      <c r="W137" s="310">
        <v>0</v>
      </c>
      <c r="X137" s="311">
        <v>0</v>
      </c>
      <c r="Y137" s="311">
        <v>0</v>
      </c>
      <c r="Z137" s="211">
        <v>0</v>
      </c>
      <c r="AA137" s="212"/>
      <c r="AB137" s="213" t="e">
        <v>#DIV/0!</v>
      </c>
      <c r="AC137" s="214"/>
      <c r="AD137" s="215"/>
      <c r="AE137" s="342"/>
      <c r="AF137" s="341"/>
    </row>
    <row r="138" spans="1:32">
      <c r="A138" s="307">
        <v>3</v>
      </c>
      <c r="B138" s="342"/>
      <c r="C138" s="342" t="s">
        <v>232</v>
      </c>
      <c r="D138" s="340" t="s">
        <v>455</v>
      </c>
      <c r="E138" s="342"/>
      <c r="F138" s="345" t="s">
        <v>177</v>
      </c>
      <c r="G138" s="308">
        <v>1</v>
      </c>
      <c r="H138" s="309">
        <v>24000</v>
      </c>
      <c r="I138" s="309">
        <v>24000</v>
      </c>
      <c r="J138" s="211">
        <v>1</v>
      </c>
      <c r="K138" s="212" t="str">
        <f>IF(OR(J138="",G138=J138),"","*")</f>
        <v/>
      </c>
      <c r="L138" s="338">
        <f>IF($A138&lt;=L$1,I138/I$4,"")</f>
        <v>4.1558441558441561E-4</v>
      </c>
      <c r="M138" s="343"/>
      <c r="N138" s="344" t="s">
        <v>456</v>
      </c>
      <c r="O138" s="310">
        <v>0</v>
      </c>
      <c r="P138" s="311">
        <v>0</v>
      </c>
      <c r="Q138" s="311">
        <v>0</v>
      </c>
      <c r="R138" s="211">
        <v>0</v>
      </c>
      <c r="S138" s="212"/>
      <c r="T138" s="213" t="e">
        <v>#DIV/0!</v>
      </c>
      <c r="U138" s="214"/>
      <c r="V138" s="215"/>
      <c r="W138" s="310">
        <v>0</v>
      </c>
      <c r="X138" s="311">
        <v>0</v>
      </c>
      <c r="Y138" s="311">
        <v>0</v>
      </c>
      <c r="Z138" s="211">
        <v>0</v>
      </c>
      <c r="AA138" s="212"/>
      <c r="AB138" s="213" t="e">
        <v>#DIV/0!</v>
      </c>
      <c r="AC138" s="214"/>
      <c r="AD138" s="215"/>
      <c r="AE138" s="342"/>
      <c r="AF138" s="341"/>
    </row>
    <row r="139" spans="1:32">
      <c r="A139" s="307">
        <v>4</v>
      </c>
      <c r="B139" s="342"/>
      <c r="C139" s="342" t="s">
        <v>182</v>
      </c>
      <c r="D139" s="340" t="s">
        <v>457</v>
      </c>
      <c r="E139" s="342" t="s">
        <v>266</v>
      </c>
      <c r="F139" s="345" t="s">
        <v>177</v>
      </c>
      <c r="G139" s="308">
        <v>1</v>
      </c>
      <c r="H139" s="309">
        <v>24000</v>
      </c>
      <c r="I139" s="309">
        <v>24000</v>
      </c>
      <c r="J139" s="211"/>
      <c r="K139" s="212" t="str">
        <f>IF(OR(J139="",G139=J139),"","*")</f>
        <v/>
      </c>
      <c r="L139" s="338" t="str">
        <f>IF($A139&lt;=L$1,I139/I$4,"")</f>
        <v/>
      </c>
      <c r="M139" s="343"/>
      <c r="N139" s="344"/>
      <c r="O139" s="310">
        <v>0</v>
      </c>
      <c r="P139" s="311">
        <v>0</v>
      </c>
      <c r="Q139" s="311">
        <v>0</v>
      </c>
      <c r="R139" s="211">
        <v>0</v>
      </c>
      <c r="S139" s="212"/>
      <c r="T139" s="213" t="e">
        <v>#DIV/0!</v>
      </c>
      <c r="U139" s="214"/>
      <c r="V139" s="215"/>
      <c r="W139" s="310">
        <v>0</v>
      </c>
      <c r="X139" s="311">
        <v>0</v>
      </c>
      <c r="Y139" s="311">
        <v>0</v>
      </c>
      <c r="Z139" s="211">
        <v>0</v>
      </c>
      <c r="AA139" s="212"/>
      <c r="AB139" s="213" t="e">
        <v>#DIV/0!</v>
      </c>
      <c r="AC139" s="214"/>
      <c r="AD139" s="215"/>
      <c r="AE139" s="342"/>
      <c r="AF139" s="341"/>
    </row>
    <row r="140" spans="1:32">
      <c r="A140" s="307">
        <v>3</v>
      </c>
      <c r="B140" s="342"/>
      <c r="C140" s="342" t="s">
        <v>232</v>
      </c>
      <c r="D140" s="340" t="s">
        <v>458</v>
      </c>
      <c r="E140" s="342"/>
      <c r="F140" s="345" t="s">
        <v>177</v>
      </c>
      <c r="G140" s="308">
        <v>6</v>
      </c>
      <c r="H140" s="309">
        <v>20000</v>
      </c>
      <c r="I140" s="309">
        <v>120000</v>
      </c>
      <c r="J140" s="211">
        <v>6</v>
      </c>
      <c r="K140" s="212" t="str">
        <f>IF(OR(J140="",G140=J140),"","*")</f>
        <v/>
      </c>
      <c r="L140" s="338">
        <f>IF($A140&lt;=L$1,I140/I$4,"")</f>
        <v>2.0779220779220779E-3</v>
      </c>
      <c r="M140" s="343"/>
      <c r="N140" s="344" t="s">
        <v>459</v>
      </c>
      <c r="O140" s="310">
        <v>0</v>
      </c>
      <c r="P140" s="311">
        <v>0</v>
      </c>
      <c r="Q140" s="311">
        <v>0</v>
      </c>
      <c r="R140" s="211">
        <v>0</v>
      </c>
      <c r="S140" s="212"/>
      <c r="T140" s="213" t="e">
        <v>#DIV/0!</v>
      </c>
      <c r="U140" s="214"/>
      <c r="V140" s="215"/>
      <c r="W140" s="310">
        <v>0</v>
      </c>
      <c r="X140" s="311">
        <v>0</v>
      </c>
      <c r="Y140" s="311">
        <v>0</v>
      </c>
      <c r="Z140" s="211">
        <v>0</v>
      </c>
      <c r="AA140" s="212"/>
      <c r="AB140" s="213" t="e">
        <v>#DIV/0!</v>
      </c>
      <c r="AC140" s="214"/>
      <c r="AD140" s="215"/>
      <c r="AE140" s="342"/>
      <c r="AF140" s="341"/>
    </row>
    <row r="141" spans="1:32">
      <c r="A141" s="307">
        <v>4</v>
      </c>
      <c r="B141" s="342"/>
      <c r="C141" s="342" t="s">
        <v>182</v>
      </c>
      <c r="D141" s="340" t="s">
        <v>460</v>
      </c>
      <c r="E141" s="342" t="s">
        <v>266</v>
      </c>
      <c r="F141" s="345" t="s">
        <v>177</v>
      </c>
      <c r="G141" s="308">
        <v>6</v>
      </c>
      <c r="H141" s="309">
        <v>20000</v>
      </c>
      <c r="I141" s="309">
        <v>120000</v>
      </c>
      <c r="J141" s="211"/>
      <c r="K141" s="212" t="str">
        <f>IF(OR(J141="",G141=J141),"","*")</f>
        <v/>
      </c>
      <c r="L141" s="338" t="str">
        <f>IF($A141&lt;=L$1,I141/I$4,"")</f>
        <v/>
      </c>
      <c r="M141" s="343"/>
      <c r="N141" s="344"/>
      <c r="O141" s="310">
        <v>0</v>
      </c>
      <c r="P141" s="311">
        <v>0</v>
      </c>
      <c r="Q141" s="311">
        <v>0</v>
      </c>
      <c r="R141" s="211">
        <v>0</v>
      </c>
      <c r="S141" s="212"/>
      <c r="T141" s="213" t="e">
        <v>#DIV/0!</v>
      </c>
      <c r="U141" s="214"/>
      <c r="V141" s="215"/>
      <c r="W141" s="310">
        <v>0</v>
      </c>
      <c r="X141" s="311">
        <v>0</v>
      </c>
      <c r="Y141" s="311">
        <v>0</v>
      </c>
      <c r="Z141" s="211">
        <v>0</v>
      </c>
      <c r="AA141" s="212"/>
      <c r="AB141" s="213" t="e">
        <v>#DIV/0!</v>
      </c>
      <c r="AC141" s="214"/>
      <c r="AD141" s="215"/>
      <c r="AE141" s="342"/>
      <c r="AF141" s="341"/>
    </row>
    <row r="142" spans="1:32">
      <c r="A142" s="307">
        <v>3</v>
      </c>
      <c r="B142" s="342"/>
      <c r="C142" s="342" t="s">
        <v>232</v>
      </c>
      <c r="D142" s="340" t="s">
        <v>461</v>
      </c>
      <c r="E142" s="342" t="s">
        <v>462</v>
      </c>
      <c r="F142" s="345" t="s">
        <v>463</v>
      </c>
      <c r="G142" s="308">
        <v>1</v>
      </c>
      <c r="H142" s="309">
        <v>20000</v>
      </c>
      <c r="I142" s="309">
        <v>20000</v>
      </c>
      <c r="J142" s="211">
        <v>1</v>
      </c>
      <c r="K142" s="212" t="str">
        <f>IF(OR(J142="",G142=J142),"","*")</f>
        <v/>
      </c>
      <c r="L142" s="338">
        <f>IF($A142&lt;=L$1,I142/I$4,"")</f>
        <v>3.4632034632034632E-4</v>
      </c>
      <c r="M142" s="343"/>
      <c r="N142" s="344" t="s">
        <v>464</v>
      </c>
      <c r="O142" s="310">
        <v>0</v>
      </c>
      <c r="P142" s="311">
        <v>0</v>
      </c>
      <c r="Q142" s="311">
        <v>0</v>
      </c>
      <c r="R142" s="211">
        <v>0</v>
      </c>
      <c r="S142" s="212"/>
      <c r="T142" s="213" t="e">
        <v>#DIV/0!</v>
      </c>
      <c r="U142" s="214"/>
      <c r="V142" s="215"/>
      <c r="W142" s="310">
        <v>0</v>
      </c>
      <c r="X142" s="311">
        <v>0</v>
      </c>
      <c r="Y142" s="311">
        <v>0</v>
      </c>
      <c r="Z142" s="211">
        <v>0</v>
      </c>
      <c r="AA142" s="212"/>
      <c r="AB142" s="213" t="e">
        <v>#DIV/0!</v>
      </c>
      <c r="AC142" s="214"/>
      <c r="AD142" s="215"/>
      <c r="AE142" s="342"/>
      <c r="AF142" s="341"/>
    </row>
    <row r="143" spans="1:32">
      <c r="A143" s="307">
        <v>4</v>
      </c>
      <c r="B143" s="342"/>
      <c r="C143" s="342" t="s">
        <v>182</v>
      </c>
      <c r="D143" s="340" t="s">
        <v>465</v>
      </c>
      <c r="E143" s="342" t="s">
        <v>266</v>
      </c>
      <c r="F143" s="345" t="s">
        <v>463</v>
      </c>
      <c r="G143" s="308">
        <v>1</v>
      </c>
      <c r="H143" s="309">
        <v>20000</v>
      </c>
      <c r="I143" s="309">
        <v>20000</v>
      </c>
      <c r="J143" s="211"/>
      <c r="K143" s="212" t="str">
        <f>IF(OR(J143="",G143=J143),"","*")</f>
        <v/>
      </c>
      <c r="L143" s="338" t="str">
        <f>IF($A143&lt;=L$1,I143/I$4,"")</f>
        <v/>
      </c>
      <c r="M143" s="343"/>
      <c r="N143" s="344"/>
      <c r="O143" s="310">
        <v>0</v>
      </c>
      <c r="P143" s="311">
        <v>0</v>
      </c>
      <c r="Q143" s="311">
        <v>0</v>
      </c>
      <c r="R143" s="211">
        <v>0</v>
      </c>
      <c r="S143" s="212"/>
      <c r="T143" s="213" t="e">
        <v>#DIV/0!</v>
      </c>
      <c r="U143" s="214"/>
      <c r="V143" s="215"/>
      <c r="W143" s="310">
        <v>0</v>
      </c>
      <c r="X143" s="311">
        <v>0</v>
      </c>
      <c r="Y143" s="311">
        <v>0</v>
      </c>
      <c r="Z143" s="211">
        <v>0</v>
      </c>
      <c r="AA143" s="212"/>
      <c r="AB143" s="213" t="e">
        <v>#DIV/0!</v>
      </c>
      <c r="AC143" s="214"/>
      <c r="AD143" s="215"/>
      <c r="AE143" s="342"/>
      <c r="AF143" s="341"/>
    </row>
    <row r="144" spans="1:32">
      <c r="A144" s="307">
        <v>3</v>
      </c>
      <c r="B144" s="342"/>
      <c r="C144" s="342" t="s">
        <v>232</v>
      </c>
      <c r="D144" s="340" t="s">
        <v>466</v>
      </c>
      <c r="E144" s="342"/>
      <c r="F144" s="345" t="s">
        <v>177</v>
      </c>
      <c r="G144" s="308">
        <v>1</v>
      </c>
      <c r="H144" s="309">
        <v>9500</v>
      </c>
      <c r="I144" s="309">
        <v>9500</v>
      </c>
      <c r="J144" s="211">
        <v>1</v>
      </c>
      <c r="K144" s="212" t="str">
        <f>IF(OR(J144="",G144=J144),"","*")</f>
        <v/>
      </c>
      <c r="L144" s="338">
        <f>IF($A144&lt;=L$1,I144/I$4,"")</f>
        <v>1.6450216450216451E-4</v>
      </c>
      <c r="M144" s="343"/>
      <c r="N144" s="344" t="s">
        <v>467</v>
      </c>
      <c r="O144" s="310">
        <v>0</v>
      </c>
      <c r="P144" s="311">
        <v>0</v>
      </c>
      <c r="Q144" s="311">
        <v>0</v>
      </c>
      <c r="R144" s="211">
        <v>0</v>
      </c>
      <c r="S144" s="212"/>
      <c r="T144" s="213" t="e">
        <v>#DIV/0!</v>
      </c>
      <c r="U144" s="214"/>
      <c r="V144" s="215"/>
      <c r="W144" s="310">
        <v>0</v>
      </c>
      <c r="X144" s="311">
        <v>0</v>
      </c>
      <c r="Y144" s="311">
        <v>0</v>
      </c>
      <c r="Z144" s="211">
        <v>0</v>
      </c>
      <c r="AA144" s="212"/>
      <c r="AB144" s="213" t="e">
        <v>#DIV/0!</v>
      </c>
      <c r="AC144" s="214"/>
      <c r="AD144" s="215"/>
      <c r="AE144" s="342"/>
      <c r="AF144" s="341"/>
    </row>
    <row r="145" spans="1:32">
      <c r="A145" s="307">
        <v>4</v>
      </c>
      <c r="B145" s="342"/>
      <c r="C145" s="342" t="s">
        <v>182</v>
      </c>
      <c r="D145" s="340" t="s">
        <v>468</v>
      </c>
      <c r="E145" s="342" t="s">
        <v>266</v>
      </c>
      <c r="F145" s="345" t="s">
        <v>177</v>
      </c>
      <c r="G145" s="308">
        <v>1</v>
      </c>
      <c r="H145" s="309">
        <v>9500</v>
      </c>
      <c r="I145" s="309">
        <v>9500</v>
      </c>
      <c r="J145" s="211"/>
      <c r="K145" s="212" t="str">
        <f>IF(OR(J145="",G145=J145),"","*")</f>
        <v/>
      </c>
      <c r="L145" s="338" t="str">
        <f>IF($A145&lt;=L$1,I145/I$4,"")</f>
        <v/>
      </c>
      <c r="M145" s="343"/>
      <c r="N145" s="344"/>
      <c r="O145" s="310">
        <v>0</v>
      </c>
      <c r="P145" s="311">
        <v>0</v>
      </c>
      <c r="Q145" s="311">
        <v>0</v>
      </c>
      <c r="R145" s="211">
        <v>0</v>
      </c>
      <c r="S145" s="212"/>
      <c r="T145" s="213" t="e">
        <v>#DIV/0!</v>
      </c>
      <c r="U145" s="214"/>
      <c r="V145" s="215"/>
      <c r="W145" s="310">
        <v>0</v>
      </c>
      <c r="X145" s="311">
        <v>0</v>
      </c>
      <c r="Y145" s="311">
        <v>0</v>
      </c>
      <c r="Z145" s="211">
        <v>0</v>
      </c>
      <c r="AA145" s="212"/>
      <c r="AB145" s="213" t="e">
        <v>#DIV/0!</v>
      </c>
      <c r="AC145" s="214"/>
      <c r="AD145" s="215"/>
      <c r="AE145" s="342"/>
      <c r="AF145" s="341"/>
    </row>
    <row r="146" spans="1:32">
      <c r="A146" s="307">
        <v>3</v>
      </c>
      <c r="B146" s="342"/>
      <c r="C146" s="342" t="s">
        <v>232</v>
      </c>
      <c r="D146" s="340" t="s">
        <v>469</v>
      </c>
      <c r="E146" s="342" t="s">
        <v>470</v>
      </c>
      <c r="F146" s="345" t="s">
        <v>471</v>
      </c>
      <c r="G146" s="308">
        <v>1</v>
      </c>
      <c r="H146" s="309">
        <v>138000</v>
      </c>
      <c r="I146" s="309">
        <v>138000</v>
      </c>
      <c r="J146" s="211">
        <v>1</v>
      </c>
      <c r="K146" s="212" t="str">
        <f>IF(OR(J146="",G146=J146),"","*")</f>
        <v/>
      </c>
      <c r="L146" s="338">
        <f>IF($A146&lt;=L$1,I146/I$4,"")</f>
        <v>2.3896103896103894E-3</v>
      </c>
      <c r="M146" s="343"/>
      <c r="N146" s="344" t="s">
        <v>472</v>
      </c>
      <c r="O146" s="310">
        <v>0</v>
      </c>
      <c r="P146" s="311">
        <v>0</v>
      </c>
      <c r="Q146" s="311">
        <v>0</v>
      </c>
      <c r="R146" s="211">
        <v>0</v>
      </c>
      <c r="S146" s="212"/>
      <c r="T146" s="213" t="e">
        <v>#DIV/0!</v>
      </c>
      <c r="U146" s="214"/>
      <c r="V146" s="215"/>
      <c r="W146" s="310">
        <v>0</v>
      </c>
      <c r="X146" s="311">
        <v>0</v>
      </c>
      <c r="Y146" s="311">
        <v>0</v>
      </c>
      <c r="Z146" s="211">
        <v>0</v>
      </c>
      <c r="AA146" s="212"/>
      <c r="AB146" s="213" t="e">
        <v>#DIV/0!</v>
      </c>
      <c r="AC146" s="214"/>
      <c r="AD146" s="215"/>
      <c r="AE146" s="342"/>
      <c r="AF146" s="341"/>
    </row>
    <row r="147" spans="1:32">
      <c r="A147" s="307">
        <v>4</v>
      </c>
      <c r="B147" s="342"/>
      <c r="C147" s="342" t="s">
        <v>182</v>
      </c>
      <c r="D147" s="340" t="s">
        <v>473</v>
      </c>
      <c r="E147" s="342" t="s">
        <v>266</v>
      </c>
      <c r="F147" s="345" t="s">
        <v>471</v>
      </c>
      <c r="G147" s="308">
        <v>1</v>
      </c>
      <c r="H147" s="309">
        <v>138000</v>
      </c>
      <c r="I147" s="309">
        <v>138000</v>
      </c>
      <c r="J147" s="211"/>
      <c r="K147" s="212" t="str">
        <f>IF(OR(J147="",G147=J147),"","*")</f>
        <v/>
      </c>
      <c r="L147" s="338" t="str">
        <f>IF($A147&lt;=L$1,I147/I$4,"")</f>
        <v/>
      </c>
      <c r="M147" s="343"/>
      <c r="N147" s="344"/>
      <c r="O147" s="310">
        <v>0</v>
      </c>
      <c r="P147" s="311">
        <v>0</v>
      </c>
      <c r="Q147" s="311">
        <v>0</v>
      </c>
      <c r="R147" s="211">
        <v>0</v>
      </c>
      <c r="S147" s="212"/>
      <c r="T147" s="213" t="e">
        <v>#DIV/0!</v>
      </c>
      <c r="U147" s="214"/>
      <c r="V147" s="215"/>
      <c r="W147" s="310">
        <v>0</v>
      </c>
      <c r="X147" s="311">
        <v>0</v>
      </c>
      <c r="Y147" s="311">
        <v>0</v>
      </c>
      <c r="Z147" s="211">
        <v>0</v>
      </c>
      <c r="AA147" s="212"/>
      <c r="AB147" s="213" t="e">
        <v>#DIV/0!</v>
      </c>
      <c r="AC147" s="214"/>
      <c r="AD147" s="215"/>
      <c r="AE147" s="342"/>
      <c r="AF147" s="341"/>
    </row>
    <row r="148" spans="1:32">
      <c r="A148" s="307">
        <v>3</v>
      </c>
      <c r="B148" s="342"/>
      <c r="C148" s="342" t="s">
        <v>232</v>
      </c>
      <c r="D148" s="340" t="s">
        <v>469</v>
      </c>
      <c r="E148" s="342" t="s">
        <v>474</v>
      </c>
      <c r="F148" s="345" t="s">
        <v>471</v>
      </c>
      <c r="G148" s="308">
        <v>1</v>
      </c>
      <c r="H148" s="309">
        <v>334000</v>
      </c>
      <c r="I148" s="309">
        <v>334000</v>
      </c>
      <c r="J148" s="211">
        <v>1</v>
      </c>
      <c r="K148" s="212" t="str">
        <f>IF(OR(J148="",G148=J148),"","*")</f>
        <v/>
      </c>
      <c r="L148" s="338">
        <f>IF($A148&lt;=L$1,I148/I$4,"")</f>
        <v>5.7835497835497839E-3</v>
      </c>
      <c r="M148" s="343"/>
      <c r="N148" s="344" t="s">
        <v>475</v>
      </c>
      <c r="O148" s="310">
        <v>0</v>
      </c>
      <c r="P148" s="311">
        <v>0</v>
      </c>
      <c r="Q148" s="311">
        <v>0</v>
      </c>
      <c r="R148" s="211">
        <v>0</v>
      </c>
      <c r="S148" s="212"/>
      <c r="T148" s="213" t="e">
        <v>#DIV/0!</v>
      </c>
      <c r="U148" s="214"/>
      <c r="V148" s="215"/>
      <c r="W148" s="310">
        <v>0</v>
      </c>
      <c r="X148" s="311">
        <v>0</v>
      </c>
      <c r="Y148" s="311">
        <v>0</v>
      </c>
      <c r="Z148" s="211">
        <v>0</v>
      </c>
      <c r="AA148" s="212"/>
      <c r="AB148" s="213" t="e">
        <v>#DIV/0!</v>
      </c>
      <c r="AC148" s="214"/>
      <c r="AD148" s="215"/>
      <c r="AE148" s="342"/>
      <c r="AF148" s="341"/>
    </row>
    <row r="149" spans="1:32">
      <c r="A149" s="307">
        <v>4</v>
      </c>
      <c r="B149" s="342"/>
      <c r="C149" s="342" t="s">
        <v>182</v>
      </c>
      <c r="D149" s="340" t="s">
        <v>473</v>
      </c>
      <c r="E149" s="342" t="s">
        <v>266</v>
      </c>
      <c r="F149" s="345" t="s">
        <v>471</v>
      </c>
      <c r="G149" s="308">
        <v>1</v>
      </c>
      <c r="H149" s="309">
        <v>334000</v>
      </c>
      <c r="I149" s="309">
        <v>334000</v>
      </c>
      <c r="J149" s="211"/>
      <c r="K149" s="212" t="str">
        <f>IF(OR(J149="",G149=J149),"","*")</f>
        <v/>
      </c>
      <c r="L149" s="338" t="str">
        <f>IF($A149&lt;=L$1,I149/I$4,"")</f>
        <v/>
      </c>
      <c r="M149" s="343"/>
      <c r="N149" s="344"/>
      <c r="O149" s="310">
        <v>0</v>
      </c>
      <c r="P149" s="311">
        <v>0</v>
      </c>
      <c r="Q149" s="311">
        <v>0</v>
      </c>
      <c r="R149" s="211">
        <v>0</v>
      </c>
      <c r="S149" s="212"/>
      <c r="T149" s="213" t="e">
        <v>#DIV/0!</v>
      </c>
      <c r="U149" s="214"/>
      <c r="V149" s="215"/>
      <c r="W149" s="310">
        <v>0</v>
      </c>
      <c r="X149" s="311">
        <v>0</v>
      </c>
      <c r="Y149" s="311">
        <v>0</v>
      </c>
      <c r="Z149" s="211">
        <v>0</v>
      </c>
      <c r="AA149" s="212"/>
      <c r="AB149" s="213" t="e">
        <v>#DIV/0!</v>
      </c>
      <c r="AC149" s="214"/>
      <c r="AD149" s="215"/>
      <c r="AE149" s="342"/>
      <c r="AF149" s="341"/>
    </row>
    <row r="150" spans="1:32">
      <c r="A150" s="307">
        <v>3</v>
      </c>
      <c r="B150" s="342"/>
      <c r="C150" s="342" t="s">
        <v>232</v>
      </c>
      <c r="D150" s="340" t="s">
        <v>476</v>
      </c>
      <c r="E150" s="342"/>
      <c r="F150" s="345" t="s">
        <v>176</v>
      </c>
      <c r="G150" s="308">
        <v>0</v>
      </c>
      <c r="H150" s="309">
        <v>0</v>
      </c>
      <c r="I150" s="309">
        <v>0</v>
      </c>
      <c r="J150" s="211">
        <v>52</v>
      </c>
      <c r="K150" s="212" t="str">
        <f>IF(OR(J150="",G150=J150),"","*")</f>
        <v>*</v>
      </c>
      <c r="L150" s="338">
        <f>IF($A150&lt;=L$1,I150/I$4,"")</f>
        <v>0</v>
      </c>
      <c r="M150" s="343"/>
      <c r="N150" s="344" t="s">
        <v>477</v>
      </c>
      <c r="O150" s="310">
        <v>0</v>
      </c>
      <c r="P150" s="311">
        <v>0</v>
      </c>
      <c r="Q150" s="311">
        <v>0</v>
      </c>
      <c r="R150" s="211">
        <v>0</v>
      </c>
      <c r="S150" s="212"/>
      <c r="T150" s="213" t="e">
        <v>#DIV/0!</v>
      </c>
      <c r="U150" s="214"/>
      <c r="V150" s="215"/>
      <c r="W150" s="310">
        <v>0</v>
      </c>
      <c r="X150" s="311">
        <v>0</v>
      </c>
      <c r="Y150" s="311">
        <v>0</v>
      </c>
      <c r="Z150" s="211">
        <v>0</v>
      </c>
      <c r="AA150" s="212"/>
      <c r="AB150" s="213" t="e">
        <v>#DIV/0!</v>
      </c>
      <c r="AC150" s="214"/>
      <c r="AD150" s="215"/>
      <c r="AE150" s="342"/>
      <c r="AF150" s="341"/>
    </row>
    <row r="151" spans="1:32">
      <c r="A151" s="307">
        <v>4</v>
      </c>
      <c r="B151" s="342"/>
      <c r="C151" s="342" t="s">
        <v>182</v>
      </c>
      <c r="D151" s="340" t="s">
        <v>478</v>
      </c>
      <c r="E151" s="342" t="s">
        <v>266</v>
      </c>
      <c r="F151" s="345" t="s">
        <v>176</v>
      </c>
      <c r="G151" s="308">
        <v>0</v>
      </c>
      <c r="H151" s="309">
        <v>2500</v>
      </c>
      <c r="I151" s="309">
        <v>0</v>
      </c>
      <c r="J151" s="211"/>
      <c r="K151" s="212" t="str">
        <f>IF(OR(J151="",G151=J151),"","*")</f>
        <v/>
      </c>
      <c r="L151" s="338" t="str">
        <f>IF($A151&lt;=L$1,I151/I$4,"")</f>
        <v/>
      </c>
      <c r="M151" s="343"/>
      <c r="N151" s="344"/>
      <c r="O151" s="310">
        <v>0</v>
      </c>
      <c r="P151" s="311">
        <v>0</v>
      </c>
      <c r="Q151" s="311">
        <v>0</v>
      </c>
      <c r="R151" s="211">
        <v>0</v>
      </c>
      <c r="S151" s="212"/>
      <c r="T151" s="213" t="e">
        <v>#DIV/0!</v>
      </c>
      <c r="U151" s="214"/>
      <c r="V151" s="215"/>
      <c r="W151" s="310">
        <v>0</v>
      </c>
      <c r="X151" s="311">
        <v>0</v>
      </c>
      <c r="Y151" s="311">
        <v>0</v>
      </c>
      <c r="Z151" s="211">
        <v>0</v>
      </c>
      <c r="AA151" s="212"/>
      <c r="AB151" s="213" t="e">
        <v>#DIV/0!</v>
      </c>
      <c r="AC151" s="214"/>
      <c r="AD151" s="215"/>
      <c r="AE151" s="342"/>
      <c r="AF151" s="341"/>
    </row>
    <row r="152" spans="1:32">
      <c r="A152" s="307">
        <v>3</v>
      </c>
      <c r="B152" s="342"/>
      <c r="C152" s="342" t="s">
        <v>232</v>
      </c>
      <c r="D152" s="340" t="s">
        <v>479</v>
      </c>
      <c r="E152" s="342"/>
      <c r="F152" s="345" t="s">
        <v>177</v>
      </c>
      <c r="G152" s="308">
        <v>1</v>
      </c>
      <c r="H152" s="309">
        <v>3000</v>
      </c>
      <c r="I152" s="309">
        <v>3000</v>
      </c>
      <c r="J152" s="211">
        <v>1</v>
      </c>
      <c r="K152" s="212" t="str">
        <f>IF(OR(J152="",G152=J152),"","*")</f>
        <v/>
      </c>
      <c r="L152" s="338">
        <f>IF($A152&lt;=L$1,I152/I$4,"")</f>
        <v>5.1948051948051951E-5</v>
      </c>
      <c r="M152" s="343"/>
      <c r="N152" s="344" t="s">
        <v>480</v>
      </c>
      <c r="O152" s="310">
        <v>0</v>
      </c>
      <c r="P152" s="311">
        <v>0</v>
      </c>
      <c r="Q152" s="311">
        <v>0</v>
      </c>
      <c r="R152" s="211">
        <v>0</v>
      </c>
      <c r="S152" s="212"/>
      <c r="T152" s="213" t="e">
        <v>#DIV/0!</v>
      </c>
      <c r="U152" s="214"/>
      <c r="V152" s="215"/>
      <c r="W152" s="310">
        <v>0</v>
      </c>
      <c r="X152" s="311">
        <v>0</v>
      </c>
      <c r="Y152" s="311">
        <v>0</v>
      </c>
      <c r="Z152" s="211">
        <v>0</v>
      </c>
      <c r="AA152" s="212"/>
      <c r="AB152" s="213" t="e">
        <v>#DIV/0!</v>
      </c>
      <c r="AC152" s="214"/>
      <c r="AD152" s="215"/>
      <c r="AE152" s="342"/>
      <c r="AF152" s="341"/>
    </row>
    <row r="153" spans="1:32">
      <c r="A153" s="307">
        <v>4</v>
      </c>
      <c r="B153" s="342"/>
      <c r="C153" s="342" t="s">
        <v>182</v>
      </c>
      <c r="D153" s="340" t="s">
        <v>481</v>
      </c>
      <c r="E153" s="342" t="s">
        <v>266</v>
      </c>
      <c r="F153" s="345" t="s">
        <v>177</v>
      </c>
      <c r="G153" s="308">
        <v>1</v>
      </c>
      <c r="H153" s="309">
        <v>3000</v>
      </c>
      <c r="I153" s="309">
        <v>3000</v>
      </c>
      <c r="J153" s="211"/>
      <c r="K153" s="212" t="str">
        <f>IF(OR(J153="",G153=J153),"","*")</f>
        <v/>
      </c>
      <c r="L153" s="338" t="str">
        <f>IF($A153&lt;=L$1,I153/I$4,"")</f>
        <v/>
      </c>
      <c r="M153" s="343"/>
      <c r="N153" s="344"/>
      <c r="O153" s="310">
        <v>0</v>
      </c>
      <c r="P153" s="311">
        <v>0</v>
      </c>
      <c r="Q153" s="311">
        <v>0</v>
      </c>
      <c r="R153" s="211">
        <v>0</v>
      </c>
      <c r="S153" s="212"/>
      <c r="T153" s="213" t="e">
        <v>#DIV/0!</v>
      </c>
      <c r="U153" s="214"/>
      <c r="V153" s="215"/>
      <c r="W153" s="310">
        <v>0</v>
      </c>
      <c r="X153" s="311">
        <v>0</v>
      </c>
      <c r="Y153" s="311">
        <v>0</v>
      </c>
      <c r="Z153" s="211">
        <v>0</v>
      </c>
      <c r="AA153" s="212"/>
      <c r="AB153" s="213" t="e">
        <v>#DIV/0!</v>
      </c>
      <c r="AC153" s="214"/>
      <c r="AD153" s="215"/>
      <c r="AE153" s="342"/>
      <c r="AF153" s="341"/>
    </row>
    <row r="154" spans="1:32">
      <c r="A154" s="307">
        <v>3</v>
      </c>
      <c r="B154" s="342"/>
      <c r="C154" s="342" t="s">
        <v>232</v>
      </c>
      <c r="D154" s="340" t="s">
        <v>482</v>
      </c>
      <c r="E154" s="342" t="s">
        <v>483</v>
      </c>
      <c r="F154" s="345" t="s">
        <v>168</v>
      </c>
      <c r="G154" s="308">
        <v>4.2</v>
      </c>
      <c r="H154" s="309">
        <v>25000</v>
      </c>
      <c r="I154" s="309">
        <v>105000</v>
      </c>
      <c r="J154" s="211">
        <v>4.2</v>
      </c>
      <c r="K154" s="212" t="str">
        <f>IF(OR(J154="",G154=J154),"","*")</f>
        <v/>
      </c>
      <c r="L154" s="338">
        <f>IF($A154&lt;=L$1,I154/I$4,"")</f>
        <v>1.8181818181818182E-3</v>
      </c>
      <c r="M154" s="343"/>
      <c r="N154" s="344" t="s">
        <v>484</v>
      </c>
      <c r="O154" s="310">
        <v>0</v>
      </c>
      <c r="P154" s="311">
        <v>0</v>
      </c>
      <c r="Q154" s="311">
        <v>0</v>
      </c>
      <c r="R154" s="211">
        <v>0</v>
      </c>
      <c r="S154" s="212"/>
      <c r="T154" s="213" t="e">
        <v>#DIV/0!</v>
      </c>
      <c r="U154" s="214"/>
      <c r="V154" s="215"/>
      <c r="W154" s="310">
        <v>0</v>
      </c>
      <c r="X154" s="311">
        <v>0</v>
      </c>
      <c r="Y154" s="311">
        <v>0</v>
      </c>
      <c r="Z154" s="211">
        <v>0</v>
      </c>
      <c r="AA154" s="212"/>
      <c r="AB154" s="213" t="e">
        <v>#DIV/0!</v>
      </c>
      <c r="AC154" s="214"/>
      <c r="AD154" s="215"/>
      <c r="AE154" s="342"/>
      <c r="AF154" s="341"/>
    </row>
    <row r="155" spans="1:32">
      <c r="A155" s="307">
        <v>4</v>
      </c>
      <c r="B155" s="342"/>
      <c r="C155" s="342" t="s">
        <v>182</v>
      </c>
      <c r="D155" s="340" t="s">
        <v>485</v>
      </c>
      <c r="E155" s="342" t="s">
        <v>266</v>
      </c>
      <c r="F155" s="345" t="s">
        <v>168</v>
      </c>
      <c r="G155" s="308">
        <v>4.2</v>
      </c>
      <c r="H155" s="309">
        <v>25000</v>
      </c>
      <c r="I155" s="309">
        <v>105000</v>
      </c>
      <c r="J155" s="211"/>
      <c r="K155" s="212" t="str">
        <f>IF(OR(J155="",G155=J155),"","*")</f>
        <v/>
      </c>
      <c r="L155" s="338" t="str">
        <f>IF($A155&lt;=L$1,I155/I$4,"")</f>
        <v/>
      </c>
      <c r="M155" s="343"/>
      <c r="N155" s="344"/>
      <c r="O155" s="310">
        <v>0</v>
      </c>
      <c r="P155" s="311">
        <v>0</v>
      </c>
      <c r="Q155" s="311">
        <v>0</v>
      </c>
      <c r="R155" s="211">
        <v>0</v>
      </c>
      <c r="S155" s="212"/>
      <c r="T155" s="213" t="e">
        <v>#DIV/0!</v>
      </c>
      <c r="U155" s="214"/>
      <c r="V155" s="215"/>
      <c r="W155" s="310">
        <v>0</v>
      </c>
      <c r="X155" s="311">
        <v>0</v>
      </c>
      <c r="Y155" s="311">
        <v>0</v>
      </c>
      <c r="Z155" s="211">
        <v>0</v>
      </c>
      <c r="AA155" s="212"/>
      <c r="AB155" s="213" t="e">
        <v>#DIV/0!</v>
      </c>
      <c r="AC155" s="214"/>
      <c r="AD155" s="215"/>
      <c r="AE155" s="342"/>
      <c r="AF155" s="341"/>
    </row>
    <row r="156" spans="1:32">
      <c r="A156" s="307">
        <v>3</v>
      </c>
      <c r="B156" s="342"/>
      <c r="C156" s="342" t="s">
        <v>232</v>
      </c>
      <c r="D156" s="340" t="s">
        <v>486</v>
      </c>
      <c r="E156" s="342" t="s">
        <v>483</v>
      </c>
      <c r="F156" s="345" t="s">
        <v>168</v>
      </c>
      <c r="G156" s="308">
        <v>4.2</v>
      </c>
      <c r="H156" s="309">
        <v>5000</v>
      </c>
      <c r="I156" s="309">
        <v>21000</v>
      </c>
      <c r="J156" s="211">
        <v>4.2</v>
      </c>
      <c r="K156" s="212" t="str">
        <f>IF(OR(J156="",G156=J156),"","*")</f>
        <v/>
      </c>
      <c r="L156" s="338">
        <f>IF($A156&lt;=L$1,I156/I$4,"")</f>
        <v>3.6363636363636361E-4</v>
      </c>
      <c r="M156" s="343"/>
      <c r="N156" s="344" t="s">
        <v>487</v>
      </c>
      <c r="O156" s="310">
        <v>0</v>
      </c>
      <c r="P156" s="311">
        <v>0</v>
      </c>
      <c r="Q156" s="311">
        <v>0</v>
      </c>
      <c r="R156" s="211">
        <v>0</v>
      </c>
      <c r="S156" s="212"/>
      <c r="T156" s="213" t="e">
        <v>#DIV/0!</v>
      </c>
      <c r="U156" s="214"/>
      <c r="V156" s="215"/>
      <c r="W156" s="310">
        <v>0</v>
      </c>
      <c r="X156" s="311">
        <v>0</v>
      </c>
      <c r="Y156" s="311">
        <v>0</v>
      </c>
      <c r="Z156" s="211">
        <v>0</v>
      </c>
      <c r="AA156" s="212"/>
      <c r="AB156" s="213" t="e">
        <v>#DIV/0!</v>
      </c>
      <c r="AC156" s="214"/>
      <c r="AD156" s="215"/>
      <c r="AE156" s="342"/>
      <c r="AF156" s="341"/>
    </row>
    <row r="157" spans="1:32">
      <c r="A157" s="307">
        <v>4</v>
      </c>
      <c r="B157" s="342"/>
      <c r="C157" s="342" t="s">
        <v>182</v>
      </c>
      <c r="D157" s="340" t="s">
        <v>488</v>
      </c>
      <c r="E157" s="342" t="s">
        <v>266</v>
      </c>
      <c r="F157" s="345" t="s">
        <v>168</v>
      </c>
      <c r="G157" s="308">
        <v>4.2</v>
      </c>
      <c r="H157" s="309">
        <v>5000</v>
      </c>
      <c r="I157" s="309">
        <v>21000</v>
      </c>
      <c r="J157" s="211"/>
      <c r="K157" s="212" t="str">
        <f>IF(OR(J157="",G157=J157),"","*")</f>
        <v/>
      </c>
      <c r="L157" s="338" t="str">
        <f>IF($A157&lt;=L$1,I157/I$4,"")</f>
        <v/>
      </c>
      <c r="M157" s="343"/>
      <c r="N157" s="344"/>
      <c r="O157" s="310">
        <v>0</v>
      </c>
      <c r="P157" s="311">
        <v>0</v>
      </c>
      <c r="Q157" s="311">
        <v>0</v>
      </c>
      <c r="R157" s="211">
        <v>0</v>
      </c>
      <c r="S157" s="212"/>
      <c r="T157" s="213" t="e">
        <v>#DIV/0!</v>
      </c>
      <c r="U157" s="214"/>
      <c r="V157" s="215"/>
      <c r="W157" s="310">
        <v>0</v>
      </c>
      <c r="X157" s="311">
        <v>0</v>
      </c>
      <c r="Y157" s="311">
        <v>0</v>
      </c>
      <c r="Z157" s="211">
        <v>0</v>
      </c>
      <c r="AA157" s="212"/>
      <c r="AB157" s="213" t="e">
        <v>#DIV/0!</v>
      </c>
      <c r="AC157" s="214"/>
      <c r="AD157" s="215"/>
      <c r="AE157" s="342"/>
      <c r="AF157" s="341"/>
    </row>
    <row r="158" spans="1:32">
      <c r="A158" s="307">
        <v>3</v>
      </c>
      <c r="B158" s="342"/>
      <c r="C158" s="342" t="s">
        <v>232</v>
      </c>
      <c r="D158" s="340" t="s">
        <v>486</v>
      </c>
      <c r="E158" s="342" t="s">
        <v>489</v>
      </c>
      <c r="F158" s="345" t="s">
        <v>168</v>
      </c>
      <c r="G158" s="308">
        <v>1.3</v>
      </c>
      <c r="H158" s="309">
        <v>5000</v>
      </c>
      <c r="I158" s="309">
        <v>6500</v>
      </c>
      <c r="J158" s="211">
        <v>1.3</v>
      </c>
      <c r="K158" s="212" t="str">
        <f>IF(OR(J158="",G158=J158),"","*")</f>
        <v/>
      </c>
      <c r="L158" s="338">
        <f>IF($A158&lt;=L$1,I158/I$4,"")</f>
        <v>1.1255411255411255E-4</v>
      </c>
      <c r="M158" s="343"/>
      <c r="N158" s="344" t="s">
        <v>490</v>
      </c>
      <c r="O158" s="310">
        <v>0</v>
      </c>
      <c r="P158" s="311">
        <v>0</v>
      </c>
      <c r="Q158" s="311">
        <v>0</v>
      </c>
      <c r="R158" s="211">
        <v>0</v>
      </c>
      <c r="S158" s="212"/>
      <c r="T158" s="213" t="e">
        <v>#DIV/0!</v>
      </c>
      <c r="U158" s="214"/>
      <c r="V158" s="215"/>
      <c r="W158" s="310">
        <v>0</v>
      </c>
      <c r="X158" s="311">
        <v>0</v>
      </c>
      <c r="Y158" s="311">
        <v>0</v>
      </c>
      <c r="Z158" s="211">
        <v>0</v>
      </c>
      <c r="AA158" s="212"/>
      <c r="AB158" s="213" t="e">
        <v>#DIV/0!</v>
      </c>
      <c r="AC158" s="214"/>
      <c r="AD158" s="215"/>
      <c r="AE158" s="342"/>
      <c r="AF158" s="341"/>
    </row>
    <row r="159" spans="1:32">
      <c r="A159" s="307">
        <v>4</v>
      </c>
      <c r="B159" s="342"/>
      <c r="C159" s="342" t="s">
        <v>182</v>
      </c>
      <c r="D159" s="340" t="s">
        <v>488</v>
      </c>
      <c r="E159" s="342" t="s">
        <v>266</v>
      </c>
      <c r="F159" s="345" t="s">
        <v>168</v>
      </c>
      <c r="G159" s="308">
        <v>1.3</v>
      </c>
      <c r="H159" s="309">
        <v>5000</v>
      </c>
      <c r="I159" s="309">
        <v>6500</v>
      </c>
      <c r="J159" s="211"/>
      <c r="K159" s="212" t="str">
        <f>IF(OR(J159="",G159=J159),"","*")</f>
        <v/>
      </c>
      <c r="L159" s="338" t="str">
        <f>IF($A159&lt;=L$1,I159/I$4,"")</f>
        <v/>
      </c>
      <c r="M159" s="343"/>
      <c r="N159" s="344"/>
      <c r="O159" s="310">
        <v>0</v>
      </c>
      <c r="P159" s="311">
        <v>0</v>
      </c>
      <c r="Q159" s="311">
        <v>0</v>
      </c>
      <c r="R159" s="211">
        <v>0</v>
      </c>
      <c r="S159" s="212"/>
      <c r="T159" s="213" t="e">
        <v>#DIV/0!</v>
      </c>
      <c r="U159" s="214"/>
      <c r="V159" s="215"/>
      <c r="W159" s="310">
        <v>0</v>
      </c>
      <c r="X159" s="311">
        <v>0</v>
      </c>
      <c r="Y159" s="311">
        <v>0</v>
      </c>
      <c r="Z159" s="211">
        <v>0</v>
      </c>
      <c r="AA159" s="212"/>
      <c r="AB159" s="213" t="e">
        <v>#DIV/0!</v>
      </c>
      <c r="AC159" s="214"/>
      <c r="AD159" s="215"/>
      <c r="AE159" s="342"/>
      <c r="AF159" s="341"/>
    </row>
    <row r="160" spans="1:32">
      <c r="A160" s="307">
        <v>3</v>
      </c>
      <c r="B160" s="342"/>
      <c r="C160" s="342" t="s">
        <v>232</v>
      </c>
      <c r="D160" s="340" t="s">
        <v>491</v>
      </c>
      <c r="E160" s="342" t="s">
        <v>483</v>
      </c>
      <c r="F160" s="345" t="s">
        <v>168</v>
      </c>
      <c r="G160" s="308">
        <v>4.2</v>
      </c>
      <c r="H160" s="309">
        <v>12000</v>
      </c>
      <c r="I160" s="309">
        <v>50400</v>
      </c>
      <c r="J160" s="211">
        <v>4.2</v>
      </c>
      <c r="K160" s="212" t="str">
        <f>IF(OR(J160="",G160=J160),"","*")</f>
        <v/>
      </c>
      <c r="L160" s="338">
        <f>IF($A160&lt;=L$1,I160/I$4,"")</f>
        <v>8.7272727272727274E-4</v>
      </c>
      <c r="M160" s="343"/>
      <c r="N160" s="344" t="s">
        <v>492</v>
      </c>
      <c r="O160" s="310">
        <v>0</v>
      </c>
      <c r="P160" s="311">
        <v>0</v>
      </c>
      <c r="Q160" s="311">
        <v>0</v>
      </c>
      <c r="R160" s="211">
        <v>0</v>
      </c>
      <c r="S160" s="212"/>
      <c r="T160" s="213" t="e">
        <v>#DIV/0!</v>
      </c>
      <c r="U160" s="214"/>
      <c r="V160" s="215"/>
      <c r="W160" s="310">
        <v>0</v>
      </c>
      <c r="X160" s="311">
        <v>0</v>
      </c>
      <c r="Y160" s="311">
        <v>0</v>
      </c>
      <c r="Z160" s="211">
        <v>0</v>
      </c>
      <c r="AA160" s="212"/>
      <c r="AB160" s="213" t="e">
        <v>#DIV/0!</v>
      </c>
      <c r="AC160" s="214"/>
      <c r="AD160" s="215"/>
      <c r="AE160" s="342"/>
      <c r="AF160" s="341"/>
    </row>
    <row r="161" spans="1:32">
      <c r="A161" s="307">
        <v>4</v>
      </c>
      <c r="B161" s="342"/>
      <c r="C161" s="342" t="s">
        <v>182</v>
      </c>
      <c r="D161" s="340" t="s">
        <v>493</v>
      </c>
      <c r="E161" s="342" t="s">
        <v>266</v>
      </c>
      <c r="F161" s="345" t="s">
        <v>168</v>
      </c>
      <c r="G161" s="308">
        <v>4.2</v>
      </c>
      <c r="H161" s="309">
        <v>12000</v>
      </c>
      <c r="I161" s="309">
        <v>50400</v>
      </c>
      <c r="J161" s="211"/>
      <c r="K161" s="212" t="str">
        <f>IF(OR(J161="",G161=J161),"","*")</f>
        <v/>
      </c>
      <c r="L161" s="338" t="str">
        <f>IF($A161&lt;=L$1,I161/I$4,"")</f>
        <v/>
      </c>
      <c r="M161" s="343"/>
      <c r="N161" s="344"/>
      <c r="O161" s="310">
        <v>0</v>
      </c>
      <c r="P161" s="311">
        <v>0</v>
      </c>
      <c r="Q161" s="311">
        <v>0</v>
      </c>
      <c r="R161" s="211">
        <v>0</v>
      </c>
      <c r="S161" s="212"/>
      <c r="T161" s="213" t="e">
        <v>#DIV/0!</v>
      </c>
      <c r="U161" s="214"/>
      <c r="V161" s="215"/>
      <c r="W161" s="310">
        <v>0</v>
      </c>
      <c r="X161" s="311">
        <v>0</v>
      </c>
      <c r="Y161" s="311">
        <v>0</v>
      </c>
      <c r="Z161" s="211">
        <v>0</v>
      </c>
      <c r="AA161" s="212"/>
      <c r="AB161" s="213" t="e">
        <v>#DIV/0!</v>
      </c>
      <c r="AC161" s="214"/>
      <c r="AD161" s="215"/>
      <c r="AE161" s="342"/>
      <c r="AF161" s="341"/>
    </row>
    <row r="162" spans="1:32">
      <c r="A162" s="307">
        <v>3</v>
      </c>
      <c r="B162" s="342"/>
      <c r="C162" s="342" t="s">
        <v>232</v>
      </c>
      <c r="D162" s="340" t="s">
        <v>491</v>
      </c>
      <c r="E162" s="342" t="s">
        <v>489</v>
      </c>
      <c r="F162" s="345" t="s">
        <v>168</v>
      </c>
      <c r="G162" s="308">
        <v>1.3</v>
      </c>
      <c r="H162" s="309">
        <v>12000</v>
      </c>
      <c r="I162" s="309">
        <v>15600</v>
      </c>
      <c r="J162" s="211">
        <v>1.3</v>
      </c>
      <c r="K162" s="212" t="str">
        <f>IF(OR(J162="",G162=J162),"","*")</f>
        <v/>
      </c>
      <c r="L162" s="338">
        <f>IF($A162&lt;=L$1,I162/I$4,"")</f>
        <v>2.7012987012987015E-4</v>
      </c>
      <c r="M162" s="343"/>
      <c r="N162" s="344" t="s">
        <v>494</v>
      </c>
      <c r="O162" s="310">
        <v>0</v>
      </c>
      <c r="P162" s="311">
        <v>0</v>
      </c>
      <c r="Q162" s="311">
        <v>0</v>
      </c>
      <c r="R162" s="211">
        <v>0</v>
      </c>
      <c r="S162" s="212"/>
      <c r="T162" s="213" t="e">
        <v>#DIV/0!</v>
      </c>
      <c r="U162" s="214"/>
      <c r="V162" s="215"/>
      <c r="W162" s="310">
        <v>0</v>
      </c>
      <c r="X162" s="311">
        <v>0</v>
      </c>
      <c r="Y162" s="311">
        <v>0</v>
      </c>
      <c r="Z162" s="211">
        <v>0</v>
      </c>
      <c r="AA162" s="212"/>
      <c r="AB162" s="213" t="e">
        <v>#DIV/0!</v>
      </c>
      <c r="AC162" s="214"/>
      <c r="AD162" s="215"/>
      <c r="AE162" s="342"/>
      <c r="AF162" s="341"/>
    </row>
    <row r="163" spans="1:32">
      <c r="A163" s="307">
        <v>4</v>
      </c>
      <c r="B163" s="342"/>
      <c r="C163" s="342" t="s">
        <v>182</v>
      </c>
      <c r="D163" s="340" t="s">
        <v>493</v>
      </c>
      <c r="E163" s="342" t="s">
        <v>266</v>
      </c>
      <c r="F163" s="345" t="s">
        <v>168</v>
      </c>
      <c r="G163" s="308">
        <v>1.3</v>
      </c>
      <c r="H163" s="309">
        <v>12000</v>
      </c>
      <c r="I163" s="309">
        <v>15600</v>
      </c>
      <c r="J163" s="211"/>
      <c r="K163" s="212" t="str">
        <f>IF(OR(J163="",G163=J163),"","*")</f>
        <v/>
      </c>
      <c r="L163" s="338" t="str">
        <f>IF($A163&lt;=L$1,I163/I$4,"")</f>
        <v/>
      </c>
      <c r="M163" s="343"/>
      <c r="N163" s="344"/>
      <c r="O163" s="310">
        <v>0</v>
      </c>
      <c r="P163" s="311">
        <v>0</v>
      </c>
      <c r="Q163" s="311">
        <v>0</v>
      </c>
      <c r="R163" s="211">
        <v>0</v>
      </c>
      <c r="S163" s="212"/>
      <c r="T163" s="213" t="e">
        <v>#DIV/0!</v>
      </c>
      <c r="U163" s="214"/>
      <c r="V163" s="215"/>
      <c r="W163" s="310">
        <v>0</v>
      </c>
      <c r="X163" s="311">
        <v>0</v>
      </c>
      <c r="Y163" s="311">
        <v>0</v>
      </c>
      <c r="Z163" s="211">
        <v>0</v>
      </c>
      <c r="AA163" s="212"/>
      <c r="AB163" s="213" t="e">
        <v>#DIV/0!</v>
      </c>
      <c r="AC163" s="214"/>
      <c r="AD163" s="215"/>
      <c r="AE163" s="342"/>
      <c r="AF163" s="341"/>
    </row>
    <row r="164" spans="1:32">
      <c r="A164" s="307">
        <v>3</v>
      </c>
      <c r="B164" s="342"/>
      <c r="C164" s="342" t="s">
        <v>232</v>
      </c>
      <c r="D164" s="340" t="s">
        <v>495</v>
      </c>
      <c r="E164" s="342"/>
      <c r="F164" s="345" t="s">
        <v>310</v>
      </c>
      <c r="G164" s="308">
        <v>0.17</v>
      </c>
      <c r="H164" s="309">
        <v>-30000</v>
      </c>
      <c r="I164" s="309">
        <v>-5100</v>
      </c>
      <c r="J164" s="211">
        <v>0.17</v>
      </c>
      <c r="K164" s="212" t="str">
        <f>IF(OR(J164="",G164=J164),"","*")</f>
        <v/>
      </c>
      <c r="L164" s="338">
        <f>IF($A164&lt;=L$1,I164/I$4,"")</f>
        <v>-8.8311688311688315E-5</v>
      </c>
      <c r="M164" s="343"/>
      <c r="N164" s="344" t="s">
        <v>496</v>
      </c>
      <c r="O164" s="310">
        <v>0</v>
      </c>
      <c r="P164" s="311">
        <v>0</v>
      </c>
      <c r="Q164" s="311">
        <v>0</v>
      </c>
      <c r="R164" s="211">
        <v>0</v>
      </c>
      <c r="S164" s="212"/>
      <c r="T164" s="213" t="e">
        <v>#DIV/0!</v>
      </c>
      <c r="U164" s="214"/>
      <c r="V164" s="215"/>
      <c r="W164" s="310">
        <v>0</v>
      </c>
      <c r="X164" s="311">
        <v>0</v>
      </c>
      <c r="Y164" s="311">
        <v>0</v>
      </c>
      <c r="Z164" s="211">
        <v>0</v>
      </c>
      <c r="AA164" s="212"/>
      <c r="AB164" s="213" t="e">
        <v>#DIV/0!</v>
      </c>
      <c r="AC164" s="214"/>
      <c r="AD164" s="215"/>
      <c r="AE164" s="342"/>
      <c r="AF164" s="341"/>
    </row>
    <row r="165" spans="1:32">
      <c r="A165" s="307">
        <v>4</v>
      </c>
      <c r="B165" s="342"/>
      <c r="C165" s="342" t="s">
        <v>182</v>
      </c>
      <c r="D165" s="340" t="s">
        <v>497</v>
      </c>
      <c r="E165" s="342" t="s">
        <v>498</v>
      </c>
      <c r="F165" s="345" t="s">
        <v>310</v>
      </c>
      <c r="G165" s="308">
        <v>0.17</v>
      </c>
      <c r="H165" s="309">
        <v>-30000</v>
      </c>
      <c r="I165" s="309">
        <v>-5100</v>
      </c>
      <c r="J165" s="211"/>
      <c r="K165" s="212" t="str">
        <f>IF(OR(J165="",G165=J165),"","*")</f>
        <v/>
      </c>
      <c r="L165" s="338" t="str">
        <f>IF($A165&lt;=L$1,I165/I$4,"")</f>
        <v/>
      </c>
      <c r="M165" s="343"/>
      <c r="N165" s="344"/>
      <c r="O165" s="310">
        <v>0</v>
      </c>
      <c r="P165" s="311">
        <v>0</v>
      </c>
      <c r="Q165" s="311">
        <v>0</v>
      </c>
      <c r="R165" s="211">
        <v>0</v>
      </c>
      <c r="S165" s="212"/>
      <c r="T165" s="213" t="e">
        <v>#DIV/0!</v>
      </c>
      <c r="U165" s="214"/>
      <c r="V165" s="215"/>
      <c r="W165" s="310">
        <v>0</v>
      </c>
      <c r="X165" s="311">
        <v>0</v>
      </c>
      <c r="Y165" s="311">
        <v>0</v>
      </c>
      <c r="Z165" s="211">
        <v>0</v>
      </c>
      <c r="AA165" s="212"/>
      <c r="AB165" s="213" t="e">
        <v>#DIV/0!</v>
      </c>
      <c r="AC165" s="214"/>
      <c r="AD165" s="215"/>
      <c r="AE165" s="342"/>
      <c r="AF165" s="341"/>
    </row>
    <row r="166" spans="1:32">
      <c r="A166" s="307">
        <v>3</v>
      </c>
      <c r="B166" s="342"/>
      <c r="C166" s="342" t="s">
        <v>232</v>
      </c>
      <c r="D166" s="340" t="s">
        <v>499</v>
      </c>
      <c r="E166" s="342" t="s">
        <v>500</v>
      </c>
      <c r="F166" s="345" t="s">
        <v>310</v>
      </c>
      <c r="G166" s="308">
        <v>0.19</v>
      </c>
      <c r="H166" s="309">
        <v>25000</v>
      </c>
      <c r="I166" s="309">
        <v>4750</v>
      </c>
      <c r="J166" s="211">
        <v>0.19</v>
      </c>
      <c r="K166" s="212" t="str">
        <f>IF(OR(J166="",G166=J166),"","*")</f>
        <v/>
      </c>
      <c r="L166" s="338">
        <f>IF($A166&lt;=L$1,I166/I$4,"")</f>
        <v>8.2251082251082256E-5</v>
      </c>
      <c r="M166" s="343"/>
      <c r="N166" s="344" t="s">
        <v>501</v>
      </c>
      <c r="O166" s="310">
        <v>0</v>
      </c>
      <c r="P166" s="311">
        <v>0</v>
      </c>
      <c r="Q166" s="311">
        <v>0</v>
      </c>
      <c r="R166" s="211">
        <v>0</v>
      </c>
      <c r="S166" s="212"/>
      <c r="T166" s="213" t="e">
        <v>#DIV/0!</v>
      </c>
      <c r="U166" s="214"/>
      <c r="V166" s="215"/>
      <c r="W166" s="310">
        <v>0</v>
      </c>
      <c r="X166" s="311">
        <v>0</v>
      </c>
      <c r="Y166" s="311">
        <v>0</v>
      </c>
      <c r="Z166" s="211">
        <v>0</v>
      </c>
      <c r="AA166" s="212"/>
      <c r="AB166" s="213" t="e">
        <v>#DIV/0!</v>
      </c>
      <c r="AC166" s="214"/>
      <c r="AD166" s="215"/>
      <c r="AE166" s="342"/>
      <c r="AF166" s="341"/>
    </row>
    <row r="167" spans="1:32">
      <c r="A167" s="307">
        <v>4</v>
      </c>
      <c r="B167" s="342"/>
      <c r="C167" s="342" t="s">
        <v>182</v>
      </c>
      <c r="D167" s="340" t="s">
        <v>502</v>
      </c>
      <c r="E167" s="342" t="s">
        <v>266</v>
      </c>
      <c r="F167" s="345" t="s">
        <v>310</v>
      </c>
      <c r="G167" s="308">
        <v>0.19</v>
      </c>
      <c r="H167" s="309">
        <v>25000</v>
      </c>
      <c r="I167" s="309">
        <v>4750</v>
      </c>
      <c r="J167" s="211"/>
      <c r="K167" s="212" t="str">
        <f>IF(OR(J167="",G167=J167),"","*")</f>
        <v/>
      </c>
      <c r="L167" s="338" t="str">
        <f>IF($A167&lt;=L$1,I167/I$4,"")</f>
        <v/>
      </c>
      <c r="M167" s="343"/>
      <c r="N167" s="344"/>
      <c r="O167" s="310">
        <v>0</v>
      </c>
      <c r="P167" s="311">
        <v>0</v>
      </c>
      <c r="Q167" s="311">
        <v>0</v>
      </c>
      <c r="R167" s="211">
        <v>0</v>
      </c>
      <c r="S167" s="212"/>
      <c r="T167" s="213" t="e">
        <v>#DIV/0!</v>
      </c>
      <c r="U167" s="214"/>
      <c r="V167" s="215"/>
      <c r="W167" s="310">
        <v>0</v>
      </c>
      <c r="X167" s="311">
        <v>0</v>
      </c>
      <c r="Y167" s="311">
        <v>0</v>
      </c>
      <c r="Z167" s="211">
        <v>0</v>
      </c>
      <c r="AA167" s="212"/>
      <c r="AB167" s="213" t="e">
        <v>#DIV/0!</v>
      </c>
      <c r="AC167" s="214"/>
      <c r="AD167" s="215"/>
      <c r="AE167" s="342"/>
      <c r="AF167" s="341"/>
    </row>
    <row r="168" spans="1:32">
      <c r="A168" s="307">
        <v>3</v>
      </c>
      <c r="B168" s="342"/>
      <c r="C168" s="342" t="s">
        <v>232</v>
      </c>
      <c r="D168" s="340" t="s">
        <v>499</v>
      </c>
      <c r="E168" s="342" t="s">
        <v>503</v>
      </c>
      <c r="F168" s="345" t="s">
        <v>310</v>
      </c>
      <c r="G168" s="308">
        <v>0.68</v>
      </c>
      <c r="H168" s="309">
        <v>25000</v>
      </c>
      <c r="I168" s="309">
        <v>17000</v>
      </c>
      <c r="J168" s="211">
        <v>0.68</v>
      </c>
      <c r="K168" s="212" t="str">
        <f>IF(OR(J168="",G168=J168),"","*")</f>
        <v/>
      </c>
      <c r="L168" s="338">
        <f>IF($A168&lt;=L$1,I168/I$4,"")</f>
        <v>2.9437229437229438E-4</v>
      </c>
      <c r="M168" s="343"/>
      <c r="N168" s="344" t="s">
        <v>504</v>
      </c>
      <c r="O168" s="310">
        <v>0</v>
      </c>
      <c r="P168" s="311">
        <v>0</v>
      </c>
      <c r="Q168" s="311">
        <v>0</v>
      </c>
      <c r="R168" s="211">
        <v>0</v>
      </c>
      <c r="S168" s="212"/>
      <c r="T168" s="213" t="e">
        <v>#DIV/0!</v>
      </c>
      <c r="U168" s="214"/>
      <c r="V168" s="215"/>
      <c r="W168" s="310">
        <v>0</v>
      </c>
      <c r="X168" s="311">
        <v>0</v>
      </c>
      <c r="Y168" s="311">
        <v>0</v>
      </c>
      <c r="Z168" s="211">
        <v>0</v>
      </c>
      <c r="AA168" s="212"/>
      <c r="AB168" s="213" t="e">
        <v>#DIV/0!</v>
      </c>
      <c r="AC168" s="214"/>
      <c r="AD168" s="215"/>
      <c r="AE168" s="342"/>
      <c r="AF168" s="341"/>
    </row>
    <row r="169" spans="1:32">
      <c r="A169" s="307">
        <v>4</v>
      </c>
      <c r="B169" s="342"/>
      <c r="C169" s="342" t="s">
        <v>182</v>
      </c>
      <c r="D169" s="340" t="s">
        <v>502</v>
      </c>
      <c r="E169" s="342" t="s">
        <v>266</v>
      </c>
      <c r="F169" s="345" t="s">
        <v>310</v>
      </c>
      <c r="G169" s="308">
        <v>0.68</v>
      </c>
      <c r="H169" s="309">
        <v>25000</v>
      </c>
      <c r="I169" s="309">
        <v>17000</v>
      </c>
      <c r="J169" s="211"/>
      <c r="K169" s="212" t="str">
        <f>IF(OR(J169="",G169=J169),"","*")</f>
        <v/>
      </c>
      <c r="L169" s="338" t="str">
        <f>IF($A169&lt;=L$1,I169/I$4,"")</f>
        <v/>
      </c>
      <c r="M169" s="343"/>
      <c r="N169" s="344"/>
      <c r="O169" s="310">
        <v>0</v>
      </c>
      <c r="P169" s="311">
        <v>0</v>
      </c>
      <c r="Q169" s="311">
        <v>0</v>
      </c>
      <c r="R169" s="211">
        <v>0</v>
      </c>
      <c r="S169" s="212"/>
      <c r="T169" s="213" t="e">
        <v>#DIV/0!</v>
      </c>
      <c r="U169" s="214"/>
      <c r="V169" s="215"/>
      <c r="W169" s="310">
        <v>0</v>
      </c>
      <c r="X169" s="311">
        <v>0</v>
      </c>
      <c r="Y169" s="311">
        <v>0</v>
      </c>
      <c r="Z169" s="211">
        <v>0</v>
      </c>
      <c r="AA169" s="212"/>
      <c r="AB169" s="213" t="e">
        <v>#DIV/0!</v>
      </c>
      <c r="AC169" s="214"/>
      <c r="AD169" s="215"/>
      <c r="AE169" s="342"/>
      <c r="AF169" s="341"/>
    </row>
    <row r="170" spans="1:32">
      <c r="A170" s="307">
        <v>3</v>
      </c>
      <c r="B170" s="342"/>
      <c r="C170" s="342" t="s">
        <v>232</v>
      </c>
      <c r="D170" s="340" t="s">
        <v>499</v>
      </c>
      <c r="E170" s="342" t="s">
        <v>505</v>
      </c>
      <c r="F170" s="345" t="s">
        <v>310</v>
      </c>
      <c r="G170" s="308">
        <v>0.45</v>
      </c>
      <c r="H170" s="309">
        <v>30000</v>
      </c>
      <c r="I170" s="309">
        <v>13500</v>
      </c>
      <c r="J170" s="211">
        <v>0.45</v>
      </c>
      <c r="K170" s="212" t="str">
        <f>IF(OR(J170="",G170=J170),"","*")</f>
        <v/>
      </c>
      <c r="L170" s="338">
        <f>IF($A170&lt;=L$1,I170/I$4,"")</f>
        <v>2.3376623376623377E-4</v>
      </c>
      <c r="M170" s="343"/>
      <c r="N170" s="344" t="s">
        <v>506</v>
      </c>
      <c r="O170" s="310">
        <v>0</v>
      </c>
      <c r="P170" s="311">
        <v>0</v>
      </c>
      <c r="Q170" s="311">
        <v>0</v>
      </c>
      <c r="R170" s="211">
        <v>0</v>
      </c>
      <c r="S170" s="212"/>
      <c r="T170" s="213" t="e">
        <v>#DIV/0!</v>
      </c>
      <c r="U170" s="214"/>
      <c r="V170" s="215"/>
      <c r="W170" s="310">
        <v>0</v>
      </c>
      <c r="X170" s="311">
        <v>0</v>
      </c>
      <c r="Y170" s="311">
        <v>0</v>
      </c>
      <c r="Z170" s="211">
        <v>0</v>
      </c>
      <c r="AA170" s="212"/>
      <c r="AB170" s="213" t="e">
        <v>#DIV/0!</v>
      </c>
      <c r="AC170" s="214"/>
      <c r="AD170" s="215"/>
      <c r="AE170" s="342"/>
      <c r="AF170" s="341"/>
    </row>
    <row r="171" spans="1:32">
      <c r="A171" s="307">
        <v>4</v>
      </c>
      <c r="B171" s="342"/>
      <c r="C171" s="342" t="s">
        <v>182</v>
      </c>
      <c r="D171" s="340" t="s">
        <v>502</v>
      </c>
      <c r="E171" s="342" t="s">
        <v>266</v>
      </c>
      <c r="F171" s="345" t="s">
        <v>310</v>
      </c>
      <c r="G171" s="308">
        <v>0.45</v>
      </c>
      <c r="H171" s="309">
        <v>30000</v>
      </c>
      <c r="I171" s="309">
        <v>13500</v>
      </c>
      <c r="J171" s="211"/>
      <c r="K171" s="212" t="str">
        <f>IF(OR(J171="",G171=J171),"","*")</f>
        <v/>
      </c>
      <c r="L171" s="338" t="str">
        <f>IF($A171&lt;=L$1,I171/I$4,"")</f>
        <v/>
      </c>
      <c r="M171" s="343"/>
      <c r="N171" s="344"/>
      <c r="O171" s="310">
        <v>0</v>
      </c>
      <c r="P171" s="311">
        <v>0</v>
      </c>
      <c r="Q171" s="311">
        <v>0</v>
      </c>
      <c r="R171" s="211">
        <v>0</v>
      </c>
      <c r="S171" s="212"/>
      <c r="T171" s="213" t="e">
        <v>#DIV/0!</v>
      </c>
      <c r="U171" s="214"/>
      <c r="V171" s="215"/>
      <c r="W171" s="310">
        <v>0</v>
      </c>
      <c r="X171" s="311">
        <v>0</v>
      </c>
      <c r="Y171" s="311">
        <v>0</v>
      </c>
      <c r="Z171" s="211">
        <v>0</v>
      </c>
      <c r="AA171" s="212"/>
      <c r="AB171" s="213" t="e">
        <v>#DIV/0!</v>
      </c>
      <c r="AC171" s="214"/>
      <c r="AD171" s="215"/>
      <c r="AE171" s="342"/>
      <c r="AF171" s="341"/>
    </row>
    <row r="172" spans="1:32">
      <c r="A172" s="307">
        <v>3</v>
      </c>
      <c r="B172" s="342"/>
      <c r="C172" s="342" t="s">
        <v>232</v>
      </c>
      <c r="D172" s="340" t="s">
        <v>499</v>
      </c>
      <c r="E172" s="342" t="s">
        <v>507</v>
      </c>
      <c r="F172" s="345" t="s">
        <v>310</v>
      </c>
      <c r="G172" s="308">
        <v>0.26</v>
      </c>
      <c r="H172" s="309">
        <v>25000</v>
      </c>
      <c r="I172" s="309">
        <v>6500</v>
      </c>
      <c r="J172" s="211">
        <v>0.26</v>
      </c>
      <c r="K172" s="212" t="str">
        <f>IF(OR(J172="",G172=J172),"","*")</f>
        <v/>
      </c>
      <c r="L172" s="338">
        <f>IF($A172&lt;=L$1,I172/I$4,"")</f>
        <v>1.1255411255411255E-4</v>
      </c>
      <c r="M172" s="343"/>
      <c r="N172" s="344" t="s">
        <v>508</v>
      </c>
      <c r="O172" s="310">
        <v>0</v>
      </c>
      <c r="P172" s="311">
        <v>0</v>
      </c>
      <c r="Q172" s="311">
        <v>0</v>
      </c>
      <c r="R172" s="211">
        <v>0</v>
      </c>
      <c r="S172" s="212"/>
      <c r="T172" s="213" t="e">
        <v>#DIV/0!</v>
      </c>
      <c r="U172" s="214"/>
      <c r="V172" s="215"/>
      <c r="W172" s="310">
        <v>0</v>
      </c>
      <c r="X172" s="311">
        <v>0</v>
      </c>
      <c r="Y172" s="311">
        <v>0</v>
      </c>
      <c r="Z172" s="211">
        <v>0</v>
      </c>
      <c r="AA172" s="212"/>
      <c r="AB172" s="213" t="e">
        <v>#DIV/0!</v>
      </c>
      <c r="AC172" s="214"/>
      <c r="AD172" s="215"/>
      <c r="AE172" s="342"/>
      <c r="AF172" s="341"/>
    </row>
    <row r="173" spans="1:32">
      <c r="A173" s="307">
        <v>4</v>
      </c>
      <c r="B173" s="342"/>
      <c r="C173" s="342" t="s">
        <v>182</v>
      </c>
      <c r="D173" s="340" t="s">
        <v>502</v>
      </c>
      <c r="E173" s="342" t="s">
        <v>266</v>
      </c>
      <c r="F173" s="345" t="s">
        <v>310</v>
      </c>
      <c r="G173" s="308">
        <v>0.26</v>
      </c>
      <c r="H173" s="309">
        <v>25000</v>
      </c>
      <c r="I173" s="309">
        <v>6500</v>
      </c>
      <c r="J173" s="211"/>
      <c r="K173" s="212" t="str">
        <f>IF(OR(J173="",G173=J173),"","*")</f>
        <v/>
      </c>
      <c r="L173" s="338" t="str">
        <f>IF($A173&lt;=L$1,I173/I$4,"")</f>
        <v/>
      </c>
      <c r="M173" s="343"/>
      <c r="N173" s="344"/>
      <c r="O173" s="310">
        <v>0</v>
      </c>
      <c r="P173" s="311">
        <v>0</v>
      </c>
      <c r="Q173" s="311">
        <v>0</v>
      </c>
      <c r="R173" s="211">
        <v>0</v>
      </c>
      <c r="S173" s="212"/>
      <c r="T173" s="213" t="e">
        <v>#DIV/0!</v>
      </c>
      <c r="U173" s="214"/>
      <c r="V173" s="215"/>
      <c r="W173" s="310">
        <v>0</v>
      </c>
      <c r="X173" s="311">
        <v>0</v>
      </c>
      <c r="Y173" s="311">
        <v>0</v>
      </c>
      <c r="Z173" s="211">
        <v>0</v>
      </c>
      <c r="AA173" s="212"/>
      <c r="AB173" s="213" t="e">
        <v>#DIV/0!</v>
      </c>
      <c r="AC173" s="214"/>
      <c r="AD173" s="215"/>
      <c r="AE173" s="342"/>
      <c r="AF173" s="341"/>
    </row>
    <row r="174" spans="1:32">
      <c r="A174" s="307">
        <v>3</v>
      </c>
      <c r="B174" s="342"/>
      <c r="C174" s="342" t="s">
        <v>232</v>
      </c>
      <c r="D174" s="340" t="s">
        <v>509</v>
      </c>
      <c r="E174" s="342" t="s">
        <v>500</v>
      </c>
      <c r="F174" s="345" t="s">
        <v>242</v>
      </c>
      <c r="G174" s="308">
        <v>1</v>
      </c>
      <c r="H174" s="309">
        <v>30000</v>
      </c>
      <c r="I174" s="309">
        <v>30000</v>
      </c>
      <c r="J174" s="211">
        <v>1</v>
      </c>
      <c r="K174" s="212" t="str">
        <f>IF(OR(J174="",G174=J174),"","*")</f>
        <v/>
      </c>
      <c r="L174" s="338">
        <f>IF($A174&lt;=L$1,I174/I$4,"")</f>
        <v>5.1948051948051948E-4</v>
      </c>
      <c r="M174" s="343"/>
      <c r="N174" s="344" t="s">
        <v>510</v>
      </c>
      <c r="O174" s="310">
        <v>0</v>
      </c>
      <c r="P174" s="311">
        <v>0</v>
      </c>
      <c r="Q174" s="311">
        <v>0</v>
      </c>
      <c r="R174" s="211">
        <v>0</v>
      </c>
      <c r="S174" s="212"/>
      <c r="T174" s="213" t="e">
        <v>#DIV/0!</v>
      </c>
      <c r="U174" s="214"/>
      <c r="V174" s="215"/>
      <c r="W174" s="310">
        <v>0</v>
      </c>
      <c r="X174" s="311">
        <v>0</v>
      </c>
      <c r="Y174" s="311">
        <v>0</v>
      </c>
      <c r="Z174" s="211">
        <v>0</v>
      </c>
      <c r="AA174" s="212"/>
      <c r="AB174" s="213" t="e">
        <v>#DIV/0!</v>
      </c>
      <c r="AC174" s="214"/>
      <c r="AD174" s="215"/>
      <c r="AE174" s="342"/>
      <c r="AF174" s="341"/>
    </row>
    <row r="175" spans="1:32">
      <c r="A175" s="307">
        <v>4</v>
      </c>
      <c r="B175" s="342"/>
      <c r="C175" s="342" t="s">
        <v>182</v>
      </c>
      <c r="D175" s="340" t="s">
        <v>511</v>
      </c>
      <c r="E175" s="342" t="s">
        <v>266</v>
      </c>
      <c r="F175" s="345" t="s">
        <v>242</v>
      </c>
      <c r="G175" s="308">
        <v>1</v>
      </c>
      <c r="H175" s="309">
        <v>30000</v>
      </c>
      <c r="I175" s="309">
        <v>30000</v>
      </c>
      <c r="J175" s="211"/>
      <c r="K175" s="212" t="str">
        <f>IF(OR(J175="",G175=J175),"","*")</f>
        <v/>
      </c>
      <c r="L175" s="338" t="str">
        <f>IF($A175&lt;=L$1,I175/I$4,"")</f>
        <v/>
      </c>
      <c r="M175" s="343"/>
      <c r="N175" s="344"/>
      <c r="O175" s="310">
        <v>0</v>
      </c>
      <c r="P175" s="311">
        <v>0</v>
      </c>
      <c r="Q175" s="311">
        <v>0</v>
      </c>
      <c r="R175" s="211">
        <v>0</v>
      </c>
      <c r="S175" s="212"/>
      <c r="T175" s="213" t="e">
        <v>#DIV/0!</v>
      </c>
      <c r="U175" s="214"/>
      <c r="V175" s="215"/>
      <c r="W175" s="310">
        <v>0</v>
      </c>
      <c r="X175" s="311">
        <v>0</v>
      </c>
      <c r="Y175" s="311">
        <v>0</v>
      </c>
      <c r="Z175" s="211">
        <v>0</v>
      </c>
      <c r="AA175" s="212"/>
      <c r="AB175" s="213" t="e">
        <v>#DIV/0!</v>
      </c>
      <c r="AC175" s="214"/>
      <c r="AD175" s="215"/>
      <c r="AE175" s="342"/>
      <c r="AF175" s="341"/>
    </row>
    <row r="176" spans="1:32">
      <c r="A176" s="307">
        <v>3</v>
      </c>
      <c r="B176" s="342"/>
      <c r="C176" s="342" t="s">
        <v>232</v>
      </c>
      <c r="D176" s="340" t="s">
        <v>509</v>
      </c>
      <c r="E176" s="342" t="s">
        <v>503</v>
      </c>
      <c r="F176" s="345" t="s">
        <v>242</v>
      </c>
      <c r="G176" s="308">
        <v>1</v>
      </c>
      <c r="H176" s="309">
        <v>50000</v>
      </c>
      <c r="I176" s="309">
        <v>50000</v>
      </c>
      <c r="J176" s="211">
        <v>1</v>
      </c>
      <c r="K176" s="212" t="str">
        <f>IF(OR(J176="",G176=J176),"","*")</f>
        <v/>
      </c>
      <c r="L176" s="338">
        <f>IF($A176&lt;=L$1,I176/I$4,"")</f>
        <v>8.658008658008658E-4</v>
      </c>
      <c r="M176" s="343"/>
      <c r="N176" s="344" t="s">
        <v>512</v>
      </c>
      <c r="O176" s="310">
        <v>0</v>
      </c>
      <c r="P176" s="311">
        <v>0</v>
      </c>
      <c r="Q176" s="311">
        <v>0</v>
      </c>
      <c r="R176" s="211">
        <v>0</v>
      </c>
      <c r="S176" s="212"/>
      <c r="T176" s="213" t="e">
        <v>#DIV/0!</v>
      </c>
      <c r="U176" s="214"/>
      <c r="V176" s="215"/>
      <c r="W176" s="310">
        <v>0</v>
      </c>
      <c r="X176" s="311">
        <v>0</v>
      </c>
      <c r="Y176" s="311">
        <v>0</v>
      </c>
      <c r="Z176" s="211">
        <v>0</v>
      </c>
      <c r="AA176" s="212"/>
      <c r="AB176" s="213" t="e">
        <v>#DIV/0!</v>
      </c>
      <c r="AC176" s="214"/>
      <c r="AD176" s="215"/>
      <c r="AE176" s="342"/>
      <c r="AF176" s="341"/>
    </row>
    <row r="177" spans="1:32">
      <c r="A177" s="307">
        <v>4</v>
      </c>
      <c r="B177" s="342"/>
      <c r="C177" s="342" t="s">
        <v>182</v>
      </c>
      <c r="D177" s="340" t="s">
        <v>511</v>
      </c>
      <c r="E177" s="342" t="s">
        <v>266</v>
      </c>
      <c r="F177" s="345" t="s">
        <v>242</v>
      </c>
      <c r="G177" s="308">
        <v>1</v>
      </c>
      <c r="H177" s="309">
        <v>50000</v>
      </c>
      <c r="I177" s="309">
        <v>50000</v>
      </c>
      <c r="J177" s="211"/>
      <c r="K177" s="212" t="str">
        <f>IF(OR(J177="",G177=J177),"","*")</f>
        <v/>
      </c>
      <c r="L177" s="338" t="str">
        <f>IF($A177&lt;=L$1,I177/I$4,"")</f>
        <v/>
      </c>
      <c r="M177" s="343"/>
      <c r="N177" s="344"/>
      <c r="O177" s="310">
        <v>0</v>
      </c>
      <c r="P177" s="311">
        <v>0</v>
      </c>
      <c r="Q177" s="311">
        <v>0</v>
      </c>
      <c r="R177" s="211">
        <v>0</v>
      </c>
      <c r="S177" s="212"/>
      <c r="T177" s="213" t="e">
        <v>#DIV/0!</v>
      </c>
      <c r="U177" s="214"/>
      <c r="V177" s="215"/>
      <c r="W177" s="310">
        <v>0</v>
      </c>
      <c r="X177" s="311">
        <v>0</v>
      </c>
      <c r="Y177" s="311">
        <v>0</v>
      </c>
      <c r="Z177" s="211">
        <v>0</v>
      </c>
      <c r="AA177" s="212"/>
      <c r="AB177" s="213" t="e">
        <v>#DIV/0!</v>
      </c>
      <c r="AC177" s="214"/>
      <c r="AD177" s="215"/>
      <c r="AE177" s="342"/>
      <c r="AF177" s="341"/>
    </row>
    <row r="178" spans="1:32">
      <c r="A178" s="307">
        <v>3</v>
      </c>
      <c r="B178" s="342"/>
      <c r="C178" s="342" t="s">
        <v>232</v>
      </c>
      <c r="D178" s="340" t="s">
        <v>509</v>
      </c>
      <c r="E178" s="342" t="s">
        <v>505</v>
      </c>
      <c r="F178" s="345" t="s">
        <v>242</v>
      </c>
      <c r="G178" s="308">
        <v>2</v>
      </c>
      <c r="H178" s="309">
        <v>20000</v>
      </c>
      <c r="I178" s="309">
        <v>40000</v>
      </c>
      <c r="J178" s="211">
        <v>2</v>
      </c>
      <c r="K178" s="212" t="str">
        <f>IF(OR(J178="",G178=J178),"","*")</f>
        <v/>
      </c>
      <c r="L178" s="338">
        <f>IF($A178&lt;=L$1,I178/I$4,"")</f>
        <v>6.9264069264069264E-4</v>
      </c>
      <c r="M178" s="343"/>
      <c r="N178" s="344" t="s">
        <v>513</v>
      </c>
      <c r="O178" s="310">
        <v>0</v>
      </c>
      <c r="P178" s="311">
        <v>0</v>
      </c>
      <c r="Q178" s="311">
        <v>0</v>
      </c>
      <c r="R178" s="211">
        <v>0</v>
      </c>
      <c r="S178" s="212"/>
      <c r="T178" s="213" t="e">
        <v>#DIV/0!</v>
      </c>
      <c r="U178" s="214"/>
      <c r="V178" s="215"/>
      <c r="W178" s="310">
        <v>0</v>
      </c>
      <c r="X178" s="311">
        <v>0</v>
      </c>
      <c r="Y178" s="311">
        <v>0</v>
      </c>
      <c r="Z178" s="211">
        <v>0</v>
      </c>
      <c r="AA178" s="212"/>
      <c r="AB178" s="213" t="e">
        <v>#DIV/0!</v>
      </c>
      <c r="AC178" s="214"/>
      <c r="AD178" s="215"/>
      <c r="AE178" s="342"/>
      <c r="AF178" s="341"/>
    </row>
    <row r="179" spans="1:32">
      <c r="A179" s="307">
        <v>4</v>
      </c>
      <c r="B179" s="342"/>
      <c r="C179" s="342" t="s">
        <v>182</v>
      </c>
      <c r="D179" s="340" t="s">
        <v>511</v>
      </c>
      <c r="E179" s="342" t="s">
        <v>266</v>
      </c>
      <c r="F179" s="345" t="s">
        <v>242</v>
      </c>
      <c r="G179" s="308">
        <v>2</v>
      </c>
      <c r="H179" s="309">
        <v>20000</v>
      </c>
      <c r="I179" s="309">
        <v>40000</v>
      </c>
      <c r="J179" s="211"/>
      <c r="K179" s="212" t="str">
        <f>IF(OR(J179="",G179=J179),"","*")</f>
        <v/>
      </c>
      <c r="L179" s="338" t="str">
        <f>IF($A179&lt;=L$1,I179/I$4,"")</f>
        <v/>
      </c>
      <c r="M179" s="343"/>
      <c r="N179" s="344"/>
      <c r="O179" s="310">
        <v>0</v>
      </c>
      <c r="P179" s="311">
        <v>0</v>
      </c>
      <c r="Q179" s="311">
        <v>0</v>
      </c>
      <c r="R179" s="211">
        <v>0</v>
      </c>
      <c r="S179" s="212"/>
      <c r="T179" s="213" t="e">
        <v>#DIV/0!</v>
      </c>
      <c r="U179" s="214"/>
      <c r="V179" s="215"/>
      <c r="W179" s="310">
        <v>0</v>
      </c>
      <c r="X179" s="311">
        <v>0</v>
      </c>
      <c r="Y179" s="311">
        <v>0</v>
      </c>
      <c r="Z179" s="211">
        <v>0</v>
      </c>
      <c r="AA179" s="212"/>
      <c r="AB179" s="213" t="e">
        <v>#DIV/0!</v>
      </c>
      <c r="AC179" s="214"/>
      <c r="AD179" s="215"/>
      <c r="AE179" s="342"/>
      <c r="AF179" s="341"/>
    </row>
    <row r="180" spans="1:32">
      <c r="A180" s="307">
        <v>3</v>
      </c>
      <c r="B180" s="342"/>
      <c r="C180" s="342" t="s">
        <v>232</v>
      </c>
      <c r="D180" s="340" t="s">
        <v>509</v>
      </c>
      <c r="E180" s="342" t="s">
        <v>507</v>
      </c>
      <c r="F180" s="345" t="s">
        <v>242</v>
      </c>
      <c r="G180" s="308">
        <v>1</v>
      </c>
      <c r="H180" s="309">
        <v>20000</v>
      </c>
      <c r="I180" s="309">
        <v>20000</v>
      </c>
      <c r="J180" s="211">
        <v>1</v>
      </c>
      <c r="K180" s="212" t="str">
        <f>IF(OR(J180="",G180=J180),"","*")</f>
        <v/>
      </c>
      <c r="L180" s="338">
        <f>IF($A180&lt;=L$1,I180/I$4,"")</f>
        <v>3.4632034632034632E-4</v>
      </c>
      <c r="M180" s="343"/>
      <c r="N180" s="344" t="s">
        <v>514</v>
      </c>
      <c r="O180" s="310">
        <v>0</v>
      </c>
      <c r="P180" s="311">
        <v>0</v>
      </c>
      <c r="Q180" s="311">
        <v>0</v>
      </c>
      <c r="R180" s="211">
        <v>0</v>
      </c>
      <c r="S180" s="212"/>
      <c r="T180" s="213" t="e">
        <v>#DIV/0!</v>
      </c>
      <c r="U180" s="214"/>
      <c r="V180" s="215"/>
      <c r="W180" s="310">
        <v>0</v>
      </c>
      <c r="X180" s="311">
        <v>0</v>
      </c>
      <c r="Y180" s="311">
        <v>0</v>
      </c>
      <c r="Z180" s="211">
        <v>0</v>
      </c>
      <c r="AA180" s="212"/>
      <c r="AB180" s="213" t="e">
        <v>#DIV/0!</v>
      </c>
      <c r="AC180" s="214"/>
      <c r="AD180" s="215"/>
      <c r="AE180" s="342"/>
      <c r="AF180" s="341"/>
    </row>
    <row r="181" spans="1:32">
      <c r="A181" s="307">
        <v>4</v>
      </c>
      <c r="B181" s="342"/>
      <c r="C181" s="342" t="s">
        <v>182</v>
      </c>
      <c r="D181" s="340" t="s">
        <v>511</v>
      </c>
      <c r="E181" s="342" t="s">
        <v>266</v>
      </c>
      <c r="F181" s="345" t="s">
        <v>242</v>
      </c>
      <c r="G181" s="308">
        <v>1</v>
      </c>
      <c r="H181" s="309">
        <v>20000</v>
      </c>
      <c r="I181" s="309">
        <v>20000</v>
      </c>
      <c r="J181" s="211"/>
      <c r="K181" s="212" t="str">
        <f>IF(OR(J181="",G181=J181),"","*")</f>
        <v/>
      </c>
      <c r="L181" s="338" t="str">
        <f>IF($A181&lt;=L$1,I181/I$4,"")</f>
        <v/>
      </c>
      <c r="M181" s="343"/>
      <c r="N181" s="344"/>
      <c r="O181" s="310">
        <v>0</v>
      </c>
      <c r="P181" s="311">
        <v>0</v>
      </c>
      <c r="Q181" s="311">
        <v>0</v>
      </c>
      <c r="R181" s="211">
        <v>0</v>
      </c>
      <c r="S181" s="212"/>
      <c r="T181" s="213" t="e">
        <v>#DIV/0!</v>
      </c>
      <c r="U181" s="214"/>
      <c r="V181" s="215"/>
      <c r="W181" s="310">
        <v>0</v>
      </c>
      <c r="X181" s="311">
        <v>0</v>
      </c>
      <c r="Y181" s="311">
        <v>0</v>
      </c>
      <c r="Z181" s="211">
        <v>0</v>
      </c>
      <c r="AA181" s="212"/>
      <c r="AB181" s="213" t="e">
        <v>#DIV/0!</v>
      </c>
      <c r="AC181" s="214"/>
      <c r="AD181" s="215"/>
      <c r="AE181" s="342"/>
      <c r="AF181" s="341"/>
    </row>
    <row r="182" spans="1:32">
      <c r="A182" s="307">
        <v>3</v>
      </c>
      <c r="B182" s="342"/>
      <c r="C182" s="342" t="s">
        <v>232</v>
      </c>
      <c r="D182" s="340" t="s">
        <v>515</v>
      </c>
      <c r="E182" s="342" t="s">
        <v>516</v>
      </c>
      <c r="F182" s="345" t="s">
        <v>168</v>
      </c>
      <c r="G182" s="308">
        <v>9.2999999999999999E-2</v>
      </c>
      <c r="H182" s="309">
        <v>12000</v>
      </c>
      <c r="I182" s="309">
        <v>1116</v>
      </c>
      <c r="J182" s="211">
        <v>9.2999999999999999E-2</v>
      </c>
      <c r="K182" s="212" t="str">
        <f>IF(OR(J182="",G182=J182),"","*")</f>
        <v/>
      </c>
      <c r="L182" s="338">
        <f>IF($A182&lt;=L$1,I182/I$4,"")</f>
        <v>1.9324675324675325E-5</v>
      </c>
      <c r="M182" s="343"/>
      <c r="N182" s="344" t="s">
        <v>517</v>
      </c>
      <c r="O182" s="310">
        <v>0</v>
      </c>
      <c r="P182" s="311">
        <v>0</v>
      </c>
      <c r="Q182" s="311">
        <v>0</v>
      </c>
      <c r="R182" s="211">
        <v>0</v>
      </c>
      <c r="S182" s="212"/>
      <c r="T182" s="213" t="e">
        <v>#DIV/0!</v>
      </c>
      <c r="U182" s="214"/>
      <c r="V182" s="215"/>
      <c r="W182" s="310">
        <v>0</v>
      </c>
      <c r="X182" s="311">
        <v>0</v>
      </c>
      <c r="Y182" s="311">
        <v>0</v>
      </c>
      <c r="Z182" s="211">
        <v>0</v>
      </c>
      <c r="AA182" s="212"/>
      <c r="AB182" s="213" t="e">
        <v>#DIV/0!</v>
      </c>
      <c r="AC182" s="214"/>
      <c r="AD182" s="215"/>
      <c r="AE182" s="342"/>
      <c r="AF182" s="341"/>
    </row>
    <row r="183" spans="1:32">
      <c r="A183" s="307">
        <v>4</v>
      </c>
      <c r="B183" s="342"/>
      <c r="C183" s="342" t="s">
        <v>182</v>
      </c>
      <c r="D183" s="340" t="s">
        <v>518</v>
      </c>
      <c r="E183" s="342" t="s">
        <v>266</v>
      </c>
      <c r="F183" s="345" t="s">
        <v>168</v>
      </c>
      <c r="G183" s="308">
        <v>9.2999999999999999E-2</v>
      </c>
      <c r="H183" s="309">
        <v>12000</v>
      </c>
      <c r="I183" s="309">
        <v>1116</v>
      </c>
      <c r="J183" s="211"/>
      <c r="K183" s="212" t="str">
        <f>IF(OR(J183="",G183=J183),"","*")</f>
        <v/>
      </c>
      <c r="L183" s="338" t="str">
        <f>IF($A183&lt;=L$1,I183/I$4,"")</f>
        <v/>
      </c>
      <c r="M183" s="343"/>
      <c r="N183" s="344"/>
      <c r="O183" s="310">
        <v>0</v>
      </c>
      <c r="P183" s="311">
        <v>0</v>
      </c>
      <c r="Q183" s="311">
        <v>0</v>
      </c>
      <c r="R183" s="211">
        <v>0</v>
      </c>
      <c r="S183" s="212"/>
      <c r="T183" s="213" t="e">
        <v>#DIV/0!</v>
      </c>
      <c r="U183" s="214"/>
      <c r="V183" s="215"/>
      <c r="W183" s="310">
        <v>0</v>
      </c>
      <c r="X183" s="311">
        <v>0</v>
      </c>
      <c r="Y183" s="311">
        <v>0</v>
      </c>
      <c r="Z183" s="211">
        <v>0</v>
      </c>
      <c r="AA183" s="212"/>
      <c r="AB183" s="213" t="e">
        <v>#DIV/0!</v>
      </c>
      <c r="AC183" s="214"/>
      <c r="AD183" s="215"/>
      <c r="AE183" s="342"/>
      <c r="AF183" s="341"/>
    </row>
    <row r="184" spans="1:32">
      <c r="A184" s="307">
        <v>3</v>
      </c>
      <c r="B184" s="342"/>
      <c r="C184" s="342" t="s">
        <v>232</v>
      </c>
      <c r="D184" s="340" t="s">
        <v>519</v>
      </c>
      <c r="E184" s="342" t="s">
        <v>516</v>
      </c>
      <c r="F184" s="345" t="s">
        <v>242</v>
      </c>
      <c r="G184" s="308">
        <v>1</v>
      </c>
      <c r="H184" s="309">
        <v>25000</v>
      </c>
      <c r="I184" s="309">
        <v>25000</v>
      </c>
      <c r="J184" s="211">
        <v>1</v>
      </c>
      <c r="K184" s="212" t="str">
        <f>IF(OR(J184="",G184=J184),"","*")</f>
        <v/>
      </c>
      <c r="L184" s="338">
        <f>IF($A184&lt;=L$1,I184/I$4,"")</f>
        <v>4.329004329004329E-4</v>
      </c>
      <c r="M184" s="343"/>
      <c r="N184" s="344" t="s">
        <v>520</v>
      </c>
      <c r="O184" s="310">
        <v>0</v>
      </c>
      <c r="P184" s="311">
        <v>0</v>
      </c>
      <c r="Q184" s="311">
        <v>0</v>
      </c>
      <c r="R184" s="211">
        <v>0</v>
      </c>
      <c r="S184" s="212"/>
      <c r="T184" s="213" t="e">
        <v>#DIV/0!</v>
      </c>
      <c r="U184" s="214"/>
      <c r="V184" s="215"/>
      <c r="W184" s="310">
        <v>0</v>
      </c>
      <c r="X184" s="311">
        <v>0</v>
      </c>
      <c r="Y184" s="311">
        <v>0</v>
      </c>
      <c r="Z184" s="211">
        <v>0</v>
      </c>
      <c r="AA184" s="212"/>
      <c r="AB184" s="213" t="e">
        <v>#DIV/0!</v>
      </c>
      <c r="AC184" s="214"/>
      <c r="AD184" s="215"/>
      <c r="AE184" s="342"/>
      <c r="AF184" s="341"/>
    </row>
    <row r="185" spans="1:32">
      <c r="A185" s="307">
        <v>4</v>
      </c>
      <c r="B185" s="342"/>
      <c r="C185" s="342" t="s">
        <v>182</v>
      </c>
      <c r="D185" s="340" t="s">
        <v>521</v>
      </c>
      <c r="E185" s="342" t="s">
        <v>266</v>
      </c>
      <c r="F185" s="345" t="s">
        <v>242</v>
      </c>
      <c r="G185" s="308">
        <v>1</v>
      </c>
      <c r="H185" s="309">
        <v>25000</v>
      </c>
      <c r="I185" s="309">
        <v>25000</v>
      </c>
      <c r="J185" s="211"/>
      <c r="K185" s="212" t="str">
        <f>IF(OR(J185="",G185=J185),"","*")</f>
        <v/>
      </c>
      <c r="L185" s="338" t="str">
        <f>IF($A185&lt;=L$1,I185/I$4,"")</f>
        <v/>
      </c>
      <c r="M185" s="343"/>
      <c r="N185" s="344"/>
      <c r="O185" s="310">
        <v>0</v>
      </c>
      <c r="P185" s="311">
        <v>0</v>
      </c>
      <c r="Q185" s="311">
        <v>0</v>
      </c>
      <c r="R185" s="211">
        <v>0</v>
      </c>
      <c r="S185" s="212"/>
      <c r="T185" s="213" t="e">
        <v>#DIV/0!</v>
      </c>
      <c r="U185" s="214"/>
      <c r="V185" s="215"/>
      <c r="W185" s="310">
        <v>0</v>
      </c>
      <c r="X185" s="311">
        <v>0</v>
      </c>
      <c r="Y185" s="311">
        <v>0</v>
      </c>
      <c r="Z185" s="211">
        <v>0</v>
      </c>
      <c r="AA185" s="212"/>
      <c r="AB185" s="213" t="e">
        <v>#DIV/0!</v>
      </c>
      <c r="AC185" s="214"/>
      <c r="AD185" s="215"/>
      <c r="AE185" s="342"/>
      <c r="AF185" s="341"/>
    </row>
    <row r="186" spans="1:32">
      <c r="A186" s="307">
        <v>2</v>
      </c>
      <c r="B186" s="342"/>
      <c r="C186" s="342" t="s">
        <v>232</v>
      </c>
      <c r="D186" s="340" t="s">
        <v>522</v>
      </c>
      <c r="E186" s="342"/>
      <c r="F186" s="345" t="s">
        <v>199</v>
      </c>
      <c r="G186" s="308">
        <v>1</v>
      </c>
      <c r="H186" s="309">
        <v>2620000</v>
      </c>
      <c r="I186" s="309">
        <v>2620000</v>
      </c>
      <c r="J186" s="211">
        <v>1</v>
      </c>
      <c r="K186" s="212" t="str">
        <f>IF(OR(J186="",G186=J186),"","*")</f>
        <v/>
      </c>
      <c r="L186" s="338">
        <f>IF($A186&lt;=L$1,I186/I$4,"")</f>
        <v>4.536796536796537E-2</v>
      </c>
      <c r="M186" s="343"/>
      <c r="N186" s="344" t="s">
        <v>523</v>
      </c>
      <c r="O186" s="310">
        <v>0</v>
      </c>
      <c r="P186" s="311">
        <v>0</v>
      </c>
      <c r="Q186" s="311">
        <v>0</v>
      </c>
      <c r="R186" s="211">
        <v>0</v>
      </c>
      <c r="S186" s="212"/>
      <c r="T186" s="213" t="e">
        <v>#DIV/0!</v>
      </c>
      <c r="U186" s="214"/>
      <c r="V186" s="215"/>
      <c r="W186" s="310">
        <v>0</v>
      </c>
      <c r="X186" s="311">
        <v>0</v>
      </c>
      <c r="Y186" s="311">
        <v>0</v>
      </c>
      <c r="Z186" s="211">
        <v>0</v>
      </c>
      <c r="AA186" s="212"/>
      <c r="AB186" s="213" t="e">
        <v>#DIV/0!</v>
      </c>
      <c r="AC186" s="214"/>
      <c r="AD186" s="215"/>
      <c r="AE186" s="342"/>
      <c r="AF186" s="341"/>
    </row>
    <row r="187" spans="1:32">
      <c r="A187" s="307">
        <v>3</v>
      </c>
      <c r="B187" s="342"/>
      <c r="C187" s="342" t="s">
        <v>182</v>
      </c>
      <c r="D187" s="340" t="s">
        <v>524</v>
      </c>
      <c r="E187" s="342" t="s">
        <v>525</v>
      </c>
      <c r="F187" s="345" t="s">
        <v>199</v>
      </c>
      <c r="G187" s="308">
        <v>1</v>
      </c>
      <c r="H187" s="309">
        <v>720000</v>
      </c>
      <c r="I187" s="309">
        <v>720000</v>
      </c>
      <c r="J187" s="211"/>
      <c r="K187" s="212" t="str">
        <f>IF(OR(J187="",G187=J187),"","*")</f>
        <v/>
      </c>
      <c r="L187" s="338">
        <f>IF($A187&lt;=L$1,I187/I$4,"")</f>
        <v>1.2467532467532468E-2</v>
      </c>
      <c r="M187" s="343"/>
      <c r="N187" s="344"/>
      <c r="O187" s="310">
        <v>0</v>
      </c>
      <c r="P187" s="311">
        <v>0</v>
      </c>
      <c r="Q187" s="311">
        <v>0</v>
      </c>
      <c r="R187" s="211">
        <v>0</v>
      </c>
      <c r="S187" s="212"/>
      <c r="T187" s="213" t="e">
        <v>#DIV/0!</v>
      </c>
      <c r="U187" s="214"/>
      <c r="V187" s="215"/>
      <c r="W187" s="310">
        <v>0</v>
      </c>
      <c r="X187" s="311">
        <v>0</v>
      </c>
      <c r="Y187" s="311">
        <v>0</v>
      </c>
      <c r="Z187" s="211">
        <v>0</v>
      </c>
      <c r="AA187" s="212"/>
      <c r="AB187" s="213" t="e">
        <v>#DIV/0!</v>
      </c>
      <c r="AC187" s="214"/>
      <c r="AD187" s="215"/>
      <c r="AE187" s="342"/>
      <c r="AF187" s="341"/>
    </row>
    <row r="188" spans="1:32">
      <c r="A188" s="307">
        <v>3</v>
      </c>
      <c r="B188" s="342"/>
      <c r="C188" s="342" t="s">
        <v>182</v>
      </c>
      <c r="D188" s="340" t="s">
        <v>524</v>
      </c>
      <c r="E188" s="342" t="s">
        <v>526</v>
      </c>
      <c r="F188" s="345" t="s">
        <v>199</v>
      </c>
      <c r="G188" s="308">
        <v>1</v>
      </c>
      <c r="H188" s="309">
        <v>1641285</v>
      </c>
      <c r="I188" s="309">
        <v>1641285</v>
      </c>
      <c r="J188" s="211"/>
      <c r="K188" s="212" t="str">
        <f>IF(OR(J188="",G188=J188),"","*")</f>
        <v/>
      </c>
      <c r="L188" s="338">
        <f>IF($A188&lt;=L$1,I188/I$4,"")</f>
        <v>2.842051948051948E-2</v>
      </c>
      <c r="M188" s="343"/>
      <c r="N188" s="344"/>
      <c r="O188" s="310">
        <v>0</v>
      </c>
      <c r="P188" s="311">
        <v>0</v>
      </c>
      <c r="Q188" s="311">
        <v>0</v>
      </c>
      <c r="R188" s="211">
        <v>0</v>
      </c>
      <c r="S188" s="212"/>
      <c r="T188" s="213" t="e">
        <v>#DIV/0!</v>
      </c>
      <c r="U188" s="214"/>
      <c r="V188" s="215"/>
      <c r="W188" s="310">
        <v>0</v>
      </c>
      <c r="X188" s="311">
        <v>0</v>
      </c>
      <c r="Y188" s="311">
        <v>0</v>
      </c>
      <c r="Z188" s="211">
        <v>0</v>
      </c>
      <c r="AA188" s="212"/>
      <c r="AB188" s="213" t="e">
        <v>#DIV/0!</v>
      </c>
      <c r="AC188" s="214"/>
      <c r="AD188" s="215"/>
      <c r="AE188" s="342"/>
      <c r="AF188" s="341"/>
    </row>
    <row r="189" spans="1:32">
      <c r="A189" s="307">
        <v>3</v>
      </c>
      <c r="B189" s="342"/>
      <c r="C189" s="342" t="s">
        <v>182</v>
      </c>
      <c r="D189" s="340" t="s">
        <v>524</v>
      </c>
      <c r="E189" s="342" t="s">
        <v>526</v>
      </c>
      <c r="F189" s="345" t="s">
        <v>199</v>
      </c>
      <c r="G189" s="308">
        <v>1</v>
      </c>
      <c r="H189" s="309">
        <v>258715</v>
      </c>
      <c r="I189" s="309">
        <v>258715</v>
      </c>
      <c r="J189" s="211"/>
      <c r="K189" s="212" t="str">
        <f>IF(OR(J189="",G189=J189),"","*")</f>
        <v/>
      </c>
      <c r="L189" s="338">
        <f>IF($A189&lt;=L$1,I189/I$4,"")</f>
        <v>4.4799134199134203E-3</v>
      </c>
      <c r="M189" s="343"/>
      <c r="N189" s="344"/>
      <c r="O189" s="310">
        <v>0</v>
      </c>
      <c r="P189" s="311">
        <v>0</v>
      </c>
      <c r="Q189" s="311">
        <v>0</v>
      </c>
      <c r="R189" s="211">
        <v>0</v>
      </c>
      <c r="S189" s="212"/>
      <c r="T189" s="213" t="e">
        <v>#DIV/0!</v>
      </c>
      <c r="U189" s="214"/>
      <c r="V189" s="215"/>
      <c r="W189" s="310">
        <v>0</v>
      </c>
      <c r="X189" s="311">
        <v>0</v>
      </c>
      <c r="Y189" s="311">
        <v>0</v>
      </c>
      <c r="Z189" s="211">
        <v>0</v>
      </c>
      <c r="AA189" s="212"/>
      <c r="AB189" s="213" t="e">
        <v>#DIV/0!</v>
      </c>
      <c r="AC189" s="214"/>
      <c r="AD189" s="215"/>
      <c r="AE189" s="342"/>
      <c r="AF189" s="341"/>
    </row>
    <row r="190" spans="1:32">
      <c r="A190" s="307">
        <v>2</v>
      </c>
      <c r="B190" s="342"/>
      <c r="C190" s="342" t="s">
        <v>232</v>
      </c>
      <c r="D190" s="340" t="s">
        <v>527</v>
      </c>
      <c r="E190" s="342"/>
      <c r="F190" s="345" t="s">
        <v>199</v>
      </c>
      <c r="G190" s="308">
        <v>1</v>
      </c>
      <c r="H190" s="309">
        <v>1514172</v>
      </c>
      <c r="I190" s="309">
        <v>1514172</v>
      </c>
      <c r="J190" s="211">
        <v>1</v>
      </c>
      <c r="K190" s="212" t="str">
        <f>IF(OR(J190="",G190=J190),"","*")</f>
        <v/>
      </c>
      <c r="L190" s="338">
        <f>IF($A190&lt;=L$1,I190/I$4,"")</f>
        <v>2.6219428571428571E-2</v>
      </c>
      <c r="M190" s="343"/>
      <c r="N190" s="344" t="s">
        <v>528</v>
      </c>
      <c r="O190" s="310">
        <v>0</v>
      </c>
      <c r="P190" s="311">
        <v>0</v>
      </c>
      <c r="Q190" s="311">
        <v>0</v>
      </c>
      <c r="R190" s="211">
        <v>0</v>
      </c>
      <c r="S190" s="212"/>
      <c r="T190" s="213" t="e">
        <v>#DIV/0!</v>
      </c>
      <c r="U190" s="214"/>
      <c r="V190" s="215"/>
      <c r="W190" s="310">
        <v>0</v>
      </c>
      <c r="X190" s="311">
        <v>0</v>
      </c>
      <c r="Y190" s="311">
        <v>0</v>
      </c>
      <c r="Z190" s="211">
        <v>0</v>
      </c>
      <c r="AA190" s="212"/>
      <c r="AB190" s="213" t="e">
        <v>#DIV/0!</v>
      </c>
      <c r="AC190" s="214"/>
      <c r="AD190" s="215"/>
      <c r="AE190" s="342"/>
      <c r="AF190" s="341"/>
    </row>
    <row r="191" spans="1:32">
      <c r="A191" s="307">
        <v>3</v>
      </c>
      <c r="B191" s="342"/>
      <c r="C191" s="342" t="s">
        <v>187</v>
      </c>
      <c r="D191" s="340" t="s">
        <v>529</v>
      </c>
      <c r="E191" s="342" t="s">
        <v>525</v>
      </c>
      <c r="F191" s="345" t="s">
        <v>199</v>
      </c>
      <c r="G191" s="308">
        <v>1</v>
      </c>
      <c r="H191" s="309">
        <v>290000</v>
      </c>
      <c r="I191" s="309">
        <v>290000</v>
      </c>
      <c r="J191" s="211"/>
      <c r="K191" s="212" t="str">
        <f>IF(OR(J191="",G191=J191),"","*")</f>
        <v/>
      </c>
      <c r="L191" s="338">
        <f>IF($A191&lt;=L$1,I191/I$4,"")</f>
        <v>5.0216450216450216E-3</v>
      </c>
      <c r="M191" s="343"/>
      <c r="N191" s="344"/>
      <c r="O191" s="310">
        <v>0</v>
      </c>
      <c r="P191" s="311">
        <v>0</v>
      </c>
      <c r="Q191" s="311">
        <v>0</v>
      </c>
      <c r="R191" s="211">
        <v>0</v>
      </c>
      <c r="S191" s="212"/>
      <c r="T191" s="213" t="e">
        <v>#DIV/0!</v>
      </c>
      <c r="U191" s="214"/>
      <c r="V191" s="215"/>
      <c r="W191" s="310">
        <v>0</v>
      </c>
      <c r="X191" s="311">
        <v>0</v>
      </c>
      <c r="Y191" s="311">
        <v>0</v>
      </c>
      <c r="Z191" s="211">
        <v>0</v>
      </c>
      <c r="AA191" s="212"/>
      <c r="AB191" s="213" t="e">
        <v>#DIV/0!</v>
      </c>
      <c r="AC191" s="214"/>
      <c r="AD191" s="215"/>
      <c r="AE191" s="342"/>
      <c r="AF191" s="341"/>
    </row>
    <row r="192" spans="1:32">
      <c r="A192" s="307">
        <v>3</v>
      </c>
      <c r="B192" s="342"/>
      <c r="C192" s="342" t="s">
        <v>187</v>
      </c>
      <c r="D192" s="340" t="s">
        <v>529</v>
      </c>
      <c r="E192" s="342" t="s">
        <v>526</v>
      </c>
      <c r="F192" s="345" t="s">
        <v>199</v>
      </c>
      <c r="G192" s="308">
        <v>1</v>
      </c>
      <c r="H192" s="309">
        <v>1147215</v>
      </c>
      <c r="I192" s="309">
        <v>1147215</v>
      </c>
      <c r="J192" s="211"/>
      <c r="K192" s="212" t="str">
        <f>IF(OR(J192="",G192=J192),"","*")</f>
        <v/>
      </c>
      <c r="L192" s="338">
        <f>IF($A192&lt;=L$1,I192/I$4,"")</f>
        <v>1.9865194805194806E-2</v>
      </c>
      <c r="M192" s="343"/>
      <c r="N192" s="344"/>
      <c r="O192" s="310">
        <v>0</v>
      </c>
      <c r="P192" s="311">
        <v>0</v>
      </c>
      <c r="Q192" s="311">
        <v>0</v>
      </c>
      <c r="R192" s="211">
        <v>0</v>
      </c>
      <c r="S192" s="212"/>
      <c r="T192" s="213" t="e">
        <v>#DIV/0!</v>
      </c>
      <c r="U192" s="214"/>
      <c r="V192" s="215"/>
      <c r="W192" s="310">
        <v>0</v>
      </c>
      <c r="X192" s="311">
        <v>0</v>
      </c>
      <c r="Y192" s="311">
        <v>0</v>
      </c>
      <c r="Z192" s="211">
        <v>0</v>
      </c>
      <c r="AA192" s="212"/>
      <c r="AB192" s="213" t="e">
        <v>#DIV/0!</v>
      </c>
      <c r="AC192" s="214"/>
      <c r="AD192" s="215"/>
      <c r="AE192" s="342"/>
      <c r="AF192" s="341"/>
    </row>
    <row r="193" spans="1:32">
      <c r="A193" s="307">
        <v>3</v>
      </c>
      <c r="B193" s="342"/>
      <c r="C193" s="342" t="s">
        <v>187</v>
      </c>
      <c r="D193" s="340" t="s">
        <v>529</v>
      </c>
      <c r="E193" s="342" t="s">
        <v>526</v>
      </c>
      <c r="F193" s="345" t="s">
        <v>199</v>
      </c>
      <c r="G193" s="308">
        <v>1</v>
      </c>
      <c r="H193" s="309">
        <v>76957</v>
      </c>
      <c r="I193" s="309">
        <v>76957</v>
      </c>
      <c r="J193" s="211"/>
      <c r="K193" s="212" t="str">
        <f>IF(OR(J193="",G193=J193),"","*")</f>
        <v/>
      </c>
      <c r="L193" s="338">
        <f>IF($A193&lt;=L$1,I193/I$4,"")</f>
        <v>1.3325887445887446E-3</v>
      </c>
      <c r="M193" s="343"/>
      <c r="N193" s="344"/>
      <c r="O193" s="310">
        <v>0</v>
      </c>
      <c r="P193" s="311">
        <v>0</v>
      </c>
      <c r="Q193" s="311">
        <v>0</v>
      </c>
      <c r="R193" s="211">
        <v>0</v>
      </c>
      <c r="S193" s="212"/>
      <c r="T193" s="213" t="e">
        <v>#DIV/0!</v>
      </c>
      <c r="U193" s="214"/>
      <c r="V193" s="215"/>
      <c r="W193" s="310">
        <v>0</v>
      </c>
      <c r="X193" s="311">
        <v>0</v>
      </c>
      <c r="Y193" s="311">
        <v>0</v>
      </c>
      <c r="Z193" s="211">
        <v>0</v>
      </c>
      <c r="AA193" s="212"/>
      <c r="AB193" s="213" t="e">
        <v>#DIV/0!</v>
      </c>
      <c r="AC193" s="214"/>
      <c r="AD193" s="215"/>
      <c r="AE193" s="342"/>
      <c r="AF193" s="341"/>
    </row>
    <row r="194" spans="1:32">
      <c r="A194" s="307">
        <v>2</v>
      </c>
      <c r="B194" s="342"/>
      <c r="C194" s="342" t="s">
        <v>232</v>
      </c>
      <c r="D194" s="340" t="s">
        <v>530</v>
      </c>
      <c r="E194" s="342"/>
      <c r="F194" s="345" t="s">
        <v>199</v>
      </c>
      <c r="G194" s="308">
        <v>1</v>
      </c>
      <c r="H194" s="309">
        <v>13384</v>
      </c>
      <c r="I194" s="309">
        <v>13384</v>
      </c>
      <c r="J194" s="211">
        <v>1</v>
      </c>
      <c r="K194" s="212" t="str">
        <f>IF(OR(J194="",G194=J194),"","*")</f>
        <v/>
      </c>
      <c r="L194" s="338">
        <f>IF($A194&lt;=L$1,I194/I$4,"")</f>
        <v>2.3175757575757575E-4</v>
      </c>
      <c r="M194" s="343"/>
      <c r="N194" s="344" t="s">
        <v>531</v>
      </c>
      <c r="O194" s="310">
        <v>0</v>
      </c>
      <c r="P194" s="311">
        <v>0</v>
      </c>
      <c r="Q194" s="311">
        <v>0</v>
      </c>
      <c r="R194" s="211">
        <v>0</v>
      </c>
      <c r="S194" s="212"/>
      <c r="T194" s="213" t="e">
        <v>#DIV/0!</v>
      </c>
      <c r="U194" s="214"/>
      <c r="V194" s="215"/>
      <c r="W194" s="310">
        <v>0</v>
      </c>
      <c r="X194" s="311">
        <v>0</v>
      </c>
      <c r="Y194" s="311">
        <v>0</v>
      </c>
      <c r="Z194" s="211">
        <v>0</v>
      </c>
      <c r="AA194" s="212"/>
      <c r="AB194" s="213" t="e">
        <v>#DIV/0!</v>
      </c>
      <c r="AC194" s="214"/>
      <c r="AD194" s="215"/>
      <c r="AE194" s="342"/>
      <c r="AF194" s="341"/>
    </row>
    <row r="195" spans="1:32">
      <c r="A195" s="307">
        <v>3</v>
      </c>
      <c r="B195" s="342"/>
      <c r="C195" s="342"/>
      <c r="D195" s="340" t="s">
        <v>282</v>
      </c>
      <c r="E195" s="342"/>
      <c r="F195" s="345" t="s">
        <v>199</v>
      </c>
      <c r="G195" s="308">
        <v>1</v>
      </c>
      <c r="H195" s="309">
        <v>11431</v>
      </c>
      <c r="I195" s="309">
        <v>11431</v>
      </c>
      <c r="J195" s="211"/>
      <c r="K195" s="212" t="str">
        <f>IF(OR(J195="",G195=J195),"","*")</f>
        <v/>
      </c>
      <c r="L195" s="338">
        <f>IF($A195&lt;=L$1,I195/I$4,"")</f>
        <v>1.9793939393939394E-4</v>
      </c>
      <c r="M195" s="343"/>
      <c r="N195" s="344"/>
      <c r="O195" s="310">
        <v>0</v>
      </c>
      <c r="P195" s="311">
        <v>0</v>
      </c>
      <c r="Q195" s="311">
        <v>0</v>
      </c>
      <c r="R195" s="211">
        <v>0</v>
      </c>
      <c r="S195" s="212"/>
      <c r="T195" s="213" t="e">
        <v>#DIV/0!</v>
      </c>
      <c r="U195" s="214"/>
      <c r="V195" s="215"/>
      <c r="W195" s="310">
        <v>0</v>
      </c>
      <c r="X195" s="311">
        <v>0</v>
      </c>
      <c r="Y195" s="311">
        <v>0</v>
      </c>
      <c r="Z195" s="211">
        <v>0</v>
      </c>
      <c r="AA195" s="212"/>
      <c r="AB195" s="213" t="e">
        <v>#DIV/0!</v>
      </c>
      <c r="AC195" s="214"/>
      <c r="AD195" s="215"/>
      <c r="AE195" s="342"/>
      <c r="AF195" s="341"/>
    </row>
    <row r="196" spans="1:32">
      <c r="A196" s="307">
        <v>3</v>
      </c>
      <c r="B196" s="342"/>
      <c r="C196" s="342"/>
      <c r="D196" s="340" t="s">
        <v>532</v>
      </c>
      <c r="E196" s="342"/>
      <c r="F196" s="345" t="s">
        <v>199</v>
      </c>
      <c r="G196" s="308">
        <v>1</v>
      </c>
      <c r="H196" s="309">
        <v>1953</v>
      </c>
      <c r="I196" s="309">
        <v>1953</v>
      </c>
      <c r="J196" s="211"/>
      <c r="K196" s="212" t="str">
        <f>IF(OR(J196="",G196=J196),"","*")</f>
        <v/>
      </c>
      <c r="L196" s="338">
        <f>IF($A196&lt;=L$1,I196/I$4,"")</f>
        <v>3.3818181818181822E-5</v>
      </c>
      <c r="M196" s="343"/>
      <c r="N196" s="344" t="s">
        <v>533</v>
      </c>
      <c r="O196" s="310">
        <v>0</v>
      </c>
      <c r="P196" s="311">
        <v>0</v>
      </c>
      <c r="Q196" s="311">
        <v>0</v>
      </c>
      <c r="R196" s="211">
        <v>0</v>
      </c>
      <c r="S196" s="212"/>
      <c r="T196" s="213" t="e">
        <v>#DIV/0!</v>
      </c>
      <c r="U196" s="214"/>
      <c r="V196" s="215"/>
      <c r="W196" s="310">
        <v>0</v>
      </c>
      <c r="X196" s="311">
        <v>0</v>
      </c>
      <c r="Y196" s="311">
        <v>0</v>
      </c>
      <c r="Z196" s="211">
        <v>0</v>
      </c>
      <c r="AA196" s="212"/>
      <c r="AB196" s="213" t="e">
        <v>#DIV/0!</v>
      </c>
      <c r="AC196" s="214"/>
      <c r="AD196" s="215"/>
      <c r="AE196" s="342"/>
      <c r="AF196" s="341"/>
    </row>
    <row r="197" spans="1:32">
      <c r="A197" s="217"/>
      <c r="B197" s="217"/>
      <c r="C197" s="312"/>
      <c r="D197" s="217"/>
      <c r="E197" s="217"/>
      <c r="F197" s="218"/>
      <c r="G197" s="217"/>
      <c r="H197" s="217"/>
      <c r="I197" s="217"/>
      <c r="J197" s="217"/>
      <c r="K197" s="218"/>
      <c r="L197" s="217"/>
      <c r="M197" s="217"/>
      <c r="N197" s="217"/>
      <c r="O197" s="217"/>
      <c r="P197" s="217"/>
      <c r="Q197" s="217"/>
      <c r="R197" s="217"/>
      <c r="S197" s="218"/>
      <c r="T197" s="217"/>
      <c r="U197" s="217"/>
      <c r="V197" s="217"/>
      <c r="W197" s="217"/>
      <c r="X197" s="217"/>
      <c r="Y197" s="217"/>
      <c r="Z197" s="217"/>
      <c r="AA197" s="218"/>
      <c r="AB197" s="217"/>
      <c r="AC197" s="217"/>
      <c r="AD197" s="217"/>
      <c r="AE197" s="217"/>
      <c r="AF197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196 AF4:AF196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196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535</v>
      </c>
      <c r="D4" s="315">
        <v>156000</v>
      </c>
      <c r="E4" s="120"/>
      <c r="F4" s="119" t="s">
        <v>536</v>
      </c>
      <c r="G4" s="316">
        <v>2304000</v>
      </c>
      <c r="H4" s="69"/>
    </row>
    <row r="5" spans="1:8" ht="27" customHeight="1">
      <c r="A5" s="69"/>
      <c r="B5" s="118"/>
      <c r="C5" s="119" t="s">
        <v>537</v>
      </c>
      <c r="D5" s="315"/>
      <c r="E5" s="120"/>
      <c r="F5" s="119" t="s">
        <v>538</v>
      </c>
      <c r="G5" s="316"/>
      <c r="H5" s="69"/>
    </row>
    <row r="6" spans="1:8" ht="27" customHeight="1">
      <c r="A6" s="69"/>
      <c r="B6" s="118"/>
      <c r="C6" s="119" t="s">
        <v>539</v>
      </c>
      <c r="D6" s="315"/>
      <c r="E6" s="120"/>
      <c r="F6" s="119" t="s">
        <v>540</v>
      </c>
      <c r="G6" s="316"/>
      <c r="H6" s="69"/>
    </row>
    <row r="7" spans="1:8" ht="27" customHeight="1">
      <c r="A7" s="69"/>
      <c r="B7" s="118"/>
      <c r="C7" s="119" t="s">
        <v>541</v>
      </c>
      <c r="D7" s="315"/>
      <c r="E7" s="120"/>
      <c r="F7" s="119" t="s">
        <v>542</v>
      </c>
      <c r="G7" s="316"/>
      <c r="H7" s="69"/>
    </row>
    <row r="8" spans="1:8" ht="27" customHeight="1">
      <c r="A8" s="69"/>
      <c r="B8" s="118"/>
      <c r="C8" s="119" t="s">
        <v>543</v>
      </c>
      <c r="D8" s="315"/>
      <c r="E8" s="120"/>
      <c r="F8" s="119" t="s">
        <v>544</v>
      </c>
      <c r="G8" s="316"/>
      <c r="H8" s="69"/>
    </row>
    <row r="9" spans="1:8" ht="27" customHeight="1">
      <c r="A9" s="69"/>
      <c r="B9" s="118"/>
      <c r="C9" s="119" t="s">
        <v>545</v>
      </c>
      <c r="D9" s="315"/>
      <c r="E9" s="120"/>
      <c r="F9" s="119" t="s">
        <v>546</v>
      </c>
      <c r="G9" s="316"/>
      <c r="H9" s="69"/>
    </row>
    <row r="10" spans="1:8" ht="27" customHeight="1">
      <c r="A10" s="69"/>
      <c r="B10" s="118"/>
      <c r="C10" s="119"/>
      <c r="D10" s="315"/>
      <c r="E10" s="120"/>
      <c r="F10" s="119" t="s">
        <v>547</v>
      </c>
      <c r="G10" s="316"/>
      <c r="H10" s="69"/>
    </row>
    <row r="11" spans="1:8" ht="27" customHeight="1">
      <c r="A11" s="69"/>
      <c r="B11" s="118"/>
      <c r="C11" s="119" t="s">
        <v>227</v>
      </c>
      <c r="D11" s="315">
        <v>156000</v>
      </c>
      <c r="E11" s="120"/>
      <c r="F11" s="119" t="s">
        <v>548</v>
      </c>
      <c r="G11" s="316">
        <v>51760</v>
      </c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 t="s">
        <v>227</v>
      </c>
      <c r="G13" s="316">
        <v>2355760</v>
      </c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180</v>
      </c>
      <c r="H3" s="128" t="s">
        <v>181</v>
      </c>
      <c r="I3" s="128" t="s">
        <v>182</v>
      </c>
      <c r="J3" s="128" t="s">
        <v>183</v>
      </c>
      <c r="K3" s="128" t="s">
        <v>184</v>
      </c>
      <c r="L3" s="128" t="s">
        <v>185</v>
      </c>
      <c r="M3" s="128" t="s">
        <v>186</v>
      </c>
      <c r="N3" s="129" t="s">
        <v>187</v>
      </c>
      <c r="O3" s="69"/>
    </row>
    <row r="4" spans="1:15" ht="30" customHeight="1">
      <c r="A4" s="69"/>
      <c r="B4" s="130" t="s">
        <v>535</v>
      </c>
      <c r="C4" s="131" t="s">
        <v>199</v>
      </c>
      <c r="D4" s="320">
        <v>1</v>
      </c>
      <c r="E4" s="321">
        <v>156000</v>
      </c>
      <c r="F4" s="322">
        <v>156000</v>
      </c>
      <c r="G4" s="323"/>
      <c r="H4" s="324"/>
      <c r="I4" s="324"/>
      <c r="J4" s="324"/>
      <c r="K4" s="324">
        <v>156000</v>
      </c>
      <c r="L4" s="324"/>
      <c r="M4" s="324"/>
      <c r="N4" s="325"/>
      <c r="O4" s="69"/>
    </row>
    <row r="5" spans="1:15" ht="30" customHeight="1">
      <c r="A5" s="69"/>
      <c r="B5" s="130" t="s">
        <v>537</v>
      </c>
      <c r="C5" s="131" t="s">
        <v>199</v>
      </c>
      <c r="D5" s="326">
        <v>1</v>
      </c>
      <c r="E5" s="321"/>
      <c r="F5" s="322"/>
      <c r="G5" s="323"/>
      <c r="H5" s="324"/>
      <c r="I5" s="324"/>
      <c r="J5" s="324"/>
      <c r="K5" s="324"/>
      <c r="L5" s="324"/>
      <c r="M5" s="324"/>
      <c r="N5" s="325"/>
      <c r="O5" s="69"/>
    </row>
    <row r="6" spans="1:15" ht="30" customHeight="1">
      <c r="A6" s="69"/>
      <c r="B6" s="130" t="s">
        <v>539</v>
      </c>
      <c r="C6" s="131" t="s">
        <v>199</v>
      </c>
      <c r="D6" s="326">
        <v>1</v>
      </c>
      <c r="E6" s="321"/>
      <c r="F6" s="322"/>
      <c r="G6" s="323"/>
      <c r="H6" s="324"/>
      <c r="I6" s="324"/>
      <c r="J6" s="324"/>
      <c r="K6" s="324"/>
      <c r="L6" s="324"/>
      <c r="M6" s="324"/>
      <c r="N6" s="325"/>
      <c r="O6" s="69"/>
    </row>
    <row r="7" spans="1:15" ht="30" customHeight="1">
      <c r="A7" s="69"/>
      <c r="B7" s="130" t="s">
        <v>541</v>
      </c>
      <c r="C7" s="131" t="s">
        <v>199</v>
      </c>
      <c r="D7" s="326">
        <v>1</v>
      </c>
      <c r="E7" s="321"/>
      <c r="F7" s="322"/>
      <c r="G7" s="323"/>
      <c r="H7" s="324"/>
      <c r="I7" s="324"/>
      <c r="J7" s="324"/>
      <c r="K7" s="324"/>
      <c r="L7" s="324"/>
      <c r="M7" s="324"/>
      <c r="N7" s="325"/>
      <c r="O7" s="69"/>
    </row>
    <row r="8" spans="1:15" ht="30" customHeight="1">
      <c r="A8" s="69"/>
      <c r="B8" s="130" t="s">
        <v>543</v>
      </c>
      <c r="C8" s="131" t="s">
        <v>199</v>
      </c>
      <c r="D8" s="326">
        <v>1</v>
      </c>
      <c r="E8" s="321"/>
      <c r="F8" s="322"/>
      <c r="G8" s="323"/>
      <c r="H8" s="324"/>
      <c r="I8" s="324"/>
      <c r="J8" s="324"/>
      <c r="K8" s="324"/>
      <c r="L8" s="324"/>
      <c r="M8" s="324"/>
      <c r="N8" s="325"/>
      <c r="O8" s="69"/>
    </row>
    <row r="9" spans="1:15" ht="30" customHeight="1">
      <c r="A9" s="69"/>
      <c r="B9" s="130" t="s">
        <v>545</v>
      </c>
      <c r="C9" s="131" t="s">
        <v>199</v>
      </c>
      <c r="D9" s="326">
        <v>1</v>
      </c>
      <c r="E9" s="321"/>
      <c r="F9" s="322"/>
      <c r="G9" s="323"/>
      <c r="H9" s="324"/>
      <c r="I9" s="324"/>
      <c r="J9" s="324"/>
      <c r="K9" s="324"/>
      <c r="L9" s="324"/>
      <c r="M9" s="324"/>
      <c r="N9" s="325"/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 t="s">
        <v>227</v>
      </c>
      <c r="C11" s="131"/>
      <c r="D11" s="326"/>
      <c r="E11" s="321"/>
      <c r="F11" s="322">
        <v>156000</v>
      </c>
      <c r="G11" s="323"/>
      <c r="H11" s="324"/>
      <c r="I11" s="324"/>
      <c r="J11" s="324"/>
      <c r="K11" s="324">
        <v>156000</v>
      </c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15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23-033★愛甲小学校グラウンド改修工事【受託事業】</v>
      </c>
      <c r="G1" s="306"/>
      <c r="H1" s="190" t="s">
        <v>131</v>
      </c>
      <c r="I1" s="333">
        <v>62441860</v>
      </c>
      <c r="J1" s="339">
        <f>I4/I$1</f>
        <v>0.92486034208462076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534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229</v>
      </c>
      <c r="D4" s="340" t="s">
        <v>188</v>
      </c>
      <c r="E4" s="342"/>
      <c r="F4" s="345" t="s">
        <v>199</v>
      </c>
      <c r="G4" s="308">
        <v>1</v>
      </c>
      <c r="H4" s="309">
        <v>57750000</v>
      </c>
      <c r="I4" s="309">
        <v>57750000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549</v>
      </c>
      <c r="P4" s="347" t="s">
        <v>549</v>
      </c>
      <c r="Q4" s="347" t="s">
        <v>549</v>
      </c>
      <c r="R4" s="348" t="s">
        <v>549</v>
      </c>
      <c r="S4" s="349"/>
      <c r="T4" s="343" t="s">
        <v>550</v>
      </c>
      <c r="U4" s="343"/>
      <c r="V4" s="344"/>
      <c r="W4" s="346" t="s">
        <v>549</v>
      </c>
      <c r="X4" s="347" t="s">
        <v>549</v>
      </c>
      <c r="Y4" s="347" t="s">
        <v>549</v>
      </c>
      <c r="Z4" s="348" t="s">
        <v>549</v>
      </c>
      <c r="AA4" s="349"/>
      <c r="AB4" s="343" t="s">
        <v>550</v>
      </c>
      <c r="AC4" s="343"/>
      <c r="AD4" s="344"/>
      <c r="AE4" s="342"/>
      <c r="AF4" s="341" t="s">
        <v>117</v>
      </c>
    </row>
    <row r="5" spans="1:32">
      <c r="A5" s="307">
        <v>1</v>
      </c>
      <c r="B5" s="342"/>
      <c r="C5" s="342" t="s">
        <v>230</v>
      </c>
      <c r="D5" s="340" t="s">
        <v>551</v>
      </c>
      <c r="E5" s="342"/>
      <c r="F5" s="345" t="s">
        <v>199</v>
      </c>
      <c r="G5" s="308">
        <v>1</v>
      </c>
      <c r="H5" s="309">
        <v>156000</v>
      </c>
      <c r="I5" s="309">
        <v>156000</v>
      </c>
      <c r="J5" s="211"/>
      <c r="K5" s="212" t="str">
        <f>IF(OR(J5="",G5=J5),"","*")</f>
        <v/>
      </c>
      <c r="L5" s="338">
        <f>IF($A5&lt;=L$1,I5/I$4,"")</f>
        <v>2.7012987012987014E-3</v>
      </c>
      <c r="M5" s="343"/>
      <c r="N5" s="344"/>
      <c r="O5" s="346" t="s">
        <v>549</v>
      </c>
      <c r="P5" s="347" t="s">
        <v>549</v>
      </c>
      <c r="Q5" s="347" t="s">
        <v>549</v>
      </c>
      <c r="R5" s="348" t="s">
        <v>549</v>
      </c>
      <c r="S5" s="349"/>
      <c r="T5" s="343" t="s">
        <v>550</v>
      </c>
      <c r="U5" s="343"/>
      <c r="V5" s="344"/>
      <c r="W5" s="346" t="s">
        <v>549</v>
      </c>
      <c r="X5" s="347" t="s">
        <v>549</v>
      </c>
      <c r="Y5" s="347" t="s">
        <v>549</v>
      </c>
      <c r="Z5" s="348" t="s">
        <v>549</v>
      </c>
      <c r="AA5" s="349"/>
      <c r="AB5" s="343" t="s">
        <v>550</v>
      </c>
      <c r="AC5" s="343"/>
      <c r="AD5" s="344"/>
      <c r="AE5" s="342"/>
      <c r="AF5" s="341" t="s">
        <v>117</v>
      </c>
    </row>
    <row r="6" spans="1:32">
      <c r="A6" s="307">
        <v>2</v>
      </c>
      <c r="B6" s="342"/>
      <c r="C6" s="342" t="s">
        <v>232</v>
      </c>
      <c r="D6" s="340" t="s">
        <v>552</v>
      </c>
      <c r="E6" s="342"/>
      <c r="F6" s="345" t="s">
        <v>199</v>
      </c>
      <c r="G6" s="308">
        <v>1</v>
      </c>
      <c r="H6" s="309">
        <v>156000</v>
      </c>
      <c r="I6" s="309">
        <v>156000</v>
      </c>
      <c r="J6" s="211">
        <v>1</v>
      </c>
      <c r="K6" s="212" t="str">
        <f>IF(OR(J6="",G6=J6),"","*")</f>
        <v/>
      </c>
      <c r="L6" s="338">
        <f>IF($A6&lt;=L$1,I6/I$4,"")</f>
        <v>2.7012987012987014E-3</v>
      </c>
      <c r="M6" s="343"/>
      <c r="N6" s="344" t="s">
        <v>553</v>
      </c>
      <c r="O6" s="346" t="s">
        <v>549</v>
      </c>
      <c r="P6" s="347" t="s">
        <v>549</v>
      </c>
      <c r="Q6" s="347" t="s">
        <v>549</v>
      </c>
      <c r="R6" s="348" t="s">
        <v>549</v>
      </c>
      <c r="S6" s="349"/>
      <c r="T6" s="343" t="s">
        <v>550</v>
      </c>
      <c r="U6" s="343"/>
      <c r="V6" s="344"/>
      <c r="W6" s="346" t="s">
        <v>549</v>
      </c>
      <c r="X6" s="347" t="s">
        <v>549</v>
      </c>
      <c r="Y6" s="347" t="s">
        <v>549</v>
      </c>
      <c r="Z6" s="348" t="s">
        <v>549</v>
      </c>
      <c r="AA6" s="349"/>
      <c r="AB6" s="343" t="s">
        <v>550</v>
      </c>
      <c r="AC6" s="343"/>
      <c r="AD6" s="344"/>
      <c r="AE6" s="342"/>
      <c r="AF6" s="341" t="s">
        <v>117</v>
      </c>
    </row>
    <row r="7" spans="1:32">
      <c r="A7" s="307">
        <v>3</v>
      </c>
      <c r="B7" s="342"/>
      <c r="C7" s="342" t="s">
        <v>184</v>
      </c>
      <c r="D7" s="340" t="s">
        <v>554</v>
      </c>
      <c r="E7" s="342"/>
      <c r="F7" s="345" t="s">
        <v>463</v>
      </c>
      <c r="G7" s="308">
        <v>6</v>
      </c>
      <c r="H7" s="309">
        <v>10000</v>
      </c>
      <c r="I7" s="309">
        <v>60000</v>
      </c>
      <c r="J7" s="211"/>
      <c r="K7" s="212" t="str">
        <f>IF(OR(J7="",G7=J7),"","*")</f>
        <v/>
      </c>
      <c r="L7" s="338">
        <f>IF($A7&lt;=L$1,I7/I$4,"")</f>
        <v>1.038961038961039E-3</v>
      </c>
      <c r="M7" s="343"/>
      <c r="N7" s="344"/>
      <c r="O7" s="346" t="s">
        <v>549</v>
      </c>
      <c r="P7" s="347" t="s">
        <v>549</v>
      </c>
      <c r="Q7" s="347" t="s">
        <v>549</v>
      </c>
      <c r="R7" s="348" t="s">
        <v>549</v>
      </c>
      <c r="S7" s="349"/>
      <c r="T7" s="343" t="s">
        <v>550</v>
      </c>
      <c r="U7" s="343"/>
      <c r="V7" s="344"/>
      <c r="W7" s="346" t="s">
        <v>549</v>
      </c>
      <c r="X7" s="347" t="s">
        <v>549</v>
      </c>
      <c r="Y7" s="347" t="s">
        <v>549</v>
      </c>
      <c r="Z7" s="348" t="s">
        <v>549</v>
      </c>
      <c r="AA7" s="349"/>
      <c r="AB7" s="343" t="s">
        <v>550</v>
      </c>
      <c r="AC7" s="343"/>
      <c r="AD7" s="344"/>
      <c r="AE7" s="342" t="s">
        <v>555</v>
      </c>
      <c r="AF7" s="341" t="s">
        <v>117</v>
      </c>
    </row>
    <row r="8" spans="1:32">
      <c r="A8" s="307">
        <v>3</v>
      </c>
      <c r="B8" s="342"/>
      <c r="C8" s="342" t="s">
        <v>184</v>
      </c>
      <c r="D8" s="340" t="s">
        <v>556</v>
      </c>
      <c r="E8" s="342"/>
      <c r="F8" s="345" t="s">
        <v>463</v>
      </c>
      <c r="G8" s="308">
        <v>2</v>
      </c>
      <c r="H8" s="309">
        <v>18000</v>
      </c>
      <c r="I8" s="309">
        <v>36000</v>
      </c>
      <c r="J8" s="211"/>
      <c r="K8" s="212" t="str">
        <f>IF(OR(J8="",G8=J8),"","*")</f>
        <v/>
      </c>
      <c r="L8" s="338">
        <f>IF($A8&lt;=L$1,I8/I$4,"")</f>
        <v>6.2337662337662335E-4</v>
      </c>
      <c r="M8" s="343"/>
      <c r="N8" s="344"/>
      <c r="O8" s="346" t="s">
        <v>549</v>
      </c>
      <c r="P8" s="347" t="s">
        <v>549</v>
      </c>
      <c r="Q8" s="347" t="s">
        <v>549</v>
      </c>
      <c r="R8" s="348" t="s">
        <v>549</v>
      </c>
      <c r="S8" s="349"/>
      <c r="T8" s="343" t="s">
        <v>550</v>
      </c>
      <c r="U8" s="343"/>
      <c r="V8" s="344"/>
      <c r="W8" s="346" t="s">
        <v>549</v>
      </c>
      <c r="X8" s="347" t="s">
        <v>549</v>
      </c>
      <c r="Y8" s="347" t="s">
        <v>549</v>
      </c>
      <c r="Z8" s="348" t="s">
        <v>549</v>
      </c>
      <c r="AA8" s="349"/>
      <c r="AB8" s="343" t="s">
        <v>550</v>
      </c>
      <c r="AC8" s="343"/>
      <c r="AD8" s="344"/>
      <c r="AE8" s="342" t="s">
        <v>557</v>
      </c>
      <c r="AF8" s="341" t="s">
        <v>117</v>
      </c>
    </row>
    <row r="9" spans="1:32">
      <c r="A9" s="307">
        <v>3</v>
      </c>
      <c r="B9" s="342"/>
      <c r="C9" s="342" t="s">
        <v>184</v>
      </c>
      <c r="D9" s="340" t="s">
        <v>558</v>
      </c>
      <c r="E9" s="342"/>
      <c r="F9" s="345" t="s">
        <v>463</v>
      </c>
      <c r="G9" s="308">
        <v>2</v>
      </c>
      <c r="H9" s="309">
        <v>30000</v>
      </c>
      <c r="I9" s="309">
        <v>60000</v>
      </c>
      <c r="J9" s="211"/>
      <c r="K9" s="212" t="str">
        <f>IF(OR(J9="",G9=J9),"","*")</f>
        <v/>
      </c>
      <c r="L9" s="338">
        <f>IF($A9&lt;=L$1,I9/I$4,"")</f>
        <v>1.038961038961039E-3</v>
      </c>
      <c r="M9" s="343"/>
      <c r="N9" s="344"/>
      <c r="O9" s="346" t="s">
        <v>549</v>
      </c>
      <c r="P9" s="347" t="s">
        <v>549</v>
      </c>
      <c r="Q9" s="347" t="s">
        <v>549</v>
      </c>
      <c r="R9" s="348" t="s">
        <v>549</v>
      </c>
      <c r="S9" s="349"/>
      <c r="T9" s="343" t="s">
        <v>550</v>
      </c>
      <c r="U9" s="343"/>
      <c r="V9" s="344"/>
      <c r="W9" s="346" t="s">
        <v>549</v>
      </c>
      <c r="X9" s="347" t="s">
        <v>549</v>
      </c>
      <c r="Y9" s="347" t="s">
        <v>549</v>
      </c>
      <c r="Z9" s="348" t="s">
        <v>549</v>
      </c>
      <c r="AA9" s="349"/>
      <c r="AB9" s="343" t="s">
        <v>550</v>
      </c>
      <c r="AC9" s="343"/>
      <c r="AD9" s="344"/>
      <c r="AE9" s="342" t="s">
        <v>559</v>
      </c>
      <c r="AF9" s="341" t="s">
        <v>117</v>
      </c>
    </row>
    <row r="10" spans="1:32">
      <c r="A10" s="307">
        <v>2</v>
      </c>
      <c r="B10" s="342"/>
      <c r="C10" s="342" t="s">
        <v>232</v>
      </c>
      <c r="D10" s="340" t="s">
        <v>560</v>
      </c>
      <c r="E10" s="342" t="s">
        <v>561</v>
      </c>
      <c r="F10" s="345" t="s">
        <v>199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562</v>
      </c>
      <c r="O10" s="346" t="s">
        <v>549</v>
      </c>
      <c r="P10" s="347" t="s">
        <v>549</v>
      </c>
      <c r="Q10" s="347" t="s">
        <v>549</v>
      </c>
      <c r="R10" s="348" t="s">
        <v>549</v>
      </c>
      <c r="S10" s="349"/>
      <c r="T10" s="343" t="s">
        <v>550</v>
      </c>
      <c r="U10" s="343"/>
      <c r="V10" s="344"/>
      <c r="W10" s="346" t="s">
        <v>549</v>
      </c>
      <c r="X10" s="347" t="s">
        <v>549</v>
      </c>
      <c r="Y10" s="347" t="s">
        <v>549</v>
      </c>
      <c r="Z10" s="348" t="s">
        <v>549</v>
      </c>
      <c r="AA10" s="349"/>
      <c r="AB10" s="343" t="s">
        <v>550</v>
      </c>
      <c r="AC10" s="343"/>
      <c r="AD10" s="344"/>
      <c r="AE10" s="342"/>
      <c r="AF10" s="341" t="s">
        <v>117</v>
      </c>
    </row>
    <row r="11" spans="1:32">
      <c r="A11" s="307">
        <v>2</v>
      </c>
      <c r="B11" s="342"/>
      <c r="C11" s="342" t="s">
        <v>232</v>
      </c>
      <c r="D11" s="340" t="s">
        <v>563</v>
      </c>
      <c r="E11" s="342" t="s">
        <v>564</v>
      </c>
      <c r="F11" s="345" t="s">
        <v>199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565</v>
      </c>
      <c r="O11" s="346" t="s">
        <v>549</v>
      </c>
      <c r="P11" s="347" t="s">
        <v>549</v>
      </c>
      <c r="Q11" s="347" t="s">
        <v>549</v>
      </c>
      <c r="R11" s="348" t="s">
        <v>549</v>
      </c>
      <c r="S11" s="349"/>
      <c r="T11" s="343" t="s">
        <v>550</v>
      </c>
      <c r="U11" s="343"/>
      <c r="V11" s="344"/>
      <c r="W11" s="346" t="s">
        <v>549</v>
      </c>
      <c r="X11" s="347" t="s">
        <v>549</v>
      </c>
      <c r="Y11" s="347" t="s">
        <v>549</v>
      </c>
      <c r="Z11" s="348" t="s">
        <v>549</v>
      </c>
      <c r="AA11" s="349"/>
      <c r="AB11" s="343" t="s">
        <v>550</v>
      </c>
      <c r="AC11" s="343"/>
      <c r="AD11" s="344"/>
      <c r="AE11" s="342"/>
      <c r="AF11" s="341" t="s">
        <v>117</v>
      </c>
    </row>
    <row r="12" spans="1:32">
      <c r="A12" s="307">
        <v>2</v>
      </c>
      <c r="B12" s="342"/>
      <c r="C12" s="342" t="s">
        <v>232</v>
      </c>
      <c r="D12" s="340" t="s">
        <v>566</v>
      </c>
      <c r="E12" s="342" t="s">
        <v>567</v>
      </c>
      <c r="F12" s="345" t="s">
        <v>199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568</v>
      </c>
      <c r="O12" s="346" t="s">
        <v>549</v>
      </c>
      <c r="P12" s="347" t="s">
        <v>549</v>
      </c>
      <c r="Q12" s="347" t="s">
        <v>549</v>
      </c>
      <c r="R12" s="348" t="s">
        <v>549</v>
      </c>
      <c r="S12" s="349"/>
      <c r="T12" s="343" t="s">
        <v>550</v>
      </c>
      <c r="U12" s="343"/>
      <c r="V12" s="344"/>
      <c r="W12" s="346" t="s">
        <v>549</v>
      </c>
      <c r="X12" s="347" t="s">
        <v>549</v>
      </c>
      <c r="Y12" s="347" t="s">
        <v>549</v>
      </c>
      <c r="Z12" s="348" t="s">
        <v>549</v>
      </c>
      <c r="AA12" s="349"/>
      <c r="AB12" s="343" t="s">
        <v>550</v>
      </c>
      <c r="AC12" s="343"/>
      <c r="AD12" s="344"/>
      <c r="AE12" s="342"/>
      <c r="AF12" s="341" t="s">
        <v>117</v>
      </c>
    </row>
    <row r="13" spans="1:32">
      <c r="A13" s="307">
        <v>2</v>
      </c>
      <c r="B13" s="342"/>
      <c r="C13" s="342" t="s">
        <v>232</v>
      </c>
      <c r="D13" s="340" t="s">
        <v>569</v>
      </c>
      <c r="E13" s="342" t="s">
        <v>570</v>
      </c>
      <c r="F13" s="345" t="s">
        <v>199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571</v>
      </c>
      <c r="O13" s="346" t="s">
        <v>549</v>
      </c>
      <c r="P13" s="347" t="s">
        <v>549</v>
      </c>
      <c r="Q13" s="347" t="s">
        <v>549</v>
      </c>
      <c r="R13" s="348" t="s">
        <v>549</v>
      </c>
      <c r="S13" s="349"/>
      <c r="T13" s="343" t="s">
        <v>550</v>
      </c>
      <c r="U13" s="343"/>
      <c r="V13" s="344"/>
      <c r="W13" s="346" t="s">
        <v>549</v>
      </c>
      <c r="X13" s="347" t="s">
        <v>549</v>
      </c>
      <c r="Y13" s="347" t="s">
        <v>549</v>
      </c>
      <c r="Z13" s="348" t="s">
        <v>549</v>
      </c>
      <c r="AA13" s="349"/>
      <c r="AB13" s="343" t="s">
        <v>550</v>
      </c>
      <c r="AC13" s="343"/>
      <c r="AD13" s="344"/>
      <c r="AE13" s="342"/>
      <c r="AF13" s="341" t="s">
        <v>117</v>
      </c>
    </row>
    <row r="14" spans="1:32">
      <c r="A14" s="307">
        <v>2</v>
      </c>
      <c r="B14" s="342"/>
      <c r="C14" s="342" t="s">
        <v>232</v>
      </c>
      <c r="D14" s="340" t="s">
        <v>572</v>
      </c>
      <c r="E14" s="342" t="s">
        <v>573</v>
      </c>
      <c r="F14" s="345" t="s">
        <v>199</v>
      </c>
      <c r="G14" s="308">
        <v>1</v>
      </c>
      <c r="H14" s="309">
        <v>0</v>
      </c>
      <c r="I14" s="309">
        <v>0</v>
      </c>
      <c r="J14" s="211">
        <v>1</v>
      </c>
      <c r="K14" s="212" t="str">
        <f>IF(OR(J14="",G14=J14),"","*")</f>
        <v/>
      </c>
      <c r="L14" s="338">
        <f>IF($A14&lt;=L$1,I14/I$4,"")</f>
        <v>0</v>
      </c>
      <c r="M14" s="343"/>
      <c r="N14" s="344" t="s">
        <v>574</v>
      </c>
      <c r="O14" s="346" t="s">
        <v>549</v>
      </c>
      <c r="P14" s="347" t="s">
        <v>549</v>
      </c>
      <c r="Q14" s="347" t="s">
        <v>549</v>
      </c>
      <c r="R14" s="348" t="s">
        <v>549</v>
      </c>
      <c r="S14" s="349"/>
      <c r="T14" s="343" t="s">
        <v>550</v>
      </c>
      <c r="U14" s="343"/>
      <c r="V14" s="344"/>
      <c r="W14" s="346" t="s">
        <v>549</v>
      </c>
      <c r="X14" s="347" t="s">
        <v>549</v>
      </c>
      <c r="Y14" s="347" t="s">
        <v>549</v>
      </c>
      <c r="Z14" s="348" t="s">
        <v>549</v>
      </c>
      <c r="AA14" s="349"/>
      <c r="AB14" s="343" t="s">
        <v>550</v>
      </c>
      <c r="AC14" s="343"/>
      <c r="AD14" s="344"/>
      <c r="AE14" s="342"/>
      <c r="AF14" s="341" t="s">
        <v>117</v>
      </c>
    </row>
    <row r="15" spans="1:32">
      <c r="A15" s="217"/>
      <c r="B15" s="217"/>
      <c r="C15" s="312"/>
      <c r="D15" s="217"/>
      <c r="E15" s="217"/>
      <c r="F15" s="218"/>
      <c r="G15" s="217"/>
      <c r="H15" s="217"/>
      <c r="I15" s="217"/>
      <c r="J15" s="217"/>
      <c r="K15" s="218"/>
      <c r="L15" s="217"/>
      <c r="M15" s="217"/>
      <c r="N15" s="217"/>
      <c r="O15" s="217"/>
      <c r="P15" s="217"/>
      <c r="Q15" s="217"/>
      <c r="R15" s="217"/>
      <c r="S15" s="218"/>
      <c r="T15" s="217"/>
      <c r="U15" s="217"/>
      <c r="V15" s="217"/>
      <c r="W15" s="217"/>
      <c r="X15" s="217"/>
      <c r="Y15" s="217"/>
      <c r="Z15" s="217"/>
      <c r="AA15" s="218"/>
      <c r="AB15" s="217"/>
      <c r="AC15" s="217"/>
      <c r="AD15" s="217"/>
      <c r="AE15" s="217"/>
      <c r="AF15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14 AF4:AF14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14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536</v>
      </c>
      <c r="C3" s="561"/>
      <c r="D3" s="563" t="s">
        <v>199</v>
      </c>
      <c r="E3" s="565">
        <v>1</v>
      </c>
      <c r="F3" s="521">
        <v>2304000</v>
      </c>
      <c r="G3" s="557">
        <v>2304000</v>
      </c>
      <c r="H3" s="138" t="s">
        <v>575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201</v>
      </c>
      <c r="I4" s="69"/>
    </row>
    <row r="5" spans="1:9" ht="15.75" customHeight="1">
      <c r="A5" s="69"/>
      <c r="B5" s="559" t="s">
        <v>538</v>
      </c>
      <c r="C5" s="561" t="s">
        <v>576</v>
      </c>
      <c r="D5" s="563" t="s">
        <v>199</v>
      </c>
      <c r="E5" s="565">
        <v>1</v>
      </c>
      <c r="F5" s="521"/>
      <c r="G5" s="557"/>
      <c r="H5" s="138" t="s">
        <v>577</v>
      </c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 t="s">
        <v>201</v>
      </c>
      <c r="I6" s="69"/>
    </row>
    <row r="7" spans="1:9" ht="15.75" customHeight="1">
      <c r="A7" s="69"/>
      <c r="B7" s="559" t="s">
        <v>540</v>
      </c>
      <c r="C7" s="561"/>
      <c r="D7" s="563" t="s">
        <v>199</v>
      </c>
      <c r="E7" s="565">
        <v>1</v>
      </c>
      <c r="F7" s="521"/>
      <c r="G7" s="557"/>
      <c r="H7" s="138" t="s">
        <v>578</v>
      </c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 t="s">
        <v>201</v>
      </c>
      <c r="I8" s="69"/>
    </row>
    <row r="9" spans="1:9" ht="15.75" customHeight="1">
      <c r="A9" s="69"/>
      <c r="B9" s="559" t="s">
        <v>542</v>
      </c>
      <c r="C9" s="561" t="s">
        <v>579</v>
      </c>
      <c r="D9" s="563" t="s">
        <v>199</v>
      </c>
      <c r="E9" s="565">
        <v>1</v>
      </c>
      <c r="F9" s="521"/>
      <c r="G9" s="557"/>
      <c r="H9" s="138" t="s">
        <v>580</v>
      </c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 t="s">
        <v>201</v>
      </c>
      <c r="I10" s="69"/>
    </row>
    <row r="11" spans="1:9" ht="15.75" customHeight="1">
      <c r="A11" s="69"/>
      <c r="B11" s="559" t="s">
        <v>544</v>
      </c>
      <c r="C11" s="561" t="s">
        <v>581</v>
      </c>
      <c r="D11" s="563" t="s">
        <v>199</v>
      </c>
      <c r="E11" s="565">
        <v>1</v>
      </c>
      <c r="F11" s="521"/>
      <c r="G11" s="557"/>
      <c r="H11" s="138" t="s">
        <v>582</v>
      </c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 t="s">
        <v>201</v>
      </c>
      <c r="I12" s="69"/>
    </row>
    <row r="13" spans="1:9" ht="15.75" customHeight="1">
      <c r="A13" s="69"/>
      <c r="B13" s="559" t="s">
        <v>546</v>
      </c>
      <c r="C13" s="561" t="s">
        <v>583</v>
      </c>
      <c r="D13" s="563" t="s">
        <v>199</v>
      </c>
      <c r="E13" s="565">
        <v>1</v>
      </c>
      <c r="F13" s="521"/>
      <c r="G13" s="557"/>
      <c r="H13" s="138" t="s">
        <v>584</v>
      </c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 t="s">
        <v>201</v>
      </c>
      <c r="I14" s="69"/>
    </row>
    <row r="15" spans="1:9" ht="15.75" customHeight="1">
      <c r="A15" s="69"/>
      <c r="B15" s="559" t="s">
        <v>547</v>
      </c>
      <c r="C15" s="561" t="s">
        <v>585</v>
      </c>
      <c r="D15" s="563" t="s">
        <v>199</v>
      </c>
      <c r="E15" s="565">
        <v>1</v>
      </c>
      <c r="F15" s="521"/>
      <c r="G15" s="557"/>
      <c r="H15" s="138" t="s">
        <v>586</v>
      </c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 t="s">
        <v>201</v>
      </c>
      <c r="I16" s="69"/>
    </row>
    <row r="17" spans="1:9" ht="15.75" customHeight="1">
      <c r="A17" s="69"/>
      <c r="B17" s="559" t="s">
        <v>548</v>
      </c>
      <c r="C17" s="561" t="s">
        <v>587</v>
      </c>
      <c r="D17" s="563" t="s">
        <v>199</v>
      </c>
      <c r="E17" s="565">
        <v>1</v>
      </c>
      <c r="F17" s="521">
        <v>51760</v>
      </c>
      <c r="G17" s="557">
        <v>51760</v>
      </c>
      <c r="H17" s="138" t="s">
        <v>588</v>
      </c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 t="s">
        <v>201</v>
      </c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 t="s">
        <v>227</v>
      </c>
      <c r="C21" s="561"/>
      <c r="D21" s="563"/>
      <c r="E21" s="565"/>
      <c r="F21" s="521"/>
      <c r="G21" s="557">
        <v>2355760</v>
      </c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8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23-033★愛甲小学校グラウンド改修工事【受託事業】</v>
      </c>
      <c r="G1" s="306"/>
      <c r="H1" s="190" t="s">
        <v>131</v>
      </c>
      <c r="I1" s="333">
        <v>62441860</v>
      </c>
      <c r="J1" s="339">
        <f>I4/I$1</f>
        <v>0.92486034208462076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143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534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229</v>
      </c>
      <c r="D4" s="340" t="s">
        <v>188</v>
      </c>
      <c r="E4" s="342"/>
      <c r="F4" s="345" t="s">
        <v>199</v>
      </c>
      <c r="G4" s="308">
        <v>1</v>
      </c>
      <c r="H4" s="309">
        <v>57750000</v>
      </c>
      <c r="I4" s="309">
        <v>57750000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549</v>
      </c>
      <c r="P4" s="347" t="s">
        <v>549</v>
      </c>
      <c r="Q4" s="347" t="s">
        <v>549</v>
      </c>
      <c r="R4" s="348" t="s">
        <v>549</v>
      </c>
      <c r="S4" s="349"/>
      <c r="T4" s="343" t="s">
        <v>550</v>
      </c>
      <c r="U4" s="343"/>
      <c r="V4" s="344"/>
      <c r="W4" s="346" t="s">
        <v>549</v>
      </c>
      <c r="X4" s="347" t="s">
        <v>549</v>
      </c>
      <c r="Y4" s="347" t="s">
        <v>549</v>
      </c>
      <c r="Z4" s="348" t="s">
        <v>549</v>
      </c>
      <c r="AA4" s="349"/>
      <c r="AB4" s="343" t="s">
        <v>550</v>
      </c>
      <c r="AC4" s="343"/>
      <c r="AD4" s="344"/>
      <c r="AE4" s="342"/>
      <c r="AF4" s="341" t="s">
        <v>117</v>
      </c>
    </row>
    <row r="5" spans="1:32">
      <c r="A5" s="307">
        <v>1</v>
      </c>
      <c r="B5" s="342"/>
      <c r="C5" s="342" t="s">
        <v>230</v>
      </c>
      <c r="D5" s="340" t="s">
        <v>589</v>
      </c>
      <c r="E5" s="342"/>
      <c r="F5" s="345" t="s">
        <v>199</v>
      </c>
      <c r="G5" s="308">
        <v>1</v>
      </c>
      <c r="H5" s="309">
        <v>2355760</v>
      </c>
      <c r="I5" s="309">
        <v>2355760</v>
      </c>
      <c r="J5" s="211"/>
      <c r="K5" s="212" t="str">
        <f>IF(OR(J5="",G5=J5),"","*")</f>
        <v/>
      </c>
      <c r="L5" s="338">
        <f>IF($A5&lt;=L$1,I5/I$4,"")</f>
        <v>4.0792380952380955E-2</v>
      </c>
      <c r="M5" s="343"/>
      <c r="N5" s="344"/>
      <c r="O5" s="346" t="s">
        <v>549</v>
      </c>
      <c r="P5" s="347" t="s">
        <v>549</v>
      </c>
      <c r="Q5" s="347" t="s">
        <v>549</v>
      </c>
      <c r="R5" s="348" t="s">
        <v>549</v>
      </c>
      <c r="S5" s="349"/>
      <c r="T5" s="343" t="s">
        <v>550</v>
      </c>
      <c r="U5" s="343"/>
      <c r="V5" s="344"/>
      <c r="W5" s="346" t="s">
        <v>549</v>
      </c>
      <c r="X5" s="347" t="s">
        <v>549</v>
      </c>
      <c r="Y5" s="347" t="s">
        <v>549</v>
      </c>
      <c r="Z5" s="348" t="s">
        <v>549</v>
      </c>
      <c r="AA5" s="349"/>
      <c r="AB5" s="343" t="s">
        <v>550</v>
      </c>
      <c r="AC5" s="343"/>
      <c r="AD5" s="344"/>
      <c r="AE5" s="342"/>
      <c r="AF5" s="341" t="s">
        <v>117</v>
      </c>
    </row>
    <row r="6" spans="1:32">
      <c r="A6" s="307">
        <v>2</v>
      </c>
      <c r="B6" s="342"/>
      <c r="C6" s="342" t="s">
        <v>232</v>
      </c>
      <c r="D6" s="340" t="s">
        <v>590</v>
      </c>
      <c r="E6" s="342"/>
      <c r="F6" s="345" t="s">
        <v>199</v>
      </c>
      <c r="G6" s="308">
        <v>1</v>
      </c>
      <c r="H6" s="309">
        <v>2304000</v>
      </c>
      <c r="I6" s="309">
        <v>2304000</v>
      </c>
      <c r="J6" s="211">
        <v>1</v>
      </c>
      <c r="K6" s="212" t="str">
        <f>IF(OR(J6="",G6=J6),"","*")</f>
        <v/>
      </c>
      <c r="L6" s="338">
        <f>IF($A6&lt;=L$1,I6/I$4,"")</f>
        <v>3.9896103896103895E-2</v>
      </c>
      <c r="M6" s="343"/>
      <c r="N6" s="344" t="s">
        <v>591</v>
      </c>
      <c r="O6" s="346" t="s">
        <v>549</v>
      </c>
      <c r="P6" s="347" t="s">
        <v>549</v>
      </c>
      <c r="Q6" s="347" t="s">
        <v>549</v>
      </c>
      <c r="R6" s="348" t="s">
        <v>549</v>
      </c>
      <c r="S6" s="349"/>
      <c r="T6" s="343" t="s">
        <v>550</v>
      </c>
      <c r="U6" s="343"/>
      <c r="V6" s="344"/>
      <c r="W6" s="346" t="s">
        <v>549</v>
      </c>
      <c r="X6" s="347" t="s">
        <v>549</v>
      </c>
      <c r="Y6" s="347" t="s">
        <v>549</v>
      </c>
      <c r="Z6" s="348" t="s">
        <v>549</v>
      </c>
      <c r="AA6" s="349"/>
      <c r="AB6" s="343" t="s">
        <v>550</v>
      </c>
      <c r="AC6" s="343"/>
      <c r="AD6" s="344"/>
      <c r="AE6" s="342"/>
      <c r="AF6" s="341" t="s">
        <v>117</v>
      </c>
    </row>
    <row r="7" spans="1:32">
      <c r="A7" s="307">
        <v>3</v>
      </c>
      <c r="B7" s="342"/>
      <c r="C7" s="342" t="s">
        <v>186</v>
      </c>
      <c r="D7" s="340" t="s">
        <v>592</v>
      </c>
      <c r="E7" s="342"/>
      <c r="F7" s="345" t="s">
        <v>593</v>
      </c>
      <c r="G7" s="308">
        <v>64</v>
      </c>
      <c r="H7" s="309">
        <v>36000</v>
      </c>
      <c r="I7" s="309">
        <v>2304000</v>
      </c>
      <c r="J7" s="211"/>
      <c r="K7" s="212" t="str">
        <f>IF(OR(J7="",G7=J7),"","*")</f>
        <v/>
      </c>
      <c r="L7" s="338">
        <f>IF($A7&lt;=L$1,I7/I$4,"")</f>
        <v>3.9896103896103895E-2</v>
      </c>
      <c r="M7" s="343"/>
      <c r="N7" s="344"/>
      <c r="O7" s="346" t="s">
        <v>549</v>
      </c>
      <c r="P7" s="347" t="s">
        <v>549</v>
      </c>
      <c r="Q7" s="347" t="s">
        <v>549</v>
      </c>
      <c r="R7" s="348" t="s">
        <v>549</v>
      </c>
      <c r="S7" s="349"/>
      <c r="T7" s="343" t="s">
        <v>550</v>
      </c>
      <c r="U7" s="343"/>
      <c r="V7" s="344"/>
      <c r="W7" s="346" t="s">
        <v>549</v>
      </c>
      <c r="X7" s="347" t="s">
        <v>549</v>
      </c>
      <c r="Y7" s="347" t="s">
        <v>549</v>
      </c>
      <c r="Z7" s="348" t="s">
        <v>549</v>
      </c>
      <c r="AA7" s="349"/>
      <c r="AB7" s="343" t="s">
        <v>550</v>
      </c>
      <c r="AC7" s="343"/>
      <c r="AD7" s="344"/>
      <c r="AE7" s="342" t="s">
        <v>594</v>
      </c>
      <c r="AF7" s="341" t="s">
        <v>117</v>
      </c>
    </row>
    <row r="8" spans="1:32">
      <c r="A8" s="307">
        <v>2</v>
      </c>
      <c r="B8" s="342"/>
      <c r="C8" s="342" t="s">
        <v>232</v>
      </c>
      <c r="D8" s="340" t="s">
        <v>595</v>
      </c>
      <c r="E8" s="342" t="s">
        <v>576</v>
      </c>
      <c r="F8" s="345" t="s">
        <v>199</v>
      </c>
      <c r="G8" s="308">
        <v>1</v>
      </c>
      <c r="H8" s="309">
        <v>0</v>
      </c>
      <c r="I8" s="309">
        <v>0</v>
      </c>
      <c r="J8" s="211">
        <v>1</v>
      </c>
      <c r="K8" s="212" t="str">
        <f>IF(OR(J8="",G8=J8),"","*")</f>
        <v/>
      </c>
      <c r="L8" s="338">
        <f>IF($A8&lt;=L$1,I8/I$4,"")</f>
        <v>0</v>
      </c>
      <c r="M8" s="343"/>
      <c r="N8" s="344" t="s">
        <v>596</v>
      </c>
      <c r="O8" s="346" t="s">
        <v>549</v>
      </c>
      <c r="P8" s="347" t="s">
        <v>549</v>
      </c>
      <c r="Q8" s="347" t="s">
        <v>549</v>
      </c>
      <c r="R8" s="348" t="s">
        <v>549</v>
      </c>
      <c r="S8" s="349"/>
      <c r="T8" s="343" t="s">
        <v>550</v>
      </c>
      <c r="U8" s="343"/>
      <c r="V8" s="344"/>
      <c r="W8" s="346" t="s">
        <v>549</v>
      </c>
      <c r="X8" s="347" t="s">
        <v>549</v>
      </c>
      <c r="Y8" s="347" t="s">
        <v>549</v>
      </c>
      <c r="Z8" s="348" t="s">
        <v>549</v>
      </c>
      <c r="AA8" s="349"/>
      <c r="AB8" s="343" t="s">
        <v>550</v>
      </c>
      <c r="AC8" s="343"/>
      <c r="AD8" s="344"/>
      <c r="AE8" s="342"/>
      <c r="AF8" s="341" t="s">
        <v>117</v>
      </c>
    </row>
    <row r="9" spans="1:32">
      <c r="A9" s="307">
        <v>2</v>
      </c>
      <c r="B9" s="342"/>
      <c r="C9" s="342" t="s">
        <v>232</v>
      </c>
      <c r="D9" s="340" t="s">
        <v>597</v>
      </c>
      <c r="E9" s="342"/>
      <c r="F9" s="345" t="s">
        <v>199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598</v>
      </c>
      <c r="O9" s="346" t="s">
        <v>549</v>
      </c>
      <c r="P9" s="347" t="s">
        <v>549</v>
      </c>
      <c r="Q9" s="347" t="s">
        <v>549</v>
      </c>
      <c r="R9" s="348" t="s">
        <v>549</v>
      </c>
      <c r="S9" s="349"/>
      <c r="T9" s="343" t="s">
        <v>550</v>
      </c>
      <c r="U9" s="343"/>
      <c r="V9" s="344"/>
      <c r="W9" s="346" t="s">
        <v>549</v>
      </c>
      <c r="X9" s="347" t="s">
        <v>549</v>
      </c>
      <c r="Y9" s="347" t="s">
        <v>549</v>
      </c>
      <c r="Z9" s="348" t="s">
        <v>549</v>
      </c>
      <c r="AA9" s="349"/>
      <c r="AB9" s="343" t="s">
        <v>550</v>
      </c>
      <c r="AC9" s="343"/>
      <c r="AD9" s="344"/>
      <c r="AE9" s="342"/>
      <c r="AF9" s="341" t="s">
        <v>117</v>
      </c>
    </row>
    <row r="10" spans="1:32">
      <c r="A10" s="307">
        <v>2</v>
      </c>
      <c r="B10" s="342"/>
      <c r="C10" s="342" t="s">
        <v>232</v>
      </c>
      <c r="D10" s="340" t="s">
        <v>599</v>
      </c>
      <c r="E10" s="342" t="s">
        <v>579</v>
      </c>
      <c r="F10" s="345" t="s">
        <v>199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600</v>
      </c>
      <c r="O10" s="346" t="s">
        <v>549</v>
      </c>
      <c r="P10" s="347" t="s">
        <v>549</v>
      </c>
      <c r="Q10" s="347" t="s">
        <v>549</v>
      </c>
      <c r="R10" s="348" t="s">
        <v>549</v>
      </c>
      <c r="S10" s="349"/>
      <c r="T10" s="343" t="s">
        <v>550</v>
      </c>
      <c r="U10" s="343"/>
      <c r="V10" s="344"/>
      <c r="W10" s="346" t="s">
        <v>549</v>
      </c>
      <c r="X10" s="347" t="s">
        <v>549</v>
      </c>
      <c r="Y10" s="347" t="s">
        <v>549</v>
      </c>
      <c r="Z10" s="348" t="s">
        <v>549</v>
      </c>
      <c r="AA10" s="349"/>
      <c r="AB10" s="343" t="s">
        <v>550</v>
      </c>
      <c r="AC10" s="343"/>
      <c r="AD10" s="344"/>
      <c r="AE10" s="342"/>
      <c r="AF10" s="341" t="s">
        <v>117</v>
      </c>
    </row>
    <row r="11" spans="1:32">
      <c r="A11" s="307">
        <v>2</v>
      </c>
      <c r="B11" s="342"/>
      <c r="C11" s="342" t="s">
        <v>232</v>
      </c>
      <c r="D11" s="340" t="s">
        <v>601</v>
      </c>
      <c r="E11" s="342" t="s">
        <v>581</v>
      </c>
      <c r="F11" s="345" t="s">
        <v>199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602</v>
      </c>
      <c r="O11" s="346" t="s">
        <v>549</v>
      </c>
      <c r="P11" s="347" t="s">
        <v>549</v>
      </c>
      <c r="Q11" s="347" t="s">
        <v>549</v>
      </c>
      <c r="R11" s="348" t="s">
        <v>549</v>
      </c>
      <c r="S11" s="349"/>
      <c r="T11" s="343" t="s">
        <v>550</v>
      </c>
      <c r="U11" s="343"/>
      <c r="V11" s="344"/>
      <c r="W11" s="346" t="s">
        <v>549</v>
      </c>
      <c r="X11" s="347" t="s">
        <v>549</v>
      </c>
      <c r="Y11" s="347" t="s">
        <v>549</v>
      </c>
      <c r="Z11" s="348" t="s">
        <v>549</v>
      </c>
      <c r="AA11" s="349"/>
      <c r="AB11" s="343" t="s">
        <v>550</v>
      </c>
      <c r="AC11" s="343"/>
      <c r="AD11" s="344"/>
      <c r="AE11" s="342"/>
      <c r="AF11" s="341" t="s">
        <v>117</v>
      </c>
    </row>
    <row r="12" spans="1:32">
      <c r="A12" s="307">
        <v>2</v>
      </c>
      <c r="B12" s="342"/>
      <c r="C12" s="342" t="s">
        <v>232</v>
      </c>
      <c r="D12" s="340" t="s">
        <v>603</v>
      </c>
      <c r="E12" s="342" t="s">
        <v>583</v>
      </c>
      <c r="F12" s="345" t="s">
        <v>199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604</v>
      </c>
      <c r="O12" s="346" t="s">
        <v>549</v>
      </c>
      <c r="P12" s="347" t="s">
        <v>549</v>
      </c>
      <c r="Q12" s="347" t="s">
        <v>549</v>
      </c>
      <c r="R12" s="348" t="s">
        <v>549</v>
      </c>
      <c r="S12" s="349"/>
      <c r="T12" s="343" t="s">
        <v>550</v>
      </c>
      <c r="U12" s="343"/>
      <c r="V12" s="344"/>
      <c r="W12" s="346" t="s">
        <v>549</v>
      </c>
      <c r="X12" s="347" t="s">
        <v>549</v>
      </c>
      <c r="Y12" s="347" t="s">
        <v>549</v>
      </c>
      <c r="Z12" s="348" t="s">
        <v>549</v>
      </c>
      <c r="AA12" s="349"/>
      <c r="AB12" s="343" t="s">
        <v>550</v>
      </c>
      <c r="AC12" s="343"/>
      <c r="AD12" s="344"/>
      <c r="AE12" s="342"/>
      <c r="AF12" s="341" t="s">
        <v>117</v>
      </c>
    </row>
    <row r="13" spans="1:32">
      <c r="A13" s="307">
        <v>2</v>
      </c>
      <c r="B13" s="342"/>
      <c r="C13" s="342" t="s">
        <v>232</v>
      </c>
      <c r="D13" s="340" t="s">
        <v>605</v>
      </c>
      <c r="E13" s="342" t="s">
        <v>585</v>
      </c>
      <c r="F13" s="345" t="s">
        <v>199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606</v>
      </c>
      <c r="O13" s="346" t="s">
        <v>549</v>
      </c>
      <c r="P13" s="347" t="s">
        <v>549</v>
      </c>
      <c r="Q13" s="347" t="s">
        <v>549</v>
      </c>
      <c r="R13" s="348" t="s">
        <v>549</v>
      </c>
      <c r="S13" s="349"/>
      <c r="T13" s="343" t="s">
        <v>550</v>
      </c>
      <c r="U13" s="343"/>
      <c r="V13" s="344"/>
      <c r="W13" s="346" t="s">
        <v>549</v>
      </c>
      <c r="X13" s="347" t="s">
        <v>549</v>
      </c>
      <c r="Y13" s="347" t="s">
        <v>549</v>
      </c>
      <c r="Z13" s="348" t="s">
        <v>549</v>
      </c>
      <c r="AA13" s="349"/>
      <c r="AB13" s="343" t="s">
        <v>550</v>
      </c>
      <c r="AC13" s="343"/>
      <c r="AD13" s="344"/>
      <c r="AE13" s="342"/>
      <c r="AF13" s="341" t="s">
        <v>117</v>
      </c>
    </row>
    <row r="14" spans="1:32">
      <c r="A14" s="307">
        <v>2</v>
      </c>
      <c r="B14" s="342"/>
      <c r="C14" s="342" t="s">
        <v>232</v>
      </c>
      <c r="D14" s="340" t="s">
        <v>607</v>
      </c>
      <c r="E14" s="342" t="s">
        <v>587</v>
      </c>
      <c r="F14" s="345" t="s">
        <v>199</v>
      </c>
      <c r="G14" s="308">
        <v>1</v>
      </c>
      <c r="H14" s="309">
        <v>51760</v>
      </c>
      <c r="I14" s="309">
        <v>51760</v>
      </c>
      <c r="J14" s="211">
        <v>1</v>
      </c>
      <c r="K14" s="212" t="str">
        <f>IF(OR(J14="",G14=J14),"","*")</f>
        <v/>
      </c>
      <c r="L14" s="338">
        <f>IF($A14&lt;=L$1,I14/I$4,"")</f>
        <v>8.9627705627705627E-4</v>
      </c>
      <c r="M14" s="343"/>
      <c r="N14" s="344" t="s">
        <v>608</v>
      </c>
      <c r="O14" s="346" t="s">
        <v>549</v>
      </c>
      <c r="P14" s="347" t="s">
        <v>549</v>
      </c>
      <c r="Q14" s="347" t="s">
        <v>549</v>
      </c>
      <c r="R14" s="348" t="s">
        <v>549</v>
      </c>
      <c r="S14" s="349"/>
      <c r="T14" s="343" t="s">
        <v>550</v>
      </c>
      <c r="U14" s="343"/>
      <c r="V14" s="344"/>
      <c r="W14" s="346" t="s">
        <v>549</v>
      </c>
      <c r="X14" s="347" t="s">
        <v>549</v>
      </c>
      <c r="Y14" s="347" t="s">
        <v>549</v>
      </c>
      <c r="Z14" s="348" t="s">
        <v>549</v>
      </c>
      <c r="AA14" s="349"/>
      <c r="AB14" s="343" t="s">
        <v>550</v>
      </c>
      <c r="AC14" s="343"/>
      <c r="AD14" s="344"/>
      <c r="AE14" s="342"/>
      <c r="AF14" s="341" t="s">
        <v>117</v>
      </c>
    </row>
    <row r="15" spans="1:32">
      <c r="A15" s="307">
        <v>3</v>
      </c>
      <c r="B15" s="342"/>
      <c r="C15" s="342" t="s">
        <v>180</v>
      </c>
      <c r="D15" s="340" t="s">
        <v>609</v>
      </c>
      <c r="E15" s="342"/>
      <c r="F15" s="345" t="s">
        <v>199</v>
      </c>
      <c r="G15" s="308">
        <v>1</v>
      </c>
      <c r="H15" s="309">
        <v>18540</v>
      </c>
      <c r="I15" s="309">
        <v>18540</v>
      </c>
      <c r="J15" s="211"/>
      <c r="K15" s="212" t="str">
        <f>IF(OR(J15="",G15=J15),"","*")</f>
        <v/>
      </c>
      <c r="L15" s="338">
        <f>IF($A15&lt;=L$1,I15/I$4,"")</f>
        <v>3.2103896103896103E-4</v>
      </c>
      <c r="M15" s="343"/>
      <c r="N15" s="344"/>
      <c r="O15" s="346" t="s">
        <v>549</v>
      </c>
      <c r="P15" s="347" t="s">
        <v>549</v>
      </c>
      <c r="Q15" s="347" t="s">
        <v>549</v>
      </c>
      <c r="R15" s="348" t="s">
        <v>549</v>
      </c>
      <c r="S15" s="349"/>
      <c r="T15" s="343" t="s">
        <v>550</v>
      </c>
      <c r="U15" s="343"/>
      <c r="V15" s="344"/>
      <c r="W15" s="346" t="s">
        <v>549</v>
      </c>
      <c r="X15" s="347" t="s">
        <v>549</v>
      </c>
      <c r="Y15" s="347" t="s">
        <v>549</v>
      </c>
      <c r="Z15" s="348" t="s">
        <v>549</v>
      </c>
      <c r="AA15" s="349"/>
      <c r="AB15" s="343" t="s">
        <v>550</v>
      </c>
      <c r="AC15" s="343"/>
      <c r="AD15" s="344"/>
      <c r="AE15" s="342"/>
      <c r="AF15" s="341" t="s">
        <v>117</v>
      </c>
    </row>
    <row r="16" spans="1:32">
      <c r="A16" s="307">
        <v>3</v>
      </c>
      <c r="B16" s="342"/>
      <c r="C16" s="342" t="s">
        <v>180</v>
      </c>
      <c r="D16" s="340" t="s">
        <v>610</v>
      </c>
      <c r="E16" s="342" t="s">
        <v>611</v>
      </c>
      <c r="F16" s="345" t="s">
        <v>199</v>
      </c>
      <c r="G16" s="308">
        <v>1</v>
      </c>
      <c r="H16" s="309">
        <v>21520</v>
      </c>
      <c r="I16" s="309">
        <v>21520</v>
      </c>
      <c r="J16" s="211"/>
      <c r="K16" s="212" t="str">
        <f>IF(OR(J16="",G16=J16),"","*")</f>
        <v/>
      </c>
      <c r="L16" s="338">
        <f>IF($A16&lt;=L$1,I16/I$4,"")</f>
        <v>3.7264069264069261E-4</v>
      </c>
      <c r="M16" s="343"/>
      <c r="N16" s="344"/>
      <c r="O16" s="346" t="s">
        <v>549</v>
      </c>
      <c r="P16" s="347" t="s">
        <v>549</v>
      </c>
      <c r="Q16" s="347" t="s">
        <v>549</v>
      </c>
      <c r="R16" s="348" t="s">
        <v>549</v>
      </c>
      <c r="S16" s="349"/>
      <c r="T16" s="343" t="s">
        <v>550</v>
      </c>
      <c r="U16" s="343"/>
      <c r="V16" s="344"/>
      <c r="W16" s="346" t="s">
        <v>549</v>
      </c>
      <c r="X16" s="347" t="s">
        <v>549</v>
      </c>
      <c r="Y16" s="347" t="s">
        <v>549</v>
      </c>
      <c r="Z16" s="348" t="s">
        <v>549</v>
      </c>
      <c r="AA16" s="349"/>
      <c r="AB16" s="343" t="s">
        <v>550</v>
      </c>
      <c r="AC16" s="343"/>
      <c r="AD16" s="344"/>
      <c r="AE16" s="342"/>
      <c r="AF16" s="341" t="s">
        <v>117</v>
      </c>
    </row>
    <row r="17" spans="1:32">
      <c r="A17" s="307">
        <v>3</v>
      </c>
      <c r="B17" s="342"/>
      <c r="C17" s="342" t="s">
        <v>183</v>
      </c>
      <c r="D17" s="340" t="s">
        <v>612</v>
      </c>
      <c r="E17" s="342"/>
      <c r="F17" s="345" t="s">
        <v>613</v>
      </c>
      <c r="G17" s="308">
        <v>3</v>
      </c>
      <c r="H17" s="309">
        <v>3900</v>
      </c>
      <c r="I17" s="309">
        <v>11700</v>
      </c>
      <c r="J17" s="211"/>
      <c r="K17" s="212" t="str">
        <f>IF(OR(J17="",G17=J17),"","*")</f>
        <v/>
      </c>
      <c r="L17" s="338">
        <f>IF($A17&lt;=L$1,I17/I$4,"")</f>
        <v>2.025974025974026E-4</v>
      </c>
      <c r="M17" s="343"/>
      <c r="N17" s="344"/>
      <c r="O17" s="346" t="s">
        <v>549</v>
      </c>
      <c r="P17" s="347" t="s">
        <v>549</v>
      </c>
      <c r="Q17" s="347" t="s">
        <v>549</v>
      </c>
      <c r="R17" s="348" t="s">
        <v>549</v>
      </c>
      <c r="S17" s="349"/>
      <c r="T17" s="343" t="s">
        <v>550</v>
      </c>
      <c r="U17" s="343"/>
      <c r="V17" s="344"/>
      <c r="W17" s="346" t="s">
        <v>549</v>
      </c>
      <c r="X17" s="347" t="s">
        <v>549</v>
      </c>
      <c r="Y17" s="347" t="s">
        <v>549</v>
      </c>
      <c r="Z17" s="348" t="s">
        <v>549</v>
      </c>
      <c r="AA17" s="349"/>
      <c r="AB17" s="343" t="s">
        <v>550</v>
      </c>
      <c r="AC17" s="343"/>
      <c r="AD17" s="344"/>
      <c r="AE17" s="342"/>
      <c r="AF17" s="341" t="s">
        <v>117</v>
      </c>
    </row>
    <row r="18" spans="1:32">
      <c r="A18" s="217"/>
      <c r="B18" s="217"/>
      <c r="C18" s="312"/>
      <c r="D18" s="217"/>
      <c r="E18" s="217"/>
      <c r="F18" s="218"/>
      <c r="G18" s="217"/>
      <c r="H18" s="217"/>
      <c r="I18" s="217"/>
      <c r="J18" s="217"/>
      <c r="K18" s="218"/>
      <c r="L18" s="217"/>
      <c r="M18" s="217"/>
      <c r="N18" s="217"/>
      <c r="O18" s="217"/>
      <c r="P18" s="217"/>
      <c r="Q18" s="217"/>
      <c r="R18" s="217"/>
      <c r="S18" s="218"/>
      <c r="T18" s="217"/>
      <c r="U18" s="217"/>
      <c r="V18" s="217"/>
      <c r="W18" s="217"/>
      <c r="X18" s="217"/>
      <c r="Y18" s="217"/>
      <c r="Z18" s="217"/>
      <c r="AA18" s="218"/>
      <c r="AB18" s="217"/>
      <c r="AC18" s="217"/>
      <c r="AD18" s="217"/>
      <c r="AE18" s="217"/>
      <c r="AF18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17 AF4:AF17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17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49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614</v>
      </c>
      <c r="C3" s="146" t="s">
        <v>615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616</v>
      </c>
      <c r="K4" s="69"/>
    </row>
    <row r="5" spans="1:11" ht="18" customHeight="1">
      <c r="A5" s="69"/>
      <c r="B5" s="574" t="s">
        <v>617</v>
      </c>
      <c r="C5" s="575"/>
      <c r="D5" s="153" t="s">
        <v>85</v>
      </c>
      <c r="E5" s="153" t="s">
        <v>618</v>
      </c>
      <c r="F5" s="153" t="s">
        <v>619</v>
      </c>
      <c r="G5" s="153" t="s">
        <v>620</v>
      </c>
      <c r="H5" s="154" t="s">
        <v>621</v>
      </c>
      <c r="I5" s="153" t="s">
        <v>622</v>
      </c>
      <c r="J5" s="155" t="s">
        <v>623</v>
      </c>
      <c r="K5" s="69"/>
    </row>
    <row r="6" spans="1:11" ht="10.5" customHeight="1">
      <c r="A6" s="69"/>
      <c r="B6" s="156" t="s">
        <v>624</v>
      </c>
      <c r="C6" s="157"/>
      <c r="D6" s="576" t="s">
        <v>625</v>
      </c>
      <c r="E6" s="578">
        <v>1162</v>
      </c>
      <c r="F6" s="580">
        <v>100</v>
      </c>
      <c r="G6" s="582">
        <v>116200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626</v>
      </c>
      <c r="J7" s="161"/>
      <c r="K7" s="69" t="s">
        <v>96</v>
      </c>
    </row>
    <row r="8" spans="1:11" ht="10.5" customHeight="1">
      <c r="A8" s="69"/>
      <c r="B8" s="156" t="s">
        <v>627</v>
      </c>
      <c r="C8" s="157"/>
      <c r="D8" s="576" t="s">
        <v>628</v>
      </c>
      <c r="E8" s="578">
        <v>3300</v>
      </c>
      <c r="F8" s="580">
        <v>150</v>
      </c>
      <c r="G8" s="582">
        <v>495000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626</v>
      </c>
      <c r="J9" s="162"/>
      <c r="K9" s="69" t="s">
        <v>96</v>
      </c>
    </row>
    <row r="10" spans="1:11" ht="10.5" customHeight="1">
      <c r="A10" s="69"/>
      <c r="B10" s="156" t="s">
        <v>629</v>
      </c>
      <c r="C10" s="157"/>
      <c r="D10" s="576" t="s">
        <v>630</v>
      </c>
      <c r="E10" s="578">
        <v>1</v>
      </c>
      <c r="F10" s="580">
        <v>5000</v>
      </c>
      <c r="G10" s="582">
        <v>5000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626</v>
      </c>
      <c r="J11" s="161"/>
      <c r="K11" s="69" t="s">
        <v>96</v>
      </c>
    </row>
    <row r="12" spans="1:11" ht="10.5" customHeight="1">
      <c r="A12" s="69"/>
      <c r="B12" s="156" t="s">
        <v>629</v>
      </c>
      <c r="C12" s="157"/>
      <c r="D12" s="576" t="s">
        <v>630</v>
      </c>
      <c r="E12" s="584">
        <v>1</v>
      </c>
      <c r="F12" s="580">
        <v>4400</v>
      </c>
      <c r="G12" s="582">
        <v>4400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626</v>
      </c>
      <c r="J13" s="161"/>
      <c r="K13" s="69" t="s">
        <v>96</v>
      </c>
    </row>
    <row r="14" spans="1:11" ht="10.5" customHeight="1">
      <c r="A14" s="69"/>
      <c r="B14" s="156" t="s">
        <v>629</v>
      </c>
      <c r="C14" s="157"/>
      <c r="D14" s="576" t="s">
        <v>630</v>
      </c>
      <c r="E14" s="584">
        <v>1</v>
      </c>
      <c r="F14" s="580">
        <v>3700</v>
      </c>
      <c r="G14" s="582">
        <v>3700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626</v>
      </c>
      <c r="J15" s="161"/>
      <c r="K15" s="69" t="s">
        <v>96</v>
      </c>
    </row>
    <row r="16" spans="1:11" ht="10.5" customHeight="1">
      <c r="A16" s="69"/>
      <c r="B16" s="156" t="s">
        <v>629</v>
      </c>
      <c r="C16" s="157"/>
      <c r="D16" s="576" t="s">
        <v>630</v>
      </c>
      <c r="E16" s="584">
        <v>1</v>
      </c>
      <c r="F16" s="580">
        <v>1140</v>
      </c>
      <c r="G16" s="582">
        <v>1140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626</v>
      </c>
      <c r="J17" s="161"/>
      <c r="K17" s="69" t="s">
        <v>96</v>
      </c>
    </row>
    <row r="18" spans="1:11" ht="10.5" customHeight="1">
      <c r="A18" s="69"/>
      <c r="B18" s="156" t="s">
        <v>629</v>
      </c>
      <c r="C18" s="157"/>
      <c r="D18" s="576" t="s">
        <v>630</v>
      </c>
      <c r="E18" s="584">
        <v>1</v>
      </c>
      <c r="F18" s="580">
        <v>21520</v>
      </c>
      <c r="G18" s="582">
        <v>21520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631</v>
      </c>
      <c r="C19" s="160"/>
      <c r="D19" s="577"/>
      <c r="E19" s="585"/>
      <c r="F19" s="581"/>
      <c r="G19" s="583"/>
      <c r="H19" s="356"/>
      <c r="I19" s="356" t="s">
        <v>626</v>
      </c>
      <c r="J19" s="161"/>
      <c r="K19" s="69" t="s">
        <v>96</v>
      </c>
    </row>
    <row r="20" spans="1:11" ht="10.5" customHeight="1">
      <c r="A20" s="69"/>
      <c r="B20" s="156" t="s">
        <v>632</v>
      </c>
      <c r="C20" s="157"/>
      <c r="D20" s="576" t="s">
        <v>630</v>
      </c>
      <c r="E20" s="584">
        <v>1</v>
      </c>
      <c r="F20" s="580">
        <v>18540</v>
      </c>
      <c r="G20" s="582">
        <v>18540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626</v>
      </c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 t="s">
        <v>633</v>
      </c>
      <c r="C24" s="157"/>
      <c r="D24" s="576"/>
      <c r="E24" s="578"/>
      <c r="F24" s="580"/>
      <c r="G24" s="582">
        <v>665500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614</v>
      </c>
      <c r="C3" s="146" t="s">
        <v>615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616</v>
      </c>
      <c r="K4" s="69"/>
    </row>
    <row r="5" spans="1:11" ht="18" customHeight="1">
      <c r="A5" s="69"/>
      <c r="B5" s="574" t="s">
        <v>617</v>
      </c>
      <c r="C5" s="575"/>
      <c r="D5" s="153" t="s">
        <v>85</v>
      </c>
      <c r="E5" s="153" t="s">
        <v>618</v>
      </c>
      <c r="F5" s="153" t="s">
        <v>619</v>
      </c>
      <c r="G5" s="153" t="s">
        <v>620</v>
      </c>
      <c r="H5" s="154" t="s">
        <v>621</v>
      </c>
      <c r="I5" s="153" t="s">
        <v>622</v>
      </c>
      <c r="J5" s="155" t="s">
        <v>623</v>
      </c>
      <c r="K5" s="69"/>
    </row>
    <row r="6" spans="1:11" ht="10.5" customHeight="1">
      <c r="A6" s="69"/>
      <c r="B6" s="156" t="s">
        <v>634</v>
      </c>
      <c r="C6" s="157"/>
      <c r="D6" s="576" t="s">
        <v>635</v>
      </c>
      <c r="E6" s="578">
        <v>96</v>
      </c>
      <c r="F6" s="580">
        <v>21000</v>
      </c>
      <c r="G6" s="582">
        <v>2016000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636</v>
      </c>
      <c r="J7" s="161"/>
      <c r="K7" s="69" t="s">
        <v>96</v>
      </c>
    </row>
    <row r="8" spans="1:11" ht="10.5" customHeight="1">
      <c r="A8" s="69"/>
      <c r="B8" s="156"/>
      <c r="C8" s="157"/>
      <c r="D8" s="576"/>
      <c r="E8" s="578"/>
      <c r="F8" s="580"/>
      <c r="G8" s="582"/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/>
      <c r="J9" s="162"/>
      <c r="K9" s="69" t="s">
        <v>96</v>
      </c>
    </row>
    <row r="10" spans="1:11" ht="10.5" customHeight="1">
      <c r="A10" s="69"/>
      <c r="B10" s="156" t="s">
        <v>633</v>
      </c>
      <c r="C10" s="157"/>
      <c r="D10" s="576"/>
      <c r="E10" s="578"/>
      <c r="F10" s="580"/>
      <c r="G10" s="582">
        <v>2016000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/>
      <c r="C12" s="157"/>
      <c r="D12" s="576"/>
      <c r="E12" s="584"/>
      <c r="F12" s="580"/>
      <c r="G12" s="582"/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196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614</v>
      </c>
      <c r="C3" s="146" t="s">
        <v>615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616</v>
      </c>
      <c r="K4" s="69"/>
    </row>
    <row r="5" spans="1:11" ht="18" customHeight="1">
      <c r="A5" s="69"/>
      <c r="B5" s="574" t="s">
        <v>617</v>
      </c>
      <c r="C5" s="575"/>
      <c r="D5" s="153" t="s">
        <v>85</v>
      </c>
      <c r="E5" s="153" t="s">
        <v>618</v>
      </c>
      <c r="F5" s="153" t="s">
        <v>619</v>
      </c>
      <c r="G5" s="153" t="s">
        <v>620</v>
      </c>
      <c r="H5" s="154" t="s">
        <v>621</v>
      </c>
      <c r="I5" s="153" t="s">
        <v>622</v>
      </c>
      <c r="J5" s="155" t="s">
        <v>623</v>
      </c>
      <c r="K5" s="69"/>
    </row>
    <row r="6" spans="1:11" ht="10.5" customHeight="1">
      <c r="A6" s="69"/>
      <c r="B6" s="156" t="s">
        <v>637</v>
      </c>
      <c r="C6" s="157"/>
      <c r="D6" s="576" t="s">
        <v>630</v>
      </c>
      <c r="E6" s="578">
        <v>1</v>
      </c>
      <c r="F6" s="580">
        <v>129467</v>
      </c>
      <c r="G6" s="582">
        <v>129467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638</v>
      </c>
      <c r="C7" s="160"/>
      <c r="D7" s="577"/>
      <c r="E7" s="579"/>
      <c r="F7" s="581"/>
      <c r="G7" s="583"/>
      <c r="H7" s="356"/>
      <c r="I7" s="356" t="s">
        <v>639</v>
      </c>
      <c r="J7" s="161"/>
      <c r="K7" s="69" t="s">
        <v>96</v>
      </c>
    </row>
    <row r="8" spans="1:11" ht="10.5" customHeight="1">
      <c r="A8" s="69"/>
      <c r="B8" s="156" t="s">
        <v>640</v>
      </c>
      <c r="C8" s="157"/>
      <c r="D8" s="576" t="s">
        <v>630</v>
      </c>
      <c r="E8" s="578">
        <v>1</v>
      </c>
      <c r="F8" s="580">
        <v>550000</v>
      </c>
      <c r="G8" s="582">
        <v>550000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641</v>
      </c>
      <c r="C9" s="160"/>
      <c r="D9" s="577"/>
      <c r="E9" s="579"/>
      <c r="F9" s="581"/>
      <c r="G9" s="583"/>
      <c r="H9" s="356"/>
      <c r="I9" s="356" t="s">
        <v>639</v>
      </c>
      <c r="J9" s="162"/>
      <c r="K9" s="69" t="s">
        <v>96</v>
      </c>
    </row>
    <row r="10" spans="1:11" ht="10.5" customHeight="1">
      <c r="A10" s="69"/>
      <c r="B10" s="156" t="s">
        <v>642</v>
      </c>
      <c r="C10" s="157"/>
      <c r="D10" s="576" t="s">
        <v>643</v>
      </c>
      <c r="E10" s="578">
        <v>1</v>
      </c>
      <c r="F10" s="580">
        <v>400000</v>
      </c>
      <c r="G10" s="582">
        <v>400000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641</v>
      </c>
      <c r="C11" s="160"/>
      <c r="D11" s="577"/>
      <c r="E11" s="579"/>
      <c r="F11" s="581"/>
      <c r="G11" s="583"/>
      <c r="H11" s="356"/>
      <c r="I11" s="356" t="s">
        <v>639</v>
      </c>
      <c r="J11" s="161"/>
      <c r="K11" s="69" t="s">
        <v>96</v>
      </c>
    </row>
    <row r="12" spans="1:11" ht="10.5" customHeight="1">
      <c r="A12" s="69"/>
      <c r="B12" s="156" t="s">
        <v>644</v>
      </c>
      <c r="C12" s="157"/>
      <c r="D12" s="576" t="s">
        <v>643</v>
      </c>
      <c r="E12" s="584">
        <v>2</v>
      </c>
      <c r="F12" s="580">
        <v>65000</v>
      </c>
      <c r="G12" s="582">
        <v>130000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638</v>
      </c>
      <c r="C13" s="160"/>
      <c r="D13" s="577"/>
      <c r="E13" s="585"/>
      <c r="F13" s="581"/>
      <c r="G13" s="583"/>
      <c r="H13" s="356"/>
      <c r="I13" s="356" t="s">
        <v>639</v>
      </c>
      <c r="J13" s="161"/>
      <c r="K13" s="69" t="s">
        <v>96</v>
      </c>
    </row>
    <row r="14" spans="1:11" ht="10.5" customHeight="1">
      <c r="A14" s="69"/>
      <c r="B14" s="156" t="s">
        <v>645</v>
      </c>
      <c r="C14" s="157"/>
      <c r="D14" s="576" t="s">
        <v>643</v>
      </c>
      <c r="E14" s="584">
        <v>1</v>
      </c>
      <c r="F14" s="580">
        <v>24000</v>
      </c>
      <c r="G14" s="582">
        <v>24000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638</v>
      </c>
      <c r="C15" s="160"/>
      <c r="D15" s="577"/>
      <c r="E15" s="585"/>
      <c r="F15" s="581"/>
      <c r="G15" s="583"/>
      <c r="H15" s="356"/>
      <c r="I15" s="356" t="s">
        <v>639</v>
      </c>
      <c r="J15" s="161"/>
      <c r="K15" s="69" t="s">
        <v>96</v>
      </c>
    </row>
    <row r="16" spans="1:11" ht="10.5" customHeight="1">
      <c r="A16" s="69"/>
      <c r="B16" s="156" t="s">
        <v>646</v>
      </c>
      <c r="C16" s="157"/>
      <c r="D16" s="576" t="s">
        <v>643</v>
      </c>
      <c r="E16" s="584">
        <v>6</v>
      </c>
      <c r="F16" s="580">
        <v>25000</v>
      </c>
      <c r="G16" s="582">
        <v>150000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641</v>
      </c>
      <c r="C17" s="160"/>
      <c r="D17" s="577"/>
      <c r="E17" s="585"/>
      <c r="F17" s="581"/>
      <c r="G17" s="583"/>
      <c r="H17" s="356"/>
      <c r="I17" s="356" t="s">
        <v>639</v>
      </c>
      <c r="J17" s="161"/>
      <c r="K17" s="69" t="s">
        <v>96</v>
      </c>
    </row>
    <row r="18" spans="1:11" ht="10.5" customHeight="1">
      <c r="A18" s="69"/>
      <c r="B18" s="156" t="s">
        <v>647</v>
      </c>
      <c r="C18" s="157"/>
      <c r="D18" s="576" t="s">
        <v>643</v>
      </c>
      <c r="E18" s="584">
        <v>2</v>
      </c>
      <c r="F18" s="580">
        <v>60000</v>
      </c>
      <c r="G18" s="582">
        <v>120000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641</v>
      </c>
      <c r="C19" s="160"/>
      <c r="D19" s="577"/>
      <c r="E19" s="585"/>
      <c r="F19" s="581"/>
      <c r="G19" s="583"/>
      <c r="H19" s="356"/>
      <c r="I19" s="356" t="s">
        <v>639</v>
      </c>
      <c r="J19" s="161"/>
      <c r="K19" s="69" t="s">
        <v>96</v>
      </c>
    </row>
    <row r="20" spans="1:11" ht="10.5" customHeight="1">
      <c r="A20" s="69"/>
      <c r="B20" s="156" t="s">
        <v>648</v>
      </c>
      <c r="C20" s="157"/>
      <c r="D20" s="576" t="s">
        <v>643</v>
      </c>
      <c r="E20" s="584">
        <v>1</v>
      </c>
      <c r="F20" s="580">
        <v>48000</v>
      </c>
      <c r="G20" s="582">
        <v>48000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638</v>
      </c>
      <c r="C21" s="160"/>
      <c r="D21" s="577"/>
      <c r="E21" s="585"/>
      <c r="F21" s="581"/>
      <c r="G21" s="583"/>
      <c r="H21" s="356"/>
      <c r="I21" s="356" t="s">
        <v>639</v>
      </c>
      <c r="J21" s="161"/>
      <c r="K21" s="69" t="s">
        <v>96</v>
      </c>
    </row>
    <row r="22" spans="1:11" ht="10.5" customHeight="1">
      <c r="A22" s="69"/>
      <c r="B22" s="156" t="s">
        <v>649</v>
      </c>
      <c r="C22" s="157"/>
      <c r="D22" s="576" t="s">
        <v>643</v>
      </c>
      <c r="E22" s="584">
        <v>1</v>
      </c>
      <c r="F22" s="580">
        <v>1268240</v>
      </c>
      <c r="G22" s="582">
        <v>1268240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641</v>
      </c>
      <c r="C23" s="160"/>
      <c r="D23" s="577"/>
      <c r="E23" s="585"/>
      <c r="F23" s="581"/>
      <c r="G23" s="583"/>
      <c r="H23" s="356"/>
      <c r="I23" s="356" t="s">
        <v>639</v>
      </c>
      <c r="J23" s="161"/>
      <c r="K23" s="69" t="s">
        <v>96</v>
      </c>
    </row>
    <row r="24" spans="1:11" ht="10.5" customHeight="1">
      <c r="A24" s="69"/>
      <c r="B24" s="156" t="s">
        <v>650</v>
      </c>
      <c r="C24" s="157"/>
      <c r="D24" s="576" t="s">
        <v>643</v>
      </c>
      <c r="E24" s="578">
        <v>116</v>
      </c>
      <c r="F24" s="580">
        <v>700</v>
      </c>
      <c r="G24" s="582">
        <v>81200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641</v>
      </c>
      <c r="C25" s="160"/>
      <c r="D25" s="577"/>
      <c r="E25" s="579"/>
      <c r="F25" s="581"/>
      <c r="G25" s="583"/>
      <c r="H25" s="356"/>
      <c r="I25" s="356" t="s">
        <v>639</v>
      </c>
      <c r="J25" s="161"/>
      <c r="K25" s="69" t="s">
        <v>96</v>
      </c>
    </row>
    <row r="26" spans="1:11" ht="10.5" customHeight="1">
      <c r="A26" s="69"/>
      <c r="B26" s="156" t="s">
        <v>651</v>
      </c>
      <c r="C26" s="157"/>
      <c r="D26" s="576" t="s">
        <v>652</v>
      </c>
      <c r="E26" s="584">
        <v>30</v>
      </c>
      <c r="F26" s="580">
        <v>26000</v>
      </c>
      <c r="G26" s="582">
        <v>780000</v>
      </c>
      <c r="H26" s="355"/>
      <c r="I26" s="355"/>
      <c r="J26" s="158"/>
      <c r="K26" s="69" t="s">
        <v>96</v>
      </c>
    </row>
    <row r="27" spans="1:11" ht="10.5" customHeight="1">
      <c r="A27" s="69"/>
      <c r="B27" s="159" t="s">
        <v>638</v>
      </c>
      <c r="C27" s="160"/>
      <c r="D27" s="577"/>
      <c r="E27" s="585"/>
      <c r="F27" s="581"/>
      <c r="G27" s="583"/>
      <c r="H27" s="356"/>
      <c r="I27" s="356" t="s">
        <v>639</v>
      </c>
      <c r="J27" s="161"/>
      <c r="K27" s="69" t="s">
        <v>96</v>
      </c>
    </row>
    <row r="28" spans="1:11" ht="10.5" customHeight="1">
      <c r="A28" s="69"/>
      <c r="B28" s="156" t="s">
        <v>653</v>
      </c>
      <c r="C28" s="157"/>
      <c r="D28" s="576" t="s">
        <v>654</v>
      </c>
      <c r="E28" s="584"/>
      <c r="F28" s="580">
        <v>35000</v>
      </c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 t="s">
        <v>641</v>
      </c>
      <c r="C29" s="160"/>
      <c r="D29" s="577"/>
      <c r="E29" s="585"/>
      <c r="F29" s="581"/>
      <c r="G29" s="583"/>
      <c r="H29" s="356"/>
      <c r="I29" s="356" t="s">
        <v>639</v>
      </c>
      <c r="J29" s="161"/>
      <c r="K29" s="69" t="s">
        <v>96</v>
      </c>
    </row>
    <row r="30" spans="1:11" ht="10.5" customHeight="1">
      <c r="A30" s="69"/>
      <c r="B30" s="156" t="s">
        <v>655</v>
      </c>
      <c r="C30" s="157"/>
      <c r="D30" s="576" t="s">
        <v>654</v>
      </c>
      <c r="E30" s="584"/>
      <c r="F30" s="580">
        <v>2500</v>
      </c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 t="s">
        <v>638</v>
      </c>
      <c r="C31" s="160"/>
      <c r="D31" s="577"/>
      <c r="E31" s="585"/>
      <c r="F31" s="581"/>
      <c r="G31" s="583"/>
      <c r="H31" s="356"/>
      <c r="I31" s="356" t="s">
        <v>639</v>
      </c>
      <c r="J31" s="161"/>
      <c r="K31" s="69" t="s">
        <v>96</v>
      </c>
    </row>
    <row r="32" spans="1:11" ht="10.5" customHeight="1">
      <c r="A32" s="69"/>
      <c r="B32" s="156" t="s">
        <v>656</v>
      </c>
      <c r="C32" s="157"/>
      <c r="D32" s="576" t="s">
        <v>654</v>
      </c>
      <c r="E32" s="584">
        <v>97</v>
      </c>
      <c r="F32" s="580">
        <v>6100</v>
      </c>
      <c r="G32" s="582">
        <v>591700</v>
      </c>
      <c r="H32" s="355"/>
      <c r="I32" s="355"/>
      <c r="J32" s="158"/>
      <c r="K32" s="69" t="s">
        <v>96</v>
      </c>
    </row>
    <row r="33" spans="1:11" ht="10.5" customHeight="1">
      <c r="A33" s="69"/>
      <c r="B33" s="159" t="s">
        <v>641</v>
      </c>
      <c r="C33" s="160"/>
      <c r="D33" s="577"/>
      <c r="E33" s="585"/>
      <c r="F33" s="581"/>
      <c r="G33" s="583"/>
      <c r="H33" s="356"/>
      <c r="I33" s="356" t="s">
        <v>639</v>
      </c>
      <c r="J33" s="161"/>
      <c r="K33" s="69" t="s">
        <v>96</v>
      </c>
    </row>
    <row r="34" spans="1:11" ht="10.5" customHeight="1">
      <c r="A34" s="69"/>
      <c r="B34" s="156" t="s">
        <v>656</v>
      </c>
      <c r="C34" s="157"/>
      <c r="D34" s="576" t="s">
        <v>657</v>
      </c>
      <c r="E34" s="584">
        <v>52</v>
      </c>
      <c r="F34" s="580">
        <v>6100</v>
      </c>
      <c r="G34" s="582">
        <v>317200</v>
      </c>
      <c r="H34" s="355"/>
      <c r="I34" s="355"/>
      <c r="J34" s="158"/>
      <c r="K34" s="69" t="s">
        <v>96</v>
      </c>
    </row>
    <row r="35" spans="1:11" ht="10.5" customHeight="1">
      <c r="A35" s="69"/>
      <c r="B35" s="159" t="s">
        <v>638</v>
      </c>
      <c r="C35" s="160"/>
      <c r="D35" s="577"/>
      <c r="E35" s="585"/>
      <c r="F35" s="581"/>
      <c r="G35" s="583"/>
      <c r="H35" s="356"/>
      <c r="I35" s="356" t="s">
        <v>639</v>
      </c>
      <c r="J35" s="161"/>
      <c r="K35" s="69" t="s">
        <v>96</v>
      </c>
    </row>
    <row r="36" spans="1:11" ht="10.5" customHeight="1">
      <c r="A36" s="69"/>
      <c r="B36" s="156" t="s">
        <v>658</v>
      </c>
      <c r="C36" s="157"/>
      <c r="D36" s="576" t="s">
        <v>630</v>
      </c>
      <c r="E36" s="584">
        <v>1</v>
      </c>
      <c r="F36" s="580">
        <v>264400</v>
      </c>
      <c r="G36" s="582">
        <v>264400</v>
      </c>
      <c r="H36" s="355"/>
      <c r="I36" s="355"/>
      <c r="J36" s="158"/>
      <c r="K36" s="69" t="s">
        <v>96</v>
      </c>
    </row>
    <row r="37" spans="1:11" ht="10.5" customHeight="1">
      <c r="A37" s="69"/>
      <c r="B37" s="159" t="s">
        <v>638</v>
      </c>
      <c r="C37" s="160"/>
      <c r="D37" s="577"/>
      <c r="E37" s="585"/>
      <c r="F37" s="581"/>
      <c r="G37" s="583"/>
      <c r="H37" s="356"/>
      <c r="I37" s="356" t="s">
        <v>639</v>
      </c>
      <c r="J37" s="161"/>
      <c r="K37" s="69" t="s">
        <v>96</v>
      </c>
    </row>
    <row r="38" spans="1:11" ht="10.5" customHeight="1">
      <c r="A38" s="69"/>
      <c r="B38" s="156" t="s">
        <v>659</v>
      </c>
      <c r="C38" s="157"/>
      <c r="D38" s="576" t="s">
        <v>630</v>
      </c>
      <c r="E38" s="584">
        <v>1</v>
      </c>
      <c r="F38" s="580">
        <v>1641285</v>
      </c>
      <c r="G38" s="582">
        <v>1641285</v>
      </c>
      <c r="H38" s="355"/>
      <c r="I38" s="355"/>
      <c r="J38" s="158"/>
      <c r="K38" s="69" t="s">
        <v>96</v>
      </c>
    </row>
    <row r="39" spans="1:11" ht="10.5" customHeight="1">
      <c r="A39" s="69"/>
      <c r="B39" s="159" t="s">
        <v>660</v>
      </c>
      <c r="C39" s="160"/>
      <c r="D39" s="577"/>
      <c r="E39" s="585"/>
      <c r="F39" s="581"/>
      <c r="G39" s="583"/>
      <c r="H39" s="356"/>
      <c r="I39" s="356" t="s">
        <v>639</v>
      </c>
      <c r="J39" s="161"/>
      <c r="K39" s="69" t="s">
        <v>96</v>
      </c>
    </row>
    <row r="40" spans="1:11" ht="10.5" customHeight="1">
      <c r="A40" s="69"/>
      <c r="B40" s="156" t="s">
        <v>659</v>
      </c>
      <c r="C40" s="157"/>
      <c r="D40" s="576" t="s">
        <v>630</v>
      </c>
      <c r="E40" s="584">
        <v>1</v>
      </c>
      <c r="F40" s="580">
        <v>258715</v>
      </c>
      <c r="G40" s="582">
        <v>258715</v>
      </c>
      <c r="H40" s="355"/>
      <c r="I40" s="355"/>
      <c r="J40" s="158"/>
      <c r="K40" s="69" t="s">
        <v>96</v>
      </c>
    </row>
    <row r="41" spans="1:11" ht="10.5" customHeight="1">
      <c r="A41" s="69"/>
      <c r="B41" s="159" t="s">
        <v>660</v>
      </c>
      <c r="C41" s="160"/>
      <c r="D41" s="577"/>
      <c r="E41" s="585"/>
      <c r="F41" s="581"/>
      <c r="G41" s="583"/>
      <c r="H41" s="356"/>
      <c r="I41" s="356" t="s">
        <v>639</v>
      </c>
      <c r="J41" s="161"/>
      <c r="K41" s="69" t="s">
        <v>96</v>
      </c>
    </row>
    <row r="42" spans="1:11" ht="10.5" customHeight="1">
      <c r="A42" s="69"/>
      <c r="B42" s="156" t="s">
        <v>659</v>
      </c>
      <c r="C42" s="157"/>
      <c r="D42" s="576" t="s">
        <v>630</v>
      </c>
      <c r="E42" s="584">
        <v>1</v>
      </c>
      <c r="F42" s="580">
        <v>720000</v>
      </c>
      <c r="G42" s="582">
        <v>720000</v>
      </c>
      <c r="H42" s="355"/>
      <c r="I42" s="355"/>
      <c r="J42" s="158"/>
      <c r="K42" s="69" t="s">
        <v>96</v>
      </c>
    </row>
    <row r="43" spans="1:11" ht="10.5" customHeight="1">
      <c r="A43" s="69"/>
      <c r="B43" s="159" t="s">
        <v>661</v>
      </c>
      <c r="C43" s="160"/>
      <c r="D43" s="577"/>
      <c r="E43" s="585"/>
      <c r="F43" s="581"/>
      <c r="G43" s="583"/>
      <c r="H43" s="356"/>
      <c r="I43" s="356" t="s">
        <v>639</v>
      </c>
      <c r="J43" s="161"/>
      <c r="K43" s="69" t="s">
        <v>96</v>
      </c>
    </row>
    <row r="44" spans="1:11" ht="10.5" customHeight="1">
      <c r="A44" s="69"/>
      <c r="B44" s="156" t="s">
        <v>662</v>
      </c>
      <c r="C44" s="157"/>
      <c r="D44" s="576" t="s">
        <v>663</v>
      </c>
      <c r="E44" s="584">
        <v>4.2</v>
      </c>
      <c r="F44" s="580">
        <v>12000</v>
      </c>
      <c r="G44" s="582">
        <v>50400</v>
      </c>
      <c r="H44" s="355"/>
      <c r="I44" s="355"/>
      <c r="J44" s="158"/>
      <c r="K44" s="69" t="s">
        <v>96</v>
      </c>
    </row>
    <row r="45" spans="1:11" ht="10.5" customHeight="1">
      <c r="A45" s="69"/>
      <c r="B45" s="159" t="s">
        <v>638</v>
      </c>
      <c r="C45" s="160"/>
      <c r="D45" s="577"/>
      <c r="E45" s="585"/>
      <c r="F45" s="581"/>
      <c r="G45" s="583"/>
      <c r="H45" s="356"/>
      <c r="I45" s="356" t="s">
        <v>639</v>
      </c>
      <c r="J45" s="161"/>
      <c r="K45" s="69" t="s">
        <v>96</v>
      </c>
    </row>
    <row r="46" spans="1:11" ht="10.5" customHeight="1">
      <c r="A46" s="69"/>
      <c r="B46" s="156" t="s">
        <v>662</v>
      </c>
      <c r="C46" s="157"/>
      <c r="D46" s="586" t="s">
        <v>663</v>
      </c>
      <c r="E46" s="588">
        <v>1.3</v>
      </c>
      <c r="F46" s="590">
        <v>12000</v>
      </c>
      <c r="G46" s="592">
        <v>15600</v>
      </c>
      <c r="H46" s="355"/>
      <c r="I46" s="355"/>
      <c r="J46" s="162"/>
      <c r="K46" s="69" t="s">
        <v>96</v>
      </c>
    </row>
    <row r="47" spans="1:11" ht="10.5" customHeight="1" thickBot="1">
      <c r="A47" s="69"/>
      <c r="B47" s="163" t="s">
        <v>638</v>
      </c>
      <c r="C47" s="164"/>
      <c r="D47" s="587"/>
      <c r="E47" s="589"/>
      <c r="F47" s="591"/>
      <c r="G47" s="593"/>
      <c r="H47" s="357"/>
      <c r="I47" s="357" t="s">
        <v>639</v>
      </c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33" t="s">
        <v>664</v>
      </c>
      <c r="E50" s="533"/>
      <c r="F50" s="533"/>
      <c r="G50" s="53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614</v>
      </c>
      <c r="C52" s="146" t="s">
        <v>615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 t="s">
        <v>616</v>
      </c>
      <c r="K53" s="69"/>
    </row>
    <row r="54" spans="1:11" ht="18" customHeight="1">
      <c r="A54" s="69"/>
      <c r="B54" s="574" t="s">
        <v>617</v>
      </c>
      <c r="C54" s="575"/>
      <c r="D54" s="153" t="s">
        <v>85</v>
      </c>
      <c r="E54" s="153" t="s">
        <v>618</v>
      </c>
      <c r="F54" s="153" t="s">
        <v>619</v>
      </c>
      <c r="G54" s="153" t="s">
        <v>620</v>
      </c>
      <c r="H54" s="154" t="s">
        <v>621</v>
      </c>
      <c r="I54" s="153" t="s">
        <v>622</v>
      </c>
      <c r="J54" s="155" t="s">
        <v>623</v>
      </c>
      <c r="K54" s="69"/>
    </row>
    <row r="55" spans="1:11" ht="10.5" customHeight="1">
      <c r="A55" s="69"/>
      <c r="B55" s="156" t="s">
        <v>665</v>
      </c>
      <c r="C55" s="157"/>
      <c r="D55" s="576" t="s">
        <v>663</v>
      </c>
      <c r="E55" s="578">
        <v>4.2</v>
      </c>
      <c r="F55" s="580">
        <v>5000</v>
      </c>
      <c r="G55" s="582">
        <v>21000</v>
      </c>
      <c r="H55" s="355"/>
      <c r="I55" s="355"/>
      <c r="J55" s="158"/>
      <c r="K55" s="69" t="s">
        <v>96</v>
      </c>
    </row>
    <row r="56" spans="1:11" ht="10.5" customHeight="1">
      <c r="A56" s="69"/>
      <c r="B56" s="159" t="s">
        <v>638</v>
      </c>
      <c r="C56" s="160"/>
      <c r="D56" s="577"/>
      <c r="E56" s="579"/>
      <c r="F56" s="581"/>
      <c r="G56" s="583"/>
      <c r="H56" s="356"/>
      <c r="I56" s="356" t="s">
        <v>639</v>
      </c>
      <c r="J56" s="161"/>
      <c r="K56" s="69" t="s">
        <v>96</v>
      </c>
    </row>
    <row r="57" spans="1:11" ht="10.5" customHeight="1">
      <c r="A57" s="69"/>
      <c r="B57" s="156" t="s">
        <v>665</v>
      </c>
      <c r="C57" s="157"/>
      <c r="D57" s="576" t="s">
        <v>663</v>
      </c>
      <c r="E57" s="578">
        <v>1.3</v>
      </c>
      <c r="F57" s="580">
        <v>5000</v>
      </c>
      <c r="G57" s="582">
        <v>6500</v>
      </c>
      <c r="H57" s="355"/>
      <c r="I57" s="355"/>
      <c r="J57" s="162"/>
      <c r="K57" s="69" t="s">
        <v>96</v>
      </c>
    </row>
    <row r="58" spans="1:11" ht="10.5" customHeight="1">
      <c r="A58" s="69"/>
      <c r="B58" s="159" t="s">
        <v>638</v>
      </c>
      <c r="C58" s="160"/>
      <c r="D58" s="577"/>
      <c r="E58" s="579"/>
      <c r="F58" s="581"/>
      <c r="G58" s="583"/>
      <c r="H58" s="356"/>
      <c r="I58" s="356" t="s">
        <v>639</v>
      </c>
      <c r="J58" s="162"/>
      <c r="K58" s="69" t="s">
        <v>96</v>
      </c>
    </row>
    <row r="59" spans="1:11" ht="10.5" customHeight="1">
      <c r="A59" s="69"/>
      <c r="B59" s="156" t="s">
        <v>666</v>
      </c>
      <c r="C59" s="157"/>
      <c r="D59" s="576" t="s">
        <v>654</v>
      </c>
      <c r="E59" s="578">
        <v>20</v>
      </c>
      <c r="F59" s="580">
        <v>1300</v>
      </c>
      <c r="G59" s="582">
        <v>26000</v>
      </c>
      <c r="H59" s="355"/>
      <c r="I59" s="355"/>
      <c r="J59" s="158"/>
      <c r="K59" s="69" t="s">
        <v>96</v>
      </c>
    </row>
    <row r="60" spans="1:11" ht="10.5" customHeight="1">
      <c r="A60" s="69"/>
      <c r="B60" s="159" t="s">
        <v>638</v>
      </c>
      <c r="C60" s="160"/>
      <c r="D60" s="577"/>
      <c r="E60" s="579"/>
      <c r="F60" s="581"/>
      <c r="G60" s="583"/>
      <c r="H60" s="356"/>
      <c r="I60" s="356" t="s">
        <v>639</v>
      </c>
      <c r="J60" s="161"/>
      <c r="K60" s="69" t="s">
        <v>96</v>
      </c>
    </row>
    <row r="61" spans="1:11" ht="10.5" customHeight="1">
      <c r="A61" s="69"/>
      <c r="B61" s="156" t="s">
        <v>667</v>
      </c>
      <c r="C61" s="157"/>
      <c r="D61" s="576" t="s">
        <v>654</v>
      </c>
      <c r="E61" s="584">
        <v>20</v>
      </c>
      <c r="F61" s="580">
        <v>9500</v>
      </c>
      <c r="G61" s="582">
        <v>190000</v>
      </c>
      <c r="H61" s="355"/>
      <c r="I61" s="355"/>
      <c r="J61" s="158"/>
      <c r="K61" s="69" t="s">
        <v>96</v>
      </c>
    </row>
    <row r="62" spans="1:11" ht="10.5" customHeight="1">
      <c r="A62" s="69"/>
      <c r="B62" s="159" t="s">
        <v>641</v>
      </c>
      <c r="C62" s="160"/>
      <c r="D62" s="577"/>
      <c r="E62" s="585"/>
      <c r="F62" s="581"/>
      <c r="G62" s="583"/>
      <c r="H62" s="356"/>
      <c r="I62" s="356" t="s">
        <v>639</v>
      </c>
      <c r="J62" s="161"/>
      <c r="K62" s="69" t="s">
        <v>96</v>
      </c>
    </row>
    <row r="63" spans="1:11" ht="10.5" customHeight="1">
      <c r="A63" s="69"/>
      <c r="B63" s="156" t="s">
        <v>668</v>
      </c>
      <c r="C63" s="157"/>
      <c r="D63" s="576" t="s">
        <v>654</v>
      </c>
      <c r="E63" s="584">
        <v>293</v>
      </c>
      <c r="F63" s="580">
        <v>2000</v>
      </c>
      <c r="G63" s="582">
        <v>586000</v>
      </c>
      <c r="H63" s="355"/>
      <c r="I63" s="355"/>
      <c r="J63" s="158"/>
      <c r="K63" s="69" t="s">
        <v>96</v>
      </c>
    </row>
    <row r="64" spans="1:11" ht="10.5" customHeight="1">
      <c r="A64" s="69"/>
      <c r="B64" s="159" t="s">
        <v>638</v>
      </c>
      <c r="C64" s="160"/>
      <c r="D64" s="577"/>
      <c r="E64" s="585"/>
      <c r="F64" s="581"/>
      <c r="G64" s="583"/>
      <c r="H64" s="356"/>
      <c r="I64" s="356" t="s">
        <v>639</v>
      </c>
      <c r="J64" s="161"/>
      <c r="K64" s="69" t="s">
        <v>96</v>
      </c>
    </row>
    <row r="65" spans="1:11" ht="10.5" customHeight="1">
      <c r="A65" s="69"/>
      <c r="B65" s="156" t="s">
        <v>669</v>
      </c>
      <c r="C65" s="157"/>
      <c r="D65" s="576" t="s">
        <v>643</v>
      </c>
      <c r="E65" s="584">
        <v>5</v>
      </c>
      <c r="F65" s="580">
        <v>47000</v>
      </c>
      <c r="G65" s="582">
        <v>235000</v>
      </c>
      <c r="H65" s="355"/>
      <c r="I65" s="355"/>
      <c r="J65" s="158"/>
      <c r="K65" s="69" t="s">
        <v>96</v>
      </c>
    </row>
    <row r="66" spans="1:11" ht="10.5" customHeight="1">
      <c r="A66" s="69"/>
      <c r="B66" s="159" t="s">
        <v>638</v>
      </c>
      <c r="C66" s="160"/>
      <c r="D66" s="577"/>
      <c r="E66" s="585"/>
      <c r="F66" s="581"/>
      <c r="G66" s="583"/>
      <c r="H66" s="356"/>
      <c r="I66" s="356" t="s">
        <v>639</v>
      </c>
      <c r="J66" s="161"/>
      <c r="K66" s="69" t="s">
        <v>96</v>
      </c>
    </row>
    <row r="67" spans="1:11" ht="10.5" customHeight="1">
      <c r="A67" s="69"/>
      <c r="B67" s="156" t="s">
        <v>670</v>
      </c>
      <c r="C67" s="157"/>
      <c r="D67" s="576" t="s">
        <v>643</v>
      </c>
      <c r="E67" s="584">
        <v>1</v>
      </c>
      <c r="F67" s="580">
        <v>60000</v>
      </c>
      <c r="G67" s="582">
        <v>60000</v>
      </c>
      <c r="H67" s="355"/>
      <c r="I67" s="355"/>
      <c r="J67" s="158"/>
      <c r="K67" s="69" t="s">
        <v>96</v>
      </c>
    </row>
    <row r="68" spans="1:11" ht="10.5" customHeight="1">
      <c r="A68" s="69"/>
      <c r="B68" s="159" t="s">
        <v>641</v>
      </c>
      <c r="C68" s="160"/>
      <c r="D68" s="577"/>
      <c r="E68" s="585"/>
      <c r="F68" s="581"/>
      <c r="G68" s="583"/>
      <c r="H68" s="356"/>
      <c r="I68" s="356" t="s">
        <v>639</v>
      </c>
      <c r="J68" s="161"/>
      <c r="K68" s="69" t="s">
        <v>96</v>
      </c>
    </row>
    <row r="69" spans="1:11" ht="10.5" customHeight="1">
      <c r="A69" s="69"/>
      <c r="B69" s="156" t="s">
        <v>671</v>
      </c>
      <c r="C69" s="157"/>
      <c r="D69" s="576" t="s">
        <v>643</v>
      </c>
      <c r="E69" s="584">
        <v>1</v>
      </c>
      <c r="F69" s="580">
        <v>3000</v>
      </c>
      <c r="G69" s="582">
        <v>3000</v>
      </c>
      <c r="H69" s="355"/>
      <c r="I69" s="355"/>
      <c r="J69" s="158"/>
      <c r="K69" s="69" t="s">
        <v>96</v>
      </c>
    </row>
    <row r="70" spans="1:11" ht="10.5" customHeight="1">
      <c r="A70" s="69"/>
      <c r="B70" s="159" t="s">
        <v>638</v>
      </c>
      <c r="C70" s="160"/>
      <c r="D70" s="577"/>
      <c r="E70" s="585"/>
      <c r="F70" s="581"/>
      <c r="G70" s="583"/>
      <c r="H70" s="356"/>
      <c r="I70" s="356" t="s">
        <v>639</v>
      </c>
      <c r="J70" s="161"/>
      <c r="K70" s="69" t="s">
        <v>96</v>
      </c>
    </row>
    <row r="71" spans="1:11" ht="10.5" customHeight="1">
      <c r="A71" s="69"/>
      <c r="B71" s="156" t="s">
        <v>672</v>
      </c>
      <c r="C71" s="157"/>
      <c r="D71" s="576" t="s">
        <v>643</v>
      </c>
      <c r="E71" s="584">
        <v>28</v>
      </c>
      <c r="F71" s="580">
        <v>3000</v>
      </c>
      <c r="G71" s="582">
        <v>84000</v>
      </c>
      <c r="H71" s="355"/>
      <c r="I71" s="355"/>
      <c r="J71" s="158"/>
      <c r="K71" s="69" t="s">
        <v>96</v>
      </c>
    </row>
    <row r="72" spans="1:11" ht="10.5" customHeight="1">
      <c r="A72" s="69"/>
      <c r="B72" s="159" t="s">
        <v>641</v>
      </c>
      <c r="C72" s="160"/>
      <c r="D72" s="577"/>
      <c r="E72" s="585"/>
      <c r="F72" s="581"/>
      <c r="G72" s="583"/>
      <c r="H72" s="356"/>
      <c r="I72" s="356" t="s">
        <v>639</v>
      </c>
      <c r="J72" s="161"/>
      <c r="K72" s="69" t="s">
        <v>96</v>
      </c>
    </row>
    <row r="73" spans="1:11" ht="10.5" customHeight="1">
      <c r="A73" s="69"/>
      <c r="B73" s="156" t="s">
        <v>673</v>
      </c>
      <c r="C73" s="157"/>
      <c r="D73" s="576" t="s">
        <v>643</v>
      </c>
      <c r="E73" s="578">
        <v>1</v>
      </c>
      <c r="F73" s="580">
        <v>300000</v>
      </c>
      <c r="G73" s="582">
        <v>300000</v>
      </c>
      <c r="H73" s="355"/>
      <c r="I73" s="355"/>
      <c r="J73" s="158"/>
      <c r="K73" s="69" t="s">
        <v>96</v>
      </c>
    </row>
    <row r="74" spans="1:11" ht="10.5" customHeight="1">
      <c r="A74" s="69"/>
      <c r="B74" s="159" t="s">
        <v>641</v>
      </c>
      <c r="C74" s="160"/>
      <c r="D74" s="577"/>
      <c r="E74" s="579"/>
      <c r="F74" s="581"/>
      <c r="G74" s="583"/>
      <c r="H74" s="356"/>
      <c r="I74" s="356" t="s">
        <v>639</v>
      </c>
      <c r="J74" s="161"/>
      <c r="K74" s="69" t="s">
        <v>96</v>
      </c>
    </row>
    <row r="75" spans="1:11" ht="10.5" customHeight="1">
      <c r="A75" s="69"/>
      <c r="B75" s="156" t="s">
        <v>674</v>
      </c>
      <c r="C75" s="157"/>
      <c r="D75" s="576" t="s">
        <v>663</v>
      </c>
      <c r="E75" s="584">
        <v>4.2</v>
      </c>
      <c r="F75" s="580">
        <v>25000</v>
      </c>
      <c r="G75" s="582">
        <v>105000</v>
      </c>
      <c r="H75" s="355"/>
      <c r="I75" s="355"/>
      <c r="J75" s="158"/>
      <c r="K75" s="69" t="s">
        <v>96</v>
      </c>
    </row>
    <row r="76" spans="1:11" ht="10.5" customHeight="1">
      <c r="A76" s="69"/>
      <c r="B76" s="159" t="s">
        <v>638</v>
      </c>
      <c r="C76" s="160"/>
      <c r="D76" s="577"/>
      <c r="E76" s="585"/>
      <c r="F76" s="581"/>
      <c r="G76" s="583"/>
      <c r="H76" s="356"/>
      <c r="I76" s="356" t="s">
        <v>639</v>
      </c>
      <c r="J76" s="161"/>
      <c r="K76" s="69" t="s">
        <v>96</v>
      </c>
    </row>
    <row r="77" spans="1:11" ht="10.5" customHeight="1">
      <c r="A77" s="69"/>
      <c r="B77" s="156" t="s">
        <v>675</v>
      </c>
      <c r="C77" s="157"/>
      <c r="D77" s="576" t="s">
        <v>625</v>
      </c>
      <c r="E77" s="584">
        <v>0.17</v>
      </c>
      <c r="F77" s="580">
        <v>-30000</v>
      </c>
      <c r="G77" s="582">
        <v>-5100</v>
      </c>
      <c r="H77" s="355"/>
      <c r="I77" s="355"/>
      <c r="J77" s="158"/>
      <c r="K77" s="69" t="s">
        <v>96</v>
      </c>
    </row>
    <row r="78" spans="1:11" ht="10.5" customHeight="1">
      <c r="A78" s="69"/>
      <c r="B78" s="159" t="s">
        <v>676</v>
      </c>
      <c r="C78" s="160"/>
      <c r="D78" s="577"/>
      <c r="E78" s="585"/>
      <c r="F78" s="581"/>
      <c r="G78" s="583"/>
      <c r="H78" s="356"/>
      <c r="I78" s="356" t="s">
        <v>639</v>
      </c>
      <c r="J78" s="161"/>
      <c r="K78" s="69" t="s">
        <v>96</v>
      </c>
    </row>
    <row r="79" spans="1:11" ht="10.5" customHeight="1">
      <c r="A79" s="69"/>
      <c r="B79" s="156" t="s">
        <v>677</v>
      </c>
      <c r="C79" s="157"/>
      <c r="D79" s="576" t="s">
        <v>643</v>
      </c>
      <c r="E79" s="584">
        <v>1</v>
      </c>
      <c r="F79" s="580">
        <v>9500</v>
      </c>
      <c r="G79" s="582">
        <v>9500</v>
      </c>
      <c r="H79" s="355"/>
      <c r="I79" s="355"/>
      <c r="J79" s="158"/>
      <c r="K79" s="69" t="s">
        <v>96</v>
      </c>
    </row>
    <row r="80" spans="1:11" ht="10.5" customHeight="1">
      <c r="A80" s="69"/>
      <c r="B80" s="159" t="s">
        <v>638</v>
      </c>
      <c r="C80" s="160"/>
      <c r="D80" s="577"/>
      <c r="E80" s="585"/>
      <c r="F80" s="581"/>
      <c r="G80" s="583"/>
      <c r="H80" s="356"/>
      <c r="I80" s="356" t="s">
        <v>639</v>
      </c>
      <c r="J80" s="161"/>
      <c r="K80" s="69" t="s">
        <v>96</v>
      </c>
    </row>
    <row r="81" spans="1:11" ht="10.5" customHeight="1">
      <c r="A81" s="69"/>
      <c r="B81" s="156" t="s">
        <v>678</v>
      </c>
      <c r="C81" s="157"/>
      <c r="D81" s="576" t="s">
        <v>643</v>
      </c>
      <c r="E81" s="584">
        <v>1</v>
      </c>
      <c r="F81" s="580">
        <v>8000</v>
      </c>
      <c r="G81" s="582">
        <v>8000</v>
      </c>
      <c r="H81" s="355"/>
      <c r="I81" s="355"/>
      <c r="J81" s="158"/>
      <c r="K81" s="69" t="s">
        <v>96</v>
      </c>
    </row>
    <row r="82" spans="1:11" ht="10.5" customHeight="1">
      <c r="A82" s="69"/>
      <c r="B82" s="159" t="s">
        <v>638</v>
      </c>
      <c r="C82" s="160"/>
      <c r="D82" s="577"/>
      <c r="E82" s="585"/>
      <c r="F82" s="581"/>
      <c r="G82" s="583"/>
      <c r="H82" s="356"/>
      <c r="I82" s="356" t="s">
        <v>639</v>
      </c>
      <c r="J82" s="161"/>
      <c r="K82" s="69" t="s">
        <v>96</v>
      </c>
    </row>
    <row r="83" spans="1:11" ht="10.5" customHeight="1">
      <c r="A83" s="69"/>
      <c r="B83" s="156" t="s">
        <v>679</v>
      </c>
      <c r="C83" s="157"/>
      <c r="D83" s="576" t="s">
        <v>643</v>
      </c>
      <c r="E83" s="584">
        <v>6</v>
      </c>
      <c r="F83" s="580">
        <v>20000</v>
      </c>
      <c r="G83" s="582">
        <v>120000</v>
      </c>
      <c r="H83" s="355"/>
      <c r="I83" s="355"/>
      <c r="J83" s="158"/>
      <c r="K83" s="69" t="s">
        <v>96</v>
      </c>
    </row>
    <row r="84" spans="1:11" ht="10.5" customHeight="1">
      <c r="A84" s="69"/>
      <c r="B84" s="159" t="s">
        <v>638</v>
      </c>
      <c r="C84" s="160"/>
      <c r="D84" s="577"/>
      <c r="E84" s="585"/>
      <c r="F84" s="581"/>
      <c r="G84" s="583"/>
      <c r="H84" s="356"/>
      <c r="I84" s="356" t="s">
        <v>639</v>
      </c>
      <c r="J84" s="161"/>
      <c r="K84" s="69" t="s">
        <v>96</v>
      </c>
    </row>
    <row r="85" spans="1:11" ht="10.5" customHeight="1">
      <c r="A85" s="69"/>
      <c r="B85" s="156" t="s">
        <v>680</v>
      </c>
      <c r="C85" s="157"/>
      <c r="D85" s="576" t="s">
        <v>643</v>
      </c>
      <c r="E85" s="584">
        <v>34</v>
      </c>
      <c r="F85" s="580">
        <v>3500</v>
      </c>
      <c r="G85" s="582">
        <v>119000</v>
      </c>
      <c r="H85" s="355"/>
      <c r="I85" s="355"/>
      <c r="J85" s="158"/>
      <c r="K85" s="69" t="s">
        <v>96</v>
      </c>
    </row>
    <row r="86" spans="1:11" ht="10.5" customHeight="1">
      <c r="A86" s="69"/>
      <c r="B86" s="159" t="s">
        <v>638</v>
      </c>
      <c r="C86" s="160"/>
      <c r="D86" s="577"/>
      <c r="E86" s="585"/>
      <c r="F86" s="581"/>
      <c r="G86" s="583"/>
      <c r="H86" s="356"/>
      <c r="I86" s="356" t="s">
        <v>639</v>
      </c>
      <c r="J86" s="161"/>
      <c r="K86" s="69" t="s">
        <v>96</v>
      </c>
    </row>
    <row r="87" spans="1:11" ht="10.5" customHeight="1">
      <c r="A87" s="69"/>
      <c r="B87" s="156" t="s">
        <v>681</v>
      </c>
      <c r="C87" s="157"/>
      <c r="D87" s="576" t="s">
        <v>682</v>
      </c>
      <c r="E87" s="584">
        <v>721</v>
      </c>
      <c r="F87" s="580">
        <v>600</v>
      </c>
      <c r="G87" s="582">
        <v>432600</v>
      </c>
      <c r="H87" s="355"/>
      <c r="I87" s="355"/>
      <c r="J87" s="158"/>
      <c r="K87" s="69" t="s">
        <v>96</v>
      </c>
    </row>
    <row r="88" spans="1:11" ht="10.5" customHeight="1">
      <c r="A88" s="69"/>
      <c r="B88" s="159" t="s">
        <v>638</v>
      </c>
      <c r="C88" s="160"/>
      <c r="D88" s="577"/>
      <c r="E88" s="585"/>
      <c r="F88" s="581"/>
      <c r="G88" s="583"/>
      <c r="H88" s="356"/>
      <c r="I88" s="356" t="s">
        <v>639</v>
      </c>
      <c r="J88" s="161"/>
      <c r="K88" s="69" t="s">
        <v>96</v>
      </c>
    </row>
    <row r="89" spans="1:11" ht="10.5" customHeight="1">
      <c r="A89" s="69"/>
      <c r="B89" s="156" t="s">
        <v>683</v>
      </c>
      <c r="C89" s="157"/>
      <c r="D89" s="576" t="s">
        <v>663</v>
      </c>
      <c r="E89" s="584">
        <v>68</v>
      </c>
      <c r="F89" s="580">
        <v>2000</v>
      </c>
      <c r="G89" s="582">
        <v>136000</v>
      </c>
      <c r="H89" s="355"/>
      <c r="I89" s="355"/>
      <c r="J89" s="158"/>
      <c r="K89" s="69" t="s">
        <v>96</v>
      </c>
    </row>
    <row r="90" spans="1:11" ht="10.5" customHeight="1">
      <c r="A90" s="69"/>
      <c r="B90" s="159" t="s">
        <v>638</v>
      </c>
      <c r="C90" s="160"/>
      <c r="D90" s="577"/>
      <c r="E90" s="585"/>
      <c r="F90" s="581"/>
      <c r="G90" s="583"/>
      <c r="H90" s="356"/>
      <c r="I90" s="356" t="s">
        <v>639</v>
      </c>
      <c r="J90" s="161"/>
      <c r="K90" s="69" t="s">
        <v>96</v>
      </c>
    </row>
    <row r="91" spans="1:11" ht="10.5" customHeight="1">
      <c r="A91" s="69"/>
      <c r="B91" s="156" t="s">
        <v>684</v>
      </c>
      <c r="C91" s="157"/>
      <c r="D91" s="576" t="s">
        <v>682</v>
      </c>
      <c r="E91" s="584">
        <v>721</v>
      </c>
      <c r="F91" s="580">
        <v>1300</v>
      </c>
      <c r="G91" s="582">
        <v>937300</v>
      </c>
      <c r="H91" s="355"/>
      <c r="I91" s="355"/>
      <c r="J91" s="158"/>
      <c r="K91" s="69" t="s">
        <v>96</v>
      </c>
    </row>
    <row r="92" spans="1:11" ht="10.5" customHeight="1">
      <c r="A92" s="69"/>
      <c r="B92" s="159" t="s">
        <v>638</v>
      </c>
      <c r="C92" s="160"/>
      <c r="D92" s="577"/>
      <c r="E92" s="585"/>
      <c r="F92" s="581"/>
      <c r="G92" s="583"/>
      <c r="H92" s="356"/>
      <c r="I92" s="356" t="s">
        <v>639</v>
      </c>
      <c r="J92" s="161"/>
      <c r="K92" s="69" t="s">
        <v>96</v>
      </c>
    </row>
    <row r="93" spans="1:11" ht="10.5" customHeight="1">
      <c r="A93" s="69"/>
      <c r="B93" s="156" t="s">
        <v>685</v>
      </c>
      <c r="C93" s="157"/>
      <c r="D93" s="576" t="s">
        <v>663</v>
      </c>
      <c r="E93" s="584">
        <v>62</v>
      </c>
      <c r="F93" s="580">
        <v>2000</v>
      </c>
      <c r="G93" s="582">
        <v>124000</v>
      </c>
      <c r="H93" s="355"/>
      <c r="I93" s="355"/>
      <c r="J93" s="158"/>
      <c r="K93" s="69" t="s">
        <v>96</v>
      </c>
    </row>
    <row r="94" spans="1:11" ht="10.5" customHeight="1">
      <c r="A94" s="69"/>
      <c r="B94" s="159" t="s">
        <v>638</v>
      </c>
      <c r="C94" s="160"/>
      <c r="D94" s="577"/>
      <c r="E94" s="585"/>
      <c r="F94" s="581"/>
      <c r="G94" s="583"/>
      <c r="H94" s="356"/>
      <c r="I94" s="356" t="s">
        <v>639</v>
      </c>
      <c r="J94" s="161"/>
      <c r="K94" s="69" t="s">
        <v>96</v>
      </c>
    </row>
    <row r="95" spans="1:11" ht="10.5" customHeight="1">
      <c r="A95" s="69"/>
      <c r="B95" s="156" t="s">
        <v>686</v>
      </c>
      <c r="C95" s="157"/>
      <c r="D95" s="586" t="s">
        <v>643</v>
      </c>
      <c r="E95" s="588">
        <v>1</v>
      </c>
      <c r="F95" s="590">
        <v>31000</v>
      </c>
      <c r="G95" s="592">
        <v>31000</v>
      </c>
      <c r="H95" s="355"/>
      <c r="I95" s="355"/>
      <c r="J95" s="162"/>
      <c r="K95" s="69" t="s">
        <v>96</v>
      </c>
    </row>
    <row r="96" spans="1:11" ht="10.5" customHeight="1" thickBot="1">
      <c r="A96" s="69"/>
      <c r="B96" s="163" t="s">
        <v>641</v>
      </c>
      <c r="C96" s="164"/>
      <c r="D96" s="587"/>
      <c r="E96" s="589"/>
      <c r="F96" s="591"/>
      <c r="G96" s="593"/>
      <c r="H96" s="357"/>
      <c r="I96" s="357" t="s">
        <v>639</v>
      </c>
      <c r="J96" s="165"/>
      <c r="K96" s="69" t="s">
        <v>96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  <row r="99" spans="1:11" ht="26.1" customHeight="1" thickBot="1">
      <c r="B99" s="142"/>
      <c r="C99" s="142"/>
      <c r="D99" s="533" t="s">
        <v>664</v>
      </c>
      <c r="E99" s="533"/>
      <c r="F99" s="533"/>
      <c r="G99" s="533"/>
      <c r="H99" s="69"/>
      <c r="I99" s="69"/>
      <c r="J99" s="69"/>
      <c r="K99" s="69"/>
    </row>
    <row r="100" spans="1:11" ht="13.5" customHeight="1">
      <c r="A100" s="143"/>
      <c r="B100" s="143"/>
      <c r="C100" s="143"/>
      <c r="D100" s="143"/>
      <c r="E100" s="143"/>
      <c r="F100" s="143"/>
      <c r="G100" s="143"/>
      <c r="H100" s="143"/>
      <c r="I100" s="143"/>
      <c r="J100" s="143"/>
      <c r="K100" s="143"/>
    </row>
    <row r="101" spans="1:11" ht="21" customHeight="1">
      <c r="A101" s="144"/>
      <c r="B101" s="145" t="s">
        <v>614</v>
      </c>
      <c r="C101" s="146" t="s">
        <v>615</v>
      </c>
      <c r="D101" s="147"/>
      <c r="E101" s="148"/>
      <c r="F101" s="149"/>
      <c r="G101" s="149"/>
      <c r="H101" s="149"/>
      <c r="I101" s="149"/>
      <c r="J101" s="150"/>
      <c r="K101" s="144"/>
    </row>
    <row r="102" spans="1:11" ht="12.75" customHeight="1" thickBot="1">
      <c r="A102" s="69"/>
      <c r="B102" s="151"/>
      <c r="C102" s="151"/>
      <c r="D102" s="151"/>
      <c r="E102" s="151"/>
      <c r="F102" s="151"/>
      <c r="G102" s="151"/>
      <c r="H102" s="151"/>
      <c r="I102" s="151"/>
      <c r="J102" s="152" t="s">
        <v>616</v>
      </c>
      <c r="K102" s="69"/>
    </row>
    <row r="103" spans="1:11" ht="18" customHeight="1">
      <c r="A103" s="69"/>
      <c r="B103" s="574" t="s">
        <v>617</v>
      </c>
      <c r="C103" s="575"/>
      <c r="D103" s="153" t="s">
        <v>85</v>
      </c>
      <c r="E103" s="153" t="s">
        <v>618</v>
      </c>
      <c r="F103" s="153" t="s">
        <v>619</v>
      </c>
      <c r="G103" s="153" t="s">
        <v>620</v>
      </c>
      <c r="H103" s="154" t="s">
        <v>621</v>
      </c>
      <c r="I103" s="153" t="s">
        <v>622</v>
      </c>
      <c r="J103" s="155" t="s">
        <v>623</v>
      </c>
      <c r="K103" s="69"/>
    </row>
    <row r="104" spans="1:11" ht="10.5" customHeight="1">
      <c r="A104" s="69"/>
      <c r="B104" s="156" t="s">
        <v>687</v>
      </c>
      <c r="C104" s="157"/>
      <c r="D104" s="576" t="s">
        <v>643</v>
      </c>
      <c r="E104" s="578">
        <v>2</v>
      </c>
      <c r="F104" s="580">
        <v>45000</v>
      </c>
      <c r="G104" s="582">
        <v>90000</v>
      </c>
      <c r="H104" s="355"/>
      <c r="I104" s="355"/>
      <c r="J104" s="158"/>
      <c r="K104" s="69" t="s">
        <v>96</v>
      </c>
    </row>
    <row r="105" spans="1:11" ht="10.5" customHeight="1">
      <c r="A105" s="69"/>
      <c r="B105" s="159" t="s">
        <v>641</v>
      </c>
      <c r="C105" s="160"/>
      <c r="D105" s="577"/>
      <c r="E105" s="579"/>
      <c r="F105" s="581"/>
      <c r="G105" s="583"/>
      <c r="H105" s="356"/>
      <c r="I105" s="356" t="s">
        <v>639</v>
      </c>
      <c r="J105" s="161"/>
      <c r="K105" s="69" t="s">
        <v>96</v>
      </c>
    </row>
    <row r="106" spans="1:11" ht="10.5" customHeight="1">
      <c r="A106" s="69"/>
      <c r="B106" s="156" t="s">
        <v>688</v>
      </c>
      <c r="C106" s="157"/>
      <c r="D106" s="576" t="s">
        <v>689</v>
      </c>
      <c r="E106" s="578">
        <v>1</v>
      </c>
      <c r="F106" s="580">
        <v>25000</v>
      </c>
      <c r="G106" s="582">
        <v>25000</v>
      </c>
      <c r="H106" s="355"/>
      <c r="I106" s="355"/>
      <c r="J106" s="162"/>
      <c r="K106" s="69" t="s">
        <v>96</v>
      </c>
    </row>
    <row r="107" spans="1:11" ht="10.5" customHeight="1">
      <c r="A107" s="69"/>
      <c r="B107" s="159" t="s">
        <v>638</v>
      </c>
      <c r="C107" s="160"/>
      <c r="D107" s="577"/>
      <c r="E107" s="579"/>
      <c r="F107" s="581"/>
      <c r="G107" s="583"/>
      <c r="H107" s="356"/>
      <c r="I107" s="356" t="s">
        <v>639</v>
      </c>
      <c r="J107" s="162"/>
      <c r="K107" s="69" t="s">
        <v>96</v>
      </c>
    </row>
    <row r="108" spans="1:11" ht="10.5" customHeight="1">
      <c r="A108" s="69"/>
      <c r="B108" s="156" t="s">
        <v>690</v>
      </c>
      <c r="C108" s="157"/>
      <c r="D108" s="576" t="s">
        <v>663</v>
      </c>
      <c r="E108" s="578">
        <v>9.2999999999999999E-2</v>
      </c>
      <c r="F108" s="580">
        <v>12000</v>
      </c>
      <c r="G108" s="582">
        <v>1116</v>
      </c>
      <c r="H108" s="355"/>
      <c r="I108" s="355"/>
      <c r="J108" s="158"/>
      <c r="K108" s="69" t="s">
        <v>96</v>
      </c>
    </row>
    <row r="109" spans="1:11" ht="10.5" customHeight="1">
      <c r="A109" s="69"/>
      <c r="B109" s="159" t="s">
        <v>638</v>
      </c>
      <c r="C109" s="160"/>
      <c r="D109" s="577"/>
      <c r="E109" s="579"/>
      <c r="F109" s="581"/>
      <c r="G109" s="583"/>
      <c r="H109" s="356"/>
      <c r="I109" s="356" t="s">
        <v>639</v>
      </c>
      <c r="J109" s="161"/>
      <c r="K109" s="69" t="s">
        <v>96</v>
      </c>
    </row>
    <row r="110" spans="1:11" ht="10.5" customHeight="1">
      <c r="A110" s="69"/>
      <c r="B110" s="156" t="s">
        <v>691</v>
      </c>
      <c r="C110" s="157"/>
      <c r="D110" s="576" t="s">
        <v>692</v>
      </c>
      <c r="E110" s="584">
        <v>1</v>
      </c>
      <c r="F110" s="580">
        <v>334000</v>
      </c>
      <c r="G110" s="582">
        <v>334000</v>
      </c>
      <c r="H110" s="355"/>
      <c r="I110" s="355"/>
      <c r="J110" s="158"/>
      <c r="K110" s="69" t="s">
        <v>96</v>
      </c>
    </row>
    <row r="111" spans="1:11" ht="10.5" customHeight="1">
      <c r="A111" s="69"/>
      <c r="B111" s="159" t="s">
        <v>638</v>
      </c>
      <c r="C111" s="160"/>
      <c r="D111" s="577"/>
      <c r="E111" s="585"/>
      <c r="F111" s="581"/>
      <c r="G111" s="583"/>
      <c r="H111" s="356"/>
      <c r="I111" s="356" t="s">
        <v>639</v>
      </c>
      <c r="J111" s="161"/>
      <c r="K111" s="69" t="s">
        <v>96</v>
      </c>
    </row>
    <row r="112" spans="1:11" ht="10.5" customHeight="1">
      <c r="A112" s="69"/>
      <c r="B112" s="156" t="s">
        <v>691</v>
      </c>
      <c r="C112" s="157"/>
      <c r="D112" s="576" t="s">
        <v>692</v>
      </c>
      <c r="E112" s="584">
        <v>1</v>
      </c>
      <c r="F112" s="580">
        <v>138000</v>
      </c>
      <c r="G112" s="582">
        <v>138000</v>
      </c>
      <c r="H112" s="355"/>
      <c r="I112" s="355"/>
      <c r="J112" s="158"/>
      <c r="K112" s="69" t="s">
        <v>96</v>
      </c>
    </row>
    <row r="113" spans="1:11" ht="10.5" customHeight="1">
      <c r="A113" s="69"/>
      <c r="B113" s="159" t="s">
        <v>638</v>
      </c>
      <c r="C113" s="160"/>
      <c r="D113" s="577"/>
      <c r="E113" s="585"/>
      <c r="F113" s="581"/>
      <c r="G113" s="583"/>
      <c r="H113" s="356"/>
      <c r="I113" s="356" t="s">
        <v>639</v>
      </c>
      <c r="J113" s="161"/>
      <c r="K113" s="69" t="s">
        <v>96</v>
      </c>
    </row>
    <row r="114" spans="1:11" ht="10.5" customHeight="1">
      <c r="A114" s="69"/>
      <c r="B114" s="156" t="s">
        <v>693</v>
      </c>
      <c r="C114" s="157"/>
      <c r="D114" s="576" t="s">
        <v>682</v>
      </c>
      <c r="E114" s="584">
        <v>6458</v>
      </c>
      <c r="F114" s="580">
        <v>3580</v>
      </c>
      <c r="G114" s="582">
        <v>23119640</v>
      </c>
      <c r="H114" s="355"/>
      <c r="I114" s="355"/>
      <c r="J114" s="158"/>
      <c r="K114" s="69" t="s">
        <v>96</v>
      </c>
    </row>
    <row r="115" spans="1:11" ht="10.5" customHeight="1">
      <c r="A115" s="69"/>
      <c r="B115" s="159" t="s">
        <v>641</v>
      </c>
      <c r="C115" s="160"/>
      <c r="D115" s="577"/>
      <c r="E115" s="585"/>
      <c r="F115" s="581"/>
      <c r="G115" s="583"/>
      <c r="H115" s="356"/>
      <c r="I115" s="356" t="s">
        <v>639</v>
      </c>
      <c r="J115" s="161"/>
      <c r="K115" s="69" t="s">
        <v>96</v>
      </c>
    </row>
    <row r="116" spans="1:11" ht="10.5" customHeight="1">
      <c r="A116" s="69"/>
      <c r="B116" s="156" t="s">
        <v>694</v>
      </c>
      <c r="C116" s="157"/>
      <c r="D116" s="576" t="s">
        <v>682</v>
      </c>
      <c r="E116" s="584">
        <v>6458</v>
      </c>
      <c r="F116" s="580">
        <v>200</v>
      </c>
      <c r="G116" s="582">
        <v>1291600</v>
      </c>
      <c r="H116" s="355"/>
      <c r="I116" s="355"/>
      <c r="J116" s="158"/>
      <c r="K116" s="69" t="s">
        <v>96</v>
      </c>
    </row>
    <row r="117" spans="1:11" ht="10.5" customHeight="1">
      <c r="A117" s="69"/>
      <c r="B117" s="159" t="s">
        <v>641</v>
      </c>
      <c r="C117" s="160"/>
      <c r="D117" s="577"/>
      <c r="E117" s="585"/>
      <c r="F117" s="581"/>
      <c r="G117" s="583"/>
      <c r="H117" s="356"/>
      <c r="I117" s="356" t="s">
        <v>639</v>
      </c>
      <c r="J117" s="161"/>
      <c r="K117" s="69" t="s">
        <v>96</v>
      </c>
    </row>
    <row r="118" spans="1:11" ht="10.5" customHeight="1">
      <c r="A118" s="69"/>
      <c r="B118" s="156" t="s">
        <v>695</v>
      </c>
      <c r="C118" s="157"/>
      <c r="D118" s="576" t="s">
        <v>696</v>
      </c>
      <c r="E118" s="584">
        <v>1</v>
      </c>
      <c r="F118" s="580">
        <v>20000</v>
      </c>
      <c r="G118" s="582">
        <v>20000</v>
      </c>
      <c r="H118" s="355"/>
      <c r="I118" s="355"/>
      <c r="J118" s="158"/>
      <c r="K118" s="69" t="s">
        <v>96</v>
      </c>
    </row>
    <row r="119" spans="1:11" ht="10.5" customHeight="1">
      <c r="A119" s="69"/>
      <c r="B119" s="159" t="s">
        <v>638</v>
      </c>
      <c r="C119" s="160"/>
      <c r="D119" s="577"/>
      <c r="E119" s="585"/>
      <c r="F119" s="581"/>
      <c r="G119" s="583"/>
      <c r="H119" s="356"/>
      <c r="I119" s="356" t="s">
        <v>639</v>
      </c>
      <c r="J119" s="161"/>
      <c r="K119" s="69" t="s">
        <v>96</v>
      </c>
    </row>
    <row r="120" spans="1:11" ht="10.5" customHeight="1">
      <c r="A120" s="69"/>
      <c r="B120" s="156" t="s">
        <v>697</v>
      </c>
      <c r="C120" s="157"/>
      <c r="D120" s="576" t="s">
        <v>643</v>
      </c>
      <c r="E120" s="584">
        <v>37</v>
      </c>
      <c r="F120" s="580">
        <v>40000</v>
      </c>
      <c r="G120" s="582">
        <v>1480000</v>
      </c>
      <c r="H120" s="355"/>
      <c r="I120" s="355"/>
      <c r="J120" s="158"/>
      <c r="K120" s="69" t="s">
        <v>96</v>
      </c>
    </row>
    <row r="121" spans="1:11" ht="10.5" customHeight="1">
      <c r="A121" s="69"/>
      <c r="B121" s="159" t="s">
        <v>641</v>
      </c>
      <c r="C121" s="160"/>
      <c r="D121" s="577"/>
      <c r="E121" s="585"/>
      <c r="F121" s="581"/>
      <c r="G121" s="583"/>
      <c r="H121" s="356"/>
      <c r="I121" s="356" t="s">
        <v>639</v>
      </c>
      <c r="J121" s="161"/>
      <c r="K121" s="69" t="s">
        <v>96</v>
      </c>
    </row>
    <row r="122" spans="1:11" ht="10.5" customHeight="1">
      <c r="A122" s="69"/>
      <c r="B122" s="156" t="s">
        <v>698</v>
      </c>
      <c r="C122" s="157"/>
      <c r="D122" s="576" t="s">
        <v>643</v>
      </c>
      <c r="E122" s="578">
        <v>37</v>
      </c>
      <c r="F122" s="580">
        <v>1000</v>
      </c>
      <c r="G122" s="582">
        <v>37000</v>
      </c>
      <c r="H122" s="355"/>
      <c r="I122" s="355"/>
      <c r="J122" s="158"/>
      <c r="K122" s="69" t="s">
        <v>96</v>
      </c>
    </row>
    <row r="123" spans="1:11" ht="10.5" customHeight="1">
      <c r="A123" s="69"/>
      <c r="B123" s="159" t="s">
        <v>638</v>
      </c>
      <c r="C123" s="160"/>
      <c r="D123" s="577"/>
      <c r="E123" s="579"/>
      <c r="F123" s="581"/>
      <c r="G123" s="583"/>
      <c r="H123" s="356"/>
      <c r="I123" s="356" t="s">
        <v>639</v>
      </c>
      <c r="J123" s="161"/>
      <c r="K123" s="69" t="s">
        <v>96</v>
      </c>
    </row>
    <row r="124" spans="1:11" ht="10.5" customHeight="1">
      <c r="A124" s="69"/>
      <c r="B124" s="156" t="s">
        <v>699</v>
      </c>
      <c r="C124" s="157"/>
      <c r="D124" s="576" t="s">
        <v>682</v>
      </c>
      <c r="E124" s="584">
        <v>654</v>
      </c>
      <c r="F124" s="580">
        <v>900</v>
      </c>
      <c r="G124" s="582">
        <v>588600</v>
      </c>
      <c r="H124" s="355"/>
      <c r="I124" s="355"/>
      <c r="J124" s="158"/>
      <c r="K124" s="69" t="s">
        <v>96</v>
      </c>
    </row>
    <row r="125" spans="1:11" ht="10.5" customHeight="1">
      <c r="A125" s="69"/>
      <c r="B125" s="159" t="s">
        <v>638</v>
      </c>
      <c r="C125" s="160"/>
      <c r="D125" s="577"/>
      <c r="E125" s="585"/>
      <c r="F125" s="581"/>
      <c r="G125" s="583"/>
      <c r="H125" s="356"/>
      <c r="I125" s="356" t="s">
        <v>639</v>
      </c>
      <c r="J125" s="161"/>
      <c r="K125" s="69" t="s">
        <v>96</v>
      </c>
    </row>
    <row r="126" spans="1:11" ht="10.5" customHeight="1">
      <c r="A126" s="69"/>
      <c r="B126" s="156" t="s">
        <v>700</v>
      </c>
      <c r="C126" s="157"/>
      <c r="D126" s="576" t="s">
        <v>630</v>
      </c>
      <c r="E126" s="584">
        <v>1</v>
      </c>
      <c r="F126" s="580">
        <v>76050</v>
      </c>
      <c r="G126" s="582">
        <v>76050</v>
      </c>
      <c r="H126" s="355"/>
      <c r="I126" s="355"/>
      <c r="J126" s="158"/>
      <c r="K126" s="69" t="s">
        <v>96</v>
      </c>
    </row>
    <row r="127" spans="1:11" ht="10.5" customHeight="1">
      <c r="A127" s="69"/>
      <c r="B127" s="159" t="s">
        <v>638</v>
      </c>
      <c r="C127" s="160"/>
      <c r="D127" s="577"/>
      <c r="E127" s="585"/>
      <c r="F127" s="581"/>
      <c r="G127" s="583"/>
      <c r="H127" s="356"/>
      <c r="I127" s="356" t="s">
        <v>639</v>
      </c>
      <c r="J127" s="161"/>
      <c r="K127" s="69" t="s">
        <v>96</v>
      </c>
    </row>
    <row r="128" spans="1:11" ht="10.5" customHeight="1">
      <c r="A128" s="69"/>
      <c r="B128" s="156" t="s">
        <v>701</v>
      </c>
      <c r="C128" s="157"/>
      <c r="D128" s="576" t="s">
        <v>682</v>
      </c>
      <c r="E128" s="584">
        <v>736</v>
      </c>
      <c r="F128" s="580">
        <v>2000</v>
      </c>
      <c r="G128" s="582">
        <v>1472000</v>
      </c>
      <c r="H128" s="355"/>
      <c r="I128" s="355"/>
      <c r="J128" s="158"/>
      <c r="K128" s="69" t="s">
        <v>96</v>
      </c>
    </row>
    <row r="129" spans="1:11" ht="10.5" customHeight="1">
      <c r="A129" s="69"/>
      <c r="B129" s="159" t="s">
        <v>641</v>
      </c>
      <c r="C129" s="160"/>
      <c r="D129" s="577"/>
      <c r="E129" s="585"/>
      <c r="F129" s="581"/>
      <c r="G129" s="583"/>
      <c r="H129" s="356"/>
      <c r="I129" s="356" t="s">
        <v>639</v>
      </c>
      <c r="J129" s="161"/>
      <c r="K129" s="69" t="s">
        <v>96</v>
      </c>
    </row>
    <row r="130" spans="1:11" ht="10.5" customHeight="1">
      <c r="A130" s="69"/>
      <c r="B130" s="156" t="s">
        <v>702</v>
      </c>
      <c r="C130" s="157"/>
      <c r="D130" s="576" t="s">
        <v>643</v>
      </c>
      <c r="E130" s="584">
        <v>1</v>
      </c>
      <c r="F130" s="580">
        <v>161365</v>
      </c>
      <c r="G130" s="582">
        <v>161365</v>
      </c>
      <c r="H130" s="355"/>
      <c r="I130" s="355"/>
      <c r="J130" s="158"/>
      <c r="K130" s="69" t="s">
        <v>96</v>
      </c>
    </row>
    <row r="131" spans="1:11" ht="10.5" customHeight="1">
      <c r="A131" s="69"/>
      <c r="B131" s="159" t="s">
        <v>641</v>
      </c>
      <c r="C131" s="160"/>
      <c r="D131" s="577"/>
      <c r="E131" s="585"/>
      <c r="F131" s="581"/>
      <c r="G131" s="583"/>
      <c r="H131" s="356"/>
      <c r="I131" s="356" t="s">
        <v>639</v>
      </c>
      <c r="J131" s="161"/>
      <c r="K131" s="69" t="s">
        <v>96</v>
      </c>
    </row>
    <row r="132" spans="1:11" ht="10.5" customHeight="1">
      <c r="A132" s="69"/>
      <c r="B132" s="156" t="s">
        <v>703</v>
      </c>
      <c r="C132" s="157"/>
      <c r="D132" s="576" t="s">
        <v>663</v>
      </c>
      <c r="E132" s="584">
        <v>6.8000000000000005E-2</v>
      </c>
      <c r="F132" s="580">
        <v>5000</v>
      </c>
      <c r="G132" s="582">
        <v>340</v>
      </c>
      <c r="H132" s="355"/>
      <c r="I132" s="355"/>
      <c r="J132" s="158"/>
      <c r="K132" s="69" t="s">
        <v>96</v>
      </c>
    </row>
    <row r="133" spans="1:11" ht="10.5" customHeight="1">
      <c r="A133" s="69"/>
      <c r="B133" s="159" t="s">
        <v>641</v>
      </c>
      <c r="C133" s="160"/>
      <c r="D133" s="577"/>
      <c r="E133" s="585"/>
      <c r="F133" s="581"/>
      <c r="G133" s="583"/>
      <c r="H133" s="356"/>
      <c r="I133" s="356" t="s">
        <v>639</v>
      </c>
      <c r="J133" s="161"/>
      <c r="K133" s="69" t="s">
        <v>96</v>
      </c>
    </row>
    <row r="134" spans="1:11" ht="10.5" customHeight="1">
      <c r="A134" s="69"/>
      <c r="B134" s="156" t="s">
        <v>703</v>
      </c>
      <c r="C134" s="157"/>
      <c r="D134" s="576" t="s">
        <v>663</v>
      </c>
      <c r="E134" s="584">
        <v>4.9000000000000004</v>
      </c>
      <c r="F134" s="580">
        <v>4000</v>
      </c>
      <c r="G134" s="582">
        <v>19600</v>
      </c>
      <c r="H134" s="355"/>
      <c r="I134" s="355"/>
      <c r="J134" s="158"/>
      <c r="K134" s="69" t="s">
        <v>96</v>
      </c>
    </row>
    <row r="135" spans="1:11" ht="10.5" customHeight="1">
      <c r="A135" s="69"/>
      <c r="B135" s="159" t="s">
        <v>638</v>
      </c>
      <c r="C135" s="160"/>
      <c r="D135" s="577"/>
      <c r="E135" s="585"/>
      <c r="F135" s="581"/>
      <c r="G135" s="583"/>
      <c r="H135" s="356"/>
      <c r="I135" s="356" t="s">
        <v>639</v>
      </c>
      <c r="J135" s="161"/>
      <c r="K135" s="69" t="s">
        <v>96</v>
      </c>
    </row>
    <row r="136" spans="1:11" ht="10.5" customHeight="1">
      <c r="A136" s="69"/>
      <c r="B136" s="156" t="s">
        <v>704</v>
      </c>
      <c r="C136" s="157"/>
      <c r="D136" s="576" t="s">
        <v>689</v>
      </c>
      <c r="E136" s="584">
        <v>1</v>
      </c>
      <c r="F136" s="580">
        <v>50000</v>
      </c>
      <c r="G136" s="582">
        <v>50000</v>
      </c>
      <c r="H136" s="355"/>
      <c r="I136" s="355"/>
      <c r="J136" s="158"/>
      <c r="K136" s="69" t="s">
        <v>96</v>
      </c>
    </row>
    <row r="137" spans="1:11" ht="10.5" customHeight="1">
      <c r="A137" s="69"/>
      <c r="B137" s="159" t="s">
        <v>638</v>
      </c>
      <c r="C137" s="160"/>
      <c r="D137" s="577"/>
      <c r="E137" s="585"/>
      <c r="F137" s="581"/>
      <c r="G137" s="583"/>
      <c r="H137" s="356"/>
      <c r="I137" s="356" t="s">
        <v>639</v>
      </c>
      <c r="J137" s="161"/>
      <c r="K137" s="69" t="s">
        <v>96</v>
      </c>
    </row>
    <row r="138" spans="1:11" ht="10.5" customHeight="1">
      <c r="A138" s="69"/>
      <c r="B138" s="156" t="s">
        <v>704</v>
      </c>
      <c r="C138" s="157"/>
      <c r="D138" s="576" t="s">
        <v>689</v>
      </c>
      <c r="E138" s="584">
        <v>2</v>
      </c>
      <c r="F138" s="580">
        <v>20000</v>
      </c>
      <c r="G138" s="582">
        <v>40000</v>
      </c>
      <c r="H138" s="355"/>
      <c r="I138" s="355"/>
      <c r="J138" s="158"/>
      <c r="K138" s="69" t="s">
        <v>96</v>
      </c>
    </row>
    <row r="139" spans="1:11" ht="10.5" customHeight="1">
      <c r="A139" s="69"/>
      <c r="B139" s="159" t="s">
        <v>638</v>
      </c>
      <c r="C139" s="160"/>
      <c r="D139" s="577"/>
      <c r="E139" s="585"/>
      <c r="F139" s="581"/>
      <c r="G139" s="583"/>
      <c r="H139" s="356"/>
      <c r="I139" s="356" t="s">
        <v>639</v>
      </c>
      <c r="J139" s="161"/>
      <c r="K139" s="69" t="s">
        <v>96</v>
      </c>
    </row>
    <row r="140" spans="1:11" ht="10.5" customHeight="1">
      <c r="A140" s="69"/>
      <c r="B140" s="156" t="s">
        <v>704</v>
      </c>
      <c r="C140" s="157"/>
      <c r="D140" s="576" t="s">
        <v>689</v>
      </c>
      <c r="E140" s="584">
        <v>1</v>
      </c>
      <c r="F140" s="580">
        <v>30000</v>
      </c>
      <c r="G140" s="582">
        <v>30000</v>
      </c>
      <c r="H140" s="355"/>
      <c r="I140" s="355"/>
      <c r="J140" s="158"/>
      <c r="K140" s="69" t="s">
        <v>96</v>
      </c>
    </row>
    <row r="141" spans="1:11" ht="10.5" customHeight="1">
      <c r="A141" s="69"/>
      <c r="B141" s="159" t="s">
        <v>638</v>
      </c>
      <c r="C141" s="160"/>
      <c r="D141" s="577"/>
      <c r="E141" s="585"/>
      <c r="F141" s="581"/>
      <c r="G141" s="583"/>
      <c r="H141" s="356"/>
      <c r="I141" s="356" t="s">
        <v>639</v>
      </c>
      <c r="J141" s="161"/>
      <c r="K141" s="69" t="s">
        <v>96</v>
      </c>
    </row>
    <row r="142" spans="1:11" ht="10.5" customHeight="1">
      <c r="A142" s="69"/>
      <c r="B142" s="156" t="s">
        <v>704</v>
      </c>
      <c r="C142" s="157"/>
      <c r="D142" s="576" t="s">
        <v>689</v>
      </c>
      <c r="E142" s="584">
        <v>1</v>
      </c>
      <c r="F142" s="580">
        <v>20000</v>
      </c>
      <c r="G142" s="582">
        <v>20000</v>
      </c>
      <c r="H142" s="355"/>
      <c r="I142" s="355"/>
      <c r="J142" s="158"/>
      <c r="K142" s="69" t="s">
        <v>96</v>
      </c>
    </row>
    <row r="143" spans="1:11" ht="10.5" customHeight="1">
      <c r="A143" s="69"/>
      <c r="B143" s="159" t="s">
        <v>638</v>
      </c>
      <c r="C143" s="160"/>
      <c r="D143" s="577"/>
      <c r="E143" s="585"/>
      <c r="F143" s="581"/>
      <c r="G143" s="583"/>
      <c r="H143" s="356"/>
      <c r="I143" s="356" t="s">
        <v>639</v>
      </c>
      <c r="J143" s="161"/>
      <c r="K143" s="69" t="s">
        <v>96</v>
      </c>
    </row>
    <row r="144" spans="1:11" ht="10.5" customHeight="1">
      <c r="A144" s="69"/>
      <c r="B144" s="156" t="s">
        <v>705</v>
      </c>
      <c r="C144" s="157"/>
      <c r="D144" s="586" t="s">
        <v>625</v>
      </c>
      <c r="E144" s="588">
        <v>0.68</v>
      </c>
      <c r="F144" s="590">
        <v>25000</v>
      </c>
      <c r="G144" s="592">
        <v>17000</v>
      </c>
      <c r="H144" s="355"/>
      <c r="I144" s="355"/>
      <c r="J144" s="162"/>
      <c r="K144" s="69" t="s">
        <v>96</v>
      </c>
    </row>
    <row r="145" spans="1:11" ht="10.5" customHeight="1" thickBot="1">
      <c r="A145" s="69"/>
      <c r="B145" s="163" t="s">
        <v>638</v>
      </c>
      <c r="C145" s="164"/>
      <c r="D145" s="587"/>
      <c r="E145" s="589"/>
      <c r="F145" s="591"/>
      <c r="G145" s="593"/>
      <c r="H145" s="357"/>
      <c r="I145" s="357" t="s">
        <v>639</v>
      </c>
      <c r="J145" s="165"/>
      <c r="K145" s="69" t="s">
        <v>96</v>
      </c>
    </row>
    <row r="146" spans="1:11" s="103" customFormat="1" ht="18" customHeight="1">
      <c r="A146" s="101"/>
      <c r="B146" s="166"/>
      <c r="C146" s="101"/>
      <c r="D146" s="101"/>
      <c r="E146" s="101"/>
      <c r="F146" s="101"/>
      <c r="G146" s="101"/>
      <c r="H146" s="101"/>
      <c r="I146" s="115"/>
      <c r="J146" s="115"/>
      <c r="K146" s="101"/>
    </row>
    <row r="147" spans="1:11" s="103" customFormat="1" ht="13.5" customHeight="1">
      <c r="A147" s="101"/>
      <c r="B147" s="166"/>
      <c r="C147" s="101"/>
      <c r="D147" s="101"/>
      <c r="E147" s="101"/>
      <c r="F147" s="101"/>
      <c r="G147" s="101"/>
      <c r="H147" s="101"/>
      <c r="I147" s="115"/>
      <c r="J147" s="115"/>
      <c r="K147" s="101"/>
    </row>
    <row r="148" spans="1:11" ht="26.1" customHeight="1" thickBot="1">
      <c r="B148" s="142"/>
      <c r="C148" s="142"/>
      <c r="D148" s="533" t="s">
        <v>664</v>
      </c>
      <c r="E148" s="533"/>
      <c r="F148" s="533"/>
      <c r="G148" s="533"/>
      <c r="H148" s="69"/>
      <c r="I148" s="69"/>
      <c r="J148" s="69"/>
      <c r="K148" s="69"/>
    </row>
    <row r="149" spans="1:11" ht="13.5" customHeight="1">
      <c r="A149" s="143"/>
      <c r="B149" s="143"/>
      <c r="C149" s="143"/>
      <c r="D149" s="143"/>
      <c r="E149" s="143"/>
      <c r="F149" s="143"/>
      <c r="G149" s="143"/>
      <c r="H149" s="143"/>
      <c r="I149" s="143"/>
      <c r="J149" s="143"/>
      <c r="K149" s="143"/>
    </row>
    <row r="150" spans="1:11" ht="21" customHeight="1">
      <c r="A150" s="144"/>
      <c r="B150" s="145" t="s">
        <v>614</v>
      </c>
      <c r="C150" s="146" t="s">
        <v>615</v>
      </c>
      <c r="D150" s="147"/>
      <c r="E150" s="148"/>
      <c r="F150" s="149"/>
      <c r="G150" s="149"/>
      <c r="H150" s="149"/>
      <c r="I150" s="149"/>
      <c r="J150" s="150"/>
      <c r="K150" s="144"/>
    </row>
    <row r="151" spans="1:11" ht="12.75" customHeight="1" thickBot="1">
      <c r="A151" s="69"/>
      <c r="B151" s="151"/>
      <c r="C151" s="151"/>
      <c r="D151" s="151"/>
      <c r="E151" s="151"/>
      <c r="F151" s="151"/>
      <c r="G151" s="151"/>
      <c r="H151" s="151"/>
      <c r="I151" s="151"/>
      <c r="J151" s="152" t="s">
        <v>616</v>
      </c>
      <c r="K151" s="69"/>
    </row>
    <row r="152" spans="1:11" ht="18" customHeight="1">
      <c r="A152" s="69"/>
      <c r="B152" s="574" t="s">
        <v>617</v>
      </c>
      <c r="C152" s="575"/>
      <c r="D152" s="153" t="s">
        <v>85</v>
      </c>
      <c r="E152" s="153" t="s">
        <v>618</v>
      </c>
      <c r="F152" s="153" t="s">
        <v>619</v>
      </c>
      <c r="G152" s="153" t="s">
        <v>620</v>
      </c>
      <c r="H152" s="154" t="s">
        <v>621</v>
      </c>
      <c r="I152" s="153" t="s">
        <v>622</v>
      </c>
      <c r="J152" s="155" t="s">
        <v>623</v>
      </c>
      <c r="K152" s="69"/>
    </row>
    <row r="153" spans="1:11" ht="10.5" customHeight="1">
      <c r="A153" s="69"/>
      <c r="B153" s="156" t="s">
        <v>705</v>
      </c>
      <c r="C153" s="157"/>
      <c r="D153" s="576" t="s">
        <v>625</v>
      </c>
      <c r="E153" s="578">
        <v>0.45</v>
      </c>
      <c r="F153" s="580">
        <v>30000</v>
      </c>
      <c r="G153" s="582">
        <v>13500</v>
      </c>
      <c r="H153" s="355"/>
      <c r="I153" s="355"/>
      <c r="J153" s="158"/>
      <c r="K153" s="69" t="s">
        <v>96</v>
      </c>
    </row>
    <row r="154" spans="1:11" ht="10.5" customHeight="1">
      <c r="A154" s="69"/>
      <c r="B154" s="159" t="s">
        <v>638</v>
      </c>
      <c r="C154" s="160"/>
      <c r="D154" s="577"/>
      <c r="E154" s="579"/>
      <c r="F154" s="581"/>
      <c r="G154" s="583"/>
      <c r="H154" s="356"/>
      <c r="I154" s="356" t="s">
        <v>639</v>
      </c>
      <c r="J154" s="161"/>
      <c r="K154" s="69" t="s">
        <v>96</v>
      </c>
    </row>
    <row r="155" spans="1:11" ht="10.5" customHeight="1">
      <c r="A155" s="69"/>
      <c r="B155" s="156" t="s">
        <v>705</v>
      </c>
      <c r="C155" s="157"/>
      <c r="D155" s="576" t="s">
        <v>625</v>
      </c>
      <c r="E155" s="578">
        <v>0.26</v>
      </c>
      <c r="F155" s="580">
        <v>25000</v>
      </c>
      <c r="G155" s="582">
        <v>6500</v>
      </c>
      <c r="H155" s="355"/>
      <c r="I155" s="355"/>
      <c r="J155" s="162"/>
      <c r="K155" s="69" t="s">
        <v>96</v>
      </c>
    </row>
    <row r="156" spans="1:11" ht="10.5" customHeight="1">
      <c r="A156" s="69"/>
      <c r="B156" s="159" t="s">
        <v>638</v>
      </c>
      <c r="C156" s="160"/>
      <c r="D156" s="577"/>
      <c r="E156" s="579"/>
      <c r="F156" s="581"/>
      <c r="G156" s="583"/>
      <c r="H156" s="356"/>
      <c r="I156" s="356" t="s">
        <v>639</v>
      </c>
      <c r="J156" s="162"/>
      <c r="K156" s="69" t="s">
        <v>96</v>
      </c>
    </row>
    <row r="157" spans="1:11" ht="10.5" customHeight="1">
      <c r="A157" s="69"/>
      <c r="B157" s="156" t="s">
        <v>705</v>
      </c>
      <c r="C157" s="157"/>
      <c r="D157" s="576" t="s">
        <v>625</v>
      </c>
      <c r="E157" s="578">
        <v>0.19</v>
      </c>
      <c r="F157" s="580">
        <v>25000</v>
      </c>
      <c r="G157" s="582">
        <v>4750</v>
      </c>
      <c r="H157" s="355"/>
      <c r="I157" s="355"/>
      <c r="J157" s="158"/>
      <c r="K157" s="69" t="s">
        <v>96</v>
      </c>
    </row>
    <row r="158" spans="1:11" ht="10.5" customHeight="1">
      <c r="A158" s="69"/>
      <c r="B158" s="159" t="s">
        <v>638</v>
      </c>
      <c r="C158" s="160"/>
      <c r="D158" s="577"/>
      <c r="E158" s="579"/>
      <c r="F158" s="581"/>
      <c r="G158" s="583"/>
      <c r="H158" s="356"/>
      <c r="I158" s="356" t="s">
        <v>639</v>
      </c>
      <c r="J158" s="161"/>
      <c r="K158" s="69" t="s">
        <v>96</v>
      </c>
    </row>
    <row r="159" spans="1:11" ht="10.5" customHeight="1">
      <c r="A159" s="69"/>
      <c r="B159" s="156" t="s">
        <v>706</v>
      </c>
      <c r="C159" s="157"/>
      <c r="D159" s="576" t="s">
        <v>643</v>
      </c>
      <c r="E159" s="584">
        <v>7</v>
      </c>
      <c r="F159" s="580">
        <v>55000</v>
      </c>
      <c r="G159" s="582">
        <v>385000</v>
      </c>
      <c r="H159" s="355"/>
      <c r="I159" s="355"/>
      <c r="J159" s="158"/>
      <c r="K159" s="69" t="s">
        <v>96</v>
      </c>
    </row>
    <row r="160" spans="1:11" ht="10.5" customHeight="1">
      <c r="A160" s="69"/>
      <c r="B160" s="159" t="s">
        <v>641</v>
      </c>
      <c r="C160" s="160"/>
      <c r="D160" s="577"/>
      <c r="E160" s="585"/>
      <c r="F160" s="581"/>
      <c r="G160" s="583"/>
      <c r="H160" s="356"/>
      <c r="I160" s="356" t="s">
        <v>639</v>
      </c>
      <c r="J160" s="161"/>
      <c r="K160" s="69" t="s">
        <v>96</v>
      </c>
    </row>
    <row r="161" spans="1:11" ht="10.5" customHeight="1">
      <c r="A161" s="69"/>
      <c r="B161" s="156" t="s">
        <v>707</v>
      </c>
      <c r="C161" s="157"/>
      <c r="D161" s="576" t="s">
        <v>643</v>
      </c>
      <c r="E161" s="584">
        <v>7</v>
      </c>
      <c r="F161" s="580">
        <v>1000</v>
      </c>
      <c r="G161" s="582">
        <v>7000</v>
      </c>
      <c r="H161" s="355"/>
      <c r="I161" s="355"/>
      <c r="J161" s="158"/>
      <c r="K161" s="69" t="s">
        <v>96</v>
      </c>
    </row>
    <row r="162" spans="1:11" ht="10.5" customHeight="1">
      <c r="A162" s="69"/>
      <c r="B162" s="159" t="s">
        <v>638</v>
      </c>
      <c r="C162" s="160"/>
      <c r="D162" s="577"/>
      <c r="E162" s="585"/>
      <c r="F162" s="581"/>
      <c r="G162" s="583"/>
      <c r="H162" s="356"/>
      <c r="I162" s="356" t="s">
        <v>639</v>
      </c>
      <c r="J162" s="161"/>
      <c r="K162" s="69" t="s">
        <v>96</v>
      </c>
    </row>
    <row r="163" spans="1:11" ht="10.5" customHeight="1">
      <c r="A163" s="69"/>
      <c r="B163" s="156" t="s">
        <v>708</v>
      </c>
      <c r="C163" s="157"/>
      <c r="D163" s="576" t="s">
        <v>643</v>
      </c>
      <c r="E163" s="584">
        <v>1</v>
      </c>
      <c r="F163" s="580">
        <v>17000</v>
      </c>
      <c r="G163" s="582">
        <v>17000</v>
      </c>
      <c r="H163" s="355"/>
      <c r="I163" s="355"/>
      <c r="J163" s="158"/>
      <c r="K163" s="69" t="s">
        <v>96</v>
      </c>
    </row>
    <row r="164" spans="1:11" ht="10.5" customHeight="1">
      <c r="A164" s="69"/>
      <c r="B164" s="159" t="s">
        <v>638</v>
      </c>
      <c r="C164" s="160"/>
      <c r="D164" s="577"/>
      <c r="E164" s="585"/>
      <c r="F164" s="581"/>
      <c r="G164" s="583"/>
      <c r="H164" s="356"/>
      <c r="I164" s="356" t="s">
        <v>639</v>
      </c>
      <c r="J164" s="161"/>
      <c r="K164" s="69" t="s">
        <v>96</v>
      </c>
    </row>
    <row r="165" spans="1:11" ht="10.5" customHeight="1">
      <c r="A165" s="69"/>
      <c r="B165" s="156" t="s">
        <v>709</v>
      </c>
      <c r="C165" s="157"/>
      <c r="D165" s="576" t="s">
        <v>643</v>
      </c>
      <c r="E165" s="584">
        <v>1</v>
      </c>
      <c r="F165" s="580">
        <v>1100000</v>
      </c>
      <c r="G165" s="582">
        <v>1100000</v>
      </c>
      <c r="H165" s="355"/>
      <c r="I165" s="355"/>
      <c r="J165" s="158"/>
      <c r="K165" s="69" t="s">
        <v>96</v>
      </c>
    </row>
    <row r="166" spans="1:11" ht="10.5" customHeight="1">
      <c r="A166" s="69"/>
      <c r="B166" s="159" t="s">
        <v>641</v>
      </c>
      <c r="C166" s="160"/>
      <c r="D166" s="577"/>
      <c r="E166" s="585"/>
      <c r="F166" s="581"/>
      <c r="G166" s="583"/>
      <c r="H166" s="356"/>
      <c r="I166" s="356" t="s">
        <v>639</v>
      </c>
      <c r="J166" s="161"/>
      <c r="K166" s="69" t="s">
        <v>96</v>
      </c>
    </row>
    <row r="167" spans="1:11" ht="10.5" customHeight="1">
      <c r="A167" s="69"/>
      <c r="B167" s="156"/>
      <c r="C167" s="157"/>
      <c r="D167" s="576"/>
      <c r="E167" s="584"/>
      <c r="F167" s="580"/>
      <c r="G167" s="582"/>
      <c r="H167" s="355"/>
      <c r="I167" s="355"/>
      <c r="J167" s="158"/>
      <c r="K167" s="69" t="s">
        <v>96</v>
      </c>
    </row>
    <row r="168" spans="1:11" ht="10.5" customHeight="1">
      <c r="A168" s="69"/>
      <c r="B168" s="159"/>
      <c r="C168" s="160"/>
      <c r="D168" s="577"/>
      <c r="E168" s="585"/>
      <c r="F168" s="581"/>
      <c r="G168" s="583"/>
      <c r="H168" s="356"/>
      <c r="I168" s="356"/>
      <c r="J168" s="161"/>
      <c r="K168" s="69" t="s">
        <v>96</v>
      </c>
    </row>
    <row r="169" spans="1:11" ht="10.5" customHeight="1">
      <c r="A169" s="69"/>
      <c r="B169" s="156" t="s">
        <v>633</v>
      </c>
      <c r="C169" s="157"/>
      <c r="D169" s="576"/>
      <c r="E169" s="584"/>
      <c r="F169" s="580"/>
      <c r="G169" s="582">
        <v>41614068</v>
      </c>
      <c r="H169" s="355"/>
      <c r="I169" s="355"/>
      <c r="J169" s="158"/>
      <c r="K169" s="69" t="s">
        <v>96</v>
      </c>
    </row>
    <row r="170" spans="1:11" ht="10.5" customHeight="1">
      <c r="A170" s="69"/>
      <c r="B170" s="159"/>
      <c r="C170" s="160"/>
      <c r="D170" s="577"/>
      <c r="E170" s="585"/>
      <c r="F170" s="581"/>
      <c r="G170" s="583"/>
      <c r="H170" s="356"/>
      <c r="I170" s="356"/>
      <c r="J170" s="161"/>
      <c r="K170" s="69" t="s">
        <v>96</v>
      </c>
    </row>
    <row r="171" spans="1:11" ht="10.5" customHeight="1">
      <c r="A171" s="69"/>
      <c r="B171" s="156"/>
      <c r="C171" s="157"/>
      <c r="D171" s="576"/>
      <c r="E171" s="578"/>
      <c r="F171" s="580"/>
      <c r="G171" s="582"/>
      <c r="H171" s="355"/>
      <c r="I171" s="355"/>
      <c r="J171" s="158"/>
      <c r="K171" s="69" t="s">
        <v>96</v>
      </c>
    </row>
    <row r="172" spans="1:11" ht="10.5" customHeight="1">
      <c r="A172" s="69"/>
      <c r="B172" s="159"/>
      <c r="C172" s="160"/>
      <c r="D172" s="577"/>
      <c r="E172" s="579"/>
      <c r="F172" s="581"/>
      <c r="G172" s="583"/>
      <c r="H172" s="356"/>
      <c r="I172" s="356"/>
      <c r="J172" s="161"/>
      <c r="K172" s="69" t="s">
        <v>96</v>
      </c>
    </row>
    <row r="173" spans="1:11" ht="10.5" customHeight="1">
      <c r="A173" s="69"/>
      <c r="B173" s="156"/>
      <c r="C173" s="157"/>
      <c r="D173" s="576"/>
      <c r="E173" s="584"/>
      <c r="F173" s="580"/>
      <c r="G173" s="582"/>
      <c r="H173" s="355"/>
      <c r="I173" s="355"/>
      <c r="J173" s="158"/>
      <c r="K173" s="69" t="s">
        <v>96</v>
      </c>
    </row>
    <row r="174" spans="1:11" ht="10.5" customHeight="1">
      <c r="A174" s="69"/>
      <c r="B174" s="159"/>
      <c r="C174" s="160"/>
      <c r="D174" s="577"/>
      <c r="E174" s="585"/>
      <c r="F174" s="581"/>
      <c r="G174" s="583"/>
      <c r="H174" s="356"/>
      <c r="I174" s="356"/>
      <c r="J174" s="161"/>
      <c r="K174" s="69" t="s">
        <v>96</v>
      </c>
    </row>
    <row r="175" spans="1:11" ht="10.5" customHeight="1">
      <c r="A175" s="69"/>
      <c r="B175" s="156"/>
      <c r="C175" s="157"/>
      <c r="D175" s="576"/>
      <c r="E175" s="584"/>
      <c r="F175" s="580"/>
      <c r="G175" s="582"/>
      <c r="H175" s="355"/>
      <c r="I175" s="355"/>
      <c r="J175" s="158"/>
      <c r="K175" s="69" t="s">
        <v>96</v>
      </c>
    </row>
    <row r="176" spans="1:11" ht="10.5" customHeight="1">
      <c r="A176" s="69"/>
      <c r="B176" s="159"/>
      <c r="C176" s="160"/>
      <c r="D176" s="577"/>
      <c r="E176" s="585"/>
      <c r="F176" s="581"/>
      <c r="G176" s="583"/>
      <c r="H176" s="356"/>
      <c r="I176" s="356"/>
      <c r="J176" s="161"/>
      <c r="K176" s="69" t="s">
        <v>96</v>
      </c>
    </row>
    <row r="177" spans="1:11" ht="10.5" customHeight="1">
      <c r="A177" s="69"/>
      <c r="B177" s="156"/>
      <c r="C177" s="157"/>
      <c r="D177" s="576"/>
      <c r="E177" s="584"/>
      <c r="F177" s="580"/>
      <c r="G177" s="582"/>
      <c r="H177" s="355"/>
      <c r="I177" s="355"/>
      <c r="J177" s="158"/>
      <c r="K177" s="69" t="s">
        <v>96</v>
      </c>
    </row>
    <row r="178" spans="1:11" ht="10.5" customHeight="1">
      <c r="A178" s="69"/>
      <c r="B178" s="159"/>
      <c r="C178" s="160"/>
      <c r="D178" s="577"/>
      <c r="E178" s="585"/>
      <c r="F178" s="581"/>
      <c r="G178" s="583"/>
      <c r="H178" s="356"/>
      <c r="I178" s="356"/>
      <c r="J178" s="161"/>
      <c r="K178" s="69" t="s">
        <v>96</v>
      </c>
    </row>
    <row r="179" spans="1:11" ht="10.5" customHeight="1">
      <c r="A179" s="69"/>
      <c r="B179" s="156"/>
      <c r="C179" s="157"/>
      <c r="D179" s="576"/>
      <c r="E179" s="584"/>
      <c r="F179" s="580"/>
      <c r="G179" s="582"/>
      <c r="H179" s="355"/>
      <c r="I179" s="355"/>
      <c r="J179" s="158"/>
      <c r="K179" s="69" t="s">
        <v>96</v>
      </c>
    </row>
    <row r="180" spans="1:11" ht="10.5" customHeight="1">
      <c r="A180" s="69"/>
      <c r="B180" s="159"/>
      <c r="C180" s="160"/>
      <c r="D180" s="577"/>
      <c r="E180" s="585"/>
      <c r="F180" s="581"/>
      <c r="G180" s="583"/>
      <c r="H180" s="356"/>
      <c r="I180" s="356"/>
      <c r="J180" s="161"/>
      <c r="K180" s="69" t="s">
        <v>96</v>
      </c>
    </row>
    <row r="181" spans="1:11" ht="10.5" customHeight="1">
      <c r="A181" s="69"/>
      <c r="B181" s="156"/>
      <c r="C181" s="157"/>
      <c r="D181" s="576"/>
      <c r="E181" s="584"/>
      <c r="F181" s="580"/>
      <c r="G181" s="582"/>
      <c r="H181" s="355"/>
      <c r="I181" s="355"/>
      <c r="J181" s="158"/>
      <c r="K181" s="69" t="s">
        <v>96</v>
      </c>
    </row>
    <row r="182" spans="1:11" ht="10.5" customHeight="1">
      <c r="A182" s="69"/>
      <c r="B182" s="159"/>
      <c r="C182" s="160"/>
      <c r="D182" s="577"/>
      <c r="E182" s="585"/>
      <c r="F182" s="581"/>
      <c r="G182" s="583"/>
      <c r="H182" s="356"/>
      <c r="I182" s="356"/>
      <c r="J182" s="161"/>
      <c r="K182" s="69" t="s">
        <v>96</v>
      </c>
    </row>
    <row r="183" spans="1:11" ht="10.5" customHeight="1">
      <c r="A183" s="69"/>
      <c r="B183" s="156"/>
      <c r="C183" s="157"/>
      <c r="D183" s="576"/>
      <c r="E183" s="584"/>
      <c r="F183" s="580"/>
      <c r="G183" s="582"/>
      <c r="H183" s="355"/>
      <c r="I183" s="355"/>
      <c r="J183" s="158"/>
      <c r="K183" s="69" t="s">
        <v>96</v>
      </c>
    </row>
    <row r="184" spans="1:11" ht="10.5" customHeight="1">
      <c r="A184" s="69"/>
      <c r="B184" s="159"/>
      <c r="C184" s="160"/>
      <c r="D184" s="577"/>
      <c r="E184" s="585"/>
      <c r="F184" s="581"/>
      <c r="G184" s="583"/>
      <c r="H184" s="356"/>
      <c r="I184" s="356"/>
      <c r="J184" s="161"/>
      <c r="K184" s="69" t="s">
        <v>96</v>
      </c>
    </row>
    <row r="185" spans="1:11" ht="10.5" customHeight="1">
      <c r="A185" s="69"/>
      <c r="B185" s="156"/>
      <c r="C185" s="157"/>
      <c r="D185" s="576"/>
      <c r="E185" s="584"/>
      <c r="F185" s="580"/>
      <c r="G185" s="582"/>
      <c r="H185" s="355"/>
      <c r="I185" s="355"/>
      <c r="J185" s="158"/>
      <c r="K185" s="69" t="s">
        <v>96</v>
      </c>
    </row>
    <row r="186" spans="1:11" ht="10.5" customHeight="1">
      <c r="A186" s="69"/>
      <c r="B186" s="159"/>
      <c r="C186" s="160"/>
      <c r="D186" s="577"/>
      <c r="E186" s="585"/>
      <c r="F186" s="581"/>
      <c r="G186" s="583"/>
      <c r="H186" s="356"/>
      <c r="I186" s="356"/>
      <c r="J186" s="161"/>
      <c r="K186" s="69" t="s">
        <v>96</v>
      </c>
    </row>
    <row r="187" spans="1:11" ht="10.5" customHeight="1">
      <c r="A187" s="69"/>
      <c r="B187" s="156"/>
      <c r="C187" s="157"/>
      <c r="D187" s="576"/>
      <c r="E187" s="584"/>
      <c r="F187" s="580"/>
      <c r="G187" s="582"/>
      <c r="H187" s="355"/>
      <c r="I187" s="355"/>
      <c r="J187" s="158"/>
      <c r="K187" s="69" t="s">
        <v>96</v>
      </c>
    </row>
    <row r="188" spans="1:11" ht="10.5" customHeight="1">
      <c r="A188" s="69"/>
      <c r="B188" s="159"/>
      <c r="C188" s="160"/>
      <c r="D188" s="577"/>
      <c r="E188" s="585"/>
      <c r="F188" s="581"/>
      <c r="G188" s="583"/>
      <c r="H188" s="356"/>
      <c r="I188" s="356"/>
      <c r="J188" s="161"/>
      <c r="K188" s="69" t="s">
        <v>96</v>
      </c>
    </row>
    <row r="189" spans="1:11" ht="10.5" customHeight="1">
      <c r="A189" s="69"/>
      <c r="B189" s="156"/>
      <c r="C189" s="157"/>
      <c r="D189" s="576"/>
      <c r="E189" s="584"/>
      <c r="F189" s="580"/>
      <c r="G189" s="582"/>
      <c r="H189" s="355"/>
      <c r="I189" s="355"/>
      <c r="J189" s="158"/>
      <c r="K189" s="69" t="s">
        <v>96</v>
      </c>
    </row>
    <row r="190" spans="1:11" ht="10.5" customHeight="1">
      <c r="A190" s="69"/>
      <c r="B190" s="159"/>
      <c r="C190" s="160"/>
      <c r="D190" s="577"/>
      <c r="E190" s="585"/>
      <c r="F190" s="581"/>
      <c r="G190" s="583"/>
      <c r="H190" s="356"/>
      <c r="I190" s="356"/>
      <c r="J190" s="161"/>
      <c r="K190" s="69" t="s">
        <v>96</v>
      </c>
    </row>
    <row r="191" spans="1:11" ht="10.5" customHeight="1">
      <c r="A191" s="69"/>
      <c r="B191" s="156"/>
      <c r="C191" s="157"/>
      <c r="D191" s="576"/>
      <c r="E191" s="584"/>
      <c r="F191" s="580"/>
      <c r="G191" s="582"/>
      <c r="H191" s="355"/>
      <c r="I191" s="355"/>
      <c r="J191" s="158"/>
      <c r="K191" s="69" t="s">
        <v>96</v>
      </c>
    </row>
    <row r="192" spans="1:11" ht="10.5" customHeight="1">
      <c r="A192" s="69"/>
      <c r="B192" s="159"/>
      <c r="C192" s="160"/>
      <c r="D192" s="577"/>
      <c r="E192" s="585"/>
      <c r="F192" s="581"/>
      <c r="G192" s="583"/>
      <c r="H192" s="356"/>
      <c r="I192" s="356"/>
      <c r="J192" s="161"/>
      <c r="K192" s="69" t="s">
        <v>96</v>
      </c>
    </row>
    <row r="193" spans="1:11" ht="10.5" customHeight="1">
      <c r="A193" s="69"/>
      <c r="B193" s="156"/>
      <c r="C193" s="157"/>
      <c r="D193" s="586"/>
      <c r="E193" s="588"/>
      <c r="F193" s="590"/>
      <c r="G193" s="592"/>
      <c r="H193" s="355"/>
      <c r="I193" s="355"/>
      <c r="J193" s="162"/>
      <c r="K193" s="69" t="s">
        <v>96</v>
      </c>
    </row>
    <row r="194" spans="1:11" ht="10.5" customHeight="1" thickBot="1">
      <c r="A194" s="69"/>
      <c r="B194" s="163"/>
      <c r="C194" s="164"/>
      <c r="D194" s="587"/>
      <c r="E194" s="589"/>
      <c r="F194" s="591"/>
      <c r="G194" s="593"/>
      <c r="H194" s="357"/>
      <c r="I194" s="357"/>
      <c r="J194" s="165"/>
      <c r="K194" s="69" t="s">
        <v>96</v>
      </c>
    </row>
    <row r="195" spans="1:11" s="103" customFormat="1" ht="18" customHeight="1">
      <c r="A195" s="101"/>
      <c r="B195" s="166"/>
      <c r="C195" s="101"/>
      <c r="D195" s="101"/>
      <c r="E195" s="101"/>
      <c r="F195" s="101"/>
      <c r="G195" s="101"/>
      <c r="H195" s="101"/>
      <c r="I195" s="115"/>
      <c r="J195" s="115"/>
      <c r="K195" s="101"/>
    </row>
    <row r="196" spans="1:11" s="103" customFormat="1" ht="13.5" customHeight="1">
      <c r="A196" s="101"/>
      <c r="B196" s="166"/>
      <c r="C196" s="101"/>
      <c r="D196" s="101"/>
      <c r="E196" s="101"/>
      <c r="F196" s="101"/>
      <c r="G196" s="101"/>
      <c r="H196" s="101"/>
      <c r="I196" s="115"/>
      <c r="J196" s="115"/>
      <c r="K196" s="101"/>
    </row>
  </sheetData>
  <mergeCells count="344">
    <mergeCell ref="D191:D192"/>
    <mergeCell ref="E191:E192"/>
    <mergeCell ref="F191:F192"/>
    <mergeCell ref="G191:G192"/>
    <mergeCell ref="D193:D194"/>
    <mergeCell ref="E193:E194"/>
    <mergeCell ref="F193:F194"/>
    <mergeCell ref="G193:G194"/>
    <mergeCell ref="D187:D188"/>
    <mergeCell ref="E187:E188"/>
    <mergeCell ref="F187:F188"/>
    <mergeCell ref="G187:G188"/>
    <mergeCell ref="D189:D190"/>
    <mergeCell ref="E189:E190"/>
    <mergeCell ref="F189:F190"/>
    <mergeCell ref="G189:G190"/>
    <mergeCell ref="D183:D184"/>
    <mergeCell ref="E183:E184"/>
    <mergeCell ref="F183:F184"/>
    <mergeCell ref="G183:G184"/>
    <mergeCell ref="D185:D186"/>
    <mergeCell ref="E185:E186"/>
    <mergeCell ref="F185:F186"/>
    <mergeCell ref="G185:G186"/>
    <mergeCell ref="D179:D180"/>
    <mergeCell ref="E179:E180"/>
    <mergeCell ref="F179:F180"/>
    <mergeCell ref="G179:G180"/>
    <mergeCell ref="D181:D182"/>
    <mergeCell ref="E181:E182"/>
    <mergeCell ref="F181:F182"/>
    <mergeCell ref="G181:G182"/>
    <mergeCell ref="D175:D176"/>
    <mergeCell ref="E175:E176"/>
    <mergeCell ref="F175:F176"/>
    <mergeCell ref="G175:G176"/>
    <mergeCell ref="D177:D178"/>
    <mergeCell ref="E177:E178"/>
    <mergeCell ref="F177:F178"/>
    <mergeCell ref="G177:G178"/>
    <mergeCell ref="D171:D172"/>
    <mergeCell ref="E171:E172"/>
    <mergeCell ref="F171:F172"/>
    <mergeCell ref="G171:G172"/>
    <mergeCell ref="D173:D174"/>
    <mergeCell ref="E173:E174"/>
    <mergeCell ref="F173:F174"/>
    <mergeCell ref="G173:G174"/>
    <mergeCell ref="D167:D168"/>
    <mergeCell ref="E167:E168"/>
    <mergeCell ref="F167:F168"/>
    <mergeCell ref="G167:G168"/>
    <mergeCell ref="D169:D170"/>
    <mergeCell ref="E169:E170"/>
    <mergeCell ref="F169:F170"/>
    <mergeCell ref="G169:G170"/>
    <mergeCell ref="D163:D164"/>
    <mergeCell ref="E163:E164"/>
    <mergeCell ref="F163:F164"/>
    <mergeCell ref="G163:G164"/>
    <mergeCell ref="D165:D166"/>
    <mergeCell ref="E165:E166"/>
    <mergeCell ref="F165:F166"/>
    <mergeCell ref="G165:G166"/>
    <mergeCell ref="D159:D160"/>
    <mergeCell ref="E159:E160"/>
    <mergeCell ref="F159:F160"/>
    <mergeCell ref="G159:G160"/>
    <mergeCell ref="D161:D162"/>
    <mergeCell ref="E161:E162"/>
    <mergeCell ref="F161:F162"/>
    <mergeCell ref="G161:G162"/>
    <mergeCell ref="D155:D156"/>
    <mergeCell ref="E155:E156"/>
    <mergeCell ref="F155:F156"/>
    <mergeCell ref="G155:G156"/>
    <mergeCell ref="D157:D158"/>
    <mergeCell ref="E157:E158"/>
    <mergeCell ref="F157:F158"/>
    <mergeCell ref="G157:G158"/>
    <mergeCell ref="D148:G148"/>
    <mergeCell ref="B152:C152"/>
    <mergeCell ref="D153:D154"/>
    <mergeCell ref="E153:E154"/>
    <mergeCell ref="F153:F154"/>
    <mergeCell ref="G153:G154"/>
    <mergeCell ref="D142:D143"/>
    <mergeCell ref="E142:E143"/>
    <mergeCell ref="F142:F143"/>
    <mergeCell ref="G142:G143"/>
    <mergeCell ref="D144:D145"/>
    <mergeCell ref="E144:E145"/>
    <mergeCell ref="F144:F145"/>
    <mergeCell ref="G144:G145"/>
    <mergeCell ref="D138:D139"/>
    <mergeCell ref="E138:E139"/>
    <mergeCell ref="F138:F139"/>
    <mergeCell ref="G138:G139"/>
    <mergeCell ref="D140:D141"/>
    <mergeCell ref="E140:E141"/>
    <mergeCell ref="F140:F141"/>
    <mergeCell ref="G140:G141"/>
    <mergeCell ref="D134:D135"/>
    <mergeCell ref="E134:E135"/>
    <mergeCell ref="F134:F135"/>
    <mergeCell ref="G134:G135"/>
    <mergeCell ref="D136:D137"/>
    <mergeCell ref="E136:E137"/>
    <mergeCell ref="F136:F137"/>
    <mergeCell ref="G136:G137"/>
    <mergeCell ref="D130:D131"/>
    <mergeCell ref="E130:E131"/>
    <mergeCell ref="F130:F131"/>
    <mergeCell ref="G130:G131"/>
    <mergeCell ref="D132:D133"/>
    <mergeCell ref="E132:E133"/>
    <mergeCell ref="F132:F133"/>
    <mergeCell ref="G132:G133"/>
    <mergeCell ref="D126:D127"/>
    <mergeCell ref="E126:E127"/>
    <mergeCell ref="F126:F127"/>
    <mergeCell ref="G126:G127"/>
    <mergeCell ref="D128:D129"/>
    <mergeCell ref="E128:E129"/>
    <mergeCell ref="F128:F129"/>
    <mergeCell ref="G128:G129"/>
    <mergeCell ref="D122:D123"/>
    <mergeCell ref="E122:E123"/>
    <mergeCell ref="F122:F123"/>
    <mergeCell ref="G122:G123"/>
    <mergeCell ref="D124:D125"/>
    <mergeCell ref="E124:E125"/>
    <mergeCell ref="F124:F125"/>
    <mergeCell ref="G124:G125"/>
    <mergeCell ref="D118:D119"/>
    <mergeCell ref="E118:E119"/>
    <mergeCell ref="F118:F119"/>
    <mergeCell ref="G118:G119"/>
    <mergeCell ref="D120:D121"/>
    <mergeCell ref="E120:E121"/>
    <mergeCell ref="F120:F121"/>
    <mergeCell ref="G120:G121"/>
    <mergeCell ref="D114:D115"/>
    <mergeCell ref="E114:E115"/>
    <mergeCell ref="F114:F115"/>
    <mergeCell ref="G114:G115"/>
    <mergeCell ref="D116:D117"/>
    <mergeCell ref="E116:E117"/>
    <mergeCell ref="F116:F117"/>
    <mergeCell ref="G116:G117"/>
    <mergeCell ref="D110:D111"/>
    <mergeCell ref="E110:E111"/>
    <mergeCell ref="F110:F111"/>
    <mergeCell ref="G110:G111"/>
    <mergeCell ref="D112:D113"/>
    <mergeCell ref="E112:E113"/>
    <mergeCell ref="F112:F113"/>
    <mergeCell ref="G112:G113"/>
    <mergeCell ref="D106:D107"/>
    <mergeCell ref="E106:E107"/>
    <mergeCell ref="F106:F107"/>
    <mergeCell ref="G106:G107"/>
    <mergeCell ref="D108:D109"/>
    <mergeCell ref="E108:E109"/>
    <mergeCell ref="F108:F109"/>
    <mergeCell ref="G108:G109"/>
    <mergeCell ref="D99:G99"/>
    <mergeCell ref="B103:C103"/>
    <mergeCell ref="D104:D105"/>
    <mergeCell ref="E104:E105"/>
    <mergeCell ref="F104:F105"/>
    <mergeCell ref="G104:G105"/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614</v>
      </c>
      <c r="C3" s="146" t="s">
        <v>615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616</v>
      </c>
      <c r="K4" s="69"/>
    </row>
    <row r="5" spans="1:11" ht="18" customHeight="1">
      <c r="A5" s="69"/>
      <c r="B5" s="574" t="s">
        <v>617</v>
      </c>
      <c r="C5" s="575"/>
      <c r="D5" s="153" t="s">
        <v>85</v>
      </c>
      <c r="E5" s="153" t="s">
        <v>618</v>
      </c>
      <c r="F5" s="153" t="s">
        <v>619</v>
      </c>
      <c r="G5" s="153" t="s">
        <v>620</v>
      </c>
      <c r="H5" s="154" t="s">
        <v>621</v>
      </c>
      <c r="I5" s="153" t="s">
        <v>622</v>
      </c>
      <c r="J5" s="155" t="s">
        <v>623</v>
      </c>
      <c r="K5" s="69"/>
    </row>
    <row r="6" spans="1:11" ht="10.5" customHeight="1">
      <c r="A6" s="69"/>
      <c r="B6" s="156" t="s">
        <v>710</v>
      </c>
      <c r="C6" s="157"/>
      <c r="D6" s="576" t="s">
        <v>689</v>
      </c>
      <c r="E6" s="578">
        <v>17</v>
      </c>
      <c r="F6" s="580">
        <v>8000</v>
      </c>
      <c r="G6" s="582">
        <v>136000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711</v>
      </c>
      <c r="J7" s="161"/>
      <c r="K7" s="69" t="s">
        <v>96</v>
      </c>
    </row>
    <row r="8" spans="1:11" ht="10.5" customHeight="1">
      <c r="A8" s="69"/>
      <c r="B8" s="156" t="s">
        <v>712</v>
      </c>
      <c r="C8" s="157"/>
      <c r="D8" s="576" t="s">
        <v>689</v>
      </c>
      <c r="E8" s="578">
        <v>12</v>
      </c>
      <c r="F8" s="580">
        <v>18000</v>
      </c>
      <c r="G8" s="582">
        <v>216000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711</v>
      </c>
      <c r="J9" s="162"/>
      <c r="K9" s="69" t="s">
        <v>96</v>
      </c>
    </row>
    <row r="10" spans="1:11" ht="10.5" customHeight="1">
      <c r="A10" s="69"/>
      <c r="B10" s="156" t="s">
        <v>713</v>
      </c>
      <c r="C10" s="157"/>
      <c r="D10" s="576" t="s">
        <v>689</v>
      </c>
      <c r="E10" s="578">
        <v>12</v>
      </c>
      <c r="F10" s="580">
        <v>1500</v>
      </c>
      <c r="G10" s="582">
        <v>18000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711</v>
      </c>
      <c r="J11" s="161"/>
      <c r="K11" s="69" t="s">
        <v>96</v>
      </c>
    </row>
    <row r="12" spans="1:11" ht="10.5" customHeight="1">
      <c r="A12" s="69"/>
      <c r="B12" s="156" t="s">
        <v>714</v>
      </c>
      <c r="C12" s="157"/>
      <c r="D12" s="576" t="s">
        <v>689</v>
      </c>
      <c r="E12" s="584">
        <v>19</v>
      </c>
      <c r="F12" s="580">
        <v>4300</v>
      </c>
      <c r="G12" s="582">
        <v>81700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711</v>
      </c>
      <c r="J13" s="161"/>
      <c r="K13" s="69" t="s">
        <v>96</v>
      </c>
    </row>
    <row r="14" spans="1:11" ht="10.5" customHeight="1">
      <c r="A14" s="69"/>
      <c r="B14" s="156" t="s">
        <v>715</v>
      </c>
      <c r="C14" s="157"/>
      <c r="D14" s="576" t="s">
        <v>689</v>
      </c>
      <c r="E14" s="584">
        <v>12</v>
      </c>
      <c r="F14" s="580">
        <v>5500</v>
      </c>
      <c r="G14" s="582">
        <v>66000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716</v>
      </c>
      <c r="C15" s="160"/>
      <c r="D15" s="577"/>
      <c r="E15" s="585"/>
      <c r="F15" s="581"/>
      <c r="G15" s="583"/>
      <c r="H15" s="356"/>
      <c r="I15" s="356" t="s">
        <v>711</v>
      </c>
      <c r="J15" s="161"/>
      <c r="K15" s="69" t="s">
        <v>96</v>
      </c>
    </row>
    <row r="16" spans="1:11" ht="10.5" customHeight="1">
      <c r="A16" s="69"/>
      <c r="B16" s="156" t="s">
        <v>717</v>
      </c>
      <c r="C16" s="157"/>
      <c r="D16" s="576" t="s">
        <v>689</v>
      </c>
      <c r="E16" s="584">
        <v>12</v>
      </c>
      <c r="F16" s="580">
        <v>4000</v>
      </c>
      <c r="G16" s="582">
        <v>48000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718</v>
      </c>
      <c r="C17" s="160"/>
      <c r="D17" s="577"/>
      <c r="E17" s="585"/>
      <c r="F17" s="581"/>
      <c r="G17" s="583"/>
      <c r="H17" s="356"/>
      <c r="I17" s="356" t="s">
        <v>711</v>
      </c>
      <c r="J17" s="161"/>
      <c r="K17" s="69" t="s">
        <v>96</v>
      </c>
    </row>
    <row r="18" spans="1:11" ht="10.5" customHeight="1">
      <c r="A18" s="69"/>
      <c r="B18" s="156" t="s">
        <v>719</v>
      </c>
      <c r="C18" s="157"/>
      <c r="D18" s="576" t="s">
        <v>689</v>
      </c>
      <c r="E18" s="584">
        <v>17</v>
      </c>
      <c r="F18" s="580">
        <v>4000</v>
      </c>
      <c r="G18" s="582">
        <v>68000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720</v>
      </c>
      <c r="C19" s="160"/>
      <c r="D19" s="577"/>
      <c r="E19" s="585"/>
      <c r="F19" s="581"/>
      <c r="G19" s="583"/>
      <c r="H19" s="356"/>
      <c r="I19" s="356" t="s">
        <v>711</v>
      </c>
      <c r="J19" s="161"/>
      <c r="K19" s="69" t="s">
        <v>96</v>
      </c>
    </row>
    <row r="20" spans="1:11" ht="10.5" customHeight="1">
      <c r="A20" s="69"/>
      <c r="B20" s="156" t="s">
        <v>721</v>
      </c>
      <c r="C20" s="157"/>
      <c r="D20" s="576" t="s">
        <v>689</v>
      </c>
      <c r="E20" s="584">
        <v>2</v>
      </c>
      <c r="F20" s="580">
        <v>12000</v>
      </c>
      <c r="G20" s="582">
        <v>24000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722</v>
      </c>
      <c r="C21" s="160"/>
      <c r="D21" s="577"/>
      <c r="E21" s="585"/>
      <c r="F21" s="581"/>
      <c r="G21" s="583"/>
      <c r="H21" s="356"/>
      <c r="I21" s="356" t="s">
        <v>711</v>
      </c>
      <c r="J21" s="161"/>
      <c r="K21" s="69" t="s">
        <v>96</v>
      </c>
    </row>
    <row r="22" spans="1:11" ht="10.5" customHeight="1">
      <c r="A22" s="69"/>
      <c r="B22" s="156" t="s">
        <v>723</v>
      </c>
      <c r="C22" s="157"/>
      <c r="D22" s="576" t="s">
        <v>689</v>
      </c>
      <c r="E22" s="584">
        <v>12</v>
      </c>
      <c r="F22" s="580">
        <v>6000</v>
      </c>
      <c r="G22" s="582">
        <v>72000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724</v>
      </c>
      <c r="C23" s="160"/>
      <c r="D23" s="577"/>
      <c r="E23" s="585"/>
      <c r="F23" s="581"/>
      <c r="G23" s="583"/>
      <c r="H23" s="356"/>
      <c r="I23" s="356" t="s">
        <v>711</v>
      </c>
      <c r="J23" s="161"/>
      <c r="K23" s="69" t="s">
        <v>96</v>
      </c>
    </row>
    <row r="24" spans="1:11" ht="10.5" customHeight="1">
      <c r="A24" s="69"/>
      <c r="B24" s="156" t="s">
        <v>725</v>
      </c>
      <c r="C24" s="157"/>
      <c r="D24" s="576" t="s">
        <v>726</v>
      </c>
      <c r="E24" s="578">
        <v>3</v>
      </c>
      <c r="F24" s="580">
        <v>3900</v>
      </c>
      <c r="G24" s="582">
        <v>11700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711</v>
      </c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 t="s">
        <v>633</v>
      </c>
      <c r="C28" s="157"/>
      <c r="D28" s="576"/>
      <c r="E28" s="584"/>
      <c r="F28" s="580"/>
      <c r="G28" s="582">
        <v>741400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109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614</v>
      </c>
      <c r="C3" s="146" t="s">
        <v>615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616</v>
      </c>
      <c r="K4" s="69"/>
    </row>
    <row r="5" spans="1:11" ht="18" customHeight="1">
      <c r="A5" s="69"/>
      <c r="B5" s="574" t="s">
        <v>617</v>
      </c>
      <c r="C5" s="575"/>
      <c r="D5" s="153" t="s">
        <v>85</v>
      </c>
      <c r="E5" s="153" t="s">
        <v>618</v>
      </c>
      <c r="F5" s="153" t="s">
        <v>619</v>
      </c>
      <c r="G5" s="153" t="s">
        <v>620</v>
      </c>
      <c r="H5" s="154" t="s">
        <v>621</v>
      </c>
      <c r="I5" s="153" t="s">
        <v>622</v>
      </c>
      <c r="J5" s="155" t="s">
        <v>623</v>
      </c>
      <c r="K5" s="69"/>
    </row>
    <row r="6" spans="1:11" ht="10.5" customHeight="1">
      <c r="A6" s="69"/>
      <c r="B6" s="156" t="s">
        <v>727</v>
      </c>
      <c r="C6" s="157"/>
      <c r="D6" s="576" t="s">
        <v>689</v>
      </c>
      <c r="E6" s="578">
        <v>41</v>
      </c>
      <c r="F6" s="580">
        <v>5000</v>
      </c>
      <c r="G6" s="582">
        <v>205000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728</v>
      </c>
      <c r="J7" s="161"/>
      <c r="K7" s="69" t="s">
        <v>96</v>
      </c>
    </row>
    <row r="8" spans="1:11" ht="10.5" customHeight="1">
      <c r="A8" s="69"/>
      <c r="B8" s="156" t="s">
        <v>729</v>
      </c>
      <c r="C8" s="157"/>
      <c r="D8" s="576" t="s">
        <v>689</v>
      </c>
      <c r="E8" s="578">
        <v>72</v>
      </c>
      <c r="F8" s="580">
        <v>43000</v>
      </c>
      <c r="G8" s="582">
        <v>3096000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730</v>
      </c>
      <c r="C9" s="160"/>
      <c r="D9" s="577"/>
      <c r="E9" s="579"/>
      <c r="F9" s="581"/>
      <c r="G9" s="583"/>
      <c r="H9" s="356"/>
      <c r="I9" s="356" t="s">
        <v>728</v>
      </c>
      <c r="J9" s="162"/>
      <c r="K9" s="69" t="s">
        <v>96</v>
      </c>
    </row>
    <row r="10" spans="1:11" ht="10.5" customHeight="1">
      <c r="A10" s="69"/>
      <c r="B10" s="156" t="s">
        <v>731</v>
      </c>
      <c r="C10" s="157"/>
      <c r="D10" s="576" t="s">
        <v>696</v>
      </c>
      <c r="E10" s="578">
        <v>6</v>
      </c>
      <c r="F10" s="580">
        <v>10000</v>
      </c>
      <c r="G10" s="582">
        <v>60000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728</v>
      </c>
      <c r="J11" s="161"/>
      <c r="K11" s="69" t="s">
        <v>96</v>
      </c>
    </row>
    <row r="12" spans="1:11" ht="10.5" customHeight="1">
      <c r="A12" s="69"/>
      <c r="B12" s="156" t="s">
        <v>732</v>
      </c>
      <c r="C12" s="157"/>
      <c r="D12" s="576" t="s">
        <v>696</v>
      </c>
      <c r="E12" s="584">
        <v>2</v>
      </c>
      <c r="F12" s="580">
        <v>30000</v>
      </c>
      <c r="G12" s="582">
        <v>60000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728</v>
      </c>
      <c r="J13" s="161"/>
      <c r="K13" s="69" t="s">
        <v>96</v>
      </c>
    </row>
    <row r="14" spans="1:11" ht="10.5" customHeight="1">
      <c r="A14" s="69"/>
      <c r="B14" s="156" t="s">
        <v>733</v>
      </c>
      <c r="C14" s="157"/>
      <c r="D14" s="576" t="s">
        <v>696</v>
      </c>
      <c r="E14" s="584">
        <v>2</v>
      </c>
      <c r="F14" s="580">
        <v>18000</v>
      </c>
      <c r="G14" s="582">
        <v>36000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728</v>
      </c>
      <c r="J15" s="161"/>
      <c r="K15" s="69" t="s">
        <v>96</v>
      </c>
    </row>
    <row r="16" spans="1:11" ht="10.5" customHeight="1">
      <c r="A16" s="69"/>
      <c r="B16" s="156" t="s">
        <v>734</v>
      </c>
      <c r="C16" s="157"/>
      <c r="D16" s="576" t="s">
        <v>663</v>
      </c>
      <c r="E16" s="584">
        <v>1509</v>
      </c>
      <c r="F16" s="580">
        <v>3540</v>
      </c>
      <c r="G16" s="582">
        <v>5341860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728</v>
      </c>
      <c r="J17" s="161"/>
      <c r="K17" s="69" t="s">
        <v>96</v>
      </c>
    </row>
    <row r="18" spans="1:11" ht="10.5" customHeight="1">
      <c r="A18" s="69"/>
      <c r="B18" s="156" t="s">
        <v>735</v>
      </c>
      <c r="C18" s="157"/>
      <c r="D18" s="576" t="s">
        <v>689</v>
      </c>
      <c r="E18" s="584">
        <v>24</v>
      </c>
      <c r="F18" s="580">
        <v>4000</v>
      </c>
      <c r="G18" s="582">
        <v>96000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736</v>
      </c>
      <c r="C19" s="160"/>
      <c r="D19" s="577"/>
      <c r="E19" s="585"/>
      <c r="F19" s="581"/>
      <c r="G19" s="583"/>
      <c r="H19" s="356"/>
      <c r="I19" s="356" t="s">
        <v>728</v>
      </c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 t="s">
        <v>633</v>
      </c>
      <c r="C22" s="157"/>
      <c r="D22" s="576"/>
      <c r="E22" s="584"/>
      <c r="F22" s="580"/>
      <c r="G22" s="582">
        <v>8894860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9</vt:i4>
      </vt:variant>
    </vt:vector>
  </HeadingPairs>
  <TitlesOfParts>
    <vt:vector size="26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調書(外注費)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2025-12-12T06:21:01Z</dcterms:modified>
  <cp:category/>
  <cp:contentStatus/>
</cp:coreProperties>
</file>