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filterPrivacy="1" showInkAnnotation="0" updateLinks="never" codeName="ThisWorkbook"/>
  <xr:revisionPtr revIDLastSave="0" documentId="8_{75F58BE0-D2DF-40A6-9D09-ED95B6848B5E}" xr6:coauthVersionLast="47" xr6:coauthVersionMax="47" xr10:uidLastSave="{00000000-0000-0000-0000-000000000000}"/>
  <bookViews>
    <workbookView xWindow="28680" yWindow="-120" windowWidth="29040" windowHeight="15720" tabRatio="728" xr2:uid="{00000000-000D-0000-FFFF-FFFF00000000}"/>
  </bookViews>
  <sheets>
    <sheet name="実行予算書鑑" sheetId="24" r:id="rId1"/>
    <sheet name="工事工程表" sheetId="25" r:id="rId2"/>
    <sheet name="工事概要" sheetId="26" r:id="rId3"/>
    <sheet name="工事総括表" sheetId="27" r:id="rId4"/>
    <sheet name="工事総括表2" sheetId="35" r:id="rId5"/>
    <sheet name="本工事内訳書(直接工事費)" sheetId="36" r:id="rId6"/>
    <sheet name="工事費一覧表(直接工事費)" sheetId="29" r:id="rId7"/>
    <sheet name="間接費一覧" sheetId="30" r:id="rId8"/>
    <sheet name="共通仮設費総括表" sheetId="31" r:id="rId9"/>
    <sheet name="工事費一覧表(共通仮設費)" sheetId="32" r:id="rId10"/>
    <sheet name="現場経費総括表" sheetId="33" r:id="rId11"/>
    <sheet name="工事費一覧表(現場経費)" sheetId="34" r:id="rId12"/>
    <sheet name="調書(材料費)" sheetId="8" r:id="rId13"/>
    <sheet name="調書(労務費)" sheetId="13" r:id="rId14"/>
    <sheet name="調書(外注費)" sheetId="14" r:id="rId15"/>
    <sheet name="調書(機械費)" sheetId="16" r:id="rId16"/>
    <sheet name="調書(運搬費)" sheetId="15" r:id="rId17"/>
  </sheets>
  <functionGroups builtInGroupCount="19"/>
  <definedNames>
    <definedName name="_xlnm._FilterDatabase" localSheetId="9" hidden="1">'工事費一覧表(共通仮設費)'!$A$3:$AE$3</definedName>
    <definedName name="_xlnm._FilterDatabase" localSheetId="11" hidden="1">'工事費一覧表(現場経費)'!$A$3:$AE$3</definedName>
    <definedName name="_xlnm._FilterDatabase" localSheetId="6" hidden="1">'工事費一覧表(直接工事費)'!$A$3:$AE$3</definedName>
    <definedName name="_xlnm.Print_Area" localSheetId="7">間接費一覧!#REF!</definedName>
    <definedName name="_xlnm.Print_Area" localSheetId="8">共通仮設費総括表!#REF!</definedName>
    <definedName name="_xlnm.Print_Area" localSheetId="10">現場経費総括表!#REF!</definedName>
    <definedName name="_xlnm.Print_Area" localSheetId="2">工事概要!$A$1:$M$20</definedName>
    <definedName name="_xlnm.Print_Area" localSheetId="3">工事総括表!$A$1:$P$20</definedName>
    <definedName name="_xlnm.Print_Area" localSheetId="9">'工事費一覧表(共通仮設費)'!$A$1:$AF$48</definedName>
    <definedName name="_xlnm.Print_Area" localSheetId="11">'工事費一覧表(現場経費)'!$A$1:$AF$16</definedName>
    <definedName name="_xlnm.Print_Area" localSheetId="6">'工事費一覧表(直接工事費)'!$A$1:$AF$207</definedName>
    <definedName name="_xlnm.Print_Area" localSheetId="0">実行予算書鑑!$A$1:$AM$32</definedName>
    <definedName name="_xlnm.Print_Area" localSheetId="16">'調書(運搬費)'!#REF!</definedName>
    <definedName name="_xlnm.Print_Area" localSheetId="14">'調書(外注費)'!#REF!</definedName>
    <definedName name="_xlnm.Print_Area" localSheetId="15">'調書(機械費)'!#REF!</definedName>
    <definedName name="_xlnm.Print_Area" localSheetId="12">'調書(材料費)'!#REF!</definedName>
    <definedName name="_xlnm.Print_Area" localSheetId="13">'調書(労務費)'!#REF!</definedName>
    <definedName name="_xlnm.Print_Titles" localSheetId="9">'工事費一覧表(共通仮設費)'!$2:$3</definedName>
    <definedName name="_xlnm.Print_Titles" localSheetId="11">'工事費一覧表(現場経費)'!$2:$3</definedName>
    <definedName name="_xlnm.Print_Titles" localSheetId="6">'工事費一覧表(直接工事費)'!$2:$3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" i="34" l="1"/>
  <c r="L4" i="34"/>
  <c r="K5" i="34"/>
  <c r="L5" i="34"/>
  <c r="K6" i="34"/>
  <c r="L6" i="34"/>
  <c r="K7" i="34"/>
  <c r="L7" i="34"/>
  <c r="K8" i="34"/>
  <c r="L8" i="34"/>
  <c r="K9" i="34"/>
  <c r="L9" i="34"/>
  <c r="K10" i="34"/>
  <c r="L10" i="34"/>
  <c r="K11" i="34"/>
  <c r="L11" i="34"/>
  <c r="K12" i="34"/>
  <c r="L12" i="34"/>
  <c r="K13" i="34"/>
  <c r="L13" i="34"/>
  <c r="K14" i="34"/>
  <c r="L14" i="34"/>
  <c r="K15" i="34"/>
  <c r="L15" i="34"/>
  <c r="K4" i="32"/>
  <c r="L4" i="32"/>
  <c r="K5" i="32"/>
  <c r="L5" i="32"/>
  <c r="K6" i="32"/>
  <c r="L6" i="32"/>
  <c r="K7" i="32"/>
  <c r="L7" i="32"/>
  <c r="K8" i="32"/>
  <c r="L8" i="32"/>
  <c r="K9" i="32"/>
  <c r="L9" i="32"/>
  <c r="K10" i="32"/>
  <c r="L10" i="32"/>
  <c r="K11" i="32"/>
  <c r="L11" i="32"/>
  <c r="K12" i="32"/>
  <c r="L12" i="32"/>
  <c r="K13" i="32"/>
  <c r="L13" i="32"/>
  <c r="K14" i="32"/>
  <c r="L14" i="32"/>
  <c r="K15" i="32"/>
  <c r="L15" i="32"/>
  <c r="K16" i="32"/>
  <c r="L16" i="32"/>
  <c r="K17" i="32"/>
  <c r="L17" i="32"/>
  <c r="K18" i="32"/>
  <c r="L18" i="32"/>
  <c r="K19" i="32"/>
  <c r="L19" i="32"/>
  <c r="K20" i="32"/>
  <c r="L20" i="32"/>
  <c r="K21" i="32"/>
  <c r="L21" i="32"/>
  <c r="K22" i="32"/>
  <c r="L22" i="32"/>
  <c r="K23" i="32"/>
  <c r="L23" i="32"/>
  <c r="K24" i="32"/>
  <c r="L24" i="32"/>
  <c r="K25" i="32"/>
  <c r="L25" i="32"/>
  <c r="K26" i="32"/>
  <c r="L26" i="32"/>
  <c r="K27" i="32"/>
  <c r="L27" i="32"/>
  <c r="K28" i="32"/>
  <c r="L28" i="32"/>
  <c r="K29" i="32"/>
  <c r="L29" i="32"/>
  <c r="K30" i="32"/>
  <c r="L30" i="32"/>
  <c r="K31" i="32"/>
  <c r="L31" i="32"/>
  <c r="K32" i="32"/>
  <c r="L32" i="32"/>
  <c r="K33" i="32"/>
  <c r="L33" i="32"/>
  <c r="K34" i="32"/>
  <c r="L34" i="32"/>
  <c r="K35" i="32"/>
  <c r="L35" i="32"/>
  <c r="K36" i="32"/>
  <c r="L36" i="32"/>
  <c r="K37" i="32"/>
  <c r="L37" i="32"/>
  <c r="K38" i="32"/>
  <c r="L38" i="32"/>
  <c r="K39" i="32"/>
  <c r="L39" i="32"/>
  <c r="K40" i="32"/>
  <c r="L40" i="32"/>
  <c r="K41" i="32"/>
  <c r="L41" i="32"/>
  <c r="K42" i="32"/>
  <c r="L42" i="32"/>
  <c r="K43" i="32"/>
  <c r="L43" i="32"/>
  <c r="K44" i="32"/>
  <c r="L44" i="32"/>
  <c r="K45" i="32"/>
  <c r="L45" i="32"/>
  <c r="K46" i="32"/>
  <c r="L46" i="32"/>
  <c r="K47" i="32"/>
  <c r="L47" i="32"/>
  <c r="K4" i="29"/>
  <c r="L4" i="29"/>
  <c r="K5" i="29"/>
  <c r="L5" i="29"/>
  <c r="K6" i="29"/>
  <c r="L6" i="29"/>
  <c r="K7" i="29"/>
  <c r="L7" i="29"/>
  <c r="K8" i="29"/>
  <c r="L8" i="29"/>
  <c r="K9" i="29"/>
  <c r="L9" i="29"/>
  <c r="K10" i="29"/>
  <c r="L10" i="29"/>
  <c r="K11" i="29"/>
  <c r="L11" i="29"/>
  <c r="K12" i="29"/>
  <c r="L12" i="29"/>
  <c r="K13" i="29"/>
  <c r="L13" i="29"/>
  <c r="K14" i="29"/>
  <c r="L14" i="29"/>
  <c r="K15" i="29"/>
  <c r="L15" i="29"/>
  <c r="K16" i="29"/>
  <c r="L16" i="29"/>
  <c r="K17" i="29"/>
  <c r="L17" i="29"/>
  <c r="K18" i="29"/>
  <c r="L18" i="29"/>
  <c r="K19" i="29"/>
  <c r="L19" i="29"/>
  <c r="K20" i="29"/>
  <c r="L20" i="29"/>
  <c r="K21" i="29"/>
  <c r="L21" i="29"/>
  <c r="K22" i="29"/>
  <c r="L22" i="29"/>
  <c r="K23" i="29"/>
  <c r="L23" i="29"/>
  <c r="K24" i="29"/>
  <c r="L24" i="29"/>
  <c r="K25" i="29"/>
  <c r="L25" i="29"/>
  <c r="K26" i="29"/>
  <c r="L26" i="29"/>
  <c r="K27" i="29"/>
  <c r="L27" i="29"/>
  <c r="K28" i="29"/>
  <c r="L28" i="29"/>
  <c r="K29" i="29"/>
  <c r="L29" i="29"/>
  <c r="K30" i="29"/>
  <c r="L30" i="29"/>
  <c r="K31" i="29"/>
  <c r="L31" i="29"/>
  <c r="K32" i="29"/>
  <c r="L32" i="29"/>
  <c r="K33" i="29"/>
  <c r="L33" i="29"/>
  <c r="K34" i="29"/>
  <c r="L34" i="29"/>
  <c r="K35" i="29"/>
  <c r="L35" i="29"/>
  <c r="K36" i="29"/>
  <c r="L36" i="29"/>
  <c r="K37" i="29"/>
  <c r="L37" i="29"/>
  <c r="K38" i="29"/>
  <c r="L38" i="29"/>
  <c r="K39" i="29"/>
  <c r="L39" i="29"/>
  <c r="K40" i="29"/>
  <c r="L40" i="29"/>
  <c r="K41" i="29"/>
  <c r="L41" i="29"/>
  <c r="K42" i="29"/>
  <c r="L42" i="29"/>
  <c r="K43" i="29"/>
  <c r="L43" i="29"/>
  <c r="K44" i="29"/>
  <c r="L44" i="29"/>
  <c r="K45" i="29"/>
  <c r="L45" i="29"/>
  <c r="K46" i="29"/>
  <c r="L46" i="29"/>
  <c r="K47" i="29"/>
  <c r="L47" i="29"/>
  <c r="K48" i="29"/>
  <c r="L48" i="29"/>
  <c r="K49" i="29"/>
  <c r="L49" i="29"/>
  <c r="K50" i="29"/>
  <c r="L50" i="29"/>
  <c r="K51" i="29"/>
  <c r="L51" i="29"/>
  <c r="K52" i="29"/>
  <c r="L52" i="29"/>
  <c r="K53" i="29"/>
  <c r="L53" i="29"/>
  <c r="K54" i="29"/>
  <c r="L54" i="29"/>
  <c r="K55" i="29"/>
  <c r="L55" i="29"/>
  <c r="K56" i="29"/>
  <c r="L56" i="29"/>
  <c r="K57" i="29"/>
  <c r="L57" i="29"/>
  <c r="K58" i="29"/>
  <c r="L58" i="29"/>
  <c r="K59" i="29"/>
  <c r="L59" i="29"/>
  <c r="K60" i="29"/>
  <c r="L60" i="29"/>
  <c r="K61" i="29"/>
  <c r="L61" i="29"/>
  <c r="K62" i="29"/>
  <c r="L62" i="29"/>
  <c r="K63" i="29"/>
  <c r="L63" i="29"/>
  <c r="K64" i="29"/>
  <c r="L64" i="29"/>
  <c r="K65" i="29"/>
  <c r="L65" i="29"/>
  <c r="K66" i="29"/>
  <c r="L66" i="29"/>
  <c r="K67" i="29"/>
  <c r="L67" i="29"/>
  <c r="K68" i="29"/>
  <c r="L68" i="29"/>
  <c r="K69" i="29"/>
  <c r="L69" i="29"/>
  <c r="K70" i="29"/>
  <c r="L70" i="29"/>
  <c r="K71" i="29"/>
  <c r="L71" i="29"/>
  <c r="K72" i="29"/>
  <c r="L72" i="29"/>
  <c r="K73" i="29"/>
  <c r="L73" i="29"/>
  <c r="K74" i="29"/>
  <c r="L74" i="29"/>
  <c r="K75" i="29"/>
  <c r="L75" i="29"/>
  <c r="K76" i="29"/>
  <c r="L76" i="29"/>
  <c r="K77" i="29"/>
  <c r="L77" i="29"/>
  <c r="K78" i="29"/>
  <c r="L78" i="29"/>
  <c r="K79" i="29"/>
  <c r="L79" i="29"/>
  <c r="K80" i="29"/>
  <c r="L80" i="29"/>
  <c r="K81" i="29"/>
  <c r="L81" i="29"/>
  <c r="K82" i="29"/>
  <c r="L82" i="29"/>
  <c r="K83" i="29"/>
  <c r="L83" i="29"/>
  <c r="K84" i="29"/>
  <c r="L84" i="29"/>
  <c r="K85" i="29"/>
  <c r="L85" i="29"/>
  <c r="K86" i="29"/>
  <c r="L86" i="29"/>
  <c r="K87" i="29"/>
  <c r="L87" i="29"/>
  <c r="K88" i="29"/>
  <c r="L88" i="29"/>
  <c r="K89" i="29"/>
  <c r="L89" i="29"/>
  <c r="K90" i="29"/>
  <c r="L90" i="29"/>
  <c r="K91" i="29"/>
  <c r="L91" i="29"/>
  <c r="K92" i="29"/>
  <c r="L92" i="29"/>
  <c r="K93" i="29"/>
  <c r="L93" i="29"/>
  <c r="K94" i="29"/>
  <c r="L94" i="29"/>
  <c r="K95" i="29"/>
  <c r="L95" i="29"/>
  <c r="K96" i="29"/>
  <c r="L96" i="29"/>
  <c r="K97" i="29"/>
  <c r="L97" i="29"/>
  <c r="K98" i="29"/>
  <c r="L98" i="29"/>
  <c r="K99" i="29"/>
  <c r="L99" i="29"/>
  <c r="K100" i="29"/>
  <c r="L100" i="29"/>
  <c r="K101" i="29"/>
  <c r="L101" i="29"/>
  <c r="K102" i="29"/>
  <c r="L102" i="29"/>
  <c r="K103" i="29"/>
  <c r="L103" i="29"/>
  <c r="K104" i="29"/>
  <c r="L104" i="29"/>
  <c r="K105" i="29"/>
  <c r="L105" i="29"/>
  <c r="K106" i="29"/>
  <c r="L106" i="29"/>
  <c r="K107" i="29"/>
  <c r="L107" i="29"/>
  <c r="K108" i="29"/>
  <c r="L108" i="29"/>
  <c r="K109" i="29"/>
  <c r="L109" i="29"/>
  <c r="K110" i="29"/>
  <c r="L110" i="29"/>
  <c r="K111" i="29"/>
  <c r="L111" i="29"/>
  <c r="K112" i="29"/>
  <c r="L112" i="29"/>
  <c r="K113" i="29"/>
  <c r="L113" i="29"/>
  <c r="K114" i="29"/>
  <c r="L114" i="29"/>
  <c r="K115" i="29"/>
  <c r="L115" i="29"/>
  <c r="K116" i="29"/>
  <c r="L116" i="29"/>
  <c r="K117" i="29"/>
  <c r="L117" i="29"/>
  <c r="K118" i="29"/>
  <c r="L118" i="29"/>
  <c r="K119" i="29"/>
  <c r="L119" i="29"/>
  <c r="K120" i="29"/>
  <c r="L120" i="29"/>
  <c r="K121" i="29"/>
  <c r="L121" i="29"/>
  <c r="K122" i="29"/>
  <c r="L122" i="29"/>
  <c r="K123" i="29"/>
  <c r="L123" i="29"/>
  <c r="K124" i="29"/>
  <c r="L124" i="29"/>
  <c r="K125" i="29"/>
  <c r="L125" i="29"/>
  <c r="K126" i="29"/>
  <c r="L126" i="29"/>
  <c r="K127" i="29"/>
  <c r="L127" i="29"/>
  <c r="K128" i="29"/>
  <c r="L128" i="29"/>
  <c r="K129" i="29"/>
  <c r="L129" i="29"/>
  <c r="K130" i="29"/>
  <c r="L130" i="29"/>
  <c r="K131" i="29"/>
  <c r="L131" i="29"/>
  <c r="K132" i="29"/>
  <c r="L132" i="29"/>
  <c r="K133" i="29"/>
  <c r="L133" i="29"/>
  <c r="K134" i="29"/>
  <c r="L134" i="29"/>
  <c r="K135" i="29"/>
  <c r="L135" i="29"/>
  <c r="K136" i="29"/>
  <c r="L136" i="29"/>
  <c r="K137" i="29"/>
  <c r="L137" i="29"/>
  <c r="K138" i="29"/>
  <c r="L138" i="29"/>
  <c r="K139" i="29"/>
  <c r="L139" i="29"/>
  <c r="K140" i="29"/>
  <c r="L140" i="29"/>
  <c r="K141" i="29"/>
  <c r="L141" i="29"/>
  <c r="K142" i="29"/>
  <c r="L142" i="29"/>
  <c r="K143" i="29"/>
  <c r="L143" i="29"/>
  <c r="K144" i="29"/>
  <c r="L144" i="29"/>
  <c r="K145" i="29"/>
  <c r="L145" i="29"/>
  <c r="K146" i="29"/>
  <c r="L146" i="29"/>
  <c r="K147" i="29"/>
  <c r="L147" i="29"/>
  <c r="K148" i="29"/>
  <c r="L148" i="29"/>
  <c r="K149" i="29"/>
  <c r="L149" i="29"/>
  <c r="K150" i="29"/>
  <c r="L150" i="29"/>
  <c r="K151" i="29"/>
  <c r="L151" i="29"/>
  <c r="K152" i="29"/>
  <c r="L152" i="29"/>
  <c r="K153" i="29"/>
  <c r="L153" i="29"/>
  <c r="K154" i="29"/>
  <c r="L154" i="29"/>
  <c r="K155" i="29"/>
  <c r="L155" i="29"/>
  <c r="K156" i="29"/>
  <c r="L156" i="29"/>
  <c r="K157" i="29"/>
  <c r="L157" i="29"/>
  <c r="K158" i="29"/>
  <c r="L158" i="29"/>
  <c r="K159" i="29"/>
  <c r="L159" i="29"/>
  <c r="K160" i="29"/>
  <c r="L160" i="29"/>
  <c r="K161" i="29"/>
  <c r="L161" i="29"/>
  <c r="K162" i="29"/>
  <c r="L162" i="29"/>
  <c r="K163" i="29"/>
  <c r="L163" i="29"/>
  <c r="K164" i="29"/>
  <c r="L164" i="29"/>
  <c r="K165" i="29"/>
  <c r="L165" i="29"/>
  <c r="K166" i="29"/>
  <c r="L166" i="29"/>
  <c r="K167" i="29"/>
  <c r="L167" i="29"/>
  <c r="K168" i="29"/>
  <c r="L168" i="29"/>
  <c r="K169" i="29"/>
  <c r="L169" i="29"/>
  <c r="K170" i="29"/>
  <c r="L170" i="29"/>
  <c r="K171" i="29"/>
  <c r="L171" i="29"/>
  <c r="K172" i="29"/>
  <c r="L172" i="29"/>
  <c r="K173" i="29"/>
  <c r="L173" i="29"/>
  <c r="K174" i="29"/>
  <c r="L174" i="29"/>
  <c r="K175" i="29"/>
  <c r="L175" i="29"/>
  <c r="K176" i="29"/>
  <c r="L176" i="29"/>
  <c r="K177" i="29"/>
  <c r="L177" i="29"/>
  <c r="K178" i="29"/>
  <c r="L178" i="29"/>
  <c r="K179" i="29"/>
  <c r="L179" i="29"/>
  <c r="K180" i="29"/>
  <c r="L180" i="29"/>
  <c r="K181" i="29"/>
  <c r="L181" i="29"/>
  <c r="K182" i="29"/>
  <c r="L182" i="29"/>
  <c r="K183" i="29"/>
  <c r="L183" i="29"/>
  <c r="K184" i="29"/>
  <c r="L184" i="29"/>
  <c r="K185" i="29"/>
  <c r="L185" i="29"/>
  <c r="K186" i="29"/>
  <c r="L186" i="29"/>
  <c r="K187" i="29"/>
  <c r="L187" i="29"/>
  <c r="K188" i="29"/>
  <c r="L188" i="29"/>
  <c r="K189" i="29"/>
  <c r="L189" i="29"/>
  <c r="K190" i="29"/>
  <c r="L190" i="29"/>
  <c r="K191" i="29"/>
  <c r="L191" i="29"/>
  <c r="K192" i="29"/>
  <c r="L192" i="29"/>
  <c r="K193" i="29"/>
  <c r="L193" i="29"/>
  <c r="K194" i="29"/>
  <c r="L194" i="29"/>
  <c r="K195" i="29"/>
  <c r="L195" i="29"/>
  <c r="K196" i="29"/>
  <c r="L196" i="29"/>
  <c r="K197" i="29"/>
  <c r="L197" i="29"/>
  <c r="K198" i="29"/>
  <c r="L198" i="29"/>
  <c r="K199" i="29"/>
  <c r="L199" i="29"/>
  <c r="K200" i="29"/>
  <c r="L200" i="29"/>
  <c r="K201" i="29"/>
  <c r="L201" i="29"/>
  <c r="K202" i="29"/>
  <c r="L202" i="29"/>
  <c r="K203" i="29"/>
  <c r="L203" i="29"/>
  <c r="K204" i="29"/>
  <c r="L204" i="29"/>
  <c r="K205" i="29"/>
  <c r="L205" i="29"/>
  <c r="K206" i="29"/>
  <c r="L206" i="29"/>
  <c r="D1" i="34" l="1"/>
  <c r="D1" i="32"/>
  <c r="D1" i="29"/>
  <c r="Z1" i="34"/>
  <c r="R1" i="34"/>
  <c r="J1" i="34"/>
  <c r="Z1" i="32"/>
  <c r="R1" i="32"/>
  <c r="J1" i="32"/>
  <c r="J1" i="29"/>
  <c r="F28" i="25"/>
  <c r="G28" i="25" s="1"/>
  <c r="H28" i="25" s="1"/>
  <c r="I28" i="25" s="1"/>
  <c r="J28" i="25" s="1"/>
  <c r="K28" i="25" s="1"/>
  <c r="L28" i="25" s="1"/>
  <c r="M28" i="25" s="1"/>
  <c r="N28" i="25" s="1"/>
  <c r="O28" i="25" s="1"/>
  <c r="P28" i="25" s="1"/>
  <c r="Q28" i="25" s="1"/>
  <c r="R28" i="25" s="1"/>
  <c r="C20" i="25"/>
  <c r="D19" i="25"/>
  <c r="D11" i="25"/>
  <c r="O26" i="25" l="1"/>
  <c r="O21" i="25" s="1"/>
  <c r="Q26" i="25"/>
  <c r="Q21" i="25" s="1"/>
  <c r="Q22" i="25" s="1"/>
  <c r="D10" i="25"/>
  <c r="D18" i="25"/>
  <c r="H26" i="25"/>
  <c r="H21" i="25" s="1"/>
  <c r="P26" i="25"/>
  <c r="P21" i="25" s="1"/>
  <c r="J26" i="25"/>
  <c r="J21" i="25" s="1"/>
  <c r="J22" i="25" s="1"/>
  <c r="R26" i="25"/>
  <c r="R21" i="25" s="1"/>
  <c r="R22" i="25" s="1"/>
  <c r="I26" i="25"/>
  <c r="I21" i="25" s="1"/>
  <c r="I22" i="25" s="1"/>
  <c r="D12" i="25"/>
  <c r="K26" i="25"/>
  <c r="K21" i="25" s="1"/>
  <c r="K22" i="25" s="1"/>
  <c r="D6" i="25"/>
  <c r="D14" i="25"/>
  <c r="O22" i="25"/>
  <c r="L26" i="25"/>
  <c r="L21" i="25" s="1"/>
  <c r="L22" i="25" s="1"/>
  <c r="D7" i="25"/>
  <c r="D15" i="25"/>
  <c r="H22" i="25"/>
  <c r="P22" i="25"/>
  <c r="E26" i="25"/>
  <c r="M26" i="25"/>
  <c r="M21" i="25" s="1"/>
  <c r="M22" i="25" s="1"/>
  <c r="D5" i="25"/>
  <c r="D13" i="25"/>
  <c r="D8" i="25"/>
  <c r="D16" i="25"/>
  <c r="F26" i="25"/>
  <c r="F21" i="25" s="1"/>
  <c r="F22" i="25" s="1"/>
  <c r="N26" i="25"/>
  <c r="N21" i="25" s="1"/>
  <c r="N22" i="25" s="1"/>
  <c r="D9" i="25"/>
  <c r="D17" i="25"/>
  <c r="G26" i="25"/>
  <c r="G21" i="25" s="1"/>
  <c r="G22" i="25" s="1"/>
  <c r="E21" i="25" l="1"/>
  <c r="E22" i="25" s="1"/>
  <c r="F25" i="25"/>
  <c r="G25" i="25" s="1"/>
  <c r="H25" i="25" s="1"/>
  <c r="I25" i="25" s="1"/>
  <c r="J25" i="25" s="1"/>
  <c r="K25" i="25" s="1"/>
  <c r="L25" i="25" s="1"/>
  <c r="M25" i="25" s="1"/>
  <c r="N25" i="25" s="1"/>
  <c r="O25" i="25" s="1"/>
  <c r="P25" i="25" s="1"/>
  <c r="Q25" i="25" s="1"/>
  <c r="R25" i="25" s="1"/>
  <c r="D20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AG1" authorId="0" shapeId="0" xr:uid="{00000000-0006-0000-0000-000001000000}">
      <text>
        <r>
          <rPr>
            <sz val="11"/>
            <color indexed="81"/>
            <rFont val="ＭＳ 明朝"/>
            <family val="1"/>
            <charset val="128"/>
          </rPr>
          <t>（例）「2022/12/1」の
形式で入力してください。</t>
        </r>
      </text>
    </comment>
  </commentList>
</comments>
</file>

<file path=xl/sharedStrings.xml><?xml version="1.0" encoding="utf-8"?>
<sst xmlns="http://schemas.openxmlformats.org/spreadsheetml/2006/main" count="3139" uniqueCount="734">
  <si>
    <t>作成年月日</t>
    <rPh sb="0" eb="2">
      <t>サクセイ</t>
    </rPh>
    <rPh sb="2" eb="5">
      <t>ネンガッピ</t>
    </rPh>
    <phoneticPr fontId="4"/>
  </si>
  <si>
    <t>実行予算書</t>
    <rPh sb="0" eb="2">
      <t>ジッコウ</t>
    </rPh>
    <rPh sb="2" eb="4">
      <t>ヨサン</t>
    </rPh>
    <rPh sb="4" eb="5">
      <t>ショ</t>
    </rPh>
    <phoneticPr fontId="6"/>
  </si>
  <si>
    <t>工　事　番　号</t>
    <rPh sb="0" eb="1">
      <t>コウ</t>
    </rPh>
    <rPh sb="2" eb="3">
      <t>コト</t>
    </rPh>
    <rPh sb="4" eb="5">
      <t>バン</t>
    </rPh>
    <rPh sb="6" eb="7">
      <t>ゴウ</t>
    </rPh>
    <phoneticPr fontId="6"/>
  </si>
  <si>
    <t>現場代理人</t>
    <rPh sb="0" eb="2">
      <t>ゲンバ</t>
    </rPh>
    <rPh sb="2" eb="5">
      <t>ダイリニン</t>
    </rPh>
    <phoneticPr fontId="4"/>
  </si>
  <si>
    <t>監理技術者</t>
    <rPh sb="0" eb="2">
      <t>カンリ</t>
    </rPh>
    <rPh sb="2" eb="5">
      <t>ギジュツシャ</t>
    </rPh>
    <phoneticPr fontId="4"/>
  </si>
  <si>
    <t>本社</t>
    <rPh sb="0" eb="1">
      <t>ホンシャ</t>
    </rPh>
    <phoneticPr fontId="4"/>
  </si>
  <si>
    <t>支社</t>
    <rPh sb="0" eb="2">
      <t>シシャ</t>
    </rPh>
    <phoneticPr fontId="4"/>
  </si>
  <si>
    <t>拠点</t>
    <rPh sb="0" eb="2">
      <t>キョテン</t>
    </rPh>
    <phoneticPr fontId="4"/>
  </si>
  <si>
    <t>社　長</t>
    <rPh sb="1" eb="2">
      <t>チョウ</t>
    </rPh>
    <phoneticPr fontId="4"/>
  </si>
  <si>
    <t>部　長</t>
    <rPh sb="0" eb="1">
      <t>チョウ</t>
    </rPh>
    <phoneticPr fontId="4"/>
  </si>
  <si>
    <t>支社長</t>
    <rPh sb="0" eb="2">
      <t>シシャ</t>
    </rPh>
    <rPh sb="2" eb="3">
      <t>チョウ</t>
    </rPh>
    <phoneticPr fontId="4"/>
  </si>
  <si>
    <t>部　長</t>
    <rPh sb="0" eb="1">
      <t>ブ</t>
    </rPh>
    <rPh sb="2" eb="3">
      <t>チョウ</t>
    </rPh>
    <phoneticPr fontId="4"/>
  </si>
  <si>
    <t>所　長</t>
    <rPh sb="0" eb="1">
      <t>ショ</t>
    </rPh>
    <rPh sb="2" eb="3">
      <t>チョウ</t>
    </rPh>
    <phoneticPr fontId="4"/>
  </si>
  <si>
    <t>部課長</t>
    <rPh sb="0" eb="1">
      <t>ブ</t>
    </rPh>
    <rPh sb="1" eb="2">
      <t>カ</t>
    </rPh>
    <rPh sb="2" eb="3">
      <t>チョウ</t>
    </rPh>
    <phoneticPr fontId="4"/>
  </si>
  <si>
    <t>代人</t>
    <rPh sb="0" eb="2">
      <t>ダイニン</t>
    </rPh>
    <phoneticPr fontId="4"/>
  </si>
  <si>
    <t>工事原価</t>
    <rPh sb="0" eb="2">
      <t>コウジ</t>
    </rPh>
    <rPh sb="2" eb="4">
      <t>ゲンカ</t>
    </rPh>
    <phoneticPr fontId="4"/>
  </si>
  <si>
    <t>粗利益</t>
    <rPh sb="0" eb="3">
      <t>アラリエキ</t>
    </rPh>
    <phoneticPr fontId="4"/>
  </si>
  <si>
    <t>承認工事原価</t>
    <rPh sb="0" eb="2">
      <t>ショウニン</t>
    </rPh>
    <rPh sb="2" eb="4">
      <t>コウジ</t>
    </rPh>
    <rPh sb="4" eb="6">
      <t>ゲンカ</t>
    </rPh>
    <phoneticPr fontId="4"/>
  </si>
  <si>
    <t>承認粗利益</t>
    <rPh sb="0" eb="2">
      <t>ショウニン</t>
    </rPh>
    <rPh sb="2" eb="5">
      <t>アラリエキ</t>
    </rPh>
    <phoneticPr fontId="4"/>
  </si>
  <si>
    <t>支社事項</t>
    <rPh sb="0" eb="2">
      <t>シシャ</t>
    </rPh>
    <rPh sb="2" eb="4">
      <t>ジコウ</t>
    </rPh>
    <phoneticPr fontId="4"/>
  </si>
  <si>
    <t>本社事項</t>
    <rPh sb="0" eb="2">
      <t>ホンシャ</t>
    </rPh>
    <rPh sb="2" eb="4">
      <t>ジコウ</t>
    </rPh>
    <phoneticPr fontId="4"/>
  </si>
  <si>
    <t>施工場所</t>
    <rPh sb="0" eb="2">
      <t>セコウ</t>
    </rPh>
    <rPh sb="2" eb="4">
      <t>バショ</t>
    </rPh>
    <phoneticPr fontId="6"/>
  </si>
  <si>
    <t>契約工期</t>
    <rPh sb="0" eb="2">
      <t>ケイヤク</t>
    </rPh>
    <rPh sb="2" eb="4">
      <t>コウキ</t>
    </rPh>
    <phoneticPr fontId="6"/>
  </si>
  <si>
    <t>実施工期</t>
    <rPh sb="0" eb="2">
      <t>ジッシ</t>
    </rPh>
    <rPh sb="2" eb="4">
      <t>コウキ</t>
    </rPh>
    <phoneticPr fontId="6"/>
  </si>
  <si>
    <t>ISO品質目標</t>
    <rPh sb="3" eb="5">
      <t>ヒンシツ</t>
    </rPh>
    <rPh sb="5" eb="7">
      <t>モクヒョウ</t>
    </rPh>
    <phoneticPr fontId="6"/>
  </si>
  <si>
    <t>工　事　工　程　表</t>
    <rPh sb="0" eb="1">
      <t>コウ</t>
    </rPh>
    <rPh sb="2" eb="3">
      <t>コト</t>
    </rPh>
    <rPh sb="4" eb="5">
      <t>コウ</t>
    </rPh>
    <rPh sb="6" eb="7">
      <t>ホド</t>
    </rPh>
    <rPh sb="8" eb="9">
      <t>ヒョウ</t>
    </rPh>
    <phoneticPr fontId="13"/>
  </si>
  <si>
    <t xml:space="preserve"> 工　事　名　称</t>
    <rPh sb="5" eb="6">
      <t>メイ</t>
    </rPh>
    <rPh sb="7" eb="8">
      <t>ショウ</t>
    </rPh>
    <phoneticPr fontId="13"/>
  </si>
  <si>
    <t>工事コード</t>
    <rPh sb="0" eb="2">
      <t>コウジ</t>
    </rPh>
    <phoneticPr fontId="13"/>
  </si>
  <si>
    <t>進</t>
  </si>
  <si>
    <t xml:space="preserve"> 契　約　工　期</t>
    <phoneticPr fontId="13"/>
  </si>
  <si>
    <t>工事価格</t>
    <rPh sb="0" eb="2">
      <t>コウジ</t>
    </rPh>
    <rPh sb="2" eb="4">
      <t>カカク</t>
    </rPh>
    <phoneticPr fontId="13"/>
  </si>
  <si>
    <t>捗</t>
  </si>
  <si>
    <t>工　　　種</t>
  </si>
  <si>
    <t>実行予算</t>
  </si>
  <si>
    <t>比率</t>
  </si>
  <si>
    <t>工　事　原　価</t>
  </si>
  <si>
    <t>月別予定出来高</t>
  </si>
  <si>
    <t>％</t>
    <phoneticPr fontId="13"/>
  </si>
  <si>
    <t>単　　位</t>
    <phoneticPr fontId="13"/>
  </si>
  <si>
    <t>（千）</t>
    <rPh sb="1" eb="2">
      <t>セン</t>
    </rPh>
    <phoneticPr fontId="13"/>
  </si>
  <si>
    <t>工  事  概  要</t>
    <phoneticPr fontId="6"/>
  </si>
  <si>
    <t xml:space="preserve"> １. 工 事 概 要</t>
    <phoneticPr fontId="6"/>
  </si>
  <si>
    <t xml:space="preserve"> ２．主 要 工 種 の 内 容</t>
    <phoneticPr fontId="6"/>
  </si>
  <si>
    <t>名      称</t>
  </si>
  <si>
    <t>規　格</t>
    <rPh sb="0" eb="1">
      <t>タダシ</t>
    </rPh>
    <rPh sb="2" eb="3">
      <t>カク</t>
    </rPh>
    <phoneticPr fontId="6"/>
  </si>
  <si>
    <t>単位</t>
  </si>
  <si>
    <t>数   量</t>
  </si>
  <si>
    <t xml:space="preserve"> ３. 発 注 者 よ り の 支 給 品</t>
    <phoneticPr fontId="6"/>
  </si>
  <si>
    <t>品      名</t>
  </si>
  <si>
    <t>形状 寸法</t>
  </si>
  <si>
    <t>工事総括表</t>
    <rPh sb="0" eb="2">
      <t>コウジ</t>
    </rPh>
    <rPh sb="2" eb="4">
      <t>ソウカツ</t>
    </rPh>
    <rPh sb="4" eb="5">
      <t>ヒョウ</t>
    </rPh>
    <phoneticPr fontId="6"/>
  </si>
  <si>
    <t>工事名称</t>
    <rPh sb="0" eb="2">
      <t>コウジ</t>
    </rPh>
    <rPh sb="2" eb="4">
      <t>メイショウ</t>
    </rPh>
    <phoneticPr fontId="6"/>
  </si>
  <si>
    <t>工事略称</t>
    <rPh sb="0" eb="2">
      <t>コウジ</t>
    </rPh>
    <rPh sb="2" eb="3">
      <t>リャク</t>
    </rPh>
    <rPh sb="3" eb="4">
      <t>ショウ</t>
    </rPh>
    <phoneticPr fontId="6"/>
  </si>
  <si>
    <t>工事番号</t>
    <rPh sb="0" eb="2">
      <t>コウジ</t>
    </rPh>
    <rPh sb="2" eb="4">
      <t>バンゴウ</t>
    </rPh>
    <phoneticPr fontId="6"/>
  </si>
  <si>
    <t>実行予算額</t>
    <rPh sb="0" eb="2">
      <t>ジッコウ</t>
    </rPh>
    <rPh sb="2" eb="4">
      <t>ヨサン</t>
    </rPh>
    <rPh sb="4" eb="5">
      <t>ガク</t>
    </rPh>
    <phoneticPr fontId="6"/>
  </si>
  <si>
    <t>比率</t>
    <rPh sb="0" eb="2">
      <t>ヒリツ</t>
    </rPh>
    <phoneticPr fontId="6"/>
  </si>
  <si>
    <t>発注者</t>
    <rPh sb="0" eb="3">
      <t>ハッチュウシャ</t>
    </rPh>
    <phoneticPr fontId="6"/>
  </si>
  <si>
    <t>工事価格</t>
    <rPh sb="0" eb="2">
      <t>コウジ</t>
    </rPh>
    <rPh sb="2" eb="4">
      <t>カカク</t>
    </rPh>
    <phoneticPr fontId="6"/>
  </si>
  <si>
    <t>元発注者</t>
    <rPh sb="0" eb="1">
      <t>モト</t>
    </rPh>
    <rPh sb="1" eb="4">
      <t>ハッチュウシャ</t>
    </rPh>
    <phoneticPr fontId="6"/>
  </si>
  <si>
    <t>工事原価</t>
    <phoneticPr fontId="6"/>
  </si>
  <si>
    <t>直接工事費</t>
    <phoneticPr fontId="6"/>
  </si>
  <si>
    <t>現場代理人</t>
    <rPh sb="0" eb="2">
      <t>ゲンバ</t>
    </rPh>
    <rPh sb="2" eb="5">
      <t>ダイリニン</t>
    </rPh>
    <phoneticPr fontId="6"/>
  </si>
  <si>
    <t>共通仮設費</t>
    <phoneticPr fontId="6"/>
  </si>
  <si>
    <t>監理技術者</t>
    <rPh sb="0" eb="2">
      <t>カンリ</t>
    </rPh>
    <rPh sb="2" eb="5">
      <t>ギジュツシャ</t>
    </rPh>
    <phoneticPr fontId="6"/>
  </si>
  <si>
    <t>現場経費</t>
    <phoneticPr fontId="6"/>
  </si>
  <si>
    <t>施工形態</t>
    <rPh sb="0" eb="2">
      <t>セコウ</t>
    </rPh>
    <rPh sb="2" eb="4">
      <t>ケイタイ</t>
    </rPh>
    <phoneticPr fontId="6"/>
  </si>
  <si>
    <t>粗利益</t>
    <rPh sb="0" eb="3">
      <t>アラリエキ</t>
    </rPh>
    <phoneticPr fontId="6"/>
  </si>
  <si>
    <t>工事種別</t>
    <rPh sb="0" eb="2">
      <t>コウジ</t>
    </rPh>
    <rPh sb="2" eb="4">
      <t>シュベツ</t>
    </rPh>
    <phoneticPr fontId="6"/>
  </si>
  <si>
    <t>契約年月日</t>
    <rPh sb="0" eb="2">
      <t>ケイヤク</t>
    </rPh>
    <rPh sb="2" eb="5">
      <t>ネンガッピ</t>
    </rPh>
    <phoneticPr fontId="6"/>
  </si>
  <si>
    <t>特記事項</t>
    <rPh sb="0" eb="2">
      <t>トッキ</t>
    </rPh>
    <rPh sb="2" eb="4">
      <t>ジコウ</t>
    </rPh>
    <phoneticPr fontId="6"/>
  </si>
  <si>
    <t>工事概要</t>
    <rPh sb="0" eb="2">
      <t>コウジ</t>
    </rPh>
    <rPh sb="2" eb="4">
      <t>ガイヨウ</t>
    </rPh>
    <phoneticPr fontId="6"/>
  </si>
  <si>
    <t xml:space="preserve">  間 接 費 一 覧  </t>
    <rPh sb="2" eb="3">
      <t>カン</t>
    </rPh>
    <rPh sb="4" eb="5">
      <t>セツ</t>
    </rPh>
    <rPh sb="6" eb="7">
      <t>ヒ</t>
    </rPh>
    <rPh sb="8" eb="9">
      <t>イチ</t>
    </rPh>
    <rPh sb="10" eb="11">
      <t>ラン</t>
    </rPh>
    <phoneticPr fontId="6"/>
  </si>
  <si>
    <t>共通仮設費</t>
    <rPh sb="0" eb="2">
      <t>キョウツウ</t>
    </rPh>
    <rPh sb="2" eb="4">
      <t>カセツ</t>
    </rPh>
    <rPh sb="4" eb="5">
      <t>ヒ</t>
    </rPh>
    <phoneticPr fontId="6"/>
  </si>
  <si>
    <t>金額</t>
    <rPh sb="0" eb="2">
      <t>キンガク</t>
    </rPh>
    <phoneticPr fontId="6"/>
  </si>
  <si>
    <t>現場経費</t>
    <rPh sb="0" eb="2">
      <t>ゲンバ</t>
    </rPh>
    <rPh sb="2" eb="4">
      <t>ケイヒ</t>
    </rPh>
    <phoneticPr fontId="6"/>
  </si>
  <si>
    <t>共 通 仮 設 費 総 括 表</t>
    <rPh sb="14" eb="15">
      <t>ヒョウ</t>
    </rPh>
    <phoneticPr fontId="6"/>
  </si>
  <si>
    <t>名 称</t>
    <rPh sb="0" eb="1">
      <t>ナ</t>
    </rPh>
    <rPh sb="2" eb="3">
      <t>ショウ</t>
    </rPh>
    <phoneticPr fontId="6"/>
  </si>
  <si>
    <t>単位</t>
    <rPh sb="0" eb="2">
      <t>タンイ</t>
    </rPh>
    <phoneticPr fontId="6"/>
  </si>
  <si>
    <t>数 量</t>
    <rPh sb="0" eb="1">
      <t>カズ</t>
    </rPh>
    <rPh sb="2" eb="3">
      <t>リョウ</t>
    </rPh>
    <phoneticPr fontId="6"/>
  </si>
  <si>
    <t>単 価</t>
    <rPh sb="0" eb="1">
      <t>タン</t>
    </rPh>
    <rPh sb="2" eb="3">
      <t>アタイ</t>
    </rPh>
    <phoneticPr fontId="6"/>
  </si>
  <si>
    <t>金 額</t>
    <rPh sb="0" eb="1">
      <t>キン</t>
    </rPh>
    <rPh sb="2" eb="3">
      <t>ガク</t>
    </rPh>
    <phoneticPr fontId="6"/>
  </si>
  <si>
    <t>内　訳</t>
    <phoneticPr fontId="6"/>
  </si>
  <si>
    <t>現 場 経 費 総 括 表</t>
    <phoneticPr fontId="6"/>
  </si>
  <si>
    <t>名称</t>
    <rPh sb="0" eb="2">
      <t>メイショウ</t>
    </rPh>
    <phoneticPr fontId="6"/>
  </si>
  <si>
    <t>規格</t>
    <rPh sb="0" eb="2">
      <t>キカク</t>
    </rPh>
    <phoneticPr fontId="6"/>
  </si>
  <si>
    <t>単位</t>
    <phoneticPr fontId="6"/>
  </si>
  <si>
    <t>数 量</t>
    <phoneticPr fontId="6"/>
  </si>
  <si>
    <t>摘要</t>
    <rPh sb="0" eb="1">
      <t>テキ</t>
    </rPh>
    <rPh sb="1" eb="2">
      <t>ヨウ</t>
    </rPh>
    <phoneticPr fontId="6"/>
  </si>
  <si>
    <t>材料調書</t>
    <rPh sb="0" eb="2">
      <t>ザイリョウ</t>
    </rPh>
    <rPh sb="2" eb="4">
      <t>チョウショ</t>
    </rPh>
    <phoneticPr fontId="6"/>
  </si>
  <si>
    <t>工事名称</t>
    <rPh sb="2" eb="4">
      <t>メイショウ</t>
    </rPh>
    <phoneticPr fontId="6"/>
  </si>
  <si>
    <t>名称／規格</t>
    <rPh sb="0" eb="2">
      <t>メイショウ</t>
    </rPh>
    <rPh sb="3" eb="5">
      <t>キカク</t>
    </rPh>
    <phoneticPr fontId="6"/>
  </si>
  <si>
    <t>数量</t>
    <rPh sb="0" eb="2">
      <t>スウリョウ</t>
    </rPh>
    <phoneticPr fontId="6"/>
  </si>
  <si>
    <t>単価</t>
    <rPh sb="0" eb="2">
      <t>タンカ</t>
    </rPh>
    <phoneticPr fontId="6"/>
  </si>
  <si>
    <t>摘要</t>
    <rPh sb="0" eb="2">
      <t>テキヨウ</t>
    </rPh>
    <phoneticPr fontId="6"/>
  </si>
  <si>
    <t>業者／要素</t>
    <rPh sb="0" eb="2">
      <t>ギョウシャ</t>
    </rPh>
    <rPh sb="3" eb="5">
      <t>ヨウソ</t>
    </rPh>
    <phoneticPr fontId="6"/>
  </si>
  <si>
    <t>備考</t>
    <rPh sb="0" eb="2">
      <t>ビコウ</t>
    </rPh>
    <phoneticPr fontId="6"/>
  </si>
  <si>
    <t xml:space="preserve"> </t>
    <phoneticPr fontId="6"/>
  </si>
  <si>
    <t>階層</t>
    <rPh sb="0" eb="2">
      <t>カイソウ</t>
    </rPh>
    <phoneticPr fontId="6"/>
  </si>
  <si>
    <t>ユーザー
コード</t>
    <phoneticPr fontId="6"/>
  </si>
  <si>
    <t>帳票</t>
    <rPh sb="0" eb="2">
      <t>チョウヒョウ</t>
    </rPh>
    <phoneticPr fontId="6"/>
  </si>
  <si>
    <t>工種・種別・細別</t>
    <rPh sb="0" eb="2">
      <t>コウシュ</t>
    </rPh>
    <rPh sb="3" eb="5">
      <t>シュベツ</t>
    </rPh>
    <rPh sb="6" eb="8">
      <t>サイベツ</t>
    </rPh>
    <phoneticPr fontId="6"/>
  </si>
  <si>
    <t>予算 #02</t>
    <rPh sb="0" eb="2">
      <t>ヨサン</t>
    </rPh>
    <phoneticPr fontId="6"/>
  </si>
  <si>
    <t>予算 #03</t>
    <rPh sb="0" eb="2">
      <t>ヨサン</t>
    </rPh>
    <phoneticPr fontId="6"/>
  </si>
  <si>
    <t>当り数量</t>
    <rPh sb="0" eb="1">
      <t>アタ</t>
    </rPh>
    <rPh sb="2" eb="4">
      <t>スウリョウ</t>
    </rPh>
    <phoneticPr fontId="6"/>
  </si>
  <si>
    <t>構成率</t>
    <rPh sb="0" eb="3">
      <t>コウセイリツ</t>
    </rPh>
    <phoneticPr fontId="6"/>
  </si>
  <si>
    <t>業者名</t>
    <rPh sb="0" eb="2">
      <t>ギョウシャ</t>
    </rPh>
    <rPh sb="2" eb="3">
      <t>メイ</t>
    </rPh>
    <phoneticPr fontId="6"/>
  </si>
  <si>
    <t>労務調書</t>
    <rPh sb="2" eb="4">
      <t>チョウショ</t>
    </rPh>
    <phoneticPr fontId="6"/>
  </si>
  <si>
    <t>外注調書</t>
    <rPh sb="2" eb="4">
      <t>チョウショ</t>
    </rPh>
    <phoneticPr fontId="6"/>
  </si>
  <si>
    <t>機械調書</t>
    <rPh sb="2" eb="4">
      <t>チョウショ</t>
    </rPh>
    <phoneticPr fontId="6"/>
  </si>
  <si>
    <t>運搬調書</t>
    <rPh sb="2" eb="4">
      <t>チョウショ</t>
    </rPh>
    <phoneticPr fontId="6"/>
  </si>
  <si>
    <t>店・営業所経費計</t>
    <rPh sb="0" eb="1">
      <t>ミセ</t>
    </rPh>
    <rPh sb="2" eb="5">
      <t>エイギョウショ</t>
    </rPh>
    <rPh sb="5" eb="8">
      <t>ケイヒケイ</t>
    </rPh>
    <phoneticPr fontId="6"/>
  </si>
  <si>
    <t>工事拠点経費</t>
    <rPh sb="0" eb="2">
      <t>コウジ</t>
    </rPh>
    <rPh sb="4" eb="6">
      <t>ケイヒ</t>
    </rPh>
    <phoneticPr fontId="6"/>
  </si>
  <si>
    <t>営業拠点経費</t>
    <rPh sb="0" eb="2">
      <t>エイギョウ</t>
    </rPh>
    <rPh sb="2" eb="4">
      <t>キョテン</t>
    </rPh>
    <rPh sb="4" eb="6">
      <t>ケイヒ</t>
    </rPh>
    <phoneticPr fontId="6"/>
  </si>
  <si>
    <t>拠点利益</t>
    <rPh sb="2" eb="4">
      <t>リエキ</t>
    </rPh>
    <phoneticPr fontId="6"/>
  </si>
  <si>
    <t>支社経費(営・工共)</t>
    <rPh sb="0" eb="2">
      <t>シシャ</t>
    </rPh>
    <rPh sb="2" eb="4">
      <t>ケイヒ</t>
    </rPh>
    <rPh sb="5" eb="6">
      <t>エイ</t>
    </rPh>
    <rPh sb="7" eb="8">
      <t>コウ</t>
    </rPh>
    <rPh sb="8" eb="9">
      <t>トモ</t>
    </rPh>
    <phoneticPr fontId="6"/>
  </si>
  <si>
    <t>工事部利益</t>
    <rPh sb="0" eb="3">
      <t>コウジブ</t>
    </rPh>
    <rPh sb="3" eb="5">
      <t>リエキ</t>
    </rPh>
    <phoneticPr fontId="6"/>
  </si>
  <si>
    <t>実施工期</t>
    <phoneticPr fontId="6"/>
  </si>
  <si>
    <t/>
  </si>
  <si>
    <t>作業所名</t>
    <rPh sb="0" eb="2">
      <t>サギョウ</t>
    </rPh>
    <rPh sb="2" eb="3">
      <t>ジョ</t>
    </rPh>
    <rPh sb="3" eb="4">
      <t>メイ</t>
    </rPh>
    <phoneticPr fontId="6"/>
  </si>
  <si>
    <t>計 画 率</t>
    <rPh sb="0" eb="1">
      <t>ケイ</t>
    </rPh>
    <rPh sb="2" eb="3">
      <t>ガ</t>
    </rPh>
    <rPh sb="4" eb="5">
      <t>リツ</t>
    </rPh>
    <phoneticPr fontId="13"/>
  </si>
  <si>
    <t>計画金額</t>
    <rPh sb="0" eb="2">
      <t>ケイカク</t>
    </rPh>
    <rPh sb="2" eb="4">
      <t>キンガク</t>
    </rPh>
    <phoneticPr fontId="13"/>
  </si>
  <si>
    <t>工期１S</t>
    <rPh sb="0" eb="2">
      <t>コウキ</t>
    </rPh>
    <phoneticPr fontId="13"/>
  </si>
  <si>
    <t>工期１E</t>
    <rPh sb="0" eb="2">
      <t>コウキ</t>
    </rPh>
    <phoneticPr fontId="13"/>
  </si>
  <si>
    <t>工期2S</t>
    <rPh sb="0" eb="2">
      <t>コウキ</t>
    </rPh>
    <phoneticPr fontId="13"/>
  </si>
  <si>
    <t>工期2E</t>
    <rPh sb="0" eb="2">
      <t>コウキ</t>
    </rPh>
    <phoneticPr fontId="13"/>
  </si>
  <si>
    <t>工期3S</t>
    <rPh sb="0" eb="2">
      <t>コウキ</t>
    </rPh>
    <phoneticPr fontId="13"/>
  </si>
  <si>
    <t>工期3E</t>
    <rPh sb="0" eb="2">
      <t>コウキ</t>
    </rPh>
    <phoneticPr fontId="13"/>
  </si>
  <si>
    <t>工期4S</t>
    <rPh sb="0" eb="2">
      <t>コウキ</t>
    </rPh>
    <phoneticPr fontId="13"/>
  </si>
  <si>
    <t>工期4E</t>
    <rPh sb="0" eb="2">
      <t>コウキ</t>
    </rPh>
    <phoneticPr fontId="13"/>
  </si>
  <si>
    <t>工期5S</t>
    <rPh sb="0" eb="2">
      <t>コウキ</t>
    </rPh>
    <phoneticPr fontId="13"/>
  </si>
  <si>
    <t>工期5E</t>
    <rPh sb="0" eb="2">
      <t>コウキ</t>
    </rPh>
    <phoneticPr fontId="13"/>
  </si>
  <si>
    <t>工事価格</t>
  </si>
  <si>
    <t>東亜道路工業株式会社</t>
    <phoneticPr fontId="4"/>
  </si>
  <si>
    <t>支社</t>
    <rPh sb="0" eb="2">
      <t>シシャ</t>
    </rPh>
    <phoneticPr fontId="6"/>
  </si>
  <si>
    <t>拠点</t>
    <rPh sb="0" eb="2">
      <t>キョテン</t>
    </rPh>
    <phoneticPr fontId="6"/>
  </si>
  <si>
    <t>工事名称</t>
    <rPh sb="0" eb="1">
      <t>コウ</t>
    </rPh>
    <rPh sb="1" eb="2">
      <t>コト</t>
    </rPh>
    <rPh sb="2" eb="3">
      <t>メイ</t>
    </rPh>
    <rPh sb="3" eb="4">
      <t>ショウ</t>
    </rPh>
    <phoneticPr fontId="6"/>
  </si>
  <si>
    <t>発注者</t>
    <rPh sb="0" eb="1">
      <t>ハツ</t>
    </rPh>
    <rPh sb="1" eb="2">
      <t>チュウ</t>
    </rPh>
    <rPh sb="2" eb="3">
      <t>シャ</t>
    </rPh>
    <phoneticPr fontId="6"/>
  </si>
  <si>
    <t>工事価格</t>
    <rPh sb="0" eb="2">
      <t>コウジ</t>
    </rPh>
    <rPh sb="2" eb="4">
      <t>カカク</t>
    </rPh>
    <phoneticPr fontId="4"/>
  </si>
  <si>
    <t>～</t>
    <phoneticPr fontId="36"/>
  </si>
  <si>
    <t>～</t>
  </si>
  <si>
    <t>工事価格</t>
    <rPh sb="0" eb="4">
      <t>コウジカカク</t>
    </rPh>
    <phoneticPr fontId="6"/>
  </si>
  <si>
    <t>原価工種コード</t>
    <rPh sb="0" eb="4">
      <t>ゲンカコウシュ</t>
    </rPh>
    <phoneticPr fontId="6"/>
  </si>
  <si>
    <t>原価工種コード</t>
    <rPh sb="0" eb="4">
      <t>ゲンカコウシュ</t>
    </rPh>
    <phoneticPr fontId="4"/>
  </si>
  <si>
    <t>原価工種コード</t>
    <phoneticPr fontId="6"/>
  </si>
  <si>
    <t>工事総括表2</t>
    <phoneticPr fontId="6"/>
  </si>
  <si>
    <t>2320710263 E</t>
  </si>
  <si>
    <t>（第1回変更予算）</t>
  </si>
  <si>
    <t>平野　裕貴</t>
  </si>
  <si>
    <t>23-263☆（仮称）みんなのスタジアム2.0新設工事</t>
  </si>
  <si>
    <t>一般社団法人鎌倉スポーツコミッション</t>
  </si>
  <si>
    <t>横浜支店</t>
  </si>
  <si>
    <t>鎌倉市台3丁目地内</t>
  </si>
  <si>
    <t>2024年6月1日</t>
  </si>
  <si>
    <t>2024年12月31日</t>
  </si>
  <si>
    <t>基盤整正</t>
  </si>
  <si>
    <t>集水桝A</t>
  </si>
  <si>
    <t>集水桝B</t>
  </si>
  <si>
    <t>落蓋式側溝</t>
  </si>
  <si>
    <t>暗渠排水</t>
  </si>
  <si>
    <t>雨水排水管</t>
  </si>
  <si>
    <t>雨水敷地内最終桝設置</t>
  </si>
  <si>
    <t>路盤工</t>
  </si>
  <si>
    <t>路盤強化工法</t>
  </si>
  <si>
    <t>人工芝敷設</t>
  </si>
  <si>
    <t>人工芝ライン</t>
  </si>
  <si>
    <t>砕石舗装</t>
  </si>
  <si>
    <t>緑化工</t>
  </si>
  <si>
    <t>防球ﾈｯﾄ・照明柱用ｺﾝｸﾘｰﾄ柱</t>
  </si>
  <si>
    <t>人工芝・砕石舗装・種子吹付部</t>
  </si>
  <si>
    <t>m2</t>
  </si>
  <si>
    <t>ｸﾞﾚｰﾁﾝｸﾞ蓋</t>
  </si>
  <si>
    <t>箇所</t>
  </si>
  <si>
    <t>ｺﾞﾑ蓋</t>
  </si>
  <si>
    <t>U250,ｸﾞﾚｰﾁﾝｸﾞ蓋細目,T2</t>
  </si>
  <si>
    <t>m</t>
  </si>
  <si>
    <t>板状排水材,W=300,t=20</t>
  </si>
  <si>
    <t>NHﾄﾞﾚｰﾝ,各種継手含む</t>
  </si>
  <si>
    <t>VUΦ200,砂巻</t>
  </si>
  <si>
    <t>1号ﾏﾝﾎｰﾙ</t>
  </si>
  <si>
    <t>RC-40,t=150</t>
  </si>
  <si>
    <t>ﾌﾟﾗｲﾑﾌｧｲﾝ</t>
  </si>
  <si>
    <t>ER(芝丈60mm),充填材(硅砂+黒ｺﾞﾑﾁｯﾌﾟ+HPﾁｯﾌﾟ)</t>
  </si>
  <si>
    <t>ｻｯｶｺｰﾄ:1面(白),8人制ｻｯｶｺｰﾄ:2面(青)</t>
  </si>
  <si>
    <t>式</t>
  </si>
  <si>
    <t>種子吹付舗装</t>
  </si>
  <si>
    <t>H=11.0m・14.9m</t>
  </si>
  <si>
    <t>本</t>
  </si>
  <si>
    <t>材料費</t>
  </si>
  <si>
    <t>労務費</t>
  </si>
  <si>
    <t>外注費</t>
  </si>
  <si>
    <t>機械費</t>
  </si>
  <si>
    <t>運搬費</t>
  </si>
  <si>
    <t>共通仮設費</t>
  </si>
  <si>
    <t>現場経費</t>
  </si>
  <si>
    <t>法定福利費</t>
  </si>
  <si>
    <t>関東支社</t>
  </si>
  <si>
    <t>厚木出張所</t>
  </si>
  <si>
    <t>単独</t>
  </si>
  <si>
    <t>E</t>
  </si>
  <si>
    <t>2024年3月29日</t>
  </si>
  <si>
    <t>2024年6月1日 ～ 2024年12月31日</t>
  </si>
  <si>
    <t>直接工事費</t>
  </si>
  <si>
    <t xml:space="preserve">  土工事</t>
  </si>
  <si>
    <t xml:space="preserve">  </t>
  </si>
  <si>
    <t>1号</t>
  </si>
  <si>
    <t>内訳書</t>
  </si>
  <si>
    <t xml:space="preserve">  雨水排水工事</t>
  </si>
  <si>
    <t>2号</t>
  </si>
  <si>
    <t xml:space="preserve">  舗装工事</t>
  </si>
  <si>
    <t>3号</t>
  </si>
  <si>
    <t xml:space="preserve">  囲障・照明工事</t>
  </si>
  <si>
    <t>4号</t>
  </si>
  <si>
    <t xml:space="preserve">  施設工事</t>
  </si>
  <si>
    <t>5号</t>
  </si>
  <si>
    <t xml:space="preserve">  法定福利費</t>
  </si>
  <si>
    <t>6号</t>
  </si>
  <si>
    <t xml:space="preserve">  諸経費</t>
  </si>
  <si>
    <t>7号</t>
  </si>
  <si>
    <t xml:space="preserve">  2期工事に伴う費用</t>
  </si>
  <si>
    <t xml:space="preserve">  (長谷工影響部)</t>
  </si>
  <si>
    <t>8号</t>
  </si>
  <si>
    <t xml:space="preserve">  調整費</t>
  </si>
  <si>
    <t>9号</t>
  </si>
  <si>
    <t>直接工事費　計</t>
  </si>
  <si>
    <t>間接費</t>
  </si>
  <si>
    <t xml:space="preserve">  共通仮設費</t>
  </si>
  <si>
    <t xml:space="preserve">  現場経費</t>
  </si>
  <si>
    <t>間接費 計</t>
  </si>
  <si>
    <t>工事原価</t>
  </si>
  <si>
    <t>粗利益</t>
  </si>
  <si>
    <t>土工事</t>
  </si>
  <si>
    <t>雨水排水工事</t>
  </si>
  <si>
    <t>舗装工事</t>
  </si>
  <si>
    <t>囲障・照明工事</t>
  </si>
  <si>
    <t>施設工事</t>
  </si>
  <si>
    <t>諸経費</t>
  </si>
  <si>
    <t>2期工事に伴う費用</t>
  </si>
  <si>
    <t>(長谷工影響部)</t>
  </si>
  <si>
    <t>調整費</t>
  </si>
  <si>
    <t>計</t>
  </si>
  <si>
    <t>23-263☆（仮称）みんなのスタジアム2.0新設工事</t>
    <phoneticPr fontId="4"/>
  </si>
  <si>
    <t>総括</t>
  </si>
  <si>
    <t>集計行</t>
  </si>
  <si>
    <t>｜直接工事費</t>
  </si>
  <si>
    <t>内訳代価</t>
  </si>
  <si>
    <t>｜｜土工事</t>
  </si>
  <si>
    <t>1号内訳書</t>
  </si>
  <si>
    <t>｜｜｜基盤整正</t>
  </si>
  <si>
    <t>10号内訳書</t>
  </si>
  <si>
    <t>｜｜｜｜世話役</t>
  </si>
  <si>
    <t>人</t>
  </si>
  <si>
    <t xml:space="preserve">r00328001 </t>
  </si>
  <si>
    <t xml:space="preserve">{数量=1*9} </t>
  </si>
  <si>
    <t>｜｜｜｜技工</t>
  </si>
  <si>
    <t xml:space="preserve">r00328003 </t>
  </si>
  <si>
    <t xml:space="preserve">{数量=1*5} </t>
  </si>
  <si>
    <t>｜｜｜｜押ﾌﾞﾙﾄﾞｰｻﾞｰ</t>
  </si>
  <si>
    <t>D20</t>
  </si>
  <si>
    <t>台</t>
  </si>
  <si>
    <t xml:space="preserve">k00328023 </t>
  </si>
  <si>
    <t>｜｜｜｜BH0.15ｸﾚｰﾝ</t>
  </si>
  <si>
    <t xml:space="preserve">k00328016 </t>
  </si>
  <si>
    <t>｜｜｜｜ﾀｲﾔﾛｰﾗ</t>
  </si>
  <si>
    <t>8t</t>
  </si>
  <si>
    <t xml:space="preserve">k00328002 </t>
  </si>
  <si>
    <t>｜｜｜｜ﾋﾞﾌﾞﾛﾌﾟﾚｰﾄ</t>
  </si>
  <si>
    <t xml:space="preserve">k00328008 </t>
  </si>
  <si>
    <t>｜｜｜｜ﾗﾝﾏｰ</t>
  </si>
  <si>
    <t xml:space="preserve">k00328009 </t>
  </si>
  <si>
    <t>｜｜｜｜2ｔﾀﾞﾝﾌﾟ</t>
  </si>
  <si>
    <t xml:space="preserve">u00328020 </t>
  </si>
  <si>
    <t xml:space="preserve">{数量=2*9} </t>
  </si>
  <si>
    <t>｜｜｜｜労務運搬(Wｷｬﾌﾞ)</t>
  </si>
  <si>
    <t>燃料込</t>
  </si>
  <si>
    <t xml:space="preserve">u00328036 </t>
  </si>
  <si>
    <t>｜｜｜｜雑材</t>
  </si>
  <si>
    <t xml:space="preserve">s00328386 </t>
  </si>
  <si>
    <t>｜｜｜｜軽油</t>
  </si>
  <si>
    <t>L</t>
  </si>
  <si>
    <t xml:space="preserve">s00328123 </t>
  </si>
  <si>
    <t>｜｜雨水排水工事</t>
  </si>
  <si>
    <t>2号内訳書</t>
  </si>
  <si>
    <t>｜｜｜集水桝A</t>
  </si>
  <si>
    <t>11号内訳書</t>
  </si>
  <si>
    <t>｜｜｜｜現場打桝</t>
  </si>
  <si>
    <t>450/750×450/750×H650</t>
  </si>
  <si>
    <t>基</t>
  </si>
  <si>
    <t>｜｜｜｜内寸□450用 細目ｸﾞﾚｰﾁﾝｸﾞ</t>
  </si>
  <si>
    <t>T-2 受枠共 落し込</t>
  </si>
  <si>
    <t>組</t>
  </si>
  <si>
    <t>｜｜｜｜RC-40(t)</t>
  </si>
  <si>
    <t>配達</t>
  </si>
  <si>
    <t>t</t>
  </si>
  <si>
    <t xml:space="preserve">s00328271 </t>
  </si>
  <si>
    <t xml:space="preserve">{数量=0.85*0.85*0.1*10*1.8} </t>
  </si>
  <si>
    <t>｜｜｜｜生ｺﾝ18-8</t>
  </si>
  <si>
    <t>m3</t>
  </si>
  <si>
    <t xml:space="preserve">s00328236 </t>
  </si>
  <si>
    <t xml:space="preserve">{数量=(0.45*0.45*0.15*10)+(0.85*0.85*0.05*10)} </t>
  </si>
  <si>
    <t>｜｜｜｜生ｺﾝ小口配送料</t>
  </si>
  <si>
    <t>回</t>
  </si>
  <si>
    <t xml:space="preserve">s00328237 </t>
  </si>
  <si>
    <t xml:space="preserve">{数量=1*3} </t>
  </si>
  <si>
    <t xml:space="preserve">{数量=3*3} </t>
  </si>
  <si>
    <t>｜｜｜｜小物機械</t>
  </si>
  <si>
    <t xml:space="preserve">k00328082 </t>
  </si>
  <si>
    <t xml:space="preserve">{数量=1*7} </t>
  </si>
  <si>
    <t>｜｜｜集水桝B</t>
  </si>
  <si>
    <t>12号内訳書</t>
  </si>
  <si>
    <t xml:space="preserve">{数量=0.79*0.79*0.1*2*1.8} </t>
  </si>
  <si>
    <t xml:space="preserve">{数量=(0.69*0.69*0.62-0.45*0.45*0.5)+(0.79*0.79*0.05)} </t>
  </si>
  <si>
    <t>｜｜｜｜ゴム蓋</t>
  </si>
  <si>
    <t>集水桝450用</t>
  </si>
  <si>
    <t>枚</t>
  </si>
  <si>
    <t xml:space="preserve">{数量=1*2} </t>
  </si>
  <si>
    <t xml:space="preserve">{数量=3*2} </t>
  </si>
  <si>
    <t>｜｜｜｜発電機2K</t>
  </si>
  <si>
    <t xml:space="preserve">k00328044 </t>
  </si>
  <si>
    <t>｜｜｜｜型枠材他</t>
  </si>
  <si>
    <t>｜｜｜落蓋式側溝</t>
  </si>
  <si>
    <t>13号内訳書</t>
  </si>
  <si>
    <t>｜｜｜｜道路用側溝 1種 250</t>
  </si>
  <si>
    <t>250×250×2000</t>
  </si>
  <si>
    <t>個</t>
  </si>
  <si>
    <t>｜｜｜｜道路用側溝 1種 250(短尺)</t>
  </si>
  <si>
    <t>250×250×1000</t>
  </si>
  <si>
    <t>｜｜｜｜道路用側溝250用 細目ｸﾞﾚｰﾁﾝｸﾞ</t>
  </si>
  <si>
    <t>T-2 L=995</t>
  </si>
  <si>
    <t xml:space="preserve">{数量=184*0.45*0.1*1.8} </t>
  </si>
  <si>
    <t>｜｜｜｜生ｺﾝ1：3ﾓﾙﾀﾙ</t>
  </si>
  <si>
    <t xml:space="preserve">s00328227 </t>
  </si>
  <si>
    <t xml:space="preserve">{数量=184*0.45*0.03} </t>
  </si>
  <si>
    <t xml:space="preserve">{数量=4*7} </t>
  </si>
  <si>
    <t>｜｜｜｜ﾊﾝﾄﾞｶｯﾀｰ</t>
  </si>
  <si>
    <t>ﾌﾞﾚｰﾄﾞ損料含</t>
  </si>
  <si>
    <t xml:space="preserve">k00328040 </t>
  </si>
  <si>
    <t xml:space="preserve">{数量=2*7} </t>
  </si>
  <si>
    <t>｜｜｜暗渠排水</t>
  </si>
  <si>
    <t>14号内訳書</t>
  </si>
  <si>
    <t>｜｜｜｜グリシート</t>
  </si>
  <si>
    <t>300×20 L=50m</t>
  </si>
  <si>
    <t>巻</t>
  </si>
  <si>
    <t>15号内訳書</t>
  </si>
  <si>
    <t>｜｜｜｜NHﾄﾞﾚｰﾝ Φ60</t>
  </si>
  <si>
    <t>NH-60</t>
  </si>
  <si>
    <t>ｍ</t>
  </si>
  <si>
    <t>｜｜｜｜NHﾄﾞﾚｰﾝ Φ114(縁付き)</t>
  </si>
  <si>
    <t>NH-114F</t>
  </si>
  <si>
    <t>｜｜｜｜継手Φ60 L字型</t>
  </si>
  <si>
    <t>NHL60</t>
  </si>
  <si>
    <t>｜｜｜｜継手Φ60 T字型</t>
  </si>
  <si>
    <t>NHT60</t>
  </si>
  <si>
    <t>｜｜｜｜継手Φ60 十字型</t>
  </si>
  <si>
    <t>NHX60</t>
  </si>
  <si>
    <t>｜｜｜｜異径継手Φ60-114 T字型</t>
  </si>
  <si>
    <t>NHT114-60F</t>
  </si>
  <si>
    <t>｜｜｜｜継手Φ114 L字型(縁付き)</t>
  </si>
  <si>
    <t>NHL114F</t>
  </si>
  <si>
    <t>｜｜｜｜運搬費</t>
  </si>
  <si>
    <t>大型ユニック車</t>
  </si>
  <si>
    <t xml:space="preserve">{数量=(134*0.29*0.1*1.8)+(120*0.22*0.1*1.8)} </t>
  </si>
  <si>
    <t xml:space="preserve">{数量=(134*0.29*0.02)+(120*0.22*0.02)} </t>
  </si>
  <si>
    <t xml:space="preserve">{数量=4*9} </t>
  </si>
  <si>
    <t>｜｜｜雨水排水管</t>
  </si>
  <si>
    <t>16号内訳書</t>
  </si>
  <si>
    <t>｜｜｜｜塩ﾋﾞ管VU200</t>
  </si>
  <si>
    <t>片受直管　L-2.0m</t>
  </si>
  <si>
    <t xml:space="preserve">s00328187 </t>
  </si>
  <si>
    <t>｜｜｜｜埋戻用砂</t>
  </si>
  <si>
    <t xml:space="preserve">s00328206 </t>
  </si>
  <si>
    <t xml:space="preserve">{数量=0.6*0.4*27} </t>
  </si>
  <si>
    <t>｜｜｜雨水敷地内最終桝設置</t>
  </si>
  <si>
    <t>17号内訳書</t>
  </si>
  <si>
    <t>｜｜｜｜ハンドホール</t>
  </si>
  <si>
    <t xml:space="preserve">{数量=1.1*1.1*0.2*1.8} </t>
  </si>
  <si>
    <t xml:space="preserve">{数量=0.54*1.1*1.1} </t>
  </si>
  <si>
    <t>｜｜｜｜無収縮ﾓﾙﾀﾙ</t>
  </si>
  <si>
    <t>25kg袋</t>
  </si>
  <si>
    <t>袋</t>
  </si>
  <si>
    <t xml:space="preserve">s00328094 </t>
  </si>
  <si>
    <t>｜｜｜｜BH0.25ｸﾚｰﾝ</t>
  </si>
  <si>
    <t xml:space="preserve">k00328018 </t>
  </si>
  <si>
    <t>｜｜舗装工事</t>
  </si>
  <si>
    <t>3号内訳書</t>
  </si>
  <si>
    <t>｜｜｜路盤工</t>
  </si>
  <si>
    <t>18号内訳書</t>
  </si>
  <si>
    <t xml:space="preserve">{数量=6,968*0.15*1.8*1.27} </t>
  </si>
  <si>
    <t xml:space="preserve">{数量=1*6} </t>
  </si>
  <si>
    <t xml:space="preserve">{数量=6*6} </t>
  </si>
  <si>
    <t>｜｜｜路盤強化工法</t>
  </si>
  <si>
    <t>19号内訳書</t>
  </si>
  <si>
    <t>｜｜｜｜ﾌﾟﾗｲﾑﾌｧｲﾝ</t>
  </si>
  <si>
    <t xml:space="preserve">{数量=6,968*1.0} </t>
  </si>
  <si>
    <t>｜｜｜｜ﾃﾞｨｽﾄﾘﾋﾞｭｰﾀ(昼)</t>
  </si>
  <si>
    <t xml:space="preserve">k00328061 </t>
  </si>
  <si>
    <t>｜｜｜人工芝敷設</t>
  </si>
  <si>
    <t>20号内訳書</t>
  </si>
  <si>
    <t>｜｜｜｜人工芝敷設</t>
  </si>
  <si>
    <t>材工</t>
  </si>
  <si>
    <t>｜｜｜｜充填材散布</t>
  </si>
  <si>
    <t>｜｜｜人工芝ライン</t>
  </si>
  <si>
    <t>21号内訳書</t>
  </si>
  <si>
    <t>｜｜｜｜ライン工</t>
  </si>
  <si>
    <t>｜｜｜砕石舗装</t>
  </si>
  <si>
    <t>22号内訳書</t>
  </si>
  <si>
    <t xml:space="preserve">{数量=162*0.15*1.8*1.27} </t>
  </si>
  <si>
    <t>｜｜｜緑化工</t>
  </si>
  <si>
    <t>23号内訳書</t>
  </si>
  <si>
    <t>｜｜｜｜種子吹付</t>
  </si>
  <si>
    <t>｜｜囲障・照明工事</t>
  </si>
  <si>
    <t>4号内訳書</t>
  </si>
  <si>
    <t>｜｜｜防球ﾈｯﾄ・照明柱用ｺﾝｸﾘｰﾄ柱</t>
  </si>
  <si>
    <t>24号内訳書</t>
  </si>
  <si>
    <t>｜｜｜｜建柱施工費</t>
  </si>
  <si>
    <t>｜｜｜防球ﾈｯﾄ設置</t>
  </si>
  <si>
    <t>440t44本100mmｼﾙﾊﾞｰ</t>
  </si>
  <si>
    <t>25号内訳書</t>
  </si>
  <si>
    <t xml:space="preserve">全ﾈｯﾄ・ﾜｲﾔｰ設置費 </t>
  </si>
  <si>
    <t>｜｜｜｜ﾈｯﾄ・ﾜｲﾔｰ施工費</t>
  </si>
  <si>
    <t>｜｜｜防球ﾈｯﾄ出入口加工</t>
  </si>
  <si>
    <t>ｶｰﾃﾝﾈｯﾄH5m W10m</t>
  </si>
  <si>
    <t>26号内訳書</t>
  </si>
  <si>
    <t>｜｜｜｜出入口カーテン加工費</t>
  </si>
  <si>
    <t>｜｜施設工事</t>
  </si>
  <si>
    <t>5号内訳書</t>
  </si>
  <si>
    <t>｜｜｜地先境界ﾌﾞﾛｯｸ</t>
  </si>
  <si>
    <t>A種120*120*600</t>
  </si>
  <si>
    <t>27号内訳書</t>
  </si>
  <si>
    <t>｜｜｜｜地先A</t>
  </si>
  <si>
    <t>120×120×600</t>
  </si>
  <si>
    <t xml:space="preserve">{数量=401.8*0.17*0.1*1.8} </t>
  </si>
  <si>
    <t xml:space="preserve">{数量=401.8*0.17*0.1} </t>
  </si>
  <si>
    <t xml:space="preserve">{数量=401.8*0.12*0.01} </t>
  </si>
  <si>
    <t xml:space="preserve">{数量=1*8} </t>
  </si>
  <si>
    <t xml:space="preserve">{数量=4*8} </t>
  </si>
  <si>
    <t xml:space="preserve">{数量=2*8} </t>
  </si>
  <si>
    <t>｜｜法定福利費</t>
  </si>
  <si>
    <t>6号内訳書</t>
  </si>
  <si>
    <t>｜｜｜法定福利費</t>
  </si>
  <si>
    <t>構造物班</t>
  </si>
  <si>
    <t>舗装班(土工・路盤)</t>
  </si>
  <si>
    <t>防球ネット班</t>
  </si>
  <si>
    <t>舗装班(人工芝)</t>
  </si>
  <si>
    <t>舗装班(種子吹付)</t>
  </si>
  <si>
    <t>｜｜諸経費</t>
  </si>
  <si>
    <t>7号内訳書</t>
  </si>
  <si>
    <t>｜｜｜諸経費</t>
  </si>
  <si>
    <t>｜｜2期工事に伴う費用</t>
  </si>
  <si>
    <t>8号内訳書</t>
  </si>
  <si>
    <t>｜｜｜世話役</t>
  </si>
  <si>
    <t xml:space="preserve">防球ネット7日*2人 </t>
  </si>
  <si>
    <t>｜｜｜技工</t>
  </si>
  <si>
    <t xml:space="preserve">防球ネット7日*5人 </t>
  </si>
  <si>
    <t xml:space="preserve">構造物班7日*1人 </t>
  </si>
  <si>
    <t xml:space="preserve">構造物班7日*4人 </t>
  </si>
  <si>
    <t>｜｜｜BH0.15ｸﾚｰﾝ</t>
  </si>
  <si>
    <t xml:space="preserve">構造物班7日*1台 </t>
  </si>
  <si>
    <t xml:space="preserve">舗装班10日*1人 </t>
  </si>
  <si>
    <t xml:space="preserve">舗装班10日*6人 </t>
  </si>
  <si>
    <t xml:space="preserve">舗装班10日*1台 </t>
  </si>
  <si>
    <t xml:space="preserve">種子吹付班2日*1人 </t>
  </si>
  <si>
    <t xml:space="preserve">種子吹付班2日*5人 </t>
  </si>
  <si>
    <t>｜｜｜雑材</t>
  </si>
  <si>
    <t>｜｜調整費</t>
  </si>
  <si>
    <t>9号内訳書</t>
  </si>
  <si>
    <t>｜｜｜調整費</t>
  </si>
  <si>
    <t>予算2</t>
    <phoneticPr fontId="6"/>
  </si>
  <si>
    <t>重機運搬費</t>
  </si>
  <si>
    <t>社員給料</t>
  </si>
  <si>
    <t>準備費</t>
  </si>
  <si>
    <t>事務用品費</t>
  </si>
  <si>
    <t>仮設費</t>
  </si>
  <si>
    <t>保険料</t>
  </si>
  <si>
    <t>安全費</t>
  </si>
  <si>
    <t>雑費</t>
  </si>
  <si>
    <t>技術管理費</t>
  </si>
  <si>
    <t>0</t>
  </si>
  <si>
    <t>#DIV/0!</t>
  </si>
  <si>
    <t>｜共通仮設費</t>
  </si>
  <si>
    <t>｜｜重機運搬費</t>
  </si>
  <si>
    <t>28号内訳書</t>
  </si>
  <si>
    <t>｜｜｜回送  ﾄﾚｰﾗｰ</t>
  </si>
  <si>
    <t>D3ﾌﾞﾙﾄﾞｰｻﾞｰ</t>
  </si>
  <si>
    <t xml:space="preserve">u00328010 </t>
  </si>
  <si>
    <t>｜｜｜回送  4ｔｾﾙﾌ</t>
  </si>
  <si>
    <t xml:space="preserve">u00328008 </t>
  </si>
  <si>
    <t>｜｜｜回送  大型ｾﾙﾌ</t>
  </si>
  <si>
    <t xml:space="preserve">u00328009 </t>
  </si>
  <si>
    <t>0.45ｍ3BH</t>
  </si>
  <si>
    <t>｜｜｜雑回送</t>
  </si>
  <si>
    <t xml:space="preserve">u00328041 </t>
  </si>
  <si>
    <t>舗装班</t>
  </si>
  <si>
    <t>｜｜準備費</t>
  </si>
  <si>
    <t>(準備測量・仮設設置撤去・他)</t>
  </si>
  <si>
    <t>29号内訳書</t>
  </si>
  <si>
    <t>｜｜｜通行申請費用</t>
  </si>
  <si>
    <t>｜｜｜特車申請費用</t>
  </si>
  <si>
    <t>｜｜仮設費</t>
  </si>
  <si>
    <t>(仮設事務所・倉庫・トイレ(環境改善含む)、仮設電気　等)</t>
  </si>
  <si>
    <t>30号内訳書</t>
  </si>
  <si>
    <t>｜｜｜仮設ハウス・休憩所</t>
  </si>
  <si>
    <t>4坪×2棟</t>
  </si>
  <si>
    <t>月</t>
  </si>
  <si>
    <t>｜｜｜ハウス組立・解体</t>
  </si>
  <si>
    <t>｜｜｜ハウス搬入・搬出費</t>
  </si>
  <si>
    <t>｜｜｜倉庫</t>
  </si>
  <si>
    <t>｜｜｜快適トイレ</t>
  </si>
  <si>
    <t>｜｜｜ハウス・休憩所備品</t>
  </si>
  <si>
    <t>エアコン他</t>
  </si>
  <si>
    <t>｜｜｜仮設電気</t>
  </si>
  <si>
    <t>電気代6ヶ月込み</t>
  </si>
  <si>
    <t>｜｜｜仮設水道</t>
  </si>
  <si>
    <t>水道代6ヶ月込み</t>
  </si>
  <si>
    <t>｜｜｜敷き鉄板5*20</t>
  </si>
  <si>
    <t>1500×6000×22</t>
  </si>
  <si>
    <t>枚/日</t>
  </si>
  <si>
    <t xml:space="preserve">100枚×90日 </t>
  </si>
  <si>
    <t>｜｜｜搬入・搬出</t>
  </si>
  <si>
    <t>敷き鉄板</t>
  </si>
  <si>
    <t>｜｜｜BH0.45ｸﾚｰﾝ</t>
  </si>
  <si>
    <t xml:space="preserve">k00328019 </t>
  </si>
  <si>
    <t xml:space="preserve">敷き鉄板、残土掘削、積込他 </t>
  </si>
  <si>
    <t>｜｜｜ﾀｲﾔｼｮﾍﾞﾙ0.4</t>
  </si>
  <si>
    <t xml:space="preserve">k00328021 </t>
  </si>
  <si>
    <t xml:space="preserve">砕石、残土運搬他 </t>
  </si>
  <si>
    <t>｜｜｜ﾀｲﾔﾛｰﾗ</t>
  </si>
  <si>
    <t xml:space="preserve">路盤、路床転圧、散水他 </t>
  </si>
  <si>
    <t>｜｜｜ﾀﾝﾃﾞﾑﾛｰﾗ</t>
  </si>
  <si>
    <t>3ｔ、4ｔ</t>
  </si>
  <si>
    <t xml:space="preserve">k00328004 </t>
  </si>
  <si>
    <t xml:space="preserve">路盤、路床転圧他 </t>
  </si>
  <si>
    <t>｜｜｜産廃BOX設置・撤去</t>
  </si>
  <si>
    <t>｜｜｜産廃運搬処分</t>
  </si>
  <si>
    <t>ｍ3</t>
  </si>
  <si>
    <t>｜｜安全費</t>
  </si>
  <si>
    <t>(仮設事務所仮囲い・工事看板や安全施設・事務所警備　等)</t>
  </si>
  <si>
    <t>31号内訳書</t>
  </si>
  <si>
    <t>｜｜｜交通保安員</t>
  </si>
  <si>
    <t xml:space="preserve">g00328035 </t>
  </si>
  <si>
    <t>｜｜｜保安資材</t>
  </si>
  <si>
    <t>カラーコーン他</t>
  </si>
  <si>
    <t>｜｜｜熱中症対策費</t>
  </si>
  <si>
    <t>｜｜技術管理費</t>
  </si>
  <si>
    <t>(土質試験・ASP・MC施工関係・完成図書 等)</t>
  </si>
  <si>
    <t>32号内訳書</t>
  </si>
  <si>
    <t>｜｜｜D3ﾌﾞﾙﾄﾞｰｻﾞｰ</t>
  </si>
  <si>
    <t>TSﾏｼﾝｺﾝﾄﾛｰﾙ仕様</t>
  </si>
  <si>
    <t>｜｜｜ﾄｰﾀﾙｽﾃｰｼｮﾝ</t>
  </si>
  <si>
    <t>｜｜｜ｼｽﾃﾑ指導費他</t>
  </si>
  <si>
    <t>｜｜｜レベル</t>
  </si>
  <si>
    <t>｜｜｜杭ナビ</t>
  </si>
  <si>
    <t>電子端末含む</t>
  </si>
  <si>
    <t>管理費</t>
  </si>
  <si>
    <t>33号</t>
  </si>
  <si>
    <t>(コピー機、トナー、文具、コピー用紙、その他)</t>
  </si>
  <si>
    <t>34号</t>
  </si>
  <si>
    <t>(建退共・労災保険・労災上乗せ保険　等)</t>
  </si>
  <si>
    <t>35号</t>
  </si>
  <si>
    <t>(現場特有で発生が見込まれる費用　等)</t>
  </si>
  <si>
    <t>36号</t>
  </si>
  <si>
    <t>｜現場経費</t>
  </si>
  <si>
    <t>｜｜社員給料</t>
  </si>
  <si>
    <t>33号内訳書</t>
  </si>
  <si>
    <t>｜｜｜現場代理人(3級)昼</t>
  </si>
  <si>
    <t>ヶ月</t>
  </si>
  <si>
    <t xml:space="preserve">m00328013 </t>
  </si>
  <si>
    <t>｜｜｜現場代理人(2級)昼</t>
  </si>
  <si>
    <t xml:space="preserve">m00328017 </t>
  </si>
  <si>
    <t>｜｜｜現場代理人(1級)昼</t>
  </si>
  <si>
    <t xml:space="preserve">m00328021 </t>
  </si>
  <si>
    <t>｜｜事務用品費</t>
  </si>
  <si>
    <t>34号内訳書</t>
  </si>
  <si>
    <t>｜｜｜事務用品</t>
  </si>
  <si>
    <t>｜｜保険料</t>
  </si>
  <si>
    <t>35号内訳書</t>
  </si>
  <si>
    <t>｜｜雑費</t>
  </si>
  <si>
    <t>36号内訳書</t>
  </si>
  <si>
    <t>丁張材他</t>
  </si>
  <si>
    <t>｜｜｜モニュメント代</t>
  </si>
  <si>
    <t>工事名称</t>
    <phoneticPr fontId="6"/>
  </si>
  <si>
    <t>23-263☆（仮称）みんなのスタジアム2.0新設工事</t>
    <phoneticPr fontId="6"/>
  </si>
  <si>
    <t>2320710263 E</t>
    <phoneticPr fontId="6"/>
  </si>
  <si>
    <t>名称／規格</t>
    <phoneticPr fontId="6"/>
  </si>
  <si>
    <t>数量</t>
    <phoneticPr fontId="6"/>
  </si>
  <si>
    <t>単価</t>
    <phoneticPr fontId="6"/>
  </si>
  <si>
    <t>金額</t>
    <phoneticPr fontId="6"/>
  </si>
  <si>
    <t>摘要</t>
    <phoneticPr fontId="6"/>
  </si>
  <si>
    <t>業者／要素</t>
    <phoneticPr fontId="6"/>
  </si>
  <si>
    <t>備考</t>
    <phoneticPr fontId="6"/>
  </si>
  <si>
    <t>NHﾄﾞﾚｰﾝ Φ114(縁付き)</t>
    <phoneticPr fontId="6"/>
  </si>
  <si>
    <t>ｍ</t>
    <phoneticPr fontId="6"/>
  </si>
  <si>
    <t>NH-114F</t>
    <phoneticPr fontId="6"/>
  </si>
  <si>
    <t>材料費</t>
    <phoneticPr fontId="6"/>
  </si>
  <si>
    <t>NHﾄﾞﾚｰﾝ Φ60</t>
    <phoneticPr fontId="6"/>
  </si>
  <si>
    <t>NH-60</t>
    <phoneticPr fontId="6"/>
  </si>
  <si>
    <t>RC-40(t)</t>
    <phoneticPr fontId="6"/>
  </si>
  <si>
    <t>t</t>
    <phoneticPr fontId="6"/>
  </si>
  <si>
    <t>配達</t>
    <phoneticPr fontId="6"/>
  </si>
  <si>
    <t>グリシート</t>
    <phoneticPr fontId="6"/>
  </si>
  <si>
    <t>巻</t>
    <phoneticPr fontId="6"/>
  </si>
  <si>
    <t>300×20 L=50m</t>
    <phoneticPr fontId="6"/>
  </si>
  <si>
    <t>ゴム蓋</t>
    <phoneticPr fontId="6"/>
  </si>
  <si>
    <t>枚</t>
    <phoneticPr fontId="6"/>
  </si>
  <si>
    <t>集水桝450用</t>
    <phoneticPr fontId="6"/>
  </si>
  <si>
    <t>ハンドホール</t>
    <phoneticPr fontId="6"/>
  </si>
  <si>
    <t>式</t>
    <phoneticPr fontId="6"/>
  </si>
  <si>
    <t>ﾌﾟﾗｲﾑﾌｧｲﾝ</t>
    <phoneticPr fontId="6"/>
  </si>
  <si>
    <t>L</t>
    <phoneticPr fontId="6"/>
  </si>
  <si>
    <t>モニュメント代</t>
    <phoneticPr fontId="6"/>
  </si>
  <si>
    <t>異径継手Φ60-114 T字型</t>
    <phoneticPr fontId="6"/>
  </si>
  <si>
    <t>個</t>
    <phoneticPr fontId="6"/>
  </si>
  <si>
    <t>NHT114-60F</t>
    <phoneticPr fontId="6"/>
  </si>
  <si>
    <t>塩ﾋﾞ管VU200</t>
    <phoneticPr fontId="6"/>
  </si>
  <si>
    <t>本</t>
    <phoneticPr fontId="6"/>
  </si>
  <si>
    <t>片受直管　L-2.0m</t>
    <phoneticPr fontId="6"/>
  </si>
  <si>
    <t>型枠材他</t>
    <phoneticPr fontId="6"/>
  </si>
  <si>
    <t>継手Φ114 L字型(縁付き)</t>
    <phoneticPr fontId="6"/>
  </si>
  <si>
    <t>NHL114F</t>
    <phoneticPr fontId="6"/>
  </si>
  <si>
    <t>継手Φ60 L字型</t>
    <phoneticPr fontId="6"/>
  </si>
  <si>
    <t>NHL60</t>
    <phoneticPr fontId="6"/>
  </si>
  <si>
    <t>継手Φ60 T字型</t>
    <phoneticPr fontId="6"/>
  </si>
  <si>
    <t>NHT60</t>
    <phoneticPr fontId="6"/>
  </si>
  <si>
    <t>継手Φ60 十字型</t>
    <phoneticPr fontId="6"/>
  </si>
  <si>
    <t>NHX60</t>
    <phoneticPr fontId="6"/>
  </si>
  <si>
    <t>軽油</t>
    <phoneticPr fontId="6"/>
  </si>
  <si>
    <t>現場打桝</t>
    <phoneticPr fontId="6"/>
  </si>
  <si>
    <t>基</t>
    <phoneticPr fontId="6"/>
  </si>
  <si>
    <t>450/750×450/750×H650</t>
    <phoneticPr fontId="6"/>
  </si>
  <si>
    <t>雑材</t>
    <phoneticPr fontId="6"/>
  </si>
  <si>
    <t>材料調書</t>
    <phoneticPr fontId="6"/>
  </si>
  <si>
    <t>丁張材他</t>
    <phoneticPr fontId="6"/>
  </si>
  <si>
    <t>事務用品</t>
    <phoneticPr fontId="6"/>
  </si>
  <si>
    <t>月</t>
    <phoneticPr fontId="6"/>
  </si>
  <si>
    <t>生ｺﾝ1：3ﾓﾙﾀﾙ</t>
    <phoneticPr fontId="6"/>
  </si>
  <si>
    <t>m3</t>
    <phoneticPr fontId="6"/>
  </si>
  <si>
    <t>生ｺﾝ18-8</t>
    <phoneticPr fontId="6"/>
  </si>
  <si>
    <t>生ｺﾝ小口配送料</t>
    <phoneticPr fontId="6"/>
  </si>
  <si>
    <t>回</t>
    <phoneticPr fontId="6"/>
  </si>
  <si>
    <t>地先A</t>
    <phoneticPr fontId="6"/>
  </si>
  <si>
    <t>120×120×600</t>
    <phoneticPr fontId="6"/>
  </si>
  <si>
    <t>道路用側溝 1種 250</t>
    <phoneticPr fontId="6"/>
  </si>
  <si>
    <t>250×250×2000</t>
    <phoneticPr fontId="6"/>
  </si>
  <si>
    <t>道路用側溝 1種 250(短尺)</t>
    <phoneticPr fontId="6"/>
  </si>
  <si>
    <t>250×250×1000</t>
    <phoneticPr fontId="6"/>
  </si>
  <si>
    <t>道路用側溝250用 細目ｸﾞﾚｰﾁﾝｸﾞ</t>
    <phoneticPr fontId="6"/>
  </si>
  <si>
    <t>T-2 L=995</t>
    <phoneticPr fontId="6"/>
  </si>
  <si>
    <t>内寸□450用 細目ｸﾞﾚｰﾁﾝｸﾞ</t>
    <phoneticPr fontId="6"/>
  </si>
  <si>
    <t>組</t>
    <phoneticPr fontId="6"/>
  </si>
  <si>
    <t>T-2 受枠共 落し込</t>
    <phoneticPr fontId="6"/>
  </si>
  <si>
    <t>保安資材</t>
    <phoneticPr fontId="6"/>
  </si>
  <si>
    <t>カラーコーン他</t>
    <phoneticPr fontId="6"/>
  </si>
  <si>
    <t>埋戻用砂</t>
    <phoneticPr fontId="6"/>
  </si>
  <si>
    <t>無収縮ﾓﾙﾀﾙ</t>
    <phoneticPr fontId="6"/>
  </si>
  <si>
    <t>袋</t>
    <phoneticPr fontId="6"/>
  </si>
  <si>
    <t>25kg袋</t>
    <phoneticPr fontId="6"/>
  </si>
  <si>
    <t>計</t>
    <phoneticPr fontId="6"/>
  </si>
  <si>
    <t>技工</t>
    <phoneticPr fontId="6"/>
  </si>
  <si>
    <t>人</t>
    <phoneticPr fontId="6"/>
  </si>
  <si>
    <t>労務費</t>
    <phoneticPr fontId="6"/>
  </si>
  <si>
    <t>世話役</t>
    <phoneticPr fontId="6"/>
  </si>
  <si>
    <t>ﾈｯﾄ・ﾜｲﾔｰ施工費</t>
    <phoneticPr fontId="6"/>
  </si>
  <si>
    <t>材工</t>
    <phoneticPr fontId="6"/>
  </si>
  <si>
    <t>外注費</t>
    <phoneticPr fontId="6"/>
  </si>
  <si>
    <t>ライン工</t>
    <phoneticPr fontId="6"/>
  </si>
  <si>
    <t>仮設水道</t>
    <phoneticPr fontId="6"/>
  </si>
  <si>
    <t>水道代6ヶ月込み</t>
    <phoneticPr fontId="6"/>
  </si>
  <si>
    <t>仮設電気</t>
    <phoneticPr fontId="6"/>
  </si>
  <si>
    <t>電気代6ヶ月込み</t>
    <phoneticPr fontId="6"/>
  </si>
  <si>
    <t>建柱施工費</t>
    <phoneticPr fontId="6"/>
  </si>
  <si>
    <t>交通保安員</t>
    <phoneticPr fontId="6"/>
  </si>
  <si>
    <t>種子吹付</t>
    <phoneticPr fontId="6"/>
  </si>
  <si>
    <t>m2</t>
    <phoneticPr fontId="6"/>
  </si>
  <si>
    <t>充填材散布</t>
    <phoneticPr fontId="6"/>
  </si>
  <si>
    <t>出入口カーテン加工費</t>
    <phoneticPr fontId="6"/>
  </si>
  <si>
    <t>箇所</t>
    <phoneticPr fontId="6"/>
  </si>
  <si>
    <t>諸経費</t>
    <phoneticPr fontId="6"/>
  </si>
  <si>
    <t>構造物班</t>
    <phoneticPr fontId="6"/>
  </si>
  <si>
    <t>舗装班(土工・路盤)</t>
    <phoneticPr fontId="6"/>
  </si>
  <si>
    <t>防球ネット班</t>
    <phoneticPr fontId="6"/>
  </si>
  <si>
    <t>人工芝敷設</t>
    <phoneticPr fontId="6"/>
  </si>
  <si>
    <t>BH0.15ｸﾚｰﾝ</t>
    <phoneticPr fontId="6"/>
  </si>
  <si>
    <t>台</t>
    <phoneticPr fontId="6"/>
  </si>
  <si>
    <t>機械費</t>
    <phoneticPr fontId="6"/>
  </si>
  <si>
    <t>BH0.25ｸﾚｰﾝ</t>
    <phoneticPr fontId="6"/>
  </si>
  <si>
    <t>BH0.45ｸﾚｰﾝ</t>
    <phoneticPr fontId="6"/>
  </si>
  <si>
    <t>D3ﾌﾞﾙﾄﾞｰｻﾞｰ</t>
    <phoneticPr fontId="6"/>
  </si>
  <si>
    <t>TSﾏｼﾝｺﾝﾄﾛｰﾙ仕様</t>
    <phoneticPr fontId="6"/>
  </si>
  <si>
    <t>ﾀｲﾔｼｮﾍﾞﾙ0.4</t>
    <phoneticPr fontId="6"/>
  </si>
  <si>
    <t>ﾀｲﾔﾛｰﾗ</t>
    <phoneticPr fontId="6"/>
  </si>
  <si>
    <t>8t</t>
    <phoneticPr fontId="6"/>
  </si>
  <si>
    <t>ﾀﾝﾃﾞﾑﾛｰﾗ</t>
    <phoneticPr fontId="6"/>
  </si>
  <si>
    <t>3ｔ、4ｔ</t>
    <phoneticPr fontId="6"/>
  </si>
  <si>
    <t>ﾃﾞｨｽﾄﾘﾋﾞｭｰﾀ(昼)</t>
    <phoneticPr fontId="6"/>
  </si>
  <si>
    <t>ﾄｰﾀﾙｽﾃｰｼｮﾝ</t>
    <phoneticPr fontId="6"/>
  </si>
  <si>
    <t>ハウス・休憩所備品</t>
    <phoneticPr fontId="6"/>
  </si>
  <si>
    <t>エアコン他</t>
    <phoneticPr fontId="6"/>
  </si>
  <si>
    <t>ハウス組立・解体</t>
    <phoneticPr fontId="6"/>
  </si>
  <si>
    <t>ﾊﾝﾄﾞｶｯﾀｰ</t>
    <phoneticPr fontId="6"/>
  </si>
  <si>
    <t>ﾌﾞﾚｰﾄﾞ損料含</t>
    <phoneticPr fontId="6"/>
  </si>
  <si>
    <t>ﾋﾞﾌﾞﾛﾌﾟﾚｰﾄ</t>
    <phoneticPr fontId="6"/>
  </si>
  <si>
    <t>ﾗﾝﾏｰ</t>
    <phoneticPr fontId="6"/>
  </si>
  <si>
    <t>レベル</t>
    <phoneticPr fontId="6"/>
  </si>
  <si>
    <t>押ﾌﾞﾙﾄﾞｰｻﾞｰ</t>
    <phoneticPr fontId="6"/>
  </si>
  <si>
    <t>D20</t>
    <phoneticPr fontId="6"/>
  </si>
  <si>
    <t>仮設ハウス・休憩所</t>
    <phoneticPr fontId="6"/>
  </si>
  <si>
    <t>4坪×2棟</t>
    <phoneticPr fontId="6"/>
  </si>
  <si>
    <t>快適トイレ</t>
    <phoneticPr fontId="6"/>
  </si>
  <si>
    <t>杭ナビ</t>
    <phoneticPr fontId="6"/>
  </si>
  <si>
    <t>管理費</t>
    <phoneticPr fontId="6"/>
  </si>
  <si>
    <t>電子端末含む</t>
    <phoneticPr fontId="6"/>
  </si>
  <si>
    <t>機械調書</t>
    <phoneticPr fontId="6"/>
  </si>
  <si>
    <t>小物機械</t>
    <phoneticPr fontId="6"/>
  </si>
  <si>
    <t>倉庫</t>
    <phoneticPr fontId="6"/>
  </si>
  <si>
    <t>発電機2K</t>
    <phoneticPr fontId="6"/>
  </si>
  <si>
    <t>敷き鉄板5*20</t>
    <phoneticPr fontId="6"/>
  </si>
  <si>
    <t>枚/日</t>
    <phoneticPr fontId="6"/>
  </si>
  <si>
    <t>1500×6000×22</t>
    <phoneticPr fontId="6"/>
  </si>
  <si>
    <t>2ｔﾀﾞﾝﾌﾟ</t>
    <phoneticPr fontId="6"/>
  </si>
  <si>
    <t>運搬費</t>
    <phoneticPr fontId="6"/>
  </si>
  <si>
    <t>ハウス搬入・搬出費</t>
    <phoneticPr fontId="6"/>
  </si>
  <si>
    <t>大型ユニック車</t>
    <phoneticPr fontId="6"/>
  </si>
  <si>
    <t>回送  4ｔｾﾙﾌ</t>
    <phoneticPr fontId="6"/>
  </si>
  <si>
    <t>舗装班</t>
    <phoneticPr fontId="6"/>
  </si>
  <si>
    <t>回送  ﾄﾚｰﾗｰ</t>
    <phoneticPr fontId="6"/>
  </si>
  <si>
    <t>0.45ｍ3BH</t>
    <phoneticPr fontId="6"/>
  </si>
  <si>
    <t>回送  大型ｾﾙﾌ</t>
    <phoneticPr fontId="6"/>
  </si>
  <si>
    <t>雑回送</t>
    <phoneticPr fontId="6"/>
  </si>
  <si>
    <t>産廃BOX設置・撤去</t>
    <phoneticPr fontId="6"/>
  </si>
  <si>
    <t>産廃運搬処分</t>
    <phoneticPr fontId="6"/>
  </si>
  <si>
    <t>ｍ3</t>
    <phoneticPr fontId="6"/>
  </si>
  <si>
    <t>搬入・搬出</t>
    <phoneticPr fontId="6"/>
  </si>
  <si>
    <t>敷き鉄板</t>
    <phoneticPr fontId="6"/>
  </si>
  <si>
    <t>労務運搬(Wｷｬﾌﾞ)</t>
    <phoneticPr fontId="6"/>
  </si>
  <si>
    <t>燃料込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</si>
</sst>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¥&quot;#,##0_);[Red]\(&quot;¥&quot;#,##0\)"/>
    <numFmt numFmtId="177" formatCode="0.0%"/>
    <numFmt numFmtId="178" formatCode="0.0"/>
    <numFmt numFmtId="179" formatCode="&quot;[&quot;@&quot;]&quot;"/>
    <numFmt numFmtId="180" formatCode="0.00_ "/>
    <numFmt numFmtId="181" formatCode="m/d;@"/>
    <numFmt numFmtId="182" formatCode="#,##0;&quot;▲ &quot;#,##0"/>
    <numFmt numFmtId="183" formatCode="#,##0.000;&quot;▲ &quot;#,##0.000"/>
    <numFmt numFmtId="184" formatCode="#,##0.00;&quot;▲ &quot;#,##0.00"/>
    <numFmt numFmtId="185" formatCode="0.00%;&quot;▲ &quot;0.00%"/>
    <numFmt numFmtId="186" formatCode="##0.00%;&quot;▲ &quot;##0.00%"/>
    <numFmt numFmtId="187" formatCode="##0.0%;&quot;▲ &quot;##0.0%"/>
    <numFmt numFmtId="188" formatCode="yyyy&quot;年&quot;m&quot;月&quot;d&quot;日&quot;;@"/>
  </numFmts>
  <fonts count="38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明朝"/>
      <family val="1"/>
      <charset val="128"/>
    </font>
    <font>
      <sz val="11"/>
      <name val="ＭＳ 明朝"/>
      <family val="1"/>
      <charset val="128"/>
    </font>
    <font>
      <sz val="6"/>
      <name val="游ゴシック"/>
      <family val="2"/>
      <charset val="128"/>
      <scheme val="minor"/>
    </font>
    <font>
      <sz val="22"/>
      <name val="ＭＳ 明朝"/>
      <family val="1"/>
      <charset val="128"/>
    </font>
    <font>
      <sz val="6"/>
      <name val="ＭＳ Ｐゴシック"/>
      <family val="3"/>
      <charset val="128"/>
    </font>
    <font>
      <sz val="14"/>
      <name val="ＭＳ 明朝"/>
      <family val="1"/>
      <charset val="128"/>
    </font>
    <font>
      <sz val="11"/>
      <color theme="1"/>
      <name val="ＭＳ 明朝"/>
      <family val="1"/>
      <charset val="128"/>
    </font>
    <font>
      <sz val="12"/>
      <name val="ＭＳ 明朝"/>
      <family val="1"/>
      <charset val="128"/>
    </font>
    <font>
      <sz val="12"/>
      <color rgb="FF3366FF"/>
      <name val="ＭＳ 明朝"/>
      <family val="1"/>
      <charset val="128"/>
    </font>
    <font>
      <sz val="9"/>
      <name val="ＭＳ 明朝"/>
      <family val="1"/>
      <charset val="128"/>
    </font>
    <font>
      <b/>
      <u/>
      <sz val="18"/>
      <name val="ＭＳ 明朝"/>
      <family val="1"/>
      <charset val="128"/>
    </font>
    <font>
      <sz val="6"/>
      <name val="ＭＳ Ｐ明朝"/>
      <family val="1"/>
      <charset val="128"/>
    </font>
    <font>
      <sz val="11"/>
      <name val="ＭＳ Ｐゴシック"/>
      <family val="3"/>
      <charset val="128"/>
    </font>
    <font>
      <sz val="10"/>
      <name val="ＭＳ 明朝"/>
      <family val="1"/>
      <charset val="128"/>
    </font>
    <font>
      <b/>
      <sz val="18"/>
      <name val="ＭＳ 明朝"/>
      <family val="1"/>
      <charset val="128"/>
    </font>
    <font>
      <b/>
      <sz val="11"/>
      <name val="ＭＳ 明朝"/>
      <family val="1"/>
      <charset val="128"/>
    </font>
    <font>
      <sz val="8"/>
      <name val="ＭＳ 明朝"/>
      <family val="1"/>
      <charset val="128"/>
    </font>
    <font>
      <sz val="18"/>
      <name val="ＭＳ 明朝"/>
      <family val="1"/>
      <charset val="128"/>
    </font>
    <font>
      <b/>
      <u/>
      <sz val="14"/>
      <name val="ＭＳ 明朝"/>
      <family val="1"/>
      <charset val="128"/>
    </font>
    <font>
      <b/>
      <sz val="12"/>
      <name val="ＭＳ 明朝"/>
      <family val="1"/>
      <charset val="128"/>
    </font>
    <font>
      <b/>
      <sz val="11"/>
      <color indexed="63"/>
      <name val="ＭＳ 明朝"/>
      <family val="1"/>
      <charset val="128"/>
    </font>
    <font>
      <b/>
      <sz val="10"/>
      <name val="ＭＳ 明朝"/>
      <family val="1"/>
      <charset val="128"/>
    </font>
    <font>
      <b/>
      <sz val="22"/>
      <name val="ＭＳ 明朝"/>
      <family val="1"/>
      <charset val="128"/>
    </font>
    <font>
      <u/>
      <sz val="16"/>
      <name val="ＭＳ 明朝"/>
      <family val="1"/>
      <charset val="128"/>
    </font>
    <font>
      <b/>
      <u/>
      <sz val="16"/>
      <name val="ＭＳ 明朝"/>
      <family val="1"/>
      <charset val="128"/>
    </font>
    <font>
      <b/>
      <u/>
      <sz val="10"/>
      <name val="ＭＳ 明朝"/>
      <family val="1"/>
      <charset val="128"/>
    </font>
    <font>
      <sz val="18"/>
      <color theme="1"/>
      <name val="游ゴシック"/>
      <family val="2"/>
      <charset val="128"/>
      <scheme val="minor"/>
    </font>
    <font>
      <sz val="12"/>
      <color indexed="12"/>
      <name val="ＭＳ 明朝"/>
      <family val="1"/>
      <charset val="128"/>
    </font>
    <font>
      <b/>
      <sz val="14"/>
      <name val="ＭＳ 明朝"/>
      <family val="1"/>
      <charset val="128"/>
    </font>
    <font>
      <sz val="11"/>
      <color indexed="12"/>
      <name val="ＭＳ 明朝"/>
      <family val="1"/>
      <charset val="128"/>
    </font>
    <font>
      <sz val="7"/>
      <name val="ＭＳ 明朝"/>
      <family val="1"/>
      <charset val="128"/>
    </font>
    <font>
      <sz val="11"/>
      <color indexed="10"/>
      <name val="ＭＳ 明朝"/>
      <family val="1"/>
      <charset val="128"/>
    </font>
    <font>
      <sz val="10"/>
      <color indexed="12"/>
      <name val="ＭＳ 明朝"/>
      <family val="1"/>
      <charset val="128"/>
    </font>
    <font>
      <sz val="10"/>
      <color theme="1"/>
      <name val="ＭＳ 明朝"/>
      <family val="1"/>
      <charset val="128"/>
    </font>
    <font>
      <sz val="6"/>
      <name val="Meiryo UI"/>
      <family val="2"/>
      <charset val="128"/>
    </font>
    <font>
      <sz val="11"/>
      <color indexed="81"/>
      <name val="ＭＳ 明朝"/>
      <family val="1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4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FFCC"/>
        <bgColor indexed="64"/>
      </patternFill>
    </fill>
  </fills>
  <borders count="18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double">
        <color indexed="64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thin">
        <color indexed="64"/>
      </bottom>
      <diagonal/>
    </border>
    <border>
      <left style="double">
        <color indexed="64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55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55"/>
      </bottom>
      <diagonal/>
    </border>
    <border>
      <left/>
      <right/>
      <top style="thin">
        <color indexed="64"/>
      </top>
      <bottom style="dotted">
        <color indexed="55"/>
      </bottom>
      <diagonal/>
    </border>
    <border>
      <left style="double">
        <color indexed="64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dotted">
        <color indexed="55"/>
      </bottom>
      <diagonal/>
    </border>
    <border>
      <left/>
      <right style="medium">
        <color indexed="64"/>
      </right>
      <top style="thin">
        <color indexed="64"/>
      </top>
      <bottom style="dotted">
        <color indexed="55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double">
        <color indexed="64"/>
      </left>
      <right style="dotted">
        <color indexed="55"/>
      </right>
      <top/>
      <bottom style="medium">
        <color indexed="64"/>
      </bottom>
      <diagonal/>
    </border>
    <border>
      <left style="dotted">
        <color indexed="55"/>
      </left>
      <right style="dotted">
        <color indexed="55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55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tted">
        <color indexed="55"/>
      </left>
      <right/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/>
      <bottom style="thin">
        <color indexed="64"/>
      </bottom>
      <diagonal/>
    </border>
    <border>
      <left style="dotted">
        <color indexed="55"/>
      </left>
      <right style="dotted">
        <color indexed="55"/>
      </right>
      <top/>
      <bottom style="thin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dotted">
        <color indexed="55"/>
      </right>
      <top style="thin">
        <color indexed="64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17"/>
      </top>
      <bottom style="thin">
        <color indexed="17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dotted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dotted">
        <color indexed="55"/>
      </bottom>
      <diagonal/>
    </border>
    <border>
      <left style="hair">
        <color indexed="64"/>
      </left>
      <right/>
      <top style="medium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55"/>
      </bottom>
      <diagonal/>
    </border>
    <border>
      <left style="hair">
        <color indexed="64"/>
      </left>
      <right/>
      <top style="thin">
        <color indexed="64"/>
      </top>
      <bottom style="dotted">
        <color indexed="55"/>
      </bottom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55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64"/>
      </top>
      <bottom style="thin">
        <color indexed="55"/>
      </bottom>
      <diagonal/>
    </border>
    <border>
      <left/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thin">
        <color indexed="55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/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thin">
        <color indexed="64"/>
      </left>
      <right style="dotted">
        <color indexed="55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thin">
        <color indexed="64"/>
      </right>
      <top style="thin">
        <color indexed="55"/>
      </top>
      <bottom style="medium">
        <color indexed="64"/>
      </bottom>
      <diagonal/>
    </border>
    <border>
      <left style="dotted">
        <color indexed="55"/>
      </left>
      <right style="medium">
        <color indexed="64"/>
      </right>
      <top style="thin">
        <color indexed="55"/>
      </top>
      <bottom style="medium">
        <color indexed="64"/>
      </bottom>
      <diagonal/>
    </border>
    <border>
      <left/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2">
    <xf numFmtId="0" fontId="0" fillId="0" borderId="0">
      <alignment vertical="center"/>
    </xf>
    <xf numFmtId="0" fontId="2" fillId="0" borderId="0"/>
    <xf numFmtId="0" fontId="2" fillId="0" borderId="0"/>
    <xf numFmtId="0" fontId="14" fillId="0" borderId="0"/>
    <xf numFmtId="176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5" fillId="0" borderId="0"/>
    <xf numFmtId="0" fontId="14" fillId="0" borderId="0"/>
    <xf numFmtId="0" fontId="14" fillId="0" borderId="0"/>
    <xf numFmtId="0" fontId="2" fillId="0" borderId="0"/>
    <xf numFmtId="0" fontId="1" fillId="0" borderId="0">
      <alignment vertical="center"/>
    </xf>
  </cellStyleXfs>
  <cellXfs count="594">
    <xf numFmtId="0" fontId="0" fillId="0" borderId="0" xfId="0">
      <alignment vertical="center"/>
    </xf>
    <xf numFmtId="49" fontId="3" fillId="0" borderId="0" xfId="1" applyNumberFormat="1" applyFont="1"/>
    <xf numFmtId="49" fontId="3" fillId="0" borderId="1" xfId="1" applyNumberFormat="1" applyFont="1" applyBorder="1" applyAlignment="1">
      <alignment horizontal="center" vertical="center"/>
    </xf>
    <xf numFmtId="49" fontId="3" fillId="0" borderId="3" xfId="1" applyNumberFormat="1" applyFont="1" applyBorder="1"/>
    <xf numFmtId="49" fontId="3" fillId="0" borderId="0" xfId="1" applyNumberFormat="1" applyFont="1" applyAlignment="1">
      <alignment vertical="center"/>
    </xf>
    <xf numFmtId="49" fontId="3" fillId="0" borderId="4" xfId="1" applyNumberFormat="1" applyFont="1" applyBorder="1" applyAlignment="1">
      <alignment horizontal="center" vertical="center"/>
    </xf>
    <xf numFmtId="49" fontId="3" fillId="0" borderId="6" xfId="1" applyNumberFormat="1" applyFont="1" applyBorder="1"/>
    <xf numFmtId="49" fontId="3" fillId="0" borderId="11" xfId="1" applyNumberFormat="1" applyFont="1" applyBorder="1" applyAlignment="1">
      <alignment horizontal="left" vertical="center"/>
    </xf>
    <xf numFmtId="49" fontId="3" fillId="0" borderId="13" xfId="1" quotePrefix="1" applyNumberFormat="1" applyFont="1" applyBorder="1" applyAlignment="1">
      <alignment horizontal="center" vertical="center"/>
    </xf>
    <xf numFmtId="49" fontId="3" fillId="0" borderId="11" xfId="1" quotePrefix="1" applyNumberFormat="1" applyFont="1" applyBorder="1" applyAlignment="1">
      <alignment horizontal="center" vertical="center"/>
    </xf>
    <xf numFmtId="49" fontId="3" fillId="0" borderId="14" xfId="1" quotePrefix="1" applyNumberFormat="1" applyFont="1" applyBorder="1" applyAlignment="1">
      <alignment horizontal="center" vertical="center"/>
    </xf>
    <xf numFmtId="49" fontId="7" fillId="0" borderId="11" xfId="1" applyNumberFormat="1" applyFont="1" applyBorder="1" applyAlignment="1">
      <alignment horizontal="center" vertical="center"/>
    </xf>
    <xf numFmtId="49" fontId="7" fillId="0" borderId="14" xfId="1" applyNumberFormat="1" applyFont="1" applyBorder="1" applyAlignment="1">
      <alignment horizontal="center" vertical="center"/>
    </xf>
    <xf numFmtId="49" fontId="7" fillId="0" borderId="13" xfId="1" applyNumberFormat="1" applyFont="1" applyBorder="1" applyAlignment="1">
      <alignment horizontal="center" vertical="center"/>
    </xf>
    <xf numFmtId="49" fontId="3" fillId="0" borderId="6" xfId="1" applyNumberFormat="1" applyFont="1" applyBorder="1" applyAlignment="1">
      <alignment horizontal="center" vertical="center"/>
    </xf>
    <xf numFmtId="49" fontId="3" fillId="0" borderId="15" xfId="1" applyNumberFormat="1" applyFont="1" applyBorder="1" applyAlignment="1">
      <alignment horizontal="left" vertical="center"/>
    </xf>
    <xf numFmtId="49" fontId="3" fillId="0" borderId="16" xfId="1" applyNumberFormat="1" applyFont="1" applyBorder="1" applyAlignment="1">
      <alignment horizontal="center" vertical="center"/>
    </xf>
    <xf numFmtId="49" fontId="3" fillId="0" borderId="16" xfId="1" applyNumberFormat="1" applyFont="1" applyBorder="1"/>
    <xf numFmtId="49" fontId="3" fillId="0" borderId="17" xfId="1" applyNumberFormat="1" applyFont="1" applyBorder="1"/>
    <xf numFmtId="49" fontId="11" fillId="0" borderId="16" xfId="1" applyNumberFormat="1" applyFont="1" applyBorder="1" applyAlignment="1">
      <alignment horizontal="center" vertical="center"/>
    </xf>
    <xf numFmtId="49" fontId="3" fillId="0" borderId="17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19" xfId="1" applyNumberFormat="1" applyFont="1" applyBorder="1"/>
    <xf numFmtId="49" fontId="3" fillId="0" borderId="18" xfId="1" applyNumberFormat="1" applyFont="1" applyBorder="1"/>
    <xf numFmtId="49" fontId="3" fillId="0" borderId="19" xfId="1" applyNumberFormat="1" applyFont="1" applyBorder="1" applyAlignment="1">
      <alignment horizontal="center" vertical="center"/>
    </xf>
    <xf numFmtId="49" fontId="3" fillId="0" borderId="19" xfId="1" applyNumberFormat="1" applyFont="1" applyBorder="1" applyAlignment="1">
      <alignment horizontal="right" vertical="center"/>
    </xf>
    <xf numFmtId="49" fontId="3" fillId="0" borderId="6" xfId="1" applyNumberFormat="1" applyFont="1" applyBorder="1" applyAlignment="1">
      <alignment horizontal="right" vertical="center"/>
    </xf>
    <xf numFmtId="49" fontId="3" fillId="0" borderId="20" xfId="1" applyNumberFormat="1" applyFont="1" applyBorder="1" applyAlignment="1">
      <alignment horizontal="center" vertical="center"/>
    </xf>
    <xf numFmtId="49" fontId="3" fillId="0" borderId="21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49" fontId="3" fillId="0" borderId="23" xfId="1" applyNumberFormat="1" applyFont="1" applyBorder="1" applyAlignment="1">
      <alignment horizontal="center" vertical="center"/>
    </xf>
    <xf numFmtId="49" fontId="3" fillId="0" borderId="24" xfId="1" applyNumberFormat="1" applyFont="1" applyBorder="1" applyAlignment="1">
      <alignment horizontal="center" vertical="center"/>
    </xf>
    <xf numFmtId="49" fontId="3" fillId="0" borderId="25" xfId="1" applyNumberFormat="1" applyFont="1" applyBorder="1"/>
    <xf numFmtId="0" fontId="9" fillId="3" borderId="0" xfId="2" applyFont="1" applyFill="1"/>
    <xf numFmtId="0" fontId="12" fillId="3" borderId="0" xfId="2" applyFont="1" applyFill="1" applyAlignment="1">
      <alignment vertical="center"/>
    </xf>
    <xf numFmtId="0" fontId="3" fillId="3" borderId="0" xfId="2" applyFont="1" applyFill="1"/>
    <xf numFmtId="0" fontId="9" fillId="0" borderId="0" xfId="2" applyFont="1"/>
    <xf numFmtId="0" fontId="9" fillId="4" borderId="39" xfId="2" applyFont="1" applyFill="1" applyBorder="1" applyAlignment="1">
      <alignment horizontal="center" vertical="center"/>
    </xf>
    <xf numFmtId="0" fontId="9" fillId="4" borderId="41" xfId="2" applyFont="1" applyFill="1" applyBorder="1" applyAlignment="1">
      <alignment horizontal="center" vertical="center"/>
    </xf>
    <xf numFmtId="0" fontId="9" fillId="4" borderId="42" xfId="2" applyFont="1" applyFill="1" applyBorder="1" applyAlignment="1">
      <alignment horizontal="center" vertical="center"/>
    </xf>
    <xf numFmtId="0" fontId="9" fillId="4" borderId="43" xfId="2" applyFont="1" applyFill="1" applyBorder="1" applyAlignment="1">
      <alignment horizontal="center" vertical="center"/>
    </xf>
    <xf numFmtId="0" fontId="9" fillId="4" borderId="44" xfId="2" applyFont="1" applyFill="1" applyBorder="1" applyAlignment="1">
      <alignment horizontal="center" vertical="center"/>
    </xf>
    <xf numFmtId="0" fontId="9" fillId="4" borderId="45" xfId="2" applyFont="1" applyFill="1" applyBorder="1" applyAlignment="1">
      <alignment horizontal="center" vertical="center"/>
    </xf>
    <xf numFmtId="0" fontId="3" fillId="4" borderId="46" xfId="2" applyFont="1" applyFill="1" applyBorder="1" applyAlignment="1">
      <alignment horizontal="center" vertical="center"/>
    </xf>
    <xf numFmtId="0" fontId="9" fillId="4" borderId="47" xfId="2" applyFont="1" applyFill="1" applyBorder="1" applyAlignment="1">
      <alignment horizontal="center" vertical="center" shrinkToFit="1"/>
    </xf>
    <xf numFmtId="0" fontId="9" fillId="4" borderId="48" xfId="2" applyFont="1" applyFill="1" applyBorder="1" applyAlignment="1">
      <alignment horizontal="right" vertical="center" shrinkToFit="1"/>
    </xf>
    <xf numFmtId="9" fontId="9" fillId="3" borderId="49" xfId="2" applyNumberFormat="1" applyFont="1" applyFill="1" applyBorder="1" applyAlignment="1">
      <alignment horizontal="center"/>
    </xf>
    <xf numFmtId="49" fontId="9" fillId="3" borderId="50" xfId="2" applyNumberFormat="1" applyFont="1" applyFill="1" applyBorder="1" applyAlignment="1">
      <alignment vertical="center" shrinkToFit="1"/>
    </xf>
    <xf numFmtId="0" fontId="9" fillId="3" borderId="53" xfId="2" applyFont="1" applyFill="1" applyBorder="1" applyAlignment="1">
      <alignment shrinkToFit="1"/>
    </xf>
    <xf numFmtId="0" fontId="9" fillId="3" borderId="54" xfId="2" applyFont="1" applyFill="1" applyBorder="1" applyAlignment="1">
      <alignment shrinkToFit="1"/>
    </xf>
    <xf numFmtId="0" fontId="9" fillId="3" borderId="6" xfId="2" applyFont="1" applyFill="1" applyBorder="1" applyAlignment="1">
      <alignment horizontal="center" shrinkToFit="1"/>
    </xf>
    <xf numFmtId="49" fontId="9" fillId="3" borderId="55" xfId="2" applyNumberFormat="1" applyFont="1" applyFill="1" applyBorder="1" applyAlignment="1">
      <alignment vertical="center" shrinkToFit="1"/>
    </xf>
    <xf numFmtId="0" fontId="9" fillId="3" borderId="58" xfId="2" applyFont="1" applyFill="1" applyBorder="1" applyAlignment="1">
      <alignment shrinkToFit="1"/>
    </xf>
    <xf numFmtId="0" fontId="9" fillId="3" borderId="59" xfId="2" applyFont="1" applyFill="1" applyBorder="1" applyAlignment="1">
      <alignment shrinkToFit="1"/>
    </xf>
    <xf numFmtId="9" fontId="9" fillId="3" borderId="33" xfId="2" applyNumberFormat="1" applyFont="1" applyFill="1" applyBorder="1" applyAlignment="1">
      <alignment horizontal="center" shrinkToFit="1"/>
    </xf>
    <xf numFmtId="0" fontId="9" fillId="3" borderId="6" xfId="2" applyFont="1" applyFill="1" applyBorder="1" applyAlignment="1">
      <alignment horizontal="center" vertical="center" shrinkToFit="1"/>
    </xf>
    <xf numFmtId="0" fontId="9" fillId="3" borderId="6" xfId="2" applyFont="1" applyFill="1" applyBorder="1" applyAlignment="1">
      <alignment horizontal="center" vertical="top" shrinkToFit="1"/>
    </xf>
    <xf numFmtId="0" fontId="9" fillId="3" borderId="60" xfId="2" applyFont="1" applyFill="1" applyBorder="1" applyAlignment="1">
      <alignment horizontal="center" vertical="center" shrinkToFit="1"/>
    </xf>
    <xf numFmtId="0" fontId="9" fillId="3" borderId="63" xfId="2" applyFont="1" applyFill="1" applyBorder="1" applyAlignment="1">
      <alignment shrinkToFit="1"/>
    </xf>
    <xf numFmtId="0" fontId="9" fillId="3" borderId="64" xfId="2" applyFont="1" applyFill="1" applyBorder="1" applyAlignment="1">
      <alignment shrinkToFit="1"/>
    </xf>
    <xf numFmtId="9" fontId="9" fillId="3" borderId="33" xfId="2" quotePrefix="1" applyNumberFormat="1" applyFont="1" applyFill="1" applyBorder="1" applyAlignment="1">
      <alignment horizontal="center" shrinkToFit="1"/>
    </xf>
    <xf numFmtId="0" fontId="9" fillId="3" borderId="65" xfId="2" applyFont="1" applyFill="1" applyBorder="1" applyAlignment="1">
      <alignment shrinkToFit="1"/>
    </xf>
    <xf numFmtId="0" fontId="3" fillId="3" borderId="66" xfId="2" applyFont="1" applyFill="1" applyBorder="1" applyAlignment="1">
      <alignment horizontal="center" shrinkToFit="1"/>
    </xf>
    <xf numFmtId="0" fontId="9" fillId="3" borderId="69" xfId="2" applyFont="1" applyFill="1" applyBorder="1" applyAlignment="1">
      <alignment shrinkToFit="1"/>
    </xf>
    <xf numFmtId="0" fontId="9" fillId="3" borderId="70" xfId="2" applyFont="1" applyFill="1" applyBorder="1" applyAlignment="1">
      <alignment horizontal="center" vertical="center" shrinkToFit="1"/>
    </xf>
    <xf numFmtId="0" fontId="3" fillId="3" borderId="24" xfId="2" applyFont="1" applyFill="1" applyBorder="1" applyAlignment="1">
      <alignment horizontal="center" vertical="center" shrinkToFit="1"/>
    </xf>
    <xf numFmtId="0" fontId="9" fillId="3" borderId="25" xfId="2" applyFont="1" applyFill="1" applyBorder="1" applyAlignment="1">
      <alignment shrinkToFit="1"/>
    </xf>
    <xf numFmtId="0" fontId="9" fillId="3" borderId="0" xfId="2" applyFont="1" applyFill="1" applyAlignment="1">
      <alignment horizontal="centerContinuous"/>
    </xf>
    <xf numFmtId="0" fontId="3" fillId="0" borderId="0" xfId="2" applyFont="1"/>
    <xf numFmtId="0" fontId="3" fillId="3" borderId="0" xfId="3" applyFont="1" applyFill="1"/>
    <xf numFmtId="0" fontId="16" fillId="3" borderId="5" xfId="3" applyFont="1" applyFill="1" applyBorder="1" applyAlignment="1">
      <alignment horizontal="left"/>
    </xf>
    <xf numFmtId="0" fontId="3" fillId="3" borderId="5" xfId="3" applyFont="1" applyFill="1" applyBorder="1"/>
    <xf numFmtId="0" fontId="3" fillId="3" borderId="0" xfId="3" applyFont="1" applyFill="1" applyAlignment="1">
      <alignment horizontal="right"/>
    </xf>
    <xf numFmtId="0" fontId="3" fillId="0" borderId="0" xfId="3" applyFont="1"/>
    <xf numFmtId="0" fontId="17" fillId="4" borderId="26" xfId="3" applyFont="1" applyFill="1" applyBorder="1" applyAlignment="1">
      <alignment vertical="center"/>
    </xf>
    <xf numFmtId="0" fontId="3" fillId="4" borderId="27" xfId="3" applyFont="1" applyFill="1" applyBorder="1"/>
    <xf numFmtId="0" fontId="3" fillId="4" borderId="75" xfId="3" applyFont="1" applyFill="1" applyBorder="1"/>
    <xf numFmtId="0" fontId="17" fillId="4" borderId="27" xfId="3" applyFont="1" applyFill="1" applyBorder="1" applyAlignment="1">
      <alignment vertical="center"/>
    </xf>
    <xf numFmtId="0" fontId="3" fillId="4" borderId="29" xfId="3" applyFont="1" applyFill="1" applyBorder="1"/>
    <xf numFmtId="0" fontId="3" fillId="4" borderId="77" xfId="3" applyFont="1" applyFill="1" applyBorder="1" applyAlignment="1">
      <alignment horizontal="center" vertical="center"/>
    </xf>
    <xf numFmtId="0" fontId="3" fillId="4" borderId="12" xfId="3" applyFont="1" applyFill="1" applyBorder="1" applyAlignment="1">
      <alignment horizontal="center" vertical="center"/>
    </xf>
    <xf numFmtId="0" fontId="3" fillId="4" borderId="78" xfId="3" applyFont="1" applyFill="1" applyBorder="1" applyAlignment="1">
      <alignment horizontal="center" vertical="center"/>
    </xf>
    <xf numFmtId="49" fontId="15" fillId="3" borderId="80" xfId="5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left" vertical="center" wrapText="1"/>
    </xf>
    <xf numFmtId="49" fontId="15" fillId="3" borderId="81" xfId="3" applyNumberFormat="1" applyFont="1" applyFill="1" applyBorder="1" applyAlignment="1">
      <alignment horizontal="center" vertical="center"/>
    </xf>
    <xf numFmtId="49" fontId="15" fillId="3" borderId="83" xfId="5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left" vertical="center" wrapText="1"/>
    </xf>
    <xf numFmtId="49" fontId="15" fillId="3" borderId="56" xfId="3" applyNumberFormat="1" applyFont="1" applyFill="1" applyBorder="1" applyAlignment="1">
      <alignment horizontal="center" vertical="center"/>
    </xf>
    <xf numFmtId="49" fontId="15" fillId="3" borderId="83" xfId="3" applyNumberFormat="1" applyFont="1" applyFill="1" applyBorder="1" applyAlignment="1">
      <alignment horizontal="left" vertical="center" wrapText="1"/>
    </xf>
    <xf numFmtId="0" fontId="17" fillId="4" borderId="30" xfId="3" applyFont="1" applyFill="1" applyBorder="1" applyAlignment="1">
      <alignment vertical="center"/>
    </xf>
    <xf numFmtId="0" fontId="3" fillId="4" borderId="5" xfId="3" applyFont="1" applyFill="1" applyBorder="1"/>
    <xf numFmtId="0" fontId="3" fillId="4" borderId="88" xfId="3" applyFont="1" applyFill="1" applyBorder="1"/>
    <xf numFmtId="0" fontId="3" fillId="4" borderId="42" xfId="3" applyFont="1" applyFill="1" applyBorder="1" applyAlignment="1">
      <alignment horizontal="center" vertical="center"/>
    </xf>
    <xf numFmtId="0" fontId="3" fillId="4" borderId="89" xfId="3" applyFont="1" applyFill="1" applyBorder="1" applyAlignment="1">
      <alignment horizontal="center" vertical="center"/>
    </xf>
    <xf numFmtId="49" fontId="15" fillId="3" borderId="90" xfId="3" applyNumberFormat="1" applyFont="1" applyFill="1" applyBorder="1" applyAlignment="1">
      <alignment horizontal="left" vertical="center" wrapText="1"/>
    </xf>
    <xf numFmtId="49" fontId="15" fillId="3" borderId="80" xfId="3" applyNumberFormat="1" applyFont="1" applyFill="1" applyBorder="1" applyAlignment="1">
      <alignment horizontal="left" vertical="center" wrapText="1"/>
    </xf>
    <xf numFmtId="49" fontId="15" fillId="3" borderId="92" xfId="3" applyNumberFormat="1" applyFont="1" applyFill="1" applyBorder="1" applyAlignment="1">
      <alignment horizontal="left" vertical="center" wrapText="1"/>
    </xf>
    <xf numFmtId="49" fontId="15" fillId="3" borderId="93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left" vertical="center" wrapText="1"/>
    </xf>
    <xf numFmtId="49" fontId="15" fillId="3" borderId="94" xfId="3" applyNumberFormat="1" applyFont="1" applyFill="1" applyBorder="1" applyAlignment="1">
      <alignment horizontal="center" vertical="center"/>
    </xf>
    <xf numFmtId="49" fontId="15" fillId="3" borderId="96" xfId="3" applyNumberFormat="1" applyFont="1" applyFill="1" applyBorder="1" applyAlignment="1">
      <alignment horizontal="left" vertical="center" wrapText="1"/>
    </xf>
    <xf numFmtId="49" fontId="3" fillId="3" borderId="0" xfId="3" applyNumberFormat="1" applyFont="1" applyFill="1" applyAlignment="1">
      <alignment vertical="center"/>
    </xf>
    <xf numFmtId="49" fontId="3" fillId="3" borderId="0" xfId="5" applyNumberFormat="1" applyFont="1" applyFill="1" applyAlignment="1">
      <alignment horizontal="right" vertical="center"/>
    </xf>
    <xf numFmtId="49" fontId="3" fillId="0" borderId="0" xfId="3" applyNumberFormat="1" applyFont="1" applyAlignment="1">
      <alignment vertical="center"/>
    </xf>
    <xf numFmtId="0" fontId="3" fillId="6" borderId="98" xfId="3" applyFont="1" applyFill="1" applyBorder="1" applyAlignment="1">
      <alignment horizontal="center" vertical="center"/>
    </xf>
    <xf numFmtId="0" fontId="3" fillId="6" borderId="99" xfId="3" applyFont="1" applyFill="1" applyBorder="1" applyAlignment="1">
      <alignment horizontal="center" vertical="center"/>
    </xf>
    <xf numFmtId="0" fontId="3" fillId="6" borderId="12" xfId="3" applyFont="1" applyFill="1" applyBorder="1" applyAlignment="1">
      <alignment horizontal="center" vertical="center"/>
    </xf>
    <xf numFmtId="0" fontId="3" fillId="6" borderId="42" xfId="3" applyFont="1" applyFill="1" applyBorder="1" applyAlignment="1">
      <alignment horizontal="center" vertical="center"/>
    </xf>
    <xf numFmtId="0" fontId="17" fillId="6" borderId="13" xfId="3" applyFont="1" applyFill="1" applyBorder="1" applyAlignment="1">
      <alignment horizontal="center" vertical="center"/>
    </xf>
    <xf numFmtId="49" fontId="22" fillId="7" borderId="13" xfId="3" applyNumberFormat="1" applyFont="1" applyFill="1" applyBorder="1" applyAlignment="1">
      <alignment horizontal="center" vertical="center" shrinkToFit="1"/>
    </xf>
    <xf numFmtId="49" fontId="22" fillId="7" borderId="100" xfId="3" applyNumberFormat="1" applyFont="1" applyFill="1" applyBorder="1" applyAlignment="1">
      <alignment horizontal="center" vertical="center" shrinkToFit="1"/>
    </xf>
    <xf numFmtId="49" fontId="22" fillId="7" borderId="101" xfId="3" applyNumberFormat="1" applyFont="1" applyFill="1" applyBorder="1" applyAlignment="1">
      <alignment horizontal="center" vertical="center" shrinkToFit="1"/>
    </xf>
    <xf numFmtId="49" fontId="22" fillId="7" borderId="102" xfId="3" applyNumberFormat="1" applyFont="1" applyFill="1" applyBorder="1" applyAlignment="1">
      <alignment horizontal="center" vertical="center" shrinkToFit="1"/>
    </xf>
    <xf numFmtId="0" fontId="3" fillId="6" borderId="12" xfId="3" applyFont="1" applyFill="1" applyBorder="1" applyAlignment="1">
      <alignment horizontal="left" vertical="center"/>
    </xf>
    <xf numFmtId="0" fontId="3" fillId="6" borderId="12" xfId="3" applyFont="1" applyFill="1" applyBorder="1" applyAlignment="1">
      <alignment horizontal="left" vertical="center" indent="1"/>
    </xf>
    <xf numFmtId="49" fontId="3" fillId="3" borderId="0" xfId="3" applyNumberFormat="1" applyFont="1" applyFill="1" applyAlignment="1">
      <alignment horizontal="right" vertical="center"/>
    </xf>
    <xf numFmtId="0" fontId="17" fillId="6" borderId="110" xfId="3" applyFont="1" applyFill="1" applyBorder="1" applyAlignment="1">
      <alignment horizontal="center" vertical="center"/>
    </xf>
    <xf numFmtId="0" fontId="17" fillId="6" borderId="112" xfId="3" applyFont="1" applyFill="1" applyBorder="1" applyAlignment="1">
      <alignment horizontal="center" vertical="center"/>
    </xf>
    <xf numFmtId="0" fontId="3" fillId="3" borderId="34" xfId="3" applyFont="1" applyFill="1" applyBorder="1"/>
    <xf numFmtId="49" fontId="3" fillId="3" borderId="14" xfId="3" applyNumberFormat="1" applyFont="1" applyFill="1" applyBorder="1" applyAlignment="1">
      <alignment horizontal="left" vertical="center" wrapText="1"/>
    </xf>
    <xf numFmtId="49" fontId="15" fillId="3" borderId="11" xfId="3" applyNumberFormat="1" applyFont="1" applyFill="1" applyBorder="1" applyAlignment="1">
      <alignment horizontal="right" vertical="center"/>
    </xf>
    <xf numFmtId="0" fontId="3" fillId="3" borderId="113" xfId="3" applyFont="1" applyFill="1" applyBorder="1"/>
    <xf numFmtId="49" fontId="3" fillId="3" borderId="108" xfId="3" applyNumberFormat="1" applyFont="1" applyFill="1" applyBorder="1" applyAlignment="1">
      <alignment horizontal="left" vertical="center" wrapText="1"/>
    </xf>
    <xf numFmtId="49" fontId="15" fillId="3" borderId="115" xfId="3" applyNumberFormat="1" applyFont="1" applyFill="1" applyBorder="1" applyAlignment="1">
      <alignment horizontal="right" vertical="center"/>
    </xf>
    <xf numFmtId="0" fontId="3" fillId="3" borderId="0" xfId="3" applyFont="1" applyFill="1" applyAlignment="1">
      <alignment vertical="top"/>
    </xf>
    <xf numFmtId="0" fontId="16" fillId="3" borderId="24" xfId="3" applyFont="1" applyFill="1" applyBorder="1" applyAlignment="1">
      <alignment vertical="center"/>
    </xf>
    <xf numFmtId="0" fontId="14" fillId="3" borderId="24" xfId="3" applyFill="1" applyBorder="1" applyAlignment="1">
      <alignment vertical="center"/>
    </xf>
    <xf numFmtId="49" fontId="23" fillId="7" borderId="120" xfId="7" applyNumberFormat="1" applyFont="1" applyFill="1" applyBorder="1" applyAlignment="1">
      <alignment horizontal="center" vertical="center"/>
    </xf>
    <xf numFmtId="49" fontId="23" fillId="7" borderId="121" xfId="7" applyNumberFormat="1" applyFont="1" applyFill="1" applyBorder="1" applyAlignment="1">
      <alignment horizontal="center" vertical="center"/>
    </xf>
    <xf numFmtId="49" fontId="23" fillId="7" borderId="102" xfId="7" applyNumberFormat="1" applyFont="1" applyFill="1" applyBorder="1" applyAlignment="1">
      <alignment horizontal="center" vertical="center"/>
    </xf>
    <xf numFmtId="49" fontId="15" fillId="3" borderId="34" xfId="3" applyNumberFormat="1" applyFont="1" applyFill="1" applyBorder="1" applyAlignment="1">
      <alignment horizontal="left" vertical="center" wrapText="1"/>
    </xf>
    <xf numFmtId="49" fontId="15" fillId="3" borderId="12" xfId="3" applyNumberFormat="1" applyFont="1" applyFill="1" applyBorder="1" applyAlignment="1">
      <alignment horizontal="center" vertical="center" shrinkToFit="1"/>
    </xf>
    <xf numFmtId="49" fontId="15" fillId="3" borderId="113" xfId="3" applyNumberFormat="1" applyFont="1" applyFill="1" applyBorder="1" applyAlignment="1">
      <alignment horizontal="left" vertical="center" wrapText="1"/>
    </xf>
    <xf numFmtId="49" fontId="15" fillId="3" borderId="123" xfId="3" applyNumberFormat="1" applyFont="1" applyFill="1" applyBorder="1" applyAlignment="1">
      <alignment horizontal="center" vertical="center" shrinkToFit="1"/>
    </xf>
    <xf numFmtId="49" fontId="3" fillId="3" borderId="0" xfId="5" applyNumberFormat="1" applyFont="1" applyFill="1" applyAlignment="1">
      <alignment vertical="center"/>
    </xf>
    <xf numFmtId="0" fontId="3" fillId="0" borderId="0" xfId="5" applyNumberFormat="1" applyFont="1" applyFill="1"/>
    <xf numFmtId="0" fontId="3" fillId="0" borderId="24" xfId="3" applyFont="1" applyBorder="1" applyAlignment="1">
      <alignment vertical="center"/>
    </xf>
    <xf numFmtId="0" fontId="17" fillId="6" borderId="41" xfId="3" applyFont="1" applyFill="1" applyBorder="1" applyAlignment="1">
      <alignment horizontal="center" vertical="center"/>
    </xf>
    <xf numFmtId="49" fontId="15" fillId="3" borderId="127" xfId="5" applyNumberFormat="1" applyFont="1" applyFill="1" applyBorder="1" applyAlignment="1">
      <alignment horizontal="left" vertical="center" shrinkToFit="1"/>
    </xf>
    <xf numFmtId="49" fontId="15" fillId="3" borderId="43" xfId="5" applyNumberFormat="1" applyFont="1" applyFill="1" applyBorder="1" applyAlignment="1">
      <alignment horizontal="left" vertical="center" shrinkToFit="1"/>
    </xf>
    <xf numFmtId="49" fontId="15" fillId="3" borderId="129" xfId="5" applyNumberFormat="1" applyFont="1" applyFill="1" applyBorder="1" applyAlignment="1">
      <alignment horizontal="left" vertical="center" shrinkToFit="1"/>
    </xf>
    <xf numFmtId="0" fontId="3" fillId="0" borderId="0" xfId="3" applyFont="1" applyAlignment="1">
      <alignment horizontal="center"/>
    </xf>
    <xf numFmtId="0" fontId="3" fillId="3" borderId="0" xfId="3" applyFont="1" applyFill="1" applyAlignment="1">
      <alignment horizontal="center"/>
    </xf>
    <xf numFmtId="0" fontId="25" fillId="3" borderId="0" xfId="3" applyFont="1" applyFill="1" applyAlignment="1">
      <alignment horizontal="center"/>
    </xf>
    <xf numFmtId="0" fontId="26" fillId="3" borderId="0" xfId="3" applyFont="1" applyFill="1" applyAlignment="1">
      <alignment horizontal="center"/>
    </xf>
    <xf numFmtId="0" fontId="17" fillId="10" borderId="11" xfId="3" applyFont="1" applyFill="1" applyBorder="1" applyAlignment="1">
      <alignment horizontal="center" vertical="center"/>
    </xf>
    <xf numFmtId="49" fontId="3" fillId="10" borderId="11" xfId="3" applyNumberFormat="1" applyFont="1" applyFill="1" applyBorder="1" applyAlignment="1" applyProtection="1">
      <alignment horizontal="left" vertical="center" wrapText="1" indent="1"/>
      <protection locked="0"/>
    </xf>
    <xf numFmtId="0" fontId="15" fillId="10" borderId="0" xfId="3" applyFont="1" applyFill="1" applyAlignment="1">
      <alignment horizontal="left"/>
    </xf>
    <xf numFmtId="0" fontId="27" fillId="10" borderId="0" xfId="3" applyFont="1" applyFill="1"/>
    <xf numFmtId="0" fontId="27" fillId="10" borderId="0" xfId="3" applyFont="1" applyFill="1" applyAlignment="1">
      <alignment horizontal="center"/>
    </xf>
    <xf numFmtId="0" fontId="3" fillId="10" borderId="0" xfId="3" applyFont="1" applyFill="1" applyAlignment="1">
      <alignment horizontal="right"/>
    </xf>
    <xf numFmtId="0" fontId="3" fillId="10" borderId="0" xfId="3" applyFont="1" applyFill="1"/>
    <xf numFmtId="179" fontId="3" fillId="10" borderId="0" xfId="3" applyNumberFormat="1" applyFont="1" applyFill="1" applyAlignment="1">
      <alignment horizontal="right"/>
    </xf>
    <xf numFmtId="0" fontId="17" fillId="10" borderId="28" xfId="3" applyFont="1" applyFill="1" applyBorder="1" applyAlignment="1">
      <alignment horizontal="center" vertical="center"/>
    </xf>
    <xf numFmtId="0" fontId="17" fillId="10" borderId="130" xfId="3" applyFont="1" applyFill="1" applyBorder="1" applyAlignment="1">
      <alignment horizontal="center" vertical="center"/>
    </xf>
    <xf numFmtId="0" fontId="17" fillId="10" borderId="112" xfId="3" applyFont="1" applyFill="1" applyBorder="1" applyAlignment="1">
      <alignment horizontal="center" vertical="center"/>
    </xf>
    <xf numFmtId="49" fontId="11" fillId="3" borderId="4" xfId="3" applyNumberFormat="1" applyFont="1" applyFill="1" applyBorder="1" applyAlignment="1">
      <alignment horizontal="left" vertical="center"/>
    </xf>
    <xf numFmtId="49" fontId="11" fillId="3" borderId="0" xfId="3" applyNumberFormat="1" applyFont="1" applyFill="1" applyAlignment="1">
      <alignment horizontal="left" vertical="center"/>
    </xf>
    <xf numFmtId="49" fontId="11" fillId="3" borderId="127" xfId="3" applyNumberFormat="1" applyFont="1" applyFill="1" applyBorder="1" applyAlignment="1">
      <alignment horizontal="left" vertical="center"/>
    </xf>
    <xf numFmtId="49" fontId="11" fillId="3" borderId="30" xfId="3" applyNumberFormat="1" applyFont="1" applyFill="1" applyBorder="1" applyAlignment="1">
      <alignment horizontal="left" vertical="center"/>
    </xf>
    <xf numFmtId="49" fontId="11" fillId="3" borderId="31" xfId="3" applyNumberFormat="1" applyFont="1" applyFill="1" applyBorder="1" applyAlignment="1">
      <alignment horizontal="left" vertical="center"/>
    </xf>
    <xf numFmtId="49" fontId="11" fillId="3" borderId="43" xfId="3" applyNumberFormat="1" applyFont="1" applyFill="1" applyBorder="1" applyAlignment="1">
      <alignment horizontal="left" vertical="center"/>
    </xf>
    <xf numFmtId="49" fontId="11" fillId="3" borderId="131" xfId="3" applyNumberFormat="1" applyFont="1" applyFill="1" applyBorder="1" applyAlignment="1">
      <alignment horizontal="left" vertical="center"/>
    </xf>
    <xf numFmtId="49" fontId="11" fillId="3" borderId="23" xfId="3" applyNumberFormat="1" applyFont="1" applyFill="1" applyBorder="1" applyAlignment="1">
      <alignment horizontal="left" vertical="center"/>
    </xf>
    <xf numFmtId="49" fontId="11" fillId="3" borderId="74" xfId="3" applyNumberFormat="1" applyFont="1" applyFill="1" applyBorder="1" applyAlignment="1">
      <alignment horizontal="left" vertical="center"/>
    </xf>
    <xf numFmtId="49" fontId="11" fillId="3" borderId="129" xfId="3" applyNumberFormat="1" applyFont="1" applyFill="1" applyBorder="1" applyAlignment="1">
      <alignment horizontal="left" vertical="center"/>
    </xf>
    <xf numFmtId="49" fontId="15" fillId="3" borderId="0" xfId="3" applyNumberFormat="1" applyFont="1" applyFill="1" applyAlignment="1">
      <alignment horizontal="left" vertical="center"/>
    </xf>
    <xf numFmtId="0" fontId="27" fillId="3" borderId="0" xfId="3" applyFont="1" applyFill="1" applyAlignment="1">
      <alignment horizontal="center"/>
    </xf>
    <xf numFmtId="0" fontId="3" fillId="14" borderId="12" xfId="3" applyFont="1" applyFill="1" applyBorder="1" applyAlignment="1">
      <alignment horizontal="left" vertical="center"/>
    </xf>
    <xf numFmtId="0" fontId="3" fillId="6" borderId="103" xfId="3" applyFont="1" applyFill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0" borderId="14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left" vertical="center"/>
    </xf>
    <xf numFmtId="0" fontId="3" fillId="14" borderId="109" xfId="3" applyFont="1" applyFill="1" applyBorder="1" applyAlignment="1">
      <alignment horizontal="center" vertical="center"/>
    </xf>
    <xf numFmtId="0" fontId="3" fillId="0" borderId="0" xfId="3" applyFont="1" applyAlignment="1">
      <alignment horizontal="right"/>
    </xf>
    <xf numFmtId="0" fontId="9" fillId="3" borderId="4" xfId="2" applyFont="1" applyFill="1" applyBorder="1" applyAlignment="1">
      <alignment horizontal="center"/>
    </xf>
    <xf numFmtId="0" fontId="9" fillId="3" borderId="4" xfId="2" applyFont="1" applyFill="1" applyBorder="1"/>
    <xf numFmtId="0" fontId="15" fillId="3" borderId="160" xfId="2" applyFont="1" applyFill="1" applyBorder="1" applyAlignment="1">
      <alignment horizontal="center" vertical="center"/>
    </xf>
    <xf numFmtId="0" fontId="15" fillId="3" borderId="161" xfId="2" applyFont="1" applyFill="1" applyBorder="1" applyAlignment="1">
      <alignment horizontal="center" vertical="center"/>
    </xf>
    <xf numFmtId="0" fontId="15" fillId="3" borderId="162" xfId="2" applyFont="1" applyFill="1" applyBorder="1" applyAlignment="1">
      <alignment horizontal="center" vertical="center"/>
    </xf>
    <xf numFmtId="181" fontId="9" fillId="5" borderId="165" xfId="2" applyNumberFormat="1" applyFont="1" applyFill="1" applyBorder="1" applyAlignment="1">
      <alignment horizontal="center"/>
    </xf>
    <xf numFmtId="181" fontId="9" fillId="5" borderId="166" xfId="2" applyNumberFormat="1" applyFont="1" applyFill="1" applyBorder="1" applyAlignment="1">
      <alignment horizontal="center"/>
    </xf>
    <xf numFmtId="181" fontId="9" fillId="5" borderId="167" xfId="2" applyNumberFormat="1" applyFont="1" applyFill="1" applyBorder="1" applyAlignment="1">
      <alignment horizontal="center"/>
    </xf>
    <xf numFmtId="181" fontId="9" fillId="5" borderId="169" xfId="2" applyNumberFormat="1" applyFont="1" applyFill="1" applyBorder="1" applyAlignment="1">
      <alignment horizontal="center"/>
    </xf>
    <xf numFmtId="181" fontId="9" fillId="5" borderId="170" xfId="2" applyNumberFormat="1" applyFont="1" applyFill="1" applyBorder="1" applyAlignment="1">
      <alignment horizontal="center"/>
    </xf>
    <xf numFmtId="181" fontId="9" fillId="5" borderId="171" xfId="2" applyNumberFormat="1" applyFont="1" applyFill="1" applyBorder="1" applyAlignment="1">
      <alignment horizontal="center"/>
    </xf>
    <xf numFmtId="181" fontId="9" fillId="5" borderId="174" xfId="2" applyNumberFormat="1" applyFont="1" applyFill="1" applyBorder="1" applyAlignment="1">
      <alignment horizontal="center"/>
    </xf>
    <xf numFmtId="181" fontId="9" fillId="5" borderId="175" xfId="2" applyNumberFormat="1" applyFont="1" applyFill="1" applyBorder="1" applyAlignment="1">
      <alignment horizontal="center"/>
    </xf>
    <xf numFmtId="181" fontId="9" fillId="5" borderId="176" xfId="2" applyNumberFormat="1" applyFont="1" applyFill="1" applyBorder="1" applyAlignment="1">
      <alignment horizontal="center"/>
    </xf>
    <xf numFmtId="0" fontId="3" fillId="0" borderId="0" xfId="9" applyFont="1" applyAlignment="1">
      <alignment horizontal="center"/>
    </xf>
    <xf numFmtId="0" fontId="3" fillId="0" borderId="0" xfId="9" applyFont="1" applyAlignment="1">
      <alignment horizontal="right"/>
    </xf>
    <xf numFmtId="38" fontId="31" fillId="5" borderId="5" xfId="5" applyFont="1" applyFill="1" applyBorder="1" applyAlignment="1"/>
    <xf numFmtId="177" fontId="3" fillId="0" borderId="0" xfId="6" applyNumberFormat="1" applyFont="1" applyAlignment="1"/>
    <xf numFmtId="177" fontId="3" fillId="0" borderId="0" xfId="6" applyNumberFormat="1" applyFont="1" applyBorder="1" applyAlignment="1">
      <alignment horizontal="center"/>
    </xf>
    <xf numFmtId="0" fontId="31" fillId="11" borderId="0" xfId="6" applyNumberFormat="1" applyFont="1" applyFill="1" applyAlignment="1"/>
    <xf numFmtId="0" fontId="31" fillId="0" borderId="0" xfId="6" applyNumberFormat="1" applyFont="1" applyAlignment="1"/>
    <xf numFmtId="177" fontId="3" fillId="0" borderId="0" xfId="6" applyNumberFormat="1" applyFont="1" applyBorder="1" applyAlignment="1"/>
    <xf numFmtId="38" fontId="31" fillId="0" borderId="5" xfId="5" applyFont="1" applyFill="1" applyBorder="1" applyAlignment="1">
      <alignment shrinkToFit="1"/>
    </xf>
    <xf numFmtId="0" fontId="11" fillId="12" borderId="117" xfId="9" applyFont="1" applyFill="1" applyBorder="1" applyAlignment="1">
      <alignment horizontal="center" vertical="center" wrapText="1"/>
    </xf>
    <xf numFmtId="0" fontId="32" fillId="12" borderId="117" xfId="9" applyFont="1" applyFill="1" applyBorder="1" applyAlignment="1">
      <alignment horizontal="center" vertical="center" wrapText="1"/>
    </xf>
    <xf numFmtId="0" fontId="3" fillId="12" borderId="117" xfId="9" applyFont="1" applyFill="1" applyBorder="1" applyAlignment="1">
      <alignment horizontal="center" vertical="center"/>
    </xf>
    <xf numFmtId="0" fontId="9" fillId="0" borderId="0" xfId="9" applyFont="1"/>
    <xf numFmtId="0" fontId="11" fillId="12" borderId="119" xfId="9" applyFont="1" applyFill="1" applyBorder="1" applyAlignment="1">
      <alignment horizontal="center" vertical="center"/>
    </xf>
    <xf numFmtId="0" fontId="3" fillId="12" borderId="119" xfId="9" applyFont="1" applyFill="1" applyBorder="1" applyAlignment="1">
      <alignment horizontal="center" vertical="center"/>
    </xf>
    <xf numFmtId="180" fontId="3" fillId="12" borderId="133" xfId="9" applyNumberFormat="1" applyFont="1" applyFill="1" applyBorder="1" applyAlignment="1">
      <alignment horizontal="center" vertical="center" shrinkToFit="1"/>
    </xf>
    <xf numFmtId="38" fontId="3" fillId="12" borderId="134" xfId="5" applyFont="1" applyFill="1" applyBorder="1" applyAlignment="1">
      <alignment horizontal="center" vertical="center" shrinkToFit="1"/>
    </xf>
    <xf numFmtId="180" fontId="3" fillId="12" borderId="135" xfId="9" applyNumberFormat="1" applyFont="1" applyFill="1" applyBorder="1" applyAlignment="1">
      <alignment horizontal="center" vertical="center" shrinkToFit="1"/>
    </xf>
    <xf numFmtId="180" fontId="3" fillId="12" borderId="136" xfId="9" applyNumberFormat="1" applyFont="1" applyFill="1" applyBorder="1" applyAlignment="1">
      <alignment horizontal="center" vertical="center" shrinkToFit="1"/>
    </xf>
    <xf numFmtId="180" fontId="15" fillId="12" borderId="134" xfId="9" applyNumberFormat="1" applyFont="1" applyFill="1" applyBorder="1" applyAlignment="1">
      <alignment horizontal="center" vertical="center" shrinkToFit="1"/>
    </xf>
    <xf numFmtId="180" fontId="15" fillId="12" borderId="137" xfId="9" applyNumberFormat="1" applyFont="1" applyFill="1" applyBorder="1" applyAlignment="1">
      <alignment horizontal="center" vertical="center" shrinkToFit="1"/>
    </xf>
    <xf numFmtId="180" fontId="3" fillId="12" borderId="11" xfId="9" applyNumberFormat="1" applyFont="1" applyFill="1" applyBorder="1" applyAlignment="1">
      <alignment horizontal="center" vertical="center" shrinkToFit="1"/>
    </xf>
    <xf numFmtId="0" fontId="3" fillId="0" borderId="20" xfId="5" applyNumberFormat="1" applyFont="1" applyBorder="1" applyAlignment="1">
      <alignment shrinkToFit="1"/>
    </xf>
    <xf numFmtId="0" fontId="33" fillId="0" borderId="21" xfId="5" applyNumberFormat="1" applyFont="1" applyBorder="1" applyAlignment="1">
      <alignment horizontal="center" shrinkToFit="1"/>
    </xf>
    <xf numFmtId="177" fontId="3" fillId="0" borderId="141" xfId="6" applyNumberFormat="1" applyFont="1" applyBorder="1" applyAlignment="1">
      <alignment shrinkToFit="1"/>
    </xf>
    <xf numFmtId="0" fontId="3" fillId="0" borderId="141" xfId="6" applyNumberFormat="1" applyFont="1" applyBorder="1" applyAlignment="1">
      <alignment shrinkToFit="1"/>
    </xf>
    <xf numFmtId="0" fontId="3" fillId="0" borderId="142" xfId="6" applyNumberFormat="1" applyFont="1" applyBorder="1" applyAlignment="1">
      <alignment shrinkToFit="1"/>
    </xf>
    <xf numFmtId="0" fontId="3" fillId="0" borderId="0" xfId="9" applyFont="1"/>
    <xf numFmtId="0" fontId="3" fillId="13" borderId="0" xfId="9" applyFont="1" applyFill="1"/>
    <xf numFmtId="0" fontId="3" fillId="13" borderId="0" xfId="9" applyFont="1" applyFill="1" applyAlignment="1">
      <alignment horizontal="center"/>
    </xf>
    <xf numFmtId="49" fontId="3" fillId="3" borderId="132" xfId="3" applyNumberFormat="1" applyFont="1" applyFill="1" applyBorder="1" applyAlignment="1" applyProtection="1">
      <alignment horizontal="left" vertical="center" wrapText="1" indent="1"/>
      <protection locked="0"/>
    </xf>
    <xf numFmtId="0" fontId="17" fillId="6" borderId="28" xfId="3" applyFont="1" applyFill="1" applyBorder="1" applyAlignment="1">
      <alignment horizontal="center" vertical="center"/>
    </xf>
    <xf numFmtId="0" fontId="17" fillId="6" borderId="130" xfId="3" applyFont="1" applyFill="1" applyBorder="1" applyAlignment="1">
      <alignment horizontal="center" vertical="center"/>
    </xf>
    <xf numFmtId="49" fontId="15" fillId="3" borderId="4" xfId="3" applyNumberFormat="1" applyFont="1" applyFill="1" applyBorder="1" applyAlignment="1">
      <alignment horizontal="left" vertical="center"/>
    </xf>
    <xf numFmtId="49" fontId="15" fillId="3" borderId="127" xfId="3" applyNumberFormat="1" applyFont="1" applyFill="1" applyBorder="1" applyAlignment="1">
      <alignment horizontal="left" vertical="center"/>
    </xf>
    <xf numFmtId="49" fontId="15" fillId="3" borderId="30" xfId="3" applyNumberFormat="1" applyFont="1" applyFill="1" applyBorder="1" applyAlignment="1">
      <alignment horizontal="left" vertical="center"/>
    </xf>
    <xf numFmtId="49" fontId="15" fillId="3" borderId="31" xfId="3" applyNumberFormat="1" applyFont="1" applyFill="1" applyBorder="1" applyAlignment="1">
      <alignment horizontal="left" vertical="center"/>
    </xf>
    <xf numFmtId="49" fontId="15" fillId="3" borderId="43" xfId="3" applyNumberFormat="1" applyFont="1" applyFill="1" applyBorder="1" applyAlignment="1">
      <alignment horizontal="left" vertical="center"/>
    </xf>
    <xf numFmtId="49" fontId="15" fillId="3" borderId="131" xfId="3" applyNumberFormat="1" applyFont="1" applyFill="1" applyBorder="1" applyAlignment="1">
      <alignment horizontal="left" vertical="center"/>
    </xf>
    <xf numFmtId="49" fontId="15" fillId="3" borderId="23" xfId="3" applyNumberFormat="1" applyFont="1" applyFill="1" applyBorder="1" applyAlignment="1">
      <alignment horizontal="left" vertical="center"/>
    </xf>
    <xf numFmtId="49" fontId="15" fillId="3" borderId="74" xfId="3" applyNumberFormat="1" applyFont="1" applyFill="1" applyBorder="1" applyAlignment="1">
      <alignment horizontal="left" vertical="center"/>
    </xf>
    <xf numFmtId="49" fontId="15" fillId="3" borderId="129" xfId="3" applyNumberFormat="1" applyFont="1" applyFill="1" applyBorder="1" applyAlignment="1">
      <alignment horizontal="left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6" borderId="104" xfId="3" applyFont="1" applyFill="1" applyBorder="1" applyAlignment="1">
      <alignment horizontal="center" vertical="center"/>
    </xf>
    <xf numFmtId="0" fontId="12" fillId="3" borderId="0" xfId="3" applyFont="1" applyFill="1" applyAlignment="1">
      <alignment horizontal="center"/>
    </xf>
    <xf numFmtId="0" fontId="17" fillId="6" borderId="39" xfId="3" applyFont="1" applyFill="1" applyBorder="1" applyAlignment="1">
      <alignment horizontal="center" vertical="center"/>
    </xf>
    <xf numFmtId="0" fontId="17" fillId="6" borderId="117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49" fontId="3" fillId="0" borderId="5" xfId="1" applyNumberFormat="1" applyFont="1" applyBorder="1" applyAlignment="1">
      <alignment vertical="center"/>
    </xf>
    <xf numFmtId="0" fontId="20" fillId="3" borderId="0" xfId="3" applyFont="1" applyFill="1"/>
    <xf numFmtId="0" fontId="21" fillId="3" borderId="0" xfId="3" applyFont="1" applyFill="1"/>
    <xf numFmtId="0" fontId="9" fillId="3" borderId="0" xfId="3" applyFont="1" applyFill="1"/>
    <xf numFmtId="0" fontId="8" fillId="6" borderId="12" xfId="3" applyFont="1" applyFill="1" applyBorder="1" applyAlignment="1">
      <alignment horizontal="center" vertical="center"/>
    </xf>
    <xf numFmtId="0" fontId="3" fillId="3" borderId="0" xfId="3" applyFont="1" applyFill="1" applyAlignment="1">
      <alignment horizontal="centerContinuous"/>
    </xf>
    <xf numFmtId="0" fontId="3" fillId="0" borderId="0" xfId="3" applyFont="1" applyAlignment="1">
      <alignment horizontal="centerContinuous"/>
    </xf>
    <xf numFmtId="182" fontId="15" fillId="0" borderId="12" xfId="3" applyNumberFormat="1" applyFont="1" applyBorder="1" applyAlignment="1">
      <alignment horizontal="right" vertical="center" shrinkToFit="1"/>
    </xf>
    <xf numFmtId="182" fontId="15" fillId="8" borderId="11" xfId="3" quotePrefix="1" applyNumberFormat="1" applyFont="1" applyFill="1" applyBorder="1" applyAlignment="1">
      <alignment horizontal="right" vertical="center" shrinkToFit="1"/>
    </xf>
    <xf numFmtId="182" fontId="15" fillId="8" borderId="100" xfId="3" quotePrefix="1" applyNumberFormat="1" applyFont="1" applyFill="1" applyBorder="1" applyAlignment="1">
      <alignment horizontal="right" vertical="center" shrinkToFit="1"/>
    </xf>
    <xf numFmtId="182" fontId="15" fillId="8" borderId="101" xfId="3" applyNumberFormat="1" applyFont="1" applyFill="1" applyBorder="1" applyAlignment="1">
      <alignment horizontal="right" vertical="center" shrinkToFit="1"/>
    </xf>
    <xf numFmtId="182" fontId="15" fillId="8" borderId="100" xfId="3" applyNumberFormat="1" applyFont="1" applyFill="1" applyBorder="1" applyAlignment="1">
      <alignment horizontal="right" vertical="center" shrinkToFit="1"/>
    </xf>
    <xf numFmtId="182" fontId="15" fillId="8" borderId="102" xfId="3" applyNumberFormat="1" applyFont="1" applyFill="1" applyBorder="1" applyAlignment="1">
      <alignment horizontal="right" vertical="center" shrinkToFit="1"/>
    </xf>
    <xf numFmtId="0" fontId="3" fillId="3" borderId="0" xfId="3" applyFont="1" applyFill="1" applyAlignment="1">
      <alignment horizontal="center" vertical="center"/>
    </xf>
    <xf numFmtId="0" fontId="3" fillId="0" borderId="0" xfId="3" applyFont="1" applyAlignment="1">
      <alignment vertical="center"/>
    </xf>
    <xf numFmtId="49" fontId="3" fillId="0" borderId="0" xfId="1" applyNumberFormat="1" applyFont="1" applyAlignment="1">
      <alignment horizontal="center" vertical="center"/>
    </xf>
    <xf numFmtId="49" fontId="3" fillId="0" borderId="0" xfId="1" quotePrefix="1" applyNumberFormat="1" applyFont="1" applyAlignment="1">
      <alignment horizontal="center" vertical="center"/>
    </xf>
    <xf numFmtId="49" fontId="7" fillId="0" borderId="0" xfId="1" applyNumberFormat="1" applyFont="1" applyAlignment="1">
      <alignment horizontal="center" vertical="center"/>
    </xf>
    <xf numFmtId="49" fontId="3" fillId="0" borderId="0" xfId="1" applyNumberFormat="1" applyFont="1" applyAlignment="1">
      <alignment horizontal="left" vertical="center"/>
    </xf>
    <xf numFmtId="49" fontId="9" fillId="0" borderId="0" xfId="1" applyNumberFormat="1" applyFont="1" applyAlignment="1">
      <alignment horizontal="center" vertical="center"/>
    </xf>
    <xf numFmtId="49" fontId="10" fillId="0" borderId="0" xfId="1" applyNumberFormat="1" applyFont="1" applyAlignment="1">
      <alignment horizontal="left" vertical="center"/>
    </xf>
    <xf numFmtId="49" fontId="3" fillId="0" borderId="0" xfId="1" applyNumberFormat="1" applyFont="1" applyAlignment="1">
      <alignment horizontal="distributed" vertical="center"/>
    </xf>
    <xf numFmtId="49" fontId="5" fillId="0" borderId="0" xfId="1" applyNumberFormat="1" applyFont="1" applyAlignment="1">
      <alignment horizontal="distributed" vertical="center"/>
    </xf>
    <xf numFmtId="49" fontId="3" fillId="0" borderId="0" xfId="1" applyNumberFormat="1" applyFont="1" applyAlignment="1">
      <alignment horizontal="right" vertical="center"/>
    </xf>
    <xf numFmtId="49" fontId="9" fillId="0" borderId="28" xfId="2" applyNumberFormat="1" applyFont="1" applyBorder="1" applyAlignment="1">
      <alignment horizontal="left" vertical="center"/>
    </xf>
    <xf numFmtId="0" fontId="3" fillId="0" borderId="27" xfId="2" applyFont="1" applyBorder="1" applyAlignment="1">
      <alignment vertical="center"/>
    </xf>
    <xf numFmtId="0" fontId="9" fillId="0" borderId="177" xfId="2" applyFont="1" applyBorder="1" applyAlignment="1">
      <alignment vertical="center"/>
    </xf>
    <xf numFmtId="0" fontId="9" fillId="0" borderId="178" xfId="2" applyFont="1" applyBorder="1" applyAlignment="1">
      <alignment vertical="center"/>
    </xf>
    <xf numFmtId="0" fontId="9" fillId="0" borderId="27" xfId="2" applyFont="1" applyBorder="1" applyAlignment="1">
      <alignment vertical="center"/>
    </xf>
    <xf numFmtId="0" fontId="9" fillId="0" borderId="179" xfId="2" applyFont="1" applyBorder="1" applyAlignment="1">
      <alignment vertical="center"/>
    </xf>
    <xf numFmtId="0" fontId="9" fillId="3" borderId="0" xfId="2" applyFont="1" applyFill="1" applyAlignment="1">
      <alignment horizontal="center" vertical="center"/>
    </xf>
    <xf numFmtId="0" fontId="9" fillId="3" borderId="0" xfId="2" applyFont="1" applyFill="1" applyAlignment="1">
      <alignment vertical="center"/>
    </xf>
    <xf numFmtId="0" fontId="9" fillId="0" borderId="5" xfId="2" applyFont="1" applyBorder="1" applyAlignment="1">
      <alignment vertical="center"/>
    </xf>
    <xf numFmtId="0" fontId="9" fillId="0" borderId="181" xfId="2" applyFont="1" applyBorder="1" applyAlignment="1">
      <alignment vertical="center"/>
    </xf>
    <xf numFmtId="182" fontId="9" fillId="0" borderId="51" xfId="5" applyNumberFormat="1" applyFont="1" applyFill="1" applyBorder="1" applyAlignment="1">
      <alignment shrinkToFit="1"/>
    </xf>
    <xf numFmtId="182" fontId="9" fillId="0" borderId="56" xfId="5" applyNumberFormat="1" applyFont="1" applyFill="1" applyBorder="1" applyAlignment="1">
      <alignment shrinkToFit="1"/>
    </xf>
    <xf numFmtId="182" fontId="9" fillId="0" borderId="56" xfId="2" applyNumberFormat="1" applyFont="1" applyBorder="1" applyAlignment="1">
      <alignment shrinkToFit="1"/>
    </xf>
    <xf numFmtId="182" fontId="9" fillId="0" borderId="61" xfId="2" applyNumberFormat="1" applyFont="1" applyBorder="1" applyAlignment="1">
      <alignment shrinkToFit="1"/>
    </xf>
    <xf numFmtId="182" fontId="9" fillId="0" borderId="71" xfId="5" applyNumberFormat="1" applyFont="1" applyFill="1" applyBorder="1" applyAlignment="1">
      <alignment shrinkToFit="1"/>
    </xf>
    <xf numFmtId="182" fontId="9" fillId="0" borderId="72" xfId="5" applyNumberFormat="1" applyFont="1" applyFill="1" applyBorder="1" applyAlignment="1">
      <alignment shrinkToFit="1"/>
    </xf>
    <xf numFmtId="49" fontId="15" fillId="0" borderId="81" xfId="3" applyNumberFormat="1" applyFont="1" applyBorder="1" applyAlignment="1">
      <alignment horizontal="left" vertical="center" wrapText="1"/>
    </xf>
    <xf numFmtId="49" fontId="15" fillId="0" borderId="81" xfId="3" applyNumberFormat="1" applyFont="1" applyBorder="1" applyAlignment="1">
      <alignment horizontal="center" vertical="center"/>
    </xf>
    <xf numFmtId="183" fontId="15" fillId="0" borderId="82" xfId="5" applyNumberFormat="1" applyFont="1" applyFill="1" applyBorder="1" applyAlignment="1">
      <alignment horizontal="right" shrinkToFit="1"/>
    </xf>
    <xf numFmtId="0" fontId="15" fillId="3" borderId="0" xfId="3" applyFont="1" applyFill="1" applyAlignment="1">
      <alignment horizontal="left"/>
    </xf>
    <xf numFmtId="0" fontId="18" fillId="0" borderId="0" xfId="3" applyFont="1" applyAlignment="1">
      <alignment horizontal="left"/>
    </xf>
    <xf numFmtId="0" fontId="15" fillId="0" borderId="0" xfId="3" applyFont="1" applyAlignment="1">
      <alignment horizontal="center"/>
    </xf>
    <xf numFmtId="178" fontId="15" fillId="0" borderId="0" xfId="3" applyNumberFormat="1" applyFont="1"/>
    <xf numFmtId="49" fontId="15" fillId="0" borderId="56" xfId="3" applyNumberFormat="1" applyFont="1" applyBorder="1" applyAlignment="1">
      <alignment horizontal="left" vertical="center" wrapText="1"/>
    </xf>
    <xf numFmtId="49" fontId="15" fillId="0" borderId="56" xfId="3" applyNumberFormat="1" applyFont="1" applyBorder="1" applyAlignment="1">
      <alignment horizontal="center" vertical="center"/>
    </xf>
    <xf numFmtId="183" fontId="15" fillId="0" borderId="84" xfId="5" applyNumberFormat="1" applyFont="1" applyFill="1" applyBorder="1" applyAlignment="1">
      <alignment horizontal="right" shrinkToFit="1"/>
    </xf>
    <xf numFmtId="183" fontId="15" fillId="3" borderId="91" xfId="3" applyNumberFormat="1" applyFont="1" applyFill="1" applyBorder="1"/>
    <xf numFmtId="183" fontId="15" fillId="3" borderId="57" xfId="3" applyNumberFormat="1" applyFont="1" applyFill="1" applyBorder="1"/>
    <xf numFmtId="183" fontId="15" fillId="3" borderId="95" xfId="3" applyNumberFormat="1" applyFont="1" applyFill="1" applyBorder="1"/>
    <xf numFmtId="49" fontId="15" fillId="0" borderId="94" xfId="3" applyNumberFormat="1" applyFont="1" applyBorder="1" applyAlignment="1">
      <alignment horizontal="left" vertical="center" wrapText="1"/>
    </xf>
    <xf numFmtId="49" fontId="15" fillId="0" borderId="94" xfId="3" applyNumberFormat="1" applyFont="1" applyBorder="1" applyAlignment="1">
      <alignment horizontal="center" vertical="center"/>
    </xf>
    <xf numFmtId="183" fontId="15" fillId="0" borderId="97" xfId="5" applyNumberFormat="1" applyFont="1" applyFill="1" applyBorder="1" applyAlignment="1">
      <alignment horizontal="right" shrinkToFit="1"/>
    </xf>
    <xf numFmtId="0" fontId="17" fillId="6" borderId="132" xfId="3" applyFont="1" applyFill="1" applyBorder="1" applyAlignment="1">
      <alignment horizontal="center" vertical="center"/>
    </xf>
    <xf numFmtId="0" fontId="27" fillId="3" borderId="0" xfId="3" applyFont="1" applyFill="1"/>
    <xf numFmtId="0" fontId="3" fillId="3" borderId="0" xfId="3" applyFont="1" applyFill="1" applyAlignment="1">
      <alignment horizontal="right" indent="1"/>
    </xf>
    <xf numFmtId="49" fontId="15" fillId="3" borderId="36" xfId="3" applyNumberFormat="1" applyFont="1" applyFill="1" applyBorder="1" applyAlignment="1">
      <alignment horizontal="left" vertical="center"/>
    </xf>
    <xf numFmtId="49" fontId="15" fillId="3" borderId="37" xfId="3" applyNumberFormat="1" applyFont="1" applyFill="1" applyBorder="1" applyAlignment="1">
      <alignment horizontal="left" vertical="center"/>
    </xf>
    <xf numFmtId="0" fontId="30" fillId="0" borderId="5" xfId="8" applyFont="1" applyBorder="1" applyAlignment="1">
      <alignment horizontal="left"/>
    </xf>
    <xf numFmtId="0" fontId="30" fillId="0" borderId="0" xfId="8" applyFont="1" applyAlignment="1">
      <alignment horizontal="left"/>
    </xf>
    <xf numFmtId="0" fontId="18" fillId="0" borderId="0" xfId="9" applyFont="1"/>
    <xf numFmtId="0" fontId="11" fillId="0" borderId="0" xfId="9" applyFont="1"/>
    <xf numFmtId="0" fontId="3" fillId="0" borderId="138" xfId="8" applyFont="1" applyBorder="1" applyAlignment="1">
      <alignment shrinkToFit="1"/>
    </xf>
    <xf numFmtId="183" fontId="3" fillId="0" borderId="140" xfId="5" applyNumberFormat="1" applyFont="1" applyBorder="1" applyAlignment="1">
      <alignment shrinkToFit="1"/>
    </xf>
    <xf numFmtId="182" fontId="3" fillId="0" borderId="141" xfId="5" applyNumberFormat="1" applyFont="1" applyBorder="1" applyAlignment="1">
      <alignment shrinkToFit="1"/>
    </xf>
    <xf numFmtId="0" fontId="3" fillId="0" borderId="140" xfId="9" applyFont="1" applyBorder="1" applyAlignment="1">
      <alignment shrinkToFit="1"/>
    </xf>
    <xf numFmtId="38" fontId="3" fillId="0" borderId="141" xfId="5" applyFont="1" applyBorder="1" applyAlignment="1">
      <alignment shrinkToFit="1"/>
    </xf>
    <xf numFmtId="0" fontId="18" fillId="13" borderId="0" xfId="9" applyFont="1" applyFill="1"/>
    <xf numFmtId="0" fontId="34" fillId="13" borderId="0" xfId="9" applyFont="1" applyFill="1" applyAlignment="1">
      <alignment shrinkToFit="1"/>
    </xf>
    <xf numFmtId="0" fontId="34" fillId="0" borderId="0" xfId="9" applyFont="1" applyAlignment="1">
      <alignment shrinkToFit="1"/>
    </xf>
    <xf numFmtId="182" fontId="15" fillId="3" borderId="89" xfId="3" applyNumberFormat="1" applyFont="1" applyFill="1" applyBorder="1" applyAlignment="1">
      <alignment horizontal="right" vertical="center" shrinkToFit="1"/>
    </xf>
    <xf numFmtId="182" fontId="15" fillId="3" borderId="78" xfId="3" applyNumberFormat="1" applyFont="1" applyFill="1" applyBorder="1" applyAlignment="1">
      <alignment horizontal="right" vertical="center" shrinkToFit="1"/>
    </xf>
    <xf numFmtId="182" fontId="15" fillId="3" borderId="114" xfId="3" applyNumberFormat="1" applyFont="1" applyFill="1" applyBorder="1" applyAlignment="1">
      <alignment horizontal="right" vertical="center" shrinkToFit="1"/>
    </xf>
    <xf numFmtId="182" fontId="15" fillId="3" borderId="116" xfId="3" applyNumberFormat="1" applyFont="1" applyFill="1" applyBorder="1" applyAlignment="1">
      <alignment horizontal="right" vertical="center" shrinkToFit="1"/>
    </xf>
    <xf numFmtId="0" fontId="3" fillId="0" borderId="0" xfId="3" applyFont="1" applyAlignment="1">
      <alignment vertical="top"/>
    </xf>
    <xf numFmtId="183" fontId="15" fillId="3" borderId="13" xfId="3" applyNumberFormat="1" applyFont="1" applyFill="1" applyBorder="1" applyAlignment="1">
      <alignment horizontal="right" vertical="center" shrinkToFit="1"/>
    </xf>
    <xf numFmtId="184" fontId="15" fillId="3" borderId="12" xfId="3" applyNumberFormat="1" applyFont="1" applyFill="1" applyBorder="1" applyAlignment="1">
      <alignment horizontal="right" vertical="center" shrinkToFit="1"/>
    </xf>
    <xf numFmtId="182" fontId="15" fillId="3" borderId="11" xfId="5" applyNumberFormat="1" applyFont="1" applyFill="1" applyBorder="1" applyAlignment="1">
      <alignment horizontal="right" vertical="center" shrinkToFit="1"/>
    </xf>
    <xf numFmtId="182" fontId="15" fillId="3" borderId="122" xfId="5" applyNumberFormat="1" applyFont="1" applyFill="1" applyBorder="1" applyAlignment="1">
      <alignment horizontal="right" vertical="center" shrinkToFit="1"/>
    </xf>
    <xf numFmtId="182" fontId="15" fillId="3" borderId="101" xfId="5" applyNumberFormat="1" applyFont="1" applyFill="1" applyBorder="1" applyAlignment="1">
      <alignment horizontal="right" vertical="center" shrinkToFit="1"/>
    </xf>
    <xf numFmtId="182" fontId="15" fillId="3" borderId="102" xfId="5" applyNumberFormat="1" applyFont="1" applyFill="1" applyBorder="1" applyAlignment="1">
      <alignment horizontal="right" vertical="center" shrinkToFit="1"/>
    </xf>
    <xf numFmtId="183" fontId="15" fillId="3" borderId="13" xfId="3" quotePrefix="1" applyNumberFormat="1" applyFont="1" applyFill="1" applyBorder="1" applyAlignment="1">
      <alignment horizontal="right" vertical="center" shrinkToFit="1"/>
    </xf>
    <xf numFmtId="183" fontId="15" fillId="3" borderId="107" xfId="3" quotePrefix="1" applyNumberFormat="1" applyFont="1" applyFill="1" applyBorder="1" applyAlignment="1">
      <alignment horizontal="right" vertical="center" shrinkToFit="1"/>
    </xf>
    <xf numFmtId="184" fontId="15" fillId="3" borderId="123" xfId="3" applyNumberFormat="1" applyFont="1" applyFill="1" applyBorder="1" applyAlignment="1">
      <alignment horizontal="right" vertical="center" shrinkToFit="1"/>
    </xf>
    <xf numFmtId="182" fontId="15" fillId="3" borderId="115" xfId="5" applyNumberFormat="1" applyFont="1" applyFill="1" applyBorder="1" applyAlignment="1">
      <alignment horizontal="right" vertical="center" shrinkToFit="1"/>
    </xf>
    <xf numFmtId="182" fontId="15" fillId="3" borderId="124" xfId="5" applyNumberFormat="1" applyFont="1" applyFill="1" applyBorder="1" applyAlignment="1">
      <alignment horizontal="right" vertical="center" shrinkToFit="1"/>
    </xf>
    <xf numFmtId="182" fontId="15" fillId="3" borderId="125" xfId="5" applyNumberFormat="1" applyFont="1" applyFill="1" applyBorder="1" applyAlignment="1">
      <alignment horizontal="right" vertical="center" shrinkToFit="1"/>
    </xf>
    <xf numFmtId="182" fontId="15" fillId="3" borderId="126" xfId="5" applyNumberFormat="1" applyFont="1" applyFill="1" applyBorder="1" applyAlignment="1">
      <alignment horizontal="right" vertical="center" shrinkToFit="1"/>
    </xf>
    <xf numFmtId="182" fontId="31" fillId="5" borderId="5" xfId="5" applyNumberFormat="1" applyFont="1" applyFill="1" applyBorder="1" applyAlignment="1">
      <alignment shrinkToFit="1"/>
    </xf>
    <xf numFmtId="186" fontId="15" fillId="0" borderId="12" xfId="3" applyNumberFormat="1" applyFont="1" applyBorder="1" applyAlignment="1">
      <alignment horizontal="right" vertical="center" shrinkToFit="1"/>
    </xf>
    <xf numFmtId="185" fontId="15" fillId="0" borderId="52" xfId="6" applyNumberFormat="1" applyFont="1" applyFill="1" applyBorder="1" applyAlignment="1">
      <alignment shrinkToFit="1"/>
    </xf>
    <xf numFmtId="185" fontId="15" fillId="0" borderId="57" xfId="6" applyNumberFormat="1" applyFont="1" applyFill="1" applyBorder="1" applyAlignment="1">
      <alignment shrinkToFit="1"/>
    </xf>
    <xf numFmtId="185" fontId="15" fillId="0" borderId="62" xfId="2" applyNumberFormat="1" applyFont="1" applyBorder="1" applyAlignment="1">
      <alignment shrinkToFit="1"/>
    </xf>
    <xf numFmtId="187" fontId="3" fillId="0" borderId="141" xfId="6" applyNumberFormat="1" applyFont="1" applyBorder="1" applyAlignment="1">
      <alignment shrinkToFit="1"/>
    </xf>
    <xf numFmtId="187" fontId="3" fillId="0" borderId="0" xfId="6" applyNumberFormat="1" applyFont="1" applyAlignment="1">
      <alignment shrinkToFit="1"/>
    </xf>
    <xf numFmtId="49" fontId="3" fillId="0" borderId="139" xfId="9" applyNumberFormat="1" applyFont="1" applyBorder="1"/>
    <xf numFmtId="49" fontId="3" fillId="0" borderId="138" xfId="5" applyNumberFormat="1" applyFont="1" applyBorder="1" applyAlignment="1">
      <alignment shrinkToFit="1"/>
    </xf>
    <xf numFmtId="49" fontId="3" fillId="0" borderId="138" xfId="8" applyNumberFormat="1" applyFont="1" applyBorder="1" applyAlignment="1">
      <alignment shrinkToFit="1"/>
    </xf>
    <xf numFmtId="49" fontId="3" fillId="0" borderId="141" xfId="6" applyNumberFormat="1" applyFont="1" applyBorder="1" applyAlignment="1">
      <alignment shrinkToFit="1"/>
    </xf>
    <xf numFmtId="49" fontId="3" fillId="0" borderId="142" xfId="6" applyNumberFormat="1" applyFont="1" applyBorder="1" applyAlignment="1">
      <alignment shrinkToFit="1"/>
    </xf>
    <xf numFmtId="49" fontId="3" fillId="0" borderId="138" xfId="8" applyNumberFormat="1" applyFont="1" applyBorder="1" applyAlignment="1">
      <alignment horizontal="center" shrinkToFit="1"/>
    </xf>
    <xf numFmtId="49" fontId="3" fillId="0" borderId="140" xfId="9" applyNumberFormat="1" applyFont="1" applyBorder="1" applyAlignment="1">
      <alignment shrinkToFit="1"/>
    </xf>
    <xf numFmtId="49" fontId="3" fillId="0" borderId="141" xfId="5" applyNumberFormat="1" applyFont="1" applyBorder="1" applyAlignment="1">
      <alignment shrinkToFit="1"/>
    </xf>
    <xf numFmtId="49" fontId="3" fillId="0" borderId="20" xfId="5" applyNumberFormat="1" applyFont="1" applyBorder="1" applyAlignment="1">
      <alignment shrinkToFit="1"/>
    </xf>
    <xf numFmtId="49" fontId="33" fillId="0" borderId="21" xfId="5" applyNumberFormat="1" applyFont="1" applyBorder="1" applyAlignment="1">
      <alignment horizontal="center" shrinkToFit="1"/>
    </xf>
    <xf numFmtId="49" fontId="30" fillId="0" borderId="5" xfId="8" applyNumberFormat="1" applyFont="1" applyBorder="1" applyAlignment="1">
      <alignment horizontal="left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49" fontId="15" fillId="3" borderId="109" xfId="3" applyNumberFormat="1" applyFont="1" applyFill="1" applyBorder="1" applyAlignment="1">
      <alignment horizontal="center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11" fillId="3" borderId="106" xfId="3" applyNumberFormat="1" applyFont="1" applyFill="1" applyBorder="1" applyAlignment="1">
      <alignment horizontal="center" vertical="center" shrinkToFit="1"/>
    </xf>
    <xf numFmtId="49" fontId="11" fillId="3" borderId="119" xfId="3" applyNumberFormat="1" applyFont="1" applyFill="1" applyBorder="1" applyAlignment="1">
      <alignment horizontal="center" vertical="center" shrinkToFit="1"/>
    </xf>
    <xf numFmtId="49" fontId="11" fillId="3" borderId="109" xfId="3" applyNumberFormat="1" applyFont="1" applyFill="1" applyBorder="1" applyAlignment="1">
      <alignment horizontal="center" vertical="center" shrinkToFit="1"/>
    </xf>
    <xf numFmtId="49" fontId="8" fillId="0" borderId="0" xfId="0" applyNumberFormat="1" applyFont="1" applyAlignment="1">
      <alignment horizontal="center" vertical="center"/>
    </xf>
    <xf numFmtId="0" fontId="9" fillId="0" borderId="0" xfId="2" applyFont="1" applyAlignment="1">
      <alignment horizontal="center"/>
    </xf>
    <xf numFmtId="0" fontId="9" fillId="0" borderId="0" xfId="2" applyFont="1" applyAlignment="1">
      <alignment horizontal="center" shrinkToFit="1"/>
    </xf>
    <xf numFmtId="0" fontId="9" fillId="0" borderId="0" xfId="2" applyFont="1" applyAlignment="1">
      <alignment horizontal="center" vertical="center" shrinkToFit="1"/>
    </xf>
    <xf numFmtId="0" fontId="3" fillId="3" borderId="0" xfId="3" applyFont="1" applyFill="1" applyAlignment="1">
      <alignment vertical="center"/>
    </xf>
    <xf numFmtId="0" fontId="9" fillId="3" borderId="0" xfId="3" applyFont="1" applyFill="1" applyAlignment="1">
      <alignment vertical="center"/>
    </xf>
    <xf numFmtId="0" fontId="3" fillId="0" borderId="0" xfId="5" applyNumberFormat="1" applyFont="1" applyFill="1" applyAlignment="1">
      <alignment horizontal="right" vertical="center"/>
    </xf>
    <xf numFmtId="0" fontId="3" fillId="3" borderId="0" xfId="5" applyNumberFormat="1" applyFont="1" applyFill="1" applyBorder="1" applyAlignment="1">
      <alignment vertical="center"/>
    </xf>
    <xf numFmtId="0" fontId="3" fillId="0" borderId="0" xfId="5" applyNumberFormat="1" applyFont="1" applyFill="1" applyBorder="1" applyAlignment="1">
      <alignment vertical="center"/>
    </xf>
    <xf numFmtId="0" fontId="3" fillId="3" borderId="0" xfId="3" applyFont="1" applyFill="1" applyAlignment="1">
      <alignment horizontal="right" vertical="center"/>
    </xf>
    <xf numFmtId="0" fontId="3" fillId="10" borderId="24" xfId="3" applyFont="1" applyFill="1" applyBorder="1" applyAlignment="1">
      <alignment horizontal="right"/>
    </xf>
    <xf numFmtId="0" fontId="3" fillId="3" borderId="0" xfId="5" applyNumberFormat="1" applyFont="1" applyFill="1" applyAlignment="1">
      <alignment horizontal="right" vertical="center"/>
    </xf>
    <xf numFmtId="182" fontId="3" fillId="0" borderId="158" xfId="2" applyNumberFormat="1" applyFont="1" applyBorder="1" applyAlignment="1">
      <alignment shrinkToFit="1"/>
    </xf>
    <xf numFmtId="182" fontId="3" fillId="0" borderId="159" xfId="2" applyNumberFormat="1" applyFont="1" applyBorder="1" applyAlignment="1">
      <alignment shrinkToFit="1"/>
    </xf>
    <xf numFmtId="187" fontId="9" fillId="0" borderId="67" xfId="6" applyNumberFormat="1" applyFont="1" applyFill="1" applyBorder="1" applyAlignment="1">
      <alignment shrinkToFit="1"/>
    </xf>
    <xf numFmtId="187" fontId="9" fillId="0" borderId="68" xfId="6" applyNumberFormat="1" applyFont="1" applyFill="1" applyBorder="1" applyAlignment="1">
      <alignment shrinkToFit="1"/>
    </xf>
    <xf numFmtId="49" fontId="8" fillId="0" borderId="0" xfId="0" applyNumberFormat="1" applyFont="1" applyAlignment="1">
      <alignment horizontal="right" vertical="center"/>
    </xf>
    <xf numFmtId="49" fontId="8" fillId="0" borderId="0" xfId="0" applyNumberFormat="1" applyFont="1" applyAlignment="1">
      <alignment horizontal="distributed" vertical="center"/>
    </xf>
    <xf numFmtId="49" fontId="8" fillId="0" borderId="0" xfId="0" applyNumberFormat="1" applyFont="1">
      <alignment vertical="center"/>
    </xf>
    <xf numFmtId="187" fontId="9" fillId="0" borderId="148" xfId="2" applyNumberFormat="1" applyFont="1" applyBorder="1" applyAlignment="1">
      <alignment shrinkToFit="1"/>
    </xf>
    <xf numFmtId="187" fontId="9" fillId="0" borderId="149" xfId="2" applyNumberFormat="1" applyFont="1" applyBorder="1" applyAlignment="1">
      <alignment shrinkToFit="1"/>
    </xf>
    <xf numFmtId="187" fontId="9" fillId="0" borderId="150" xfId="2" applyNumberFormat="1" applyFont="1" applyBorder="1" applyAlignment="1">
      <alignment shrinkToFit="1"/>
    </xf>
    <xf numFmtId="187" fontId="29" fillId="0" borderId="151" xfId="2" applyNumberFormat="1" applyFont="1" applyBorder="1" applyAlignment="1">
      <alignment shrinkToFit="1"/>
    </xf>
    <xf numFmtId="187" fontId="29" fillId="0" borderId="152" xfId="2" applyNumberFormat="1" applyFont="1" applyBorder="1" applyAlignment="1">
      <alignment shrinkToFit="1"/>
    </xf>
    <xf numFmtId="187" fontId="29" fillId="0" borderId="153" xfId="2" applyNumberFormat="1" applyFont="1" applyBorder="1" applyAlignment="1">
      <alignment shrinkToFit="1"/>
    </xf>
    <xf numFmtId="182" fontId="3" fillId="5" borderId="154" xfId="5" applyNumberFormat="1" applyFont="1" applyFill="1" applyBorder="1" applyAlignment="1">
      <alignment shrinkToFit="1"/>
    </xf>
    <xf numFmtId="182" fontId="3" fillId="5" borderId="155" xfId="5" applyNumberFormat="1" applyFont="1" applyFill="1" applyBorder="1" applyAlignment="1">
      <alignment shrinkToFit="1"/>
    </xf>
    <xf numFmtId="182" fontId="3" fillId="5" borderId="156" xfId="5" applyNumberFormat="1" applyFont="1" applyFill="1" applyBorder="1" applyAlignment="1">
      <alignment shrinkToFit="1"/>
    </xf>
    <xf numFmtId="182" fontId="9" fillId="3" borderId="157" xfId="2" applyNumberFormat="1" applyFont="1" applyFill="1" applyBorder="1" applyAlignment="1">
      <alignment shrinkToFit="1"/>
    </xf>
    <xf numFmtId="49" fontId="3" fillId="0" borderId="11" xfId="10" applyNumberFormat="1" applyFont="1" applyBorder="1" applyAlignment="1">
      <alignment horizontal="center" vertical="center"/>
    </xf>
    <xf numFmtId="188" fontId="3" fillId="0" borderId="11" xfId="10" applyNumberFormat="1" applyFont="1" applyBorder="1" applyAlignment="1">
      <alignment horizontal="left" vertical="center"/>
    </xf>
    <xf numFmtId="188" fontId="3" fillId="0" borderId="35" xfId="10" applyNumberFormat="1" applyFont="1" applyBorder="1" applyAlignment="1">
      <alignment horizontal="left" vertical="center"/>
    </xf>
    <xf numFmtId="49" fontId="3" fillId="0" borderId="34" xfId="1" applyNumberFormat="1" applyFont="1" applyBorder="1" applyAlignment="1">
      <alignment horizontal="center" vertical="center"/>
    </xf>
    <xf numFmtId="49" fontId="3" fillId="0" borderId="11" xfId="1" applyNumberFormat="1" applyFont="1" applyBorder="1" applyAlignment="1">
      <alignment horizontal="center" vertical="center"/>
    </xf>
    <xf numFmtId="49" fontId="3" fillId="0" borderId="35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horizontal="center"/>
    </xf>
    <xf numFmtId="49" fontId="3" fillId="0" borderId="26" xfId="1" applyNumberFormat="1" applyFont="1" applyBorder="1" applyAlignment="1">
      <alignment horizontal="left" vertical="center" indent="1"/>
    </xf>
    <xf numFmtId="49" fontId="3" fillId="0" borderId="27" xfId="1" applyNumberFormat="1" applyFont="1" applyBorder="1" applyAlignment="1">
      <alignment horizontal="left" vertical="center" indent="1"/>
    </xf>
    <xf numFmtId="49" fontId="3" fillId="0" borderId="28" xfId="1" applyNumberFormat="1" applyFont="1" applyBorder="1" applyAlignment="1">
      <alignment horizontal="center" vertical="center"/>
    </xf>
    <xf numFmtId="49" fontId="3" fillId="0" borderId="27" xfId="1" applyNumberFormat="1" applyFont="1" applyBorder="1" applyAlignment="1">
      <alignment horizontal="center" vertical="center"/>
    </xf>
    <xf numFmtId="49" fontId="3" fillId="0" borderId="29" xfId="1" applyNumberFormat="1" applyFont="1" applyBorder="1" applyAlignment="1">
      <alignment horizontal="center" vertical="center"/>
    </xf>
    <xf numFmtId="49" fontId="3" fillId="0" borderId="30" xfId="1" applyNumberFormat="1" applyFont="1" applyBorder="1" applyAlignment="1">
      <alignment horizontal="center" vertical="center"/>
    </xf>
    <xf numFmtId="49" fontId="3" fillId="0" borderId="5" xfId="1" applyNumberFormat="1" applyFont="1" applyBorder="1" applyAlignment="1">
      <alignment horizontal="center" vertical="center"/>
    </xf>
    <xf numFmtId="49" fontId="3" fillId="0" borderId="31" xfId="1" applyNumberFormat="1" applyFont="1" applyBorder="1" applyAlignment="1">
      <alignment horizontal="center" vertical="center"/>
    </xf>
    <xf numFmtId="49" fontId="3" fillId="0" borderId="32" xfId="1" applyNumberFormat="1" applyFont="1" applyBorder="1" applyAlignment="1">
      <alignment horizontal="left" vertical="center" indent="1"/>
    </xf>
    <xf numFmtId="49" fontId="3" fillId="0" borderId="5" xfId="1" applyNumberFormat="1" applyFont="1" applyBorder="1" applyAlignment="1">
      <alignment horizontal="left" vertical="center" indent="1"/>
    </xf>
    <xf numFmtId="49" fontId="3" fillId="0" borderId="33" xfId="1" applyNumberFormat="1" applyFont="1" applyBorder="1" applyAlignment="1">
      <alignment horizontal="left" vertical="center" indent="1"/>
    </xf>
    <xf numFmtId="49" fontId="3" fillId="0" borderId="14" xfId="1" applyNumberFormat="1" applyFont="1" applyBorder="1" applyAlignment="1">
      <alignment horizontal="center" vertical="center"/>
    </xf>
    <xf numFmtId="188" fontId="3" fillId="0" borderId="13" xfId="10" applyNumberFormat="1" applyFont="1" applyBorder="1" applyAlignment="1">
      <alignment horizontal="left" vertical="center" indent="1"/>
    </xf>
    <xf numFmtId="188" fontId="3" fillId="0" borderId="11" xfId="10" applyNumberFormat="1" applyFont="1" applyBorder="1" applyAlignment="1">
      <alignment horizontal="left" vertical="center" indent="1"/>
    </xf>
    <xf numFmtId="188" fontId="3" fillId="0" borderId="14" xfId="10" applyNumberFormat="1" applyFont="1" applyBorder="1" applyAlignment="1">
      <alignment horizontal="left" vertical="center"/>
    </xf>
    <xf numFmtId="49" fontId="3" fillId="0" borderId="13" xfId="1" applyNumberFormat="1" applyFont="1" applyBorder="1" applyAlignment="1">
      <alignment horizontal="center" vertical="center"/>
    </xf>
    <xf numFmtId="49" fontId="3" fillId="2" borderId="36" xfId="1" applyNumberFormat="1" applyFont="1" applyFill="1" applyBorder="1" applyAlignment="1">
      <alignment horizontal="left" vertical="top" indent="1"/>
    </xf>
    <xf numFmtId="49" fontId="3" fillId="2" borderId="37" xfId="1" applyNumberFormat="1" applyFont="1" applyFill="1" applyBorder="1" applyAlignment="1">
      <alignment horizontal="left" vertical="top" indent="1"/>
    </xf>
    <xf numFmtId="49" fontId="3" fillId="2" borderId="38" xfId="1" applyNumberFormat="1" applyFont="1" applyFill="1" applyBorder="1" applyAlignment="1">
      <alignment horizontal="left" vertical="top" indent="1"/>
    </xf>
    <xf numFmtId="49" fontId="3" fillId="2" borderId="23" xfId="1" applyNumberFormat="1" applyFont="1" applyFill="1" applyBorder="1" applyAlignment="1">
      <alignment horizontal="left" vertical="top" indent="1"/>
    </xf>
    <xf numFmtId="49" fontId="3" fillId="2" borderId="24" xfId="1" applyNumberFormat="1" applyFont="1" applyFill="1" applyBorder="1" applyAlignment="1">
      <alignment horizontal="left" vertical="top" indent="1"/>
    </xf>
    <xf numFmtId="49" fontId="3" fillId="2" borderId="25" xfId="1" applyNumberFormat="1" applyFont="1" applyFill="1" applyBorder="1" applyAlignment="1">
      <alignment horizontal="left" vertical="top" indent="1"/>
    </xf>
    <xf numFmtId="185" fontId="8" fillId="0" borderId="5" xfId="0" applyNumberFormat="1" applyFont="1" applyBorder="1" applyAlignment="1">
      <alignment horizontal="right" vertical="center" shrinkToFit="1"/>
    </xf>
    <xf numFmtId="49" fontId="3" fillId="0" borderId="5" xfId="1" applyNumberFormat="1" applyFont="1" applyBorder="1" applyAlignment="1">
      <alignment horizontal="distributed" vertical="center"/>
    </xf>
    <xf numFmtId="0" fontId="0" fillId="0" borderId="5" xfId="0" applyBorder="1" applyAlignment="1">
      <alignment horizontal="distributed" vertical="center"/>
    </xf>
    <xf numFmtId="182" fontId="3" fillId="0" borderId="5" xfId="1" applyNumberFormat="1" applyFont="1" applyBorder="1" applyAlignment="1">
      <alignment horizontal="right" vertical="center"/>
    </xf>
    <xf numFmtId="182" fontId="0" fillId="0" borderId="5" xfId="0" applyNumberFormat="1" applyBorder="1" applyAlignment="1">
      <alignment horizontal="right" vertical="center"/>
    </xf>
    <xf numFmtId="49" fontId="9" fillId="0" borderId="5" xfId="1" applyNumberFormat="1" applyFont="1" applyBorder="1" applyAlignment="1">
      <alignment vertical="center"/>
    </xf>
    <xf numFmtId="49" fontId="9" fillId="0" borderId="5" xfId="1" applyNumberFormat="1" applyFont="1" applyBorder="1" applyAlignment="1">
      <alignment horizontal="left" vertical="center"/>
    </xf>
    <xf numFmtId="49" fontId="8" fillId="0" borderId="5" xfId="1" applyNumberFormat="1" applyFont="1" applyBorder="1" applyAlignment="1">
      <alignment horizontal="distributed" vertical="center"/>
    </xf>
    <xf numFmtId="0" fontId="1" fillId="0" borderId="5" xfId="0" applyFont="1" applyBorder="1" applyAlignment="1">
      <alignment horizontal="distributed" vertical="center"/>
    </xf>
    <xf numFmtId="182" fontId="8" fillId="0" borderId="5" xfId="1" applyNumberFormat="1" applyFont="1" applyBorder="1" applyAlignment="1">
      <alignment horizontal="right" vertical="center"/>
    </xf>
    <xf numFmtId="182" fontId="1" fillId="0" borderId="5" xfId="0" applyNumberFormat="1" applyFont="1" applyBorder="1" applyAlignment="1">
      <alignment horizontal="right" vertical="center"/>
    </xf>
    <xf numFmtId="49" fontId="3" fillId="0" borderId="12" xfId="1" quotePrefix="1" applyNumberFormat="1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3" fillId="0" borderId="12" xfId="1" applyNumberFormat="1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49" fontId="8" fillId="0" borderId="12" xfId="0" applyNumberFormat="1" applyFont="1" applyBorder="1" applyAlignment="1">
      <alignment horizontal="center" vertical="center"/>
    </xf>
    <xf numFmtId="49" fontId="3" fillId="0" borderId="2" xfId="1" applyNumberFormat="1" applyFont="1" applyBorder="1" applyAlignment="1">
      <alignment horizontal="center" vertical="center"/>
    </xf>
    <xf numFmtId="0" fontId="0" fillId="0" borderId="2" xfId="0" applyBorder="1">
      <alignment vertical="center"/>
    </xf>
    <xf numFmtId="188" fontId="3" fillId="0" borderId="27" xfId="1" applyNumberFormat="1" applyFont="1" applyBorder="1" applyAlignment="1">
      <alignment horizontal="center" vertical="center"/>
    </xf>
    <xf numFmtId="188" fontId="0" fillId="0" borderId="27" xfId="0" applyNumberFormat="1" applyBorder="1" applyAlignment="1">
      <alignment horizontal="center" vertical="center"/>
    </xf>
    <xf numFmtId="49" fontId="19" fillId="0" borderId="0" xfId="1" applyNumberFormat="1" applyFont="1" applyAlignment="1">
      <alignment horizontal="distributed" vertical="center"/>
    </xf>
    <xf numFmtId="0" fontId="28" fillId="0" borderId="0" xfId="0" applyFont="1">
      <alignment vertical="center"/>
    </xf>
    <xf numFmtId="49" fontId="3" fillId="0" borderId="7" xfId="1" applyNumberFormat="1" applyFont="1" applyBorder="1" applyAlignment="1">
      <alignment horizontal="center" vertical="center" shrinkToFit="1"/>
    </xf>
    <xf numFmtId="49" fontId="3" fillId="0" borderId="8" xfId="1" applyNumberFormat="1" applyFont="1" applyBorder="1" applyAlignment="1">
      <alignment horizontal="center" vertical="center" shrinkToFit="1"/>
    </xf>
    <xf numFmtId="49" fontId="3" fillId="0" borderId="9" xfId="1" quotePrefix="1" applyNumberFormat="1" applyFont="1" applyBorder="1" applyAlignment="1">
      <alignment horizontal="center" vertical="center"/>
    </xf>
    <xf numFmtId="49" fontId="3" fillId="0" borderId="8" xfId="1" quotePrefix="1" applyNumberFormat="1" applyFont="1" applyBorder="1" applyAlignment="1">
      <alignment horizontal="center" vertical="center"/>
    </xf>
    <xf numFmtId="49" fontId="3" fillId="0" borderId="10" xfId="1" quotePrefix="1" applyNumberFormat="1" applyFont="1" applyBorder="1" applyAlignment="1">
      <alignment horizontal="center" vertical="center"/>
    </xf>
    <xf numFmtId="49" fontId="7" fillId="0" borderId="5" xfId="1" applyNumberFormat="1" applyFont="1" applyBorder="1" applyAlignment="1">
      <alignment horizontal="center" vertical="center"/>
    </xf>
    <xf numFmtId="0" fontId="3" fillId="3" borderId="172" xfId="2" applyFont="1" applyFill="1" applyBorder="1" applyAlignment="1">
      <alignment horizontal="left" vertical="center" shrinkToFit="1"/>
    </xf>
    <xf numFmtId="0" fontId="3" fillId="3" borderId="173" xfId="2" applyFont="1" applyFill="1" applyBorder="1" applyAlignment="1">
      <alignment horizontal="left" vertical="center" shrinkToFit="1"/>
    </xf>
    <xf numFmtId="0" fontId="3" fillId="3" borderId="55" xfId="2" applyFont="1" applyFill="1" applyBorder="1" applyAlignment="1">
      <alignment horizontal="left" vertical="center" shrinkToFit="1"/>
    </xf>
    <xf numFmtId="0" fontId="3" fillId="3" borderId="168" xfId="2" applyFont="1" applyFill="1" applyBorder="1" applyAlignment="1">
      <alignment horizontal="left" vertical="center" shrinkToFit="1"/>
    </xf>
    <xf numFmtId="182" fontId="9" fillId="0" borderId="13" xfId="4" applyNumberFormat="1" applyFont="1" applyFill="1" applyBorder="1" applyAlignment="1">
      <alignment horizontal="center" vertical="center"/>
    </xf>
    <xf numFmtId="182" fontId="9" fillId="0" borderId="11" xfId="4" applyNumberFormat="1" applyFont="1" applyFill="1" applyBorder="1" applyAlignment="1">
      <alignment horizontal="center" vertical="center"/>
    </xf>
    <xf numFmtId="182" fontId="9" fillId="0" borderId="180" xfId="4" applyNumberFormat="1" applyFont="1" applyFill="1" applyBorder="1" applyAlignment="1">
      <alignment horizontal="center" vertical="center"/>
    </xf>
    <xf numFmtId="0" fontId="9" fillId="3" borderId="36" xfId="2" applyFont="1" applyFill="1" applyBorder="1" applyAlignment="1">
      <alignment horizontal="center" vertical="center" shrinkToFit="1"/>
    </xf>
    <xf numFmtId="0" fontId="9" fillId="3" borderId="23" xfId="2" applyFont="1" applyFill="1" applyBorder="1" applyAlignment="1">
      <alignment horizontal="center" vertical="center" shrinkToFit="1"/>
    </xf>
    <xf numFmtId="0" fontId="9" fillId="4" borderId="28" xfId="2" applyFont="1" applyFill="1" applyBorder="1" applyAlignment="1">
      <alignment horizontal="center" vertical="center"/>
    </xf>
    <xf numFmtId="0" fontId="3" fillId="4" borderId="27" xfId="3" applyFont="1" applyFill="1" applyBorder="1" applyAlignment="1">
      <alignment horizontal="center" vertical="center"/>
    </xf>
    <xf numFmtId="0" fontId="14" fillId="0" borderId="40" xfId="3" applyBorder="1" applyAlignment="1">
      <alignment horizontal="center" vertical="center"/>
    </xf>
    <xf numFmtId="188" fontId="9" fillId="3" borderId="13" xfId="2" applyNumberFormat="1" applyFont="1" applyFill="1" applyBorder="1" applyAlignment="1">
      <alignment horizontal="center" vertical="center" shrinkToFit="1"/>
    </xf>
    <xf numFmtId="188" fontId="14" fillId="0" borderId="11" xfId="3" applyNumberFormat="1" applyBorder="1" applyAlignment="1">
      <alignment shrinkToFit="1"/>
    </xf>
    <xf numFmtId="188" fontId="9" fillId="3" borderId="5" xfId="2" applyNumberFormat="1" applyFont="1" applyFill="1" applyBorder="1" applyAlignment="1">
      <alignment horizontal="center" vertical="center" shrinkToFit="1"/>
    </xf>
    <xf numFmtId="0" fontId="9" fillId="4" borderId="13" xfId="2" applyFont="1" applyFill="1" applyBorder="1" applyAlignment="1">
      <alignment horizontal="center" vertical="center"/>
    </xf>
    <xf numFmtId="0" fontId="14" fillId="4" borderId="11" xfId="3" applyFill="1" applyBorder="1" applyAlignment="1">
      <alignment horizontal="center" vertical="center"/>
    </xf>
    <xf numFmtId="0" fontId="14" fillId="4" borderId="14" xfId="3" applyFill="1" applyBorder="1" applyAlignment="1">
      <alignment horizontal="center" vertical="center"/>
    </xf>
    <xf numFmtId="0" fontId="9" fillId="4" borderId="1" xfId="2" applyFont="1" applyFill="1" applyBorder="1" applyAlignment="1">
      <alignment horizontal="center" vertical="center"/>
    </xf>
    <xf numFmtId="0" fontId="14" fillId="4" borderId="147" xfId="3" applyFill="1" applyBorder="1" applyAlignment="1">
      <alignment horizontal="center" vertical="center"/>
    </xf>
    <xf numFmtId="0" fontId="14" fillId="4" borderId="30" xfId="3" applyFill="1" applyBorder="1" applyAlignment="1">
      <alignment horizontal="center" vertical="center"/>
    </xf>
    <xf numFmtId="0" fontId="14" fillId="4" borderId="31" xfId="3" applyFill="1" applyBorder="1" applyAlignment="1">
      <alignment horizontal="center" vertical="center"/>
    </xf>
    <xf numFmtId="0" fontId="9" fillId="4" borderId="36" xfId="2" applyFont="1" applyFill="1" applyBorder="1" applyAlignment="1">
      <alignment horizontal="center" vertical="center"/>
    </xf>
    <xf numFmtId="0" fontId="14" fillId="4" borderId="73" xfId="3" applyFill="1" applyBorder="1" applyAlignment="1">
      <alignment horizontal="center" vertical="center"/>
    </xf>
    <xf numFmtId="0" fontId="14" fillId="4" borderId="23" xfId="3" applyFill="1" applyBorder="1" applyAlignment="1">
      <alignment horizontal="center" vertical="center"/>
    </xf>
    <xf numFmtId="0" fontId="14" fillId="4" borderId="74" xfId="3" applyFill="1" applyBorder="1" applyAlignment="1">
      <alignment horizontal="center" vertical="center"/>
    </xf>
    <xf numFmtId="0" fontId="9" fillId="3" borderId="26" xfId="2" applyFont="1" applyFill="1" applyBorder="1" applyAlignment="1">
      <alignment horizontal="center"/>
    </xf>
    <xf numFmtId="0" fontId="9" fillId="3" borderId="40" xfId="2" applyFont="1" applyFill="1" applyBorder="1" applyAlignment="1">
      <alignment horizontal="center"/>
    </xf>
    <xf numFmtId="0" fontId="3" fillId="3" borderId="163" xfId="2" applyFont="1" applyFill="1" applyBorder="1" applyAlignment="1">
      <alignment horizontal="left" vertical="center" shrinkToFit="1"/>
    </xf>
    <xf numFmtId="0" fontId="3" fillId="3" borderId="164" xfId="2" applyFont="1" applyFill="1" applyBorder="1" applyAlignment="1">
      <alignment horizontal="left" vertical="center" shrinkToFit="1"/>
    </xf>
    <xf numFmtId="49" fontId="9" fillId="0" borderId="28" xfId="2" applyNumberFormat="1" applyFont="1" applyBorder="1" applyAlignment="1">
      <alignment horizontal="center" vertical="center"/>
    </xf>
    <xf numFmtId="49" fontId="9" fillId="0" borderId="27" xfId="2" applyNumberFormat="1" applyFont="1" applyBorder="1" applyAlignment="1">
      <alignment horizontal="center" vertical="center"/>
    </xf>
    <xf numFmtId="49" fontId="9" fillId="0" borderId="40" xfId="2" applyNumberFormat="1" applyFont="1" applyBorder="1" applyAlignment="1">
      <alignment horizontal="center" vertical="center"/>
    </xf>
    <xf numFmtId="0" fontId="3" fillId="0" borderId="24" xfId="3" applyFont="1" applyBorder="1" applyAlignment="1">
      <alignment horizontal="right"/>
    </xf>
    <xf numFmtId="49" fontId="15" fillId="0" borderId="36" xfId="3" applyNumberFormat="1" applyFont="1" applyBorder="1" applyAlignment="1">
      <alignment horizontal="left" vertical="top" wrapText="1" indent="1"/>
    </xf>
    <xf numFmtId="49" fontId="3" fillId="0" borderId="37" xfId="3" applyNumberFormat="1" applyFont="1" applyBorder="1"/>
    <xf numFmtId="49" fontId="3" fillId="0" borderId="76" xfId="3" applyNumberFormat="1" applyFont="1" applyBorder="1"/>
    <xf numFmtId="49" fontId="3" fillId="0" borderId="4" xfId="3" applyNumberFormat="1" applyFont="1" applyBorder="1"/>
    <xf numFmtId="49" fontId="3" fillId="0" borderId="0" xfId="3" applyNumberFormat="1" applyFont="1"/>
    <xf numFmtId="49" fontId="3" fillId="0" borderId="79" xfId="3" applyNumberFormat="1" applyFont="1" applyBorder="1"/>
    <xf numFmtId="49" fontId="3" fillId="0" borderId="85" xfId="3" applyNumberFormat="1" applyFont="1" applyBorder="1"/>
    <xf numFmtId="49" fontId="3" fillId="0" borderId="86" xfId="3" applyNumberFormat="1" applyFont="1" applyBorder="1"/>
    <xf numFmtId="49" fontId="3" fillId="0" borderId="87" xfId="3" applyNumberFormat="1" applyFont="1" applyBorder="1"/>
    <xf numFmtId="49" fontId="15" fillId="0" borderId="107" xfId="3" applyNumberFormat="1" applyFont="1" applyBorder="1" applyAlignment="1">
      <alignment horizontal="left" vertical="top" wrapText="1"/>
    </xf>
    <xf numFmtId="49" fontId="15" fillId="0" borderId="115" xfId="3" applyNumberFormat="1" applyFont="1" applyBorder="1" applyAlignment="1">
      <alignment horizontal="left" vertical="top" wrapText="1"/>
    </xf>
    <xf numFmtId="49" fontId="15" fillId="0" borderId="143" xfId="3" applyNumberFormat="1" applyFont="1" applyBorder="1" applyAlignment="1">
      <alignment horizontal="left" vertical="top" wrapText="1"/>
    </xf>
    <xf numFmtId="49" fontId="15" fillId="0" borderId="13" xfId="3" applyNumberFormat="1" applyFont="1" applyBorder="1" applyAlignment="1">
      <alignment horizontal="left" vertical="center" shrinkToFit="1"/>
    </xf>
    <xf numFmtId="49" fontId="3" fillId="0" borderId="14" xfId="3" applyNumberFormat="1" applyFont="1" applyBorder="1" applyAlignment="1">
      <alignment horizontal="left" vertical="center" shrinkToFit="1"/>
    </xf>
    <xf numFmtId="49" fontId="15" fillId="0" borderId="14" xfId="3" applyNumberFormat="1" applyFont="1" applyBorder="1" applyAlignment="1">
      <alignment horizontal="left" vertical="center" shrinkToFit="1"/>
    </xf>
    <xf numFmtId="49" fontId="15" fillId="3" borderId="13" xfId="3" applyNumberFormat="1" applyFont="1" applyFill="1" applyBorder="1" applyAlignment="1">
      <alignment horizontal="left" vertical="center" shrinkToFit="1"/>
    </xf>
    <xf numFmtId="49" fontId="15" fillId="3" borderId="14" xfId="3" applyNumberFormat="1" applyFont="1" applyFill="1" applyBorder="1" applyAlignment="1">
      <alignment horizontal="left" vertical="center" shrinkToFit="1"/>
    </xf>
    <xf numFmtId="0" fontId="3" fillId="6" borderId="104" xfId="3" applyFont="1" applyFill="1" applyBorder="1" applyAlignment="1">
      <alignment horizontal="center" vertical="center"/>
    </xf>
    <xf numFmtId="0" fontId="3" fillId="6" borderId="144" xfId="3" applyFont="1" applyFill="1" applyBorder="1" applyAlignment="1">
      <alignment horizontal="center" vertical="center"/>
    </xf>
    <xf numFmtId="0" fontId="3" fillId="6" borderId="128" xfId="3" applyFont="1" applyFill="1" applyBorder="1" applyAlignment="1">
      <alignment horizontal="center" vertical="center"/>
    </xf>
    <xf numFmtId="49" fontId="15" fillId="3" borderId="105" xfId="3" applyNumberFormat="1" applyFont="1" applyFill="1" applyBorder="1" applyAlignment="1">
      <alignment horizontal="left" vertical="top" wrapText="1"/>
    </xf>
    <xf numFmtId="49" fontId="15" fillId="3" borderId="73" xfId="3" applyNumberFormat="1" applyFont="1" applyFill="1" applyBorder="1" applyAlignment="1">
      <alignment horizontal="left" vertical="top" wrapText="1"/>
    </xf>
    <xf numFmtId="49" fontId="15" fillId="3" borderId="145" xfId="3" applyNumberFormat="1" applyFont="1" applyFill="1" applyBorder="1" applyAlignment="1">
      <alignment horizontal="left" vertical="top" wrapText="1"/>
    </xf>
    <xf numFmtId="49" fontId="15" fillId="3" borderId="146" xfId="3" applyNumberFormat="1" applyFont="1" applyFill="1" applyBorder="1" applyAlignment="1">
      <alignment horizontal="left" vertical="top" wrapText="1"/>
    </xf>
    <xf numFmtId="49" fontId="15" fillId="3" borderId="70" xfId="3" applyNumberFormat="1" applyFont="1" applyFill="1" applyBorder="1" applyAlignment="1">
      <alignment horizontal="left" vertical="top" wrapText="1"/>
    </xf>
    <xf numFmtId="49" fontId="15" fillId="3" borderId="74" xfId="3" applyNumberFormat="1" applyFont="1" applyFill="1" applyBorder="1" applyAlignment="1">
      <alignment horizontal="left" vertical="top" wrapText="1"/>
    </xf>
    <xf numFmtId="0" fontId="16" fillId="3" borderId="0" xfId="3" applyFont="1" applyFill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3" borderId="24" xfId="3" applyFont="1" applyFill="1" applyBorder="1" applyAlignment="1">
      <alignment horizontal="right"/>
    </xf>
    <xf numFmtId="49" fontId="15" fillId="0" borderId="28" xfId="3" applyNumberFormat="1" applyFont="1" applyBorder="1" applyAlignment="1">
      <alignment horizontal="left" vertical="center" shrinkToFit="1"/>
    </xf>
    <xf numFmtId="49" fontId="15" fillId="0" borderId="27" xfId="3" applyNumberFormat="1" applyFont="1" applyBorder="1" applyAlignment="1">
      <alignment horizontal="left" vertical="center" shrinkToFit="1"/>
    </xf>
    <xf numFmtId="49" fontId="15" fillId="0" borderId="29" xfId="3" applyNumberFormat="1" applyFont="1" applyBorder="1" applyAlignment="1">
      <alignment horizontal="left" vertical="center" shrinkToFit="1"/>
    </xf>
    <xf numFmtId="49" fontId="3" fillId="0" borderId="11" xfId="3" applyNumberFormat="1" applyFont="1" applyBorder="1" applyAlignment="1">
      <alignment horizontal="left" vertical="center" shrinkToFit="1"/>
    </xf>
    <xf numFmtId="49" fontId="35" fillId="0" borderId="13" xfId="3" applyNumberFormat="1" applyFont="1" applyBorder="1" applyAlignment="1">
      <alignment horizontal="left" vertical="center" shrinkToFit="1"/>
    </xf>
    <xf numFmtId="49" fontId="8" fillId="0" borderId="14" xfId="3" applyNumberFormat="1" applyFont="1" applyBorder="1" applyAlignment="1">
      <alignment horizontal="left" vertical="center" shrinkToFit="1"/>
    </xf>
    <xf numFmtId="49" fontId="15" fillId="0" borderId="11" xfId="3" applyNumberFormat="1" applyFont="1" applyBorder="1" applyAlignment="1">
      <alignment horizontal="left" vertical="center" shrinkToFit="1"/>
    </xf>
    <xf numFmtId="49" fontId="15" fillId="0" borderId="35" xfId="3" applyNumberFormat="1" applyFont="1" applyBorder="1" applyAlignment="1">
      <alignment horizontal="left" vertical="center" shrinkToFit="1"/>
    </xf>
    <xf numFmtId="49" fontId="15" fillId="3" borderId="106" xfId="3" applyNumberFormat="1" applyFont="1" applyFill="1" applyBorder="1" applyAlignment="1">
      <alignment horizontal="center" vertical="center"/>
    </xf>
    <xf numFmtId="49" fontId="15" fillId="3" borderId="119" xfId="3" applyNumberFormat="1" applyFont="1" applyFill="1" applyBorder="1" applyAlignment="1">
      <alignment horizontal="center" vertical="center"/>
    </xf>
    <xf numFmtId="183" fontId="15" fillId="3" borderId="106" xfId="5" applyNumberFormat="1" applyFont="1" applyFill="1" applyBorder="1" applyAlignment="1">
      <alignment vertical="center" shrinkToFit="1"/>
    </xf>
    <xf numFmtId="183" fontId="15" fillId="3" borderId="119" xfId="5" applyNumberFormat="1" applyFont="1" applyFill="1" applyBorder="1" applyAlignment="1">
      <alignment vertical="center" shrinkToFit="1"/>
    </xf>
    <xf numFmtId="184" fontId="15" fillId="3" borderId="106" xfId="3" applyNumberFormat="1" applyFont="1" applyFill="1" applyBorder="1" applyAlignment="1">
      <alignment horizontal="right" vertical="center" shrinkToFit="1"/>
    </xf>
    <xf numFmtId="184" fontId="15" fillId="3" borderId="119" xfId="3" applyNumberFormat="1" applyFont="1" applyFill="1" applyBorder="1" applyAlignment="1">
      <alignment horizontal="right" vertical="center" shrinkToFit="1"/>
    </xf>
    <xf numFmtId="182" fontId="15" fillId="3" borderId="106" xfId="3" applyNumberFormat="1" applyFont="1" applyFill="1" applyBorder="1" applyAlignment="1">
      <alignment horizontal="right" vertical="center" shrinkToFit="1"/>
    </xf>
    <xf numFmtId="182" fontId="15" fillId="3" borderId="119" xfId="3" applyNumberFormat="1" applyFont="1" applyFill="1" applyBorder="1" applyAlignment="1">
      <alignment horizontal="right" vertical="center" shrinkToFit="1"/>
    </xf>
    <xf numFmtId="185" fontId="15" fillId="3" borderId="106" xfId="3" applyNumberFormat="1" applyFont="1" applyFill="1" applyBorder="1" applyAlignment="1">
      <alignment horizontal="right" vertical="center"/>
    </xf>
    <xf numFmtId="185" fontId="15" fillId="3" borderId="119" xfId="3" applyNumberFormat="1" applyFont="1" applyFill="1" applyBorder="1" applyAlignment="1">
      <alignment horizontal="right" vertical="center"/>
    </xf>
    <xf numFmtId="49" fontId="15" fillId="3" borderId="109" xfId="3" applyNumberFormat="1" applyFont="1" applyFill="1" applyBorder="1" applyAlignment="1">
      <alignment horizontal="center" vertical="center"/>
    </xf>
    <xf numFmtId="183" fontId="15" fillId="3" borderId="109" xfId="5" applyNumberFormat="1" applyFont="1" applyFill="1" applyBorder="1" applyAlignment="1">
      <alignment vertical="center" shrinkToFit="1"/>
    </xf>
    <xf numFmtId="184" fontId="15" fillId="3" borderId="109" xfId="3" applyNumberFormat="1" applyFont="1" applyFill="1" applyBorder="1" applyAlignment="1">
      <alignment horizontal="right" vertical="center" shrinkToFit="1"/>
    </xf>
    <xf numFmtId="182" fontId="15" fillId="3" borderId="109" xfId="3" applyNumberFormat="1" applyFont="1" applyFill="1" applyBorder="1" applyAlignment="1">
      <alignment horizontal="right" vertical="center" shrinkToFit="1"/>
    </xf>
    <xf numFmtId="185" fontId="15" fillId="3" borderId="109" xfId="3" applyNumberFormat="1" applyFont="1" applyFill="1" applyBorder="1" applyAlignment="1">
      <alignment horizontal="right" vertical="center"/>
    </xf>
    <xf numFmtId="49" fontId="15" fillId="3" borderId="103" xfId="3" applyNumberFormat="1" applyFont="1" applyFill="1" applyBorder="1" applyAlignment="1">
      <alignment horizontal="center" vertical="center"/>
    </xf>
    <xf numFmtId="49" fontId="24" fillId="3" borderId="24" xfId="3" applyNumberFormat="1" applyFont="1" applyFill="1" applyBorder="1" applyAlignment="1">
      <alignment horizontal="center" vertical="center"/>
    </xf>
    <xf numFmtId="0" fontId="17" fillId="6" borderId="26" xfId="3" applyFont="1" applyFill="1" applyBorder="1" applyAlignment="1">
      <alignment horizontal="center" vertical="center"/>
    </xf>
    <xf numFmtId="0" fontId="17" fillId="6" borderId="27" xfId="3" applyFont="1" applyFill="1" applyBorder="1" applyAlignment="1">
      <alignment horizontal="center" vertical="center"/>
    </xf>
    <xf numFmtId="180" fontId="3" fillId="12" borderId="28" xfId="9" applyNumberFormat="1" applyFont="1" applyFill="1" applyBorder="1" applyAlignment="1">
      <alignment horizontal="center" vertical="center"/>
    </xf>
    <xf numFmtId="180" fontId="3" fillId="12" borderId="27" xfId="9" applyNumberFormat="1" applyFont="1" applyFill="1" applyBorder="1" applyAlignment="1">
      <alignment horizontal="center" vertical="center"/>
    </xf>
    <xf numFmtId="180" fontId="3" fillId="12" borderId="40" xfId="9" applyNumberFormat="1" applyFont="1" applyFill="1" applyBorder="1" applyAlignment="1">
      <alignment horizontal="center" vertical="center"/>
    </xf>
    <xf numFmtId="0" fontId="3" fillId="12" borderId="130" xfId="9" applyFont="1" applyFill="1" applyBorder="1" applyAlignment="1">
      <alignment horizontal="center" vertical="center" shrinkToFit="1"/>
    </xf>
    <xf numFmtId="0" fontId="3" fillId="12" borderId="12" xfId="9" applyFont="1" applyFill="1" applyBorder="1" applyAlignment="1">
      <alignment horizontal="center" vertical="center" shrinkToFit="1"/>
    </xf>
    <xf numFmtId="0" fontId="12" fillId="3" borderId="0" xfId="3" applyFont="1" applyFill="1" applyAlignment="1">
      <alignment horizontal="center"/>
    </xf>
    <xf numFmtId="0" fontId="3" fillId="6" borderId="40" xfId="3" applyFont="1" applyFill="1" applyBorder="1"/>
    <xf numFmtId="0" fontId="17" fillId="6" borderId="111" xfId="3" applyFont="1" applyFill="1" applyBorder="1" applyAlignment="1">
      <alignment horizontal="center" vertical="center"/>
    </xf>
    <xf numFmtId="0" fontId="3" fillId="6" borderId="40" xfId="3" applyFont="1" applyFill="1" applyBorder="1" applyAlignment="1">
      <alignment horizontal="center" vertical="center"/>
    </xf>
    <xf numFmtId="0" fontId="16" fillId="3" borderId="24" xfId="3" applyFont="1" applyFill="1" applyBorder="1" applyAlignment="1">
      <alignment horizontal="center" vertical="center"/>
    </xf>
    <xf numFmtId="0" fontId="17" fillId="6" borderId="39" xfId="3" applyFont="1" applyFill="1" applyBorder="1" applyAlignment="1">
      <alignment horizontal="center" vertical="center"/>
    </xf>
    <xf numFmtId="0" fontId="14" fillId="0" borderId="99" xfId="3" applyBorder="1"/>
    <xf numFmtId="0" fontId="17" fillId="6" borderId="117" xfId="3" applyFont="1" applyFill="1" applyBorder="1" applyAlignment="1">
      <alignment horizontal="center" vertical="center"/>
    </xf>
    <xf numFmtId="0" fontId="17" fillId="6" borderId="119" xfId="3" applyFont="1" applyFill="1" applyBorder="1" applyAlignment="1">
      <alignment horizontal="center" vertical="center"/>
    </xf>
    <xf numFmtId="0" fontId="17" fillId="6" borderId="118" xfId="3" applyFont="1" applyFill="1" applyBorder="1" applyAlignment="1">
      <alignment horizontal="center" vertical="center"/>
    </xf>
    <xf numFmtId="0" fontId="17" fillId="6" borderId="32" xfId="3" applyFont="1" applyFill="1" applyBorder="1" applyAlignment="1">
      <alignment horizontal="center" vertical="center"/>
    </xf>
    <xf numFmtId="0" fontId="17" fillId="6" borderId="2" xfId="3" applyFont="1" applyFill="1" applyBorder="1" applyAlignment="1">
      <alignment horizontal="center" vertical="center"/>
    </xf>
    <xf numFmtId="0" fontId="17" fillId="6" borderId="5" xfId="3" applyFont="1" applyFill="1" applyBorder="1" applyAlignment="1">
      <alignment horizontal="center" vertical="center"/>
    </xf>
    <xf numFmtId="0" fontId="17" fillId="9" borderId="28" xfId="7" applyFont="1" applyFill="1" applyBorder="1" applyAlignment="1">
      <alignment horizontal="center" vertical="center"/>
    </xf>
    <xf numFmtId="0" fontId="3" fillId="0" borderId="27" xfId="3" applyFont="1" applyBorder="1" applyAlignment="1">
      <alignment horizontal="center" vertical="center"/>
    </xf>
    <xf numFmtId="0" fontId="3" fillId="0" borderId="29" xfId="3" applyFont="1" applyBorder="1" applyAlignment="1">
      <alignment horizontal="center" vertical="center"/>
    </xf>
    <xf numFmtId="182" fontId="15" fillId="3" borderId="106" xfId="5" applyNumberFormat="1" applyFont="1" applyFill="1" applyBorder="1" applyAlignment="1">
      <alignment horizontal="right" vertical="center" shrinkToFit="1"/>
    </xf>
    <xf numFmtId="182" fontId="3" fillId="0" borderId="109" xfId="3" applyNumberFormat="1" applyFont="1" applyBorder="1" applyAlignment="1">
      <alignment horizontal="right" vertical="center" shrinkToFit="1"/>
    </xf>
    <xf numFmtId="49" fontId="15" fillId="3" borderId="104" xfId="3" quotePrefix="1" applyNumberFormat="1" applyFont="1" applyFill="1" applyBorder="1" applyAlignment="1">
      <alignment horizontal="left" vertical="center" wrapText="1"/>
    </xf>
    <xf numFmtId="49" fontId="3" fillId="0" borderId="99" xfId="3" applyNumberFormat="1" applyFont="1" applyBorder="1" applyAlignment="1">
      <alignment horizontal="left" vertical="center" wrapText="1"/>
    </xf>
    <xf numFmtId="49" fontId="15" fillId="3" borderId="106" xfId="3" applyNumberFormat="1" applyFont="1" applyFill="1" applyBorder="1" applyAlignment="1">
      <alignment horizontal="left" vertical="center" wrapText="1"/>
    </xf>
    <xf numFmtId="49" fontId="3" fillId="0" borderId="119" xfId="3" applyNumberFormat="1" applyFont="1" applyBorder="1" applyAlignment="1">
      <alignment horizontal="left" vertical="center" wrapText="1"/>
    </xf>
    <xf numFmtId="49" fontId="15" fillId="3" borderId="106" xfId="3" quotePrefix="1" applyNumberFormat="1" applyFont="1" applyFill="1" applyBorder="1" applyAlignment="1">
      <alignment horizontal="center" vertical="center" shrinkToFit="1"/>
    </xf>
    <xf numFmtId="49" fontId="3" fillId="0" borderId="119" xfId="3" applyNumberFormat="1" applyFont="1" applyBorder="1" applyAlignment="1">
      <alignment horizontal="center" vertical="center" shrinkToFit="1"/>
    </xf>
    <xf numFmtId="183" fontId="15" fillId="3" borderId="106" xfId="3" applyNumberFormat="1" applyFont="1" applyFill="1" applyBorder="1" applyAlignment="1">
      <alignment horizontal="right" vertical="center" shrinkToFit="1"/>
    </xf>
    <xf numFmtId="183" fontId="3" fillId="0" borderId="119" xfId="3" applyNumberFormat="1" applyFont="1" applyBorder="1" applyAlignment="1">
      <alignment horizontal="right" vertical="center" shrinkToFit="1"/>
    </xf>
    <xf numFmtId="184" fontId="3" fillId="0" borderId="119" xfId="3" applyNumberFormat="1" applyFont="1" applyBorder="1" applyAlignment="1">
      <alignment horizontal="right" vertical="center" shrinkToFit="1"/>
    </xf>
    <xf numFmtId="182" fontId="3" fillId="0" borderId="119" xfId="3" applyNumberFormat="1" applyFont="1" applyBorder="1" applyAlignment="1">
      <alignment horizontal="right" vertical="center" shrinkToFit="1"/>
    </xf>
    <xf numFmtId="49" fontId="3" fillId="0" borderId="128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left" vertical="center" wrapText="1"/>
    </xf>
    <xf numFmtId="49" fontId="3" fillId="0" borderId="109" xfId="3" applyNumberFormat="1" applyFont="1" applyBorder="1" applyAlignment="1">
      <alignment horizontal="center" vertical="center" shrinkToFit="1"/>
    </xf>
    <xf numFmtId="183" fontId="3" fillId="0" borderId="109" xfId="3" applyNumberFormat="1" applyFont="1" applyBorder="1" applyAlignment="1">
      <alignment horizontal="right" vertical="center" shrinkToFit="1"/>
    </xf>
    <xf numFmtId="184" fontId="3" fillId="0" borderId="109" xfId="3" applyNumberFormat="1" applyFont="1" applyBorder="1" applyAlignment="1">
      <alignment horizontal="right" vertical="center" shrinkToFit="1"/>
    </xf>
    <xf numFmtId="0" fontId="17" fillId="10" borderId="26" xfId="3" applyFont="1" applyFill="1" applyBorder="1" applyAlignment="1">
      <alignment horizontal="center" vertical="center"/>
    </xf>
    <xf numFmtId="0" fontId="17" fillId="10" borderId="27" xfId="3" applyFont="1" applyFill="1" applyBorder="1" applyAlignment="1">
      <alignment horizontal="center" vertical="center"/>
    </xf>
    <xf numFmtId="49" fontId="15" fillId="3" borderId="106" xfId="3" applyNumberFormat="1" applyFont="1" applyFill="1" applyBorder="1" applyAlignment="1">
      <alignment horizontal="center" vertical="center" shrinkToFit="1"/>
    </xf>
    <xf numFmtId="49" fontId="15" fillId="3" borderId="119" xfId="3" applyNumberFormat="1" applyFont="1" applyFill="1" applyBorder="1" applyAlignment="1">
      <alignment horizontal="center" vertical="center" shrinkToFit="1"/>
    </xf>
    <xf numFmtId="183" fontId="15" fillId="0" borderId="106" xfId="5" applyNumberFormat="1" applyFont="1" applyFill="1" applyBorder="1" applyAlignment="1">
      <alignment horizontal="right" vertical="center" shrinkToFit="1"/>
    </xf>
    <xf numFmtId="183" fontId="15" fillId="0" borderId="119" xfId="5" applyNumberFormat="1" applyFont="1" applyFill="1" applyBorder="1" applyAlignment="1">
      <alignment horizontal="right" vertical="center" shrinkToFit="1"/>
    </xf>
    <xf numFmtId="184" fontId="15" fillId="0" borderId="106" xfId="3" applyNumberFormat="1" applyFont="1" applyBorder="1" applyAlignment="1">
      <alignment horizontal="right" vertical="center" shrinkToFit="1"/>
    </xf>
    <xf numFmtId="184" fontId="15" fillId="0" borderId="119" xfId="3" applyNumberFormat="1" applyFont="1" applyBorder="1" applyAlignment="1">
      <alignment horizontal="right" vertical="center" shrinkToFit="1"/>
    </xf>
    <xf numFmtId="182" fontId="15" fillId="0" borderId="106" xfId="3" applyNumberFormat="1" applyFont="1" applyBorder="1" applyAlignment="1">
      <alignment horizontal="right" vertical="center" shrinkToFit="1"/>
    </xf>
    <xf numFmtId="182" fontId="15" fillId="0" borderId="119" xfId="3" applyNumberFormat="1" applyFont="1" applyBorder="1" applyAlignment="1">
      <alignment horizontal="right" vertical="center" shrinkToFit="1"/>
    </xf>
    <xf numFmtId="183" fontId="15" fillId="0" borderId="106" xfId="3" applyNumberFormat="1" applyFont="1" applyBorder="1" applyAlignment="1">
      <alignment horizontal="right" vertical="center" shrinkToFit="1"/>
    </xf>
    <xf numFmtId="183" fontId="15" fillId="0" borderId="119" xfId="3" applyNumberFormat="1" applyFont="1" applyBorder="1" applyAlignment="1">
      <alignment horizontal="right" vertical="center" shrinkToFit="1"/>
    </xf>
    <xf numFmtId="49" fontId="15" fillId="3" borderId="103" xfId="3" applyNumberFormat="1" applyFont="1" applyFill="1" applyBorder="1" applyAlignment="1">
      <alignment horizontal="center" vertical="center" shrinkToFit="1"/>
    </xf>
    <xf numFmtId="49" fontId="15" fillId="3" borderId="109" xfId="3" applyNumberFormat="1" applyFont="1" applyFill="1" applyBorder="1" applyAlignment="1">
      <alignment horizontal="center" vertical="center" shrinkToFit="1"/>
    </xf>
    <xf numFmtId="183" fontId="15" fillId="0" borderId="103" xfId="3" applyNumberFormat="1" applyFont="1" applyBorder="1" applyAlignment="1">
      <alignment horizontal="right" vertical="center" shrinkToFit="1"/>
    </xf>
    <xf numFmtId="183" fontId="15" fillId="0" borderId="109" xfId="3" applyNumberFormat="1" applyFont="1" applyBorder="1" applyAlignment="1">
      <alignment horizontal="right" vertical="center" shrinkToFit="1"/>
    </xf>
    <xf numFmtId="184" fontId="15" fillId="0" borderId="103" xfId="3" applyNumberFormat="1" applyFont="1" applyBorder="1" applyAlignment="1">
      <alignment horizontal="right" vertical="center" shrinkToFit="1"/>
    </xf>
    <xf numFmtId="184" fontId="15" fillId="0" borderId="109" xfId="3" applyNumberFormat="1" applyFont="1" applyBorder="1" applyAlignment="1">
      <alignment horizontal="right" vertical="center" shrinkToFit="1"/>
    </xf>
    <xf numFmtId="182" fontId="15" fillId="0" borderId="103" xfId="3" applyNumberFormat="1" applyFont="1" applyBorder="1" applyAlignment="1">
      <alignment horizontal="right" vertical="center" shrinkToFit="1"/>
    </xf>
    <xf numFmtId="182" fontId="15" fillId="0" borderId="109" xfId="3" applyNumberFormat="1" applyFont="1" applyBorder="1" applyAlignment="1">
      <alignment horizontal="right" vertical="center" shrinkToFit="1"/>
    </xf>
  </cellXfs>
  <cellStyles count="12">
    <cellStyle name="パーセント 2" xfId="6" xr:uid="{00000000-0005-0000-0000-000000000000}"/>
    <cellStyle name="桁区切り 2" xfId="5" xr:uid="{00000000-0005-0000-0000-000001000000}"/>
    <cellStyle name="通貨 2" xfId="4" xr:uid="{00000000-0005-0000-0000-000002000000}"/>
    <cellStyle name="標準" xfId="0" builtinId="0"/>
    <cellStyle name="標準 2" xfId="3" xr:uid="{00000000-0005-0000-0000-000004000000}"/>
    <cellStyle name="標準 4" xfId="11" xr:uid="{00000000-0005-0000-0000-000005000000}"/>
    <cellStyle name="標準 5" xfId="1" xr:uid="{00000000-0005-0000-0000-000006000000}"/>
    <cellStyle name="標準 5 2" xfId="10" xr:uid="{00000000-0005-0000-0000-000007000000}"/>
    <cellStyle name="標準_実行予算書様式提案_要素変更済2" xfId="8" xr:uid="{00000000-0005-0000-0000-000008000000}"/>
    <cellStyle name="標準_神田上水JV予算書_1(051202)" xfId="2" xr:uid="{00000000-0005-0000-0000-000009000000}"/>
    <cellStyle name="標準_人形町EV CMS" xfId="9" xr:uid="{00000000-0005-0000-0000-00000A000000}"/>
    <cellStyle name="標準_直接工事内訳書" xfId="7" xr:uid="{00000000-0005-0000-0000-00000B000000}"/>
  </cellStyles>
  <dxfs count="30"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FFCCCC"/>
        </patternFill>
      </fill>
    </dxf>
    <dxf>
      <fill>
        <patternFill>
          <bgColor theme="7"/>
        </patternFill>
      </fill>
    </dxf>
    <dxf>
      <fill>
        <patternFill>
          <bgColor rgb="FF66CCFF"/>
        </patternFill>
      </fill>
    </dxf>
  </dxfs>
  <tableStyles count="0" defaultTableStyle="TableStyleMedium2" defaultPivotStyle="PivotStyleLight16"/>
  <colors>
    <mruColors>
      <color rgb="FFFFCCCC"/>
      <color rgb="FFFFCC66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23</xdr:row>
          <xdr:rowOff>123825</xdr:rowOff>
        </xdr:from>
        <xdr:to>
          <xdr:col>1</xdr:col>
          <xdr:colOff>1152525</xdr:colOff>
          <xdr:row>25</xdr:row>
          <xdr:rowOff>9525</xdr:rowOff>
        </xdr:to>
        <xdr:sp macro="" textlink="">
          <xdr:nvSpPr>
            <xdr:cNvPr id="48129" name="btn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1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25</xdr:row>
          <xdr:rowOff>47625</xdr:rowOff>
        </xdr:from>
        <xdr:to>
          <xdr:col>1</xdr:col>
          <xdr:colOff>1152525</xdr:colOff>
          <xdr:row>26</xdr:row>
          <xdr:rowOff>95250</xdr:rowOff>
        </xdr:to>
        <xdr:sp macro="" textlink="">
          <xdr:nvSpPr>
            <xdr:cNvPr id="48130" name="btn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01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26</xdr:row>
          <xdr:rowOff>142875</xdr:rowOff>
        </xdr:from>
        <xdr:to>
          <xdr:col>1</xdr:col>
          <xdr:colOff>1152525</xdr:colOff>
          <xdr:row>27</xdr:row>
          <xdr:rowOff>180975</xdr:rowOff>
        </xdr:to>
        <xdr:sp macro="" textlink="">
          <xdr:nvSpPr>
            <xdr:cNvPr id="48131" name="btn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01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P32"/>
  <sheetViews>
    <sheetView tabSelected="1" zoomScaleNormal="100" workbookViewId="0"/>
  </sheetViews>
  <sheetFormatPr defaultColWidth="8.125" defaultRowHeight="13.5"/>
  <cols>
    <col min="1" max="4" width="3.125" style="1" customWidth="1"/>
    <col min="5" max="8" width="4" style="1" customWidth="1"/>
    <col min="9" max="38" width="3.125" style="1" customWidth="1"/>
    <col min="39" max="39" width="1.625" style="1" customWidth="1"/>
    <col min="40" max="40" width="4.125" style="1" customWidth="1"/>
    <col min="41" max="42" width="3.125" style="1" customWidth="1"/>
    <col min="43" max="48" width="6" style="1" customWidth="1"/>
    <col min="49" max="16384" width="8.125" style="1"/>
  </cols>
  <sheetData>
    <row r="1" spans="1:42" ht="18.75">
      <c r="A1" s="2"/>
      <c r="B1" s="232"/>
      <c r="C1" s="232"/>
      <c r="D1" s="232"/>
      <c r="E1" s="232"/>
      <c r="F1" s="232"/>
      <c r="G1" s="232"/>
      <c r="H1" s="232"/>
      <c r="I1" s="232"/>
      <c r="J1" s="232"/>
      <c r="K1" s="232"/>
      <c r="L1" s="232"/>
      <c r="M1" s="232"/>
      <c r="N1" s="232"/>
      <c r="O1" s="232"/>
      <c r="P1" s="232"/>
      <c r="Q1" s="232"/>
      <c r="R1" s="232"/>
      <c r="S1" s="232"/>
      <c r="T1" s="232"/>
      <c r="U1" s="232"/>
      <c r="V1" s="232"/>
      <c r="W1" s="232"/>
      <c r="X1" s="232"/>
      <c r="Y1" s="232"/>
      <c r="Z1" s="232"/>
      <c r="AA1" s="232"/>
      <c r="AB1" s="232"/>
      <c r="AC1" s="433" t="s">
        <v>0</v>
      </c>
      <c r="AD1" s="434"/>
      <c r="AE1" s="434"/>
      <c r="AF1" s="434"/>
      <c r="AG1" s="435"/>
      <c r="AH1" s="436"/>
      <c r="AI1" s="436"/>
      <c r="AJ1" s="436"/>
      <c r="AK1" s="436"/>
      <c r="AL1" s="436"/>
      <c r="AM1" s="3"/>
      <c r="AP1" s="4"/>
    </row>
    <row r="2" spans="1:42" ht="22.5" customHeight="1" thickBot="1">
      <c r="A2" s="5"/>
      <c r="B2" s="257"/>
      <c r="L2" s="257"/>
      <c r="M2" s="437" t="s">
        <v>1</v>
      </c>
      <c r="N2" s="438"/>
      <c r="O2" s="438"/>
      <c r="P2" s="438"/>
      <c r="Q2" s="438"/>
      <c r="R2" s="438"/>
      <c r="S2" s="438"/>
      <c r="T2" s="438"/>
      <c r="U2" s="438"/>
      <c r="V2" s="438"/>
      <c r="W2" s="438"/>
      <c r="X2" s="438"/>
      <c r="Y2" s="438"/>
      <c r="Z2" s="438"/>
      <c r="AA2" s="438"/>
      <c r="AB2" s="438"/>
      <c r="AC2" s="257"/>
      <c r="AD2" s="257"/>
      <c r="AE2" s="257"/>
      <c r="AF2" s="257"/>
      <c r="AG2" s="257"/>
      <c r="AH2" s="257"/>
      <c r="AI2" s="257"/>
      <c r="AJ2" s="257"/>
      <c r="AK2" s="257"/>
      <c r="AL2" s="257"/>
      <c r="AM2" s="6"/>
      <c r="AP2" s="4"/>
    </row>
    <row r="3" spans="1:42" ht="18" thickBot="1">
      <c r="A3" s="5"/>
      <c r="B3" s="257"/>
      <c r="C3" s="439" t="s">
        <v>2</v>
      </c>
      <c r="D3" s="440"/>
      <c r="E3" s="440"/>
      <c r="F3" s="440"/>
      <c r="G3" s="441" t="s">
        <v>145</v>
      </c>
      <c r="H3" s="442"/>
      <c r="I3" s="442"/>
      <c r="J3" s="442"/>
      <c r="K3" s="443"/>
      <c r="L3" s="257"/>
      <c r="M3" s="257"/>
      <c r="N3" s="257"/>
      <c r="O3" s="444" t="s">
        <v>146</v>
      </c>
      <c r="P3" s="444"/>
      <c r="Q3" s="444"/>
      <c r="R3" s="444"/>
      <c r="S3" s="444"/>
      <c r="T3" s="444"/>
      <c r="U3" s="444"/>
      <c r="V3" s="444"/>
      <c r="W3" s="444"/>
      <c r="X3" s="444"/>
      <c r="Y3" s="444"/>
      <c r="Z3" s="444"/>
      <c r="AA3" s="257"/>
      <c r="AB3" s="257"/>
      <c r="AC3" s="257"/>
      <c r="AD3" s="172" t="s">
        <v>3</v>
      </c>
      <c r="AE3" s="233"/>
      <c r="AF3" s="233"/>
      <c r="AG3" s="233"/>
      <c r="AH3" s="242" t="s">
        <v>147</v>
      </c>
      <c r="AI3" s="233"/>
      <c r="AJ3" s="233"/>
      <c r="AK3" s="233"/>
      <c r="AL3" s="233"/>
      <c r="AM3" s="6"/>
    </row>
    <row r="4" spans="1:42" ht="17.25">
      <c r="A4" s="5"/>
      <c r="B4" s="257"/>
      <c r="C4" s="257"/>
      <c r="D4" s="257"/>
      <c r="E4" s="257"/>
      <c r="F4" s="257"/>
      <c r="G4" s="258"/>
      <c r="H4" s="258"/>
      <c r="I4" s="258"/>
      <c r="J4" s="258"/>
      <c r="K4" s="258"/>
      <c r="L4" s="257"/>
      <c r="M4" s="257"/>
      <c r="N4" s="257"/>
      <c r="O4" s="259"/>
      <c r="P4" s="259"/>
      <c r="Q4" s="259"/>
      <c r="R4" s="259"/>
      <c r="S4" s="259"/>
      <c r="T4" s="259"/>
      <c r="U4" s="259"/>
      <c r="V4" s="259"/>
      <c r="W4" s="259"/>
      <c r="X4" s="259"/>
      <c r="Y4" s="259"/>
      <c r="Z4" s="259"/>
      <c r="AA4" s="257"/>
      <c r="AB4" s="257"/>
      <c r="AC4" s="257"/>
      <c r="AD4" s="7" t="s">
        <v>4</v>
      </c>
      <c r="AE4" s="231"/>
      <c r="AF4" s="231"/>
      <c r="AG4" s="231"/>
      <c r="AH4" s="7"/>
      <c r="AI4" s="231"/>
      <c r="AJ4" s="231"/>
      <c r="AK4" s="231"/>
      <c r="AL4" s="231"/>
      <c r="AM4" s="6"/>
    </row>
    <row r="5" spans="1:42" ht="8.25" customHeight="1">
      <c r="A5" s="5"/>
      <c r="B5" s="257"/>
      <c r="C5" s="257"/>
      <c r="D5" s="257"/>
      <c r="E5" s="257"/>
      <c r="F5" s="257"/>
      <c r="G5" s="258"/>
      <c r="H5" s="258"/>
      <c r="I5" s="258"/>
      <c r="J5" s="258"/>
      <c r="K5" s="258"/>
      <c r="L5" s="257"/>
      <c r="M5" s="257"/>
      <c r="N5" s="257"/>
      <c r="O5" s="259"/>
      <c r="P5" s="259"/>
      <c r="Q5" s="259"/>
      <c r="R5" s="259"/>
      <c r="S5" s="259"/>
      <c r="T5" s="259"/>
      <c r="U5" s="259"/>
      <c r="V5" s="259"/>
      <c r="W5" s="259"/>
      <c r="X5" s="259"/>
      <c r="Y5" s="259"/>
      <c r="Z5" s="259"/>
      <c r="AA5" s="257"/>
      <c r="AB5" s="257"/>
      <c r="AC5" s="257"/>
      <c r="AD5" s="257"/>
      <c r="AE5" s="257"/>
      <c r="AF5" s="257"/>
      <c r="AG5" s="257"/>
      <c r="AH5" s="257"/>
      <c r="AI5" s="257"/>
      <c r="AJ5" s="257"/>
      <c r="AK5" s="257"/>
      <c r="AL5" s="257"/>
      <c r="AM5" s="6"/>
    </row>
    <row r="6" spans="1:42" ht="18.75">
      <c r="A6" s="5"/>
      <c r="B6" s="257"/>
      <c r="C6" s="257"/>
      <c r="D6" s="257"/>
      <c r="E6" s="257"/>
      <c r="F6" s="257"/>
      <c r="G6" s="427" t="s">
        <v>5</v>
      </c>
      <c r="H6" s="428"/>
      <c r="I6" s="428"/>
      <c r="J6" s="428"/>
      <c r="K6" s="428"/>
      <c r="L6" s="428"/>
      <c r="M6" s="428"/>
      <c r="N6" s="428"/>
      <c r="O6" s="428"/>
      <c r="P6" s="428"/>
      <c r="Q6" s="429" t="s">
        <v>6</v>
      </c>
      <c r="R6" s="430"/>
      <c r="S6" s="430"/>
      <c r="T6" s="430"/>
      <c r="U6" s="430"/>
      <c r="V6" s="430"/>
      <c r="W6" s="430"/>
      <c r="X6" s="430"/>
      <c r="Y6" s="430"/>
      <c r="Z6" s="430"/>
      <c r="AA6" s="429" t="s">
        <v>7</v>
      </c>
      <c r="AB6" s="428"/>
      <c r="AC6" s="428"/>
      <c r="AD6" s="428"/>
      <c r="AE6" s="428"/>
      <c r="AF6" s="428"/>
      <c r="AG6" s="428"/>
      <c r="AH6" s="428"/>
      <c r="AI6" s="428"/>
      <c r="AJ6" s="428"/>
      <c r="AK6" s="428"/>
      <c r="AL6" s="257"/>
      <c r="AM6" s="6"/>
    </row>
    <row r="7" spans="1:42">
      <c r="A7" s="5"/>
      <c r="B7" s="257"/>
      <c r="C7" s="257"/>
      <c r="D7" s="257"/>
      <c r="E7" s="257"/>
      <c r="F7" s="257"/>
      <c r="G7" s="427" t="s">
        <v>8</v>
      </c>
      <c r="H7" s="431"/>
      <c r="I7" s="431"/>
      <c r="J7" s="427" t="s">
        <v>9</v>
      </c>
      <c r="K7" s="431"/>
      <c r="L7" s="431"/>
      <c r="M7" s="431"/>
      <c r="N7" s="431"/>
      <c r="O7" s="431"/>
      <c r="P7" s="431"/>
      <c r="Q7" s="432" t="s">
        <v>10</v>
      </c>
      <c r="R7" s="432"/>
      <c r="S7" s="432"/>
      <c r="T7" s="429" t="s">
        <v>11</v>
      </c>
      <c r="U7" s="431"/>
      <c r="V7" s="431"/>
      <c r="W7" s="431"/>
      <c r="X7" s="431"/>
      <c r="Y7" s="431"/>
      <c r="Z7" s="431"/>
      <c r="AA7" s="429" t="s">
        <v>12</v>
      </c>
      <c r="AB7" s="431"/>
      <c r="AC7" s="431"/>
      <c r="AD7" s="429" t="s">
        <v>13</v>
      </c>
      <c r="AE7" s="431"/>
      <c r="AF7" s="431"/>
      <c r="AG7" s="431"/>
      <c r="AH7" s="431"/>
      <c r="AI7" s="429" t="s">
        <v>14</v>
      </c>
      <c r="AJ7" s="431"/>
      <c r="AK7" s="431"/>
      <c r="AL7" s="358"/>
      <c r="AM7" s="6"/>
    </row>
    <row r="8" spans="1:42" ht="29.25" customHeight="1">
      <c r="A8" s="5"/>
      <c r="B8" s="257"/>
      <c r="C8" s="257"/>
      <c r="D8" s="257"/>
      <c r="E8" s="257"/>
      <c r="F8" s="257"/>
      <c r="G8" s="8"/>
      <c r="H8" s="9"/>
      <c r="I8" s="10"/>
      <c r="J8" s="8"/>
      <c r="K8" s="9"/>
      <c r="L8" s="231"/>
      <c r="M8" s="231"/>
      <c r="N8" s="231"/>
      <c r="O8" s="11"/>
      <c r="P8" s="12"/>
      <c r="Q8" s="13"/>
      <c r="R8" s="11"/>
      <c r="S8" s="12"/>
      <c r="T8" s="13"/>
      <c r="U8" s="11"/>
      <c r="V8" s="11"/>
      <c r="W8" s="11"/>
      <c r="X8" s="11"/>
      <c r="Y8" s="11"/>
      <c r="Z8" s="12"/>
      <c r="AA8" s="170"/>
      <c r="AB8" s="231"/>
      <c r="AC8" s="171"/>
      <c r="AD8" s="170"/>
      <c r="AE8" s="231"/>
      <c r="AF8" s="231"/>
      <c r="AG8" s="231"/>
      <c r="AH8" s="171"/>
      <c r="AI8" s="170"/>
      <c r="AJ8" s="231"/>
      <c r="AK8" s="171"/>
      <c r="AL8" s="257"/>
      <c r="AM8" s="6"/>
    </row>
    <row r="9" spans="1:42" ht="8.4499999999999993" customHeight="1">
      <c r="A9" s="5"/>
      <c r="B9" s="257"/>
      <c r="L9" s="260"/>
      <c r="M9" s="260"/>
      <c r="N9" s="260"/>
      <c r="O9" s="260"/>
      <c r="P9" s="260"/>
      <c r="Q9" s="260"/>
      <c r="R9" s="260"/>
      <c r="S9" s="260"/>
      <c r="T9" s="260"/>
      <c r="U9" s="260"/>
      <c r="V9" s="260"/>
      <c r="W9" s="260"/>
      <c r="X9" s="260"/>
      <c r="Y9" s="260"/>
      <c r="Z9" s="260"/>
      <c r="AA9" s="257"/>
      <c r="AB9" s="257"/>
      <c r="AC9" s="257"/>
      <c r="AD9" s="257"/>
      <c r="AE9" s="257"/>
      <c r="AF9" s="257"/>
      <c r="AG9" s="257"/>
      <c r="AH9" s="257"/>
      <c r="AI9" s="257"/>
      <c r="AJ9" s="257"/>
      <c r="AK9" s="257"/>
      <c r="AL9" s="257"/>
      <c r="AM9" s="6"/>
    </row>
    <row r="10" spans="1:42" ht="14.25">
      <c r="A10" s="5"/>
      <c r="B10" s="257"/>
      <c r="C10" s="257"/>
      <c r="D10" s="257"/>
      <c r="E10" s="417" t="s">
        <v>135</v>
      </c>
      <c r="F10" s="417"/>
      <c r="G10" s="417"/>
      <c r="H10" s="417"/>
      <c r="I10" s="421" t="s">
        <v>148</v>
      </c>
      <c r="J10" s="421"/>
      <c r="K10" s="421"/>
      <c r="L10" s="421"/>
      <c r="M10" s="421"/>
      <c r="N10" s="421"/>
      <c r="O10" s="421"/>
      <c r="P10" s="421"/>
      <c r="Q10" s="421"/>
      <c r="R10" s="421"/>
      <c r="S10" s="421"/>
      <c r="T10" s="421"/>
      <c r="U10" s="421"/>
      <c r="V10" s="421"/>
      <c r="W10" s="421"/>
      <c r="X10" s="421"/>
      <c r="Y10" s="421"/>
      <c r="Z10" s="421"/>
      <c r="AA10" s="421"/>
      <c r="AB10" s="421"/>
      <c r="AC10" s="421"/>
      <c r="AD10" s="257"/>
      <c r="AE10" s="257"/>
      <c r="AF10" s="257"/>
      <c r="AG10" s="257"/>
      <c r="AH10" s="257"/>
      <c r="AI10" s="257"/>
      <c r="AJ10" s="257"/>
      <c r="AK10" s="257"/>
      <c r="AL10" s="257"/>
      <c r="AM10" s="6"/>
    </row>
    <row r="11" spans="1:42" ht="6.6" customHeight="1">
      <c r="A11" s="5"/>
      <c r="B11" s="257"/>
      <c r="C11" s="257"/>
      <c r="D11" s="257"/>
      <c r="E11" s="257"/>
      <c r="F11" s="257"/>
      <c r="G11" s="257"/>
      <c r="H11" s="257"/>
      <c r="I11" s="257"/>
      <c r="J11" s="257"/>
      <c r="K11" s="257"/>
      <c r="L11" s="257"/>
      <c r="M11" s="257"/>
      <c r="N11" s="257"/>
      <c r="O11" s="261"/>
      <c r="P11" s="257"/>
      <c r="Q11" s="257"/>
      <c r="R11" s="257"/>
      <c r="S11" s="257"/>
      <c r="T11" s="257"/>
      <c r="U11" s="257"/>
      <c r="V11" s="257"/>
      <c r="W11" s="257"/>
      <c r="X11" s="257"/>
      <c r="Y11" s="257"/>
      <c r="Z11" s="257"/>
      <c r="AA11" s="257"/>
      <c r="AB11" s="257"/>
      <c r="AC11" s="257"/>
      <c r="AD11" s="257"/>
      <c r="AE11" s="257"/>
      <c r="AF11" s="257"/>
      <c r="AG11" s="257"/>
      <c r="AH11" s="257"/>
      <c r="AI11" s="257"/>
      <c r="AJ11" s="257"/>
      <c r="AK11" s="257"/>
      <c r="AL11" s="257"/>
      <c r="AM11" s="6"/>
    </row>
    <row r="12" spans="1:42" ht="14.25">
      <c r="A12" s="5"/>
      <c r="B12" s="257"/>
      <c r="C12" s="257"/>
      <c r="D12" s="257"/>
      <c r="E12" s="417" t="s">
        <v>136</v>
      </c>
      <c r="F12" s="417"/>
      <c r="G12" s="417"/>
      <c r="H12" s="417"/>
      <c r="I12" s="422" t="s">
        <v>149</v>
      </c>
      <c r="J12" s="422"/>
      <c r="K12" s="422"/>
      <c r="L12" s="422"/>
      <c r="M12" s="422"/>
      <c r="N12" s="422"/>
      <c r="O12" s="422"/>
      <c r="P12" s="422"/>
      <c r="Q12" s="422"/>
      <c r="R12" s="422"/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257"/>
      <c r="AE12" s="257"/>
      <c r="AF12" s="257"/>
      <c r="AG12" s="257"/>
      <c r="AH12" s="257"/>
      <c r="AI12" s="257"/>
      <c r="AJ12" s="257"/>
      <c r="AK12" s="257"/>
      <c r="AL12" s="257"/>
      <c r="AM12" s="6"/>
    </row>
    <row r="13" spans="1:42" ht="6.6" customHeight="1">
      <c r="A13" s="5"/>
      <c r="B13" s="257"/>
      <c r="C13" s="257"/>
      <c r="D13" s="257"/>
      <c r="E13" s="261"/>
      <c r="F13" s="261"/>
      <c r="G13" s="261"/>
      <c r="H13" s="261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57"/>
      <c r="AC13" s="257"/>
      <c r="AD13" s="257"/>
      <c r="AE13" s="257"/>
      <c r="AF13" s="257"/>
      <c r="AG13" s="257"/>
      <c r="AH13" s="257"/>
      <c r="AI13" s="257"/>
      <c r="AJ13" s="257"/>
      <c r="AK13" s="257"/>
      <c r="AL13" s="257"/>
      <c r="AM13" s="6"/>
    </row>
    <row r="14" spans="1:42" ht="18.75">
      <c r="A14" s="5"/>
      <c r="B14" s="257"/>
      <c r="C14" s="257"/>
      <c r="D14" s="257"/>
      <c r="E14" s="423" t="s">
        <v>137</v>
      </c>
      <c r="F14" s="424"/>
      <c r="G14" s="424"/>
      <c r="H14" s="424"/>
      <c r="I14" s="425">
        <v>147600000</v>
      </c>
      <c r="J14" s="426"/>
      <c r="K14" s="426"/>
      <c r="L14" s="426"/>
      <c r="M14" s="426"/>
      <c r="N14" s="426"/>
      <c r="O14" s="426"/>
      <c r="P14" s="426"/>
      <c r="Q14" s="374"/>
      <c r="R14" s="374"/>
      <c r="S14" s="374"/>
      <c r="U14" s="263"/>
      <c r="V14" s="375"/>
      <c r="W14" s="375"/>
      <c r="X14" s="375"/>
      <c r="Y14" s="257"/>
      <c r="Z14" s="376"/>
      <c r="AA14" s="376"/>
      <c r="AB14" s="376"/>
      <c r="AC14" s="376"/>
      <c r="AD14" s="376"/>
      <c r="AE14" s="376"/>
      <c r="AF14" s="376"/>
      <c r="AG14" s="374"/>
      <c r="AH14" s="374"/>
      <c r="AI14" s="374"/>
      <c r="AJ14" s="257"/>
      <c r="AK14" s="257"/>
      <c r="AL14" s="257"/>
      <c r="AM14" s="6"/>
    </row>
    <row r="15" spans="1:42" ht="6.6" customHeight="1">
      <c r="A15" s="5"/>
      <c r="B15" s="257"/>
      <c r="C15" s="257"/>
      <c r="D15" s="257"/>
      <c r="E15" s="261"/>
      <c r="F15" s="261"/>
      <c r="G15" s="261"/>
      <c r="H15" s="261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57"/>
      <c r="AC15" s="257"/>
      <c r="AD15" s="257"/>
      <c r="AE15" s="257"/>
      <c r="AF15" s="257"/>
      <c r="AG15" s="257"/>
      <c r="AH15" s="257"/>
      <c r="AI15" s="257"/>
      <c r="AJ15" s="257"/>
      <c r="AK15" s="257"/>
      <c r="AL15" s="257"/>
      <c r="AM15" s="6"/>
    </row>
    <row r="16" spans="1:42" ht="18.75">
      <c r="A16" s="5"/>
      <c r="B16" s="257"/>
      <c r="C16" s="257"/>
      <c r="D16" s="257"/>
      <c r="E16" s="417" t="s">
        <v>15</v>
      </c>
      <c r="F16" s="418"/>
      <c r="G16" s="418"/>
      <c r="H16" s="418"/>
      <c r="I16" s="419">
        <v>117600000</v>
      </c>
      <c r="J16" s="420"/>
      <c r="K16" s="420"/>
      <c r="L16" s="420"/>
      <c r="M16" s="420"/>
      <c r="N16" s="420"/>
      <c r="O16" s="420"/>
      <c r="P16" s="420"/>
      <c r="Q16" s="416">
        <v>0.79669999999999996</v>
      </c>
      <c r="R16" s="416"/>
      <c r="S16" s="416"/>
      <c r="U16" s="417" t="s">
        <v>16</v>
      </c>
      <c r="V16" s="418"/>
      <c r="W16" s="418"/>
      <c r="X16" s="418"/>
      <c r="Y16" s="419">
        <v>30000000</v>
      </c>
      <c r="Z16" s="420"/>
      <c r="AA16" s="420"/>
      <c r="AB16" s="420"/>
      <c r="AC16" s="420"/>
      <c r="AD16" s="420"/>
      <c r="AE16" s="420"/>
      <c r="AF16" s="420"/>
      <c r="AG16" s="416">
        <v>0.20330000000000001</v>
      </c>
      <c r="AH16" s="416"/>
      <c r="AI16" s="416"/>
      <c r="AJ16" s="257"/>
      <c r="AK16" s="257"/>
      <c r="AL16" s="257"/>
      <c r="AM16" s="6"/>
    </row>
    <row r="17" spans="1:39" ht="6.6" customHeight="1">
      <c r="A17" s="5"/>
      <c r="B17" s="257"/>
      <c r="C17" s="257"/>
      <c r="D17" s="257"/>
      <c r="E17" s="257"/>
      <c r="F17" s="257"/>
      <c r="G17" s="257"/>
      <c r="H17" s="257"/>
      <c r="I17" s="257"/>
      <c r="J17" s="257"/>
      <c r="K17" s="257"/>
      <c r="L17" s="257"/>
      <c r="N17" s="264"/>
      <c r="O17" s="264"/>
      <c r="P17" s="264"/>
      <c r="Q17" s="264"/>
      <c r="R17" s="264"/>
      <c r="S17" s="264"/>
      <c r="T17" s="264"/>
      <c r="U17" s="264"/>
      <c r="V17" s="264"/>
      <c r="W17" s="264"/>
      <c r="X17" s="264"/>
      <c r="Y17" s="264"/>
      <c r="Z17" s="264"/>
      <c r="AA17" s="263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14"/>
    </row>
    <row r="18" spans="1:39" ht="18.75">
      <c r="A18" s="5"/>
      <c r="B18" s="257"/>
      <c r="C18" s="257"/>
      <c r="D18" s="257"/>
      <c r="E18" s="417" t="s">
        <v>17</v>
      </c>
      <c r="F18" s="418"/>
      <c r="G18" s="418"/>
      <c r="H18" s="418"/>
      <c r="I18" s="419"/>
      <c r="J18" s="420"/>
      <c r="K18" s="420"/>
      <c r="L18" s="420"/>
      <c r="M18" s="420"/>
      <c r="N18" s="420"/>
      <c r="O18" s="420"/>
      <c r="P18" s="420"/>
      <c r="Q18" s="416"/>
      <c r="R18" s="416"/>
      <c r="S18" s="416"/>
      <c r="U18" s="417" t="s">
        <v>18</v>
      </c>
      <c r="V18" s="418"/>
      <c r="W18" s="418"/>
      <c r="X18" s="418"/>
      <c r="Y18" s="419"/>
      <c r="Z18" s="420"/>
      <c r="AA18" s="420"/>
      <c r="AB18" s="420"/>
      <c r="AC18" s="420"/>
      <c r="AD18" s="420"/>
      <c r="AE18" s="420"/>
      <c r="AF18" s="420"/>
      <c r="AG18" s="416"/>
      <c r="AH18" s="416"/>
      <c r="AI18" s="416"/>
      <c r="AJ18" s="257"/>
      <c r="AK18" s="257"/>
      <c r="AL18" s="257"/>
      <c r="AM18" s="14"/>
    </row>
    <row r="19" spans="1:39" ht="20.100000000000001" customHeight="1">
      <c r="A19" s="5"/>
      <c r="B19" s="257"/>
      <c r="C19" s="257"/>
      <c r="D19" s="257"/>
      <c r="E19" s="257"/>
      <c r="F19" s="257"/>
      <c r="G19" s="257"/>
      <c r="H19" s="257"/>
      <c r="I19" s="257"/>
      <c r="J19" s="257"/>
      <c r="K19" s="257"/>
      <c r="L19" s="257"/>
      <c r="M19" s="264"/>
      <c r="N19" s="264"/>
      <c r="O19" s="264"/>
      <c r="P19" s="264"/>
      <c r="Q19" s="264"/>
      <c r="R19" s="264"/>
      <c r="S19" s="264"/>
      <c r="T19" s="264"/>
      <c r="U19" s="264"/>
      <c r="V19" s="264"/>
      <c r="W19" s="264"/>
      <c r="X19" s="264"/>
      <c r="Y19" s="264"/>
      <c r="Z19" s="264"/>
      <c r="AA19" s="257"/>
      <c r="AB19" s="257"/>
      <c r="AC19" s="257"/>
      <c r="AD19" s="257"/>
      <c r="AE19" s="257"/>
      <c r="AF19" s="257"/>
      <c r="AG19" s="257"/>
      <c r="AI19" s="257"/>
      <c r="AJ19" s="257"/>
      <c r="AK19" s="257"/>
      <c r="AL19" s="257"/>
      <c r="AM19" s="14"/>
    </row>
    <row r="20" spans="1:39">
      <c r="A20" s="5"/>
      <c r="B20" s="15" t="s">
        <v>19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7"/>
      <c r="O20" s="17"/>
      <c r="P20" s="17"/>
      <c r="Q20" s="17"/>
      <c r="R20" s="17"/>
      <c r="S20" s="18"/>
      <c r="U20" s="15" t="s">
        <v>20</v>
      </c>
      <c r="V20" s="17"/>
      <c r="W20" s="17"/>
      <c r="X20" s="17"/>
      <c r="Y20" s="17"/>
      <c r="Z20" s="16"/>
      <c r="AA20" s="16"/>
      <c r="AB20" s="16"/>
      <c r="AC20" s="16"/>
      <c r="AD20" s="16"/>
      <c r="AE20" s="16"/>
      <c r="AF20" s="16"/>
      <c r="AG20" s="16"/>
      <c r="AH20" s="19"/>
      <c r="AI20" s="16"/>
      <c r="AJ20" s="16"/>
      <c r="AK20" s="20"/>
      <c r="AL20" s="257"/>
      <c r="AM20" s="14"/>
    </row>
    <row r="21" spans="1:39" ht="19.5" customHeight="1">
      <c r="A21" s="5"/>
      <c r="B21" s="21"/>
      <c r="C21" s="257"/>
      <c r="D21" s="257"/>
      <c r="E21" s="257"/>
      <c r="F21" s="257"/>
      <c r="G21" s="257"/>
      <c r="H21" s="257"/>
      <c r="I21" s="257"/>
      <c r="J21" s="257"/>
      <c r="K21" s="257"/>
      <c r="L21" s="257"/>
      <c r="M21" s="257"/>
      <c r="S21" s="22"/>
      <c r="U21" s="23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4"/>
      <c r="AL21" s="257"/>
      <c r="AM21" s="14"/>
    </row>
    <row r="22" spans="1:39" ht="19.5" customHeight="1">
      <c r="A22" s="5"/>
      <c r="B22" s="21"/>
      <c r="C22" s="257"/>
      <c r="D22" s="25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4"/>
      <c r="T22" s="257"/>
      <c r="U22" s="21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65"/>
      <c r="AJ22" s="265"/>
      <c r="AK22" s="25"/>
      <c r="AL22" s="265"/>
      <c r="AM22" s="26"/>
    </row>
    <row r="23" spans="1:39" ht="19.5" customHeight="1">
      <c r="A23" s="5"/>
      <c r="B23" s="21"/>
      <c r="C23" s="257"/>
      <c r="D23" s="25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4"/>
      <c r="T23" s="257"/>
      <c r="U23" s="23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4"/>
      <c r="AL23" s="257"/>
      <c r="AM23" s="6"/>
    </row>
    <row r="24" spans="1:39" ht="19.5" customHeight="1">
      <c r="A24" s="5"/>
      <c r="B24" s="27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  <c r="S24" s="29"/>
      <c r="T24" s="257"/>
      <c r="U24" s="27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9"/>
      <c r="AL24" s="257"/>
      <c r="AM24" s="6"/>
    </row>
    <row r="25" spans="1:39" ht="19.5" customHeight="1" thickBot="1">
      <c r="A25" s="30"/>
      <c r="B25" s="31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I25" s="31"/>
      <c r="AJ25" s="31"/>
      <c r="AK25" s="31"/>
      <c r="AL25" s="31"/>
      <c r="AM25" s="32"/>
    </row>
    <row r="26" spans="1:39" ht="22.5" customHeight="1">
      <c r="A26" s="394" t="s">
        <v>150</v>
      </c>
      <c r="B26" s="395"/>
      <c r="C26" s="395"/>
      <c r="D26" s="395"/>
      <c r="E26" s="395"/>
      <c r="F26" s="395"/>
      <c r="G26" s="395"/>
      <c r="H26" s="395"/>
      <c r="I26" s="395"/>
      <c r="J26" s="395"/>
      <c r="K26" s="395"/>
      <c r="L26" s="395"/>
      <c r="M26" s="395"/>
      <c r="N26" s="395"/>
      <c r="O26" s="395"/>
      <c r="P26" s="395"/>
      <c r="Q26" s="395"/>
      <c r="R26" s="395"/>
      <c r="S26" s="395"/>
      <c r="T26" s="396"/>
      <c r="U26" s="397"/>
      <c r="V26" s="397"/>
      <c r="W26" s="397"/>
      <c r="X26" s="397"/>
      <c r="Y26" s="397"/>
      <c r="Z26" s="397"/>
      <c r="AA26" s="397"/>
      <c r="AB26" s="397"/>
      <c r="AC26" s="397"/>
      <c r="AD26" s="397"/>
      <c r="AE26" s="397"/>
      <c r="AF26" s="397"/>
      <c r="AG26" s="397"/>
      <c r="AH26" s="397"/>
      <c r="AI26" s="397"/>
      <c r="AJ26" s="397"/>
      <c r="AK26" s="397"/>
      <c r="AL26" s="397"/>
      <c r="AM26" s="398"/>
    </row>
    <row r="27" spans="1:39">
      <c r="A27" s="399" t="s">
        <v>21</v>
      </c>
      <c r="B27" s="400"/>
      <c r="C27" s="400"/>
      <c r="D27" s="400"/>
      <c r="E27" s="401"/>
      <c r="F27" s="402" t="s">
        <v>151</v>
      </c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4"/>
    </row>
    <row r="28" spans="1:39">
      <c r="A28" s="390" t="s">
        <v>22</v>
      </c>
      <c r="B28" s="391"/>
      <c r="C28" s="391"/>
      <c r="D28" s="391"/>
      <c r="E28" s="405"/>
      <c r="F28" s="406" t="s">
        <v>152</v>
      </c>
      <c r="G28" s="407"/>
      <c r="H28" s="407"/>
      <c r="I28" s="407"/>
      <c r="J28" s="407"/>
      <c r="K28" s="407"/>
      <c r="L28" s="387" t="s">
        <v>138</v>
      </c>
      <c r="M28" s="387"/>
      <c r="N28" s="388" t="s">
        <v>153</v>
      </c>
      <c r="O28" s="388"/>
      <c r="P28" s="388"/>
      <c r="Q28" s="388"/>
      <c r="R28" s="388"/>
      <c r="S28" s="408"/>
      <c r="T28" s="409" t="s">
        <v>23</v>
      </c>
      <c r="U28" s="391"/>
      <c r="V28" s="391"/>
      <c r="W28" s="391"/>
      <c r="X28" s="405"/>
      <c r="Y28" s="406" t="s">
        <v>152</v>
      </c>
      <c r="Z28" s="407"/>
      <c r="AA28" s="407"/>
      <c r="AB28" s="407"/>
      <c r="AC28" s="407"/>
      <c r="AD28" s="407"/>
      <c r="AE28" s="387" t="s">
        <v>138</v>
      </c>
      <c r="AF28" s="387"/>
      <c r="AG28" s="388" t="s">
        <v>153</v>
      </c>
      <c r="AH28" s="388"/>
      <c r="AI28" s="388"/>
      <c r="AJ28" s="388"/>
      <c r="AK28" s="388"/>
      <c r="AL28" s="388"/>
      <c r="AM28" s="389"/>
    </row>
    <row r="29" spans="1:39">
      <c r="A29" s="390" t="s">
        <v>24</v>
      </c>
      <c r="B29" s="391"/>
      <c r="C29" s="391"/>
      <c r="D29" s="391"/>
      <c r="E29" s="391"/>
      <c r="F29" s="391"/>
      <c r="G29" s="391"/>
      <c r="H29" s="391"/>
      <c r="I29" s="391"/>
      <c r="J29" s="391"/>
      <c r="K29" s="391"/>
      <c r="L29" s="391"/>
      <c r="M29" s="391"/>
      <c r="N29" s="391"/>
      <c r="O29" s="391"/>
      <c r="P29" s="391"/>
      <c r="Q29" s="391"/>
      <c r="R29" s="391"/>
      <c r="S29" s="391"/>
      <c r="T29" s="391"/>
      <c r="U29" s="391"/>
      <c r="V29" s="391"/>
      <c r="W29" s="391"/>
      <c r="X29" s="391"/>
      <c r="Y29" s="391"/>
      <c r="Z29" s="391"/>
      <c r="AA29" s="391"/>
      <c r="AB29" s="391"/>
      <c r="AC29" s="391"/>
      <c r="AD29" s="391"/>
      <c r="AE29" s="391"/>
      <c r="AF29" s="391"/>
      <c r="AG29" s="391"/>
      <c r="AH29" s="391"/>
      <c r="AI29" s="391"/>
      <c r="AJ29" s="391"/>
      <c r="AK29" s="391"/>
      <c r="AL29" s="391"/>
      <c r="AM29" s="392"/>
    </row>
    <row r="30" spans="1:39" ht="18" customHeight="1">
      <c r="A30" s="410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  <c r="Q30" s="411"/>
      <c r="R30" s="411"/>
      <c r="S30" s="411"/>
      <c r="T30" s="411"/>
      <c r="U30" s="411"/>
      <c r="V30" s="411"/>
      <c r="W30" s="411"/>
      <c r="X30" s="411"/>
      <c r="Y30" s="411"/>
      <c r="Z30" s="411"/>
      <c r="AA30" s="411"/>
      <c r="AB30" s="411"/>
      <c r="AC30" s="411"/>
      <c r="AD30" s="411"/>
      <c r="AE30" s="411"/>
      <c r="AF30" s="411"/>
      <c r="AG30" s="411"/>
      <c r="AH30" s="411"/>
      <c r="AI30" s="411"/>
      <c r="AJ30" s="411"/>
      <c r="AK30" s="411"/>
      <c r="AL30" s="411"/>
      <c r="AM30" s="412"/>
    </row>
    <row r="31" spans="1:39" ht="18" customHeight="1" thickBot="1">
      <c r="A31" s="413"/>
      <c r="B31" s="414"/>
      <c r="C31" s="414"/>
      <c r="D31" s="414"/>
      <c r="E31" s="414"/>
      <c r="F31" s="414"/>
      <c r="G31" s="414"/>
      <c r="H31" s="414"/>
      <c r="I31" s="414"/>
      <c r="J31" s="414"/>
      <c r="K31" s="414"/>
      <c r="L31" s="414"/>
      <c r="M31" s="414"/>
      <c r="N31" s="414"/>
      <c r="O31" s="414"/>
      <c r="P31" s="414"/>
      <c r="Q31" s="414"/>
      <c r="R31" s="414"/>
      <c r="S31" s="414"/>
      <c r="T31" s="414"/>
      <c r="U31" s="414"/>
      <c r="V31" s="414"/>
      <c r="W31" s="414"/>
      <c r="X31" s="414"/>
      <c r="Y31" s="414"/>
      <c r="Z31" s="414"/>
      <c r="AA31" s="414"/>
      <c r="AB31" s="414"/>
      <c r="AC31" s="414"/>
      <c r="AD31" s="414"/>
      <c r="AE31" s="414"/>
      <c r="AF31" s="414"/>
      <c r="AG31" s="414"/>
      <c r="AH31" s="414"/>
      <c r="AI31" s="414"/>
      <c r="AJ31" s="414"/>
      <c r="AK31" s="414"/>
      <c r="AL31" s="414"/>
      <c r="AM31" s="415"/>
    </row>
    <row r="32" spans="1:39">
      <c r="A32" s="393" t="s">
        <v>132</v>
      </c>
      <c r="B32" s="393"/>
      <c r="C32" s="393"/>
      <c r="D32" s="393"/>
      <c r="E32" s="393"/>
      <c r="F32" s="393"/>
      <c r="G32" s="393"/>
      <c r="H32" s="393"/>
      <c r="I32" s="393"/>
      <c r="J32" s="393"/>
      <c r="K32" s="393"/>
      <c r="L32" s="393"/>
      <c r="M32" s="393"/>
      <c r="N32" s="393"/>
      <c r="O32" s="393"/>
      <c r="P32" s="393"/>
      <c r="Q32" s="393"/>
      <c r="R32" s="393"/>
      <c r="S32" s="393"/>
      <c r="T32" s="393"/>
      <c r="U32" s="393"/>
      <c r="V32" s="393"/>
      <c r="W32" s="393"/>
      <c r="X32" s="393"/>
      <c r="Y32" s="393"/>
      <c r="Z32" s="393"/>
      <c r="AA32" s="393"/>
      <c r="AB32" s="393"/>
      <c r="AC32" s="393"/>
      <c r="AD32" s="393"/>
      <c r="AE32" s="393"/>
      <c r="AF32" s="393"/>
      <c r="AG32" s="393"/>
      <c r="AH32" s="393"/>
      <c r="AI32" s="393"/>
      <c r="AJ32" s="393"/>
      <c r="AK32" s="393"/>
      <c r="AL32" s="393"/>
      <c r="AM32" s="393"/>
    </row>
  </sheetData>
  <mergeCells count="49">
    <mergeCell ref="AC1:AF1"/>
    <mergeCell ref="AG1:AL1"/>
    <mergeCell ref="M2:AB2"/>
    <mergeCell ref="C3:F3"/>
    <mergeCell ref="G3:K3"/>
    <mergeCell ref="O3:Z3"/>
    <mergeCell ref="G6:P6"/>
    <mergeCell ref="Q6:Z6"/>
    <mergeCell ref="AA6:AK6"/>
    <mergeCell ref="G7:I7"/>
    <mergeCell ref="J7:P7"/>
    <mergeCell ref="Q7:S7"/>
    <mergeCell ref="T7:Z7"/>
    <mergeCell ref="AA7:AC7"/>
    <mergeCell ref="AD7:AH7"/>
    <mergeCell ref="AI7:AK7"/>
    <mergeCell ref="E10:H10"/>
    <mergeCell ref="I10:AC10"/>
    <mergeCell ref="E12:H12"/>
    <mergeCell ref="I12:AC12"/>
    <mergeCell ref="E14:H14"/>
    <mergeCell ref="I14:P14"/>
    <mergeCell ref="AG18:AI18"/>
    <mergeCell ref="E16:H16"/>
    <mergeCell ref="I16:P16"/>
    <mergeCell ref="Q16:S16"/>
    <mergeCell ref="U16:X16"/>
    <mergeCell ref="Y16:AF16"/>
    <mergeCell ref="AG16:AI16"/>
    <mergeCell ref="E18:H18"/>
    <mergeCell ref="I18:P18"/>
    <mergeCell ref="Q18:S18"/>
    <mergeCell ref="U18:X18"/>
    <mergeCell ref="Y18:AF18"/>
    <mergeCell ref="AE28:AF28"/>
    <mergeCell ref="AG28:AM28"/>
    <mergeCell ref="A29:AM29"/>
    <mergeCell ref="A32:AM32"/>
    <mergeCell ref="A26:S26"/>
    <mergeCell ref="T26:AM26"/>
    <mergeCell ref="A27:E27"/>
    <mergeCell ref="F27:AM27"/>
    <mergeCell ref="A28:E28"/>
    <mergeCell ref="F28:K28"/>
    <mergeCell ref="L28:M28"/>
    <mergeCell ref="N28:S28"/>
    <mergeCell ref="T28:X28"/>
    <mergeCell ref="Y28:AD28"/>
    <mergeCell ref="A30:AM31"/>
  </mergeCells>
  <phoneticPr fontId="4"/>
  <pageMargins left="0.70866141732283472" right="0.43307086614173229" top="0.62992125984251968" bottom="0.47244094488188981" header="0.31496062992125984" footer="0.31496062992125984"/>
  <pageSetup paperSize="9" fitToHeight="0" orientation="landscape" useFirstPageNumber="1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2">
    <pageSetUpPr fitToPage="1"/>
  </sheetPr>
  <dimension ref="A1:T46"/>
  <sheetViews>
    <sheetView zoomScaleNormal="100" workbookViewId="0"/>
  </sheetViews>
  <sheetFormatPr defaultColWidth="7.125" defaultRowHeight="24.75" customHeight="1"/>
  <cols>
    <col min="1" max="1" width="1.25" style="36" customWidth="1"/>
    <col min="2" max="2" width="18.125" style="36" customWidth="1"/>
    <col min="3" max="3" width="11.625" style="36" customWidth="1"/>
    <col min="4" max="4" width="6.375" style="68" customWidth="1"/>
    <col min="5" max="18" width="7.125" style="36" customWidth="1"/>
    <col min="19" max="19" width="5.75" style="36" customWidth="1"/>
    <col min="20" max="16384" width="7.125" style="36"/>
  </cols>
  <sheetData>
    <row r="1" spans="1:20" ht="33" customHeight="1" thickBot="1">
      <c r="A1" s="33"/>
      <c r="B1" s="34" t="s">
        <v>25</v>
      </c>
      <c r="C1" s="33"/>
      <c r="D1" s="35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24.75" customHeight="1">
      <c r="A2" s="33"/>
      <c r="B2" s="37" t="s">
        <v>26</v>
      </c>
      <c r="C2" s="266" t="s">
        <v>148</v>
      </c>
      <c r="D2" s="267"/>
      <c r="E2" s="268"/>
      <c r="F2" s="269"/>
      <c r="G2" s="269"/>
      <c r="H2" s="269"/>
      <c r="I2" s="270"/>
      <c r="J2" s="271"/>
      <c r="K2" s="454" t="s">
        <v>27</v>
      </c>
      <c r="L2" s="455"/>
      <c r="M2" s="456"/>
      <c r="N2" s="475" t="s">
        <v>145</v>
      </c>
      <c r="O2" s="476"/>
      <c r="P2" s="476"/>
      <c r="Q2" s="476"/>
      <c r="R2" s="477"/>
      <c r="S2" s="38" t="s">
        <v>28</v>
      </c>
      <c r="T2" s="359"/>
    </row>
    <row r="3" spans="1:20" ht="24.75" customHeight="1">
      <c r="A3" s="33"/>
      <c r="B3" s="39" t="s">
        <v>29</v>
      </c>
      <c r="C3" s="457">
        <v>45444</v>
      </c>
      <c r="D3" s="458"/>
      <c r="E3" s="272" t="s">
        <v>139</v>
      </c>
      <c r="F3" s="459">
        <v>45657</v>
      </c>
      <c r="G3" s="459"/>
      <c r="H3" s="459"/>
      <c r="I3" s="273"/>
      <c r="J3" s="273"/>
      <c r="K3" s="460" t="s">
        <v>30</v>
      </c>
      <c r="L3" s="461"/>
      <c r="M3" s="462"/>
      <c r="N3" s="449">
        <v>147600000</v>
      </c>
      <c r="O3" s="450"/>
      <c r="P3" s="451"/>
      <c r="Q3" s="274"/>
      <c r="R3" s="275"/>
      <c r="S3" s="40" t="s">
        <v>31</v>
      </c>
      <c r="T3" s="359"/>
    </row>
    <row r="4" spans="1:20" ht="24.75" customHeight="1" thickBot="1">
      <c r="A4" s="33"/>
      <c r="B4" s="41" t="s">
        <v>32</v>
      </c>
      <c r="C4" s="42" t="s">
        <v>33</v>
      </c>
      <c r="D4" s="43" t="s">
        <v>34</v>
      </c>
      <c r="E4" s="44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6">
        <v>1</v>
      </c>
      <c r="T4" s="359"/>
    </row>
    <row r="5" spans="1:20" ht="24.75" customHeight="1" thickTop="1">
      <c r="A5" s="33"/>
      <c r="B5" s="47" t="s">
        <v>154</v>
      </c>
      <c r="C5" s="276">
        <v>1668199</v>
      </c>
      <c r="D5" s="335">
        <f>IF(C5&lt;&gt;"",C5/$C$20,"")</f>
        <v>1.9710137687717552E-2</v>
      </c>
      <c r="E5" s="48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50"/>
      <c r="T5" s="360"/>
    </row>
    <row r="6" spans="1:20" ht="24.75" customHeight="1">
      <c r="A6" s="33"/>
      <c r="B6" s="51" t="s">
        <v>155</v>
      </c>
      <c r="C6" s="277">
        <v>980000</v>
      </c>
      <c r="D6" s="336">
        <f t="shared" ref="D6:D17" si="0">IF(C6&lt;&gt;"",C6/$C$20,"")</f>
        <v>1.157891530564591E-2</v>
      </c>
      <c r="E6" s="52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0"/>
      <c r="T6" s="360"/>
    </row>
    <row r="7" spans="1:20" ht="24.75" customHeight="1">
      <c r="A7" s="33"/>
      <c r="B7" s="51" t="s">
        <v>156</v>
      </c>
      <c r="C7" s="277">
        <v>450000</v>
      </c>
      <c r="D7" s="336">
        <f t="shared" si="0"/>
        <v>5.3168488648374073E-3</v>
      </c>
      <c r="E7" s="52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0"/>
      <c r="T7" s="360"/>
    </row>
    <row r="8" spans="1:20" ht="24.75" customHeight="1">
      <c r="A8" s="33"/>
      <c r="B8" s="51" t="s">
        <v>157</v>
      </c>
      <c r="C8" s="277">
        <v>4999832</v>
      </c>
      <c r="D8" s="336">
        <f t="shared" si="0"/>
        <v>5.9074113541283876E-2</v>
      </c>
      <c r="E8" s="52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4">
        <v>0.75</v>
      </c>
      <c r="T8" s="360"/>
    </row>
    <row r="9" spans="1:20" ht="24.75" customHeight="1">
      <c r="A9" s="33"/>
      <c r="B9" s="51" t="s">
        <v>158</v>
      </c>
      <c r="C9" s="277">
        <v>1809600</v>
      </c>
      <c r="D9" s="336">
        <f t="shared" si="0"/>
        <v>2.1380821568466161E-2</v>
      </c>
      <c r="E9" s="52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5"/>
      <c r="T9" s="361"/>
    </row>
    <row r="10" spans="1:20" ht="24.75" customHeight="1">
      <c r="A10" s="33"/>
      <c r="B10" s="51" t="s">
        <v>158</v>
      </c>
      <c r="C10" s="277">
        <v>3909822</v>
      </c>
      <c r="D10" s="336">
        <f t="shared" si="0"/>
        <v>4.619540591648072E-2</v>
      </c>
      <c r="E10" s="52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5"/>
      <c r="T10" s="361"/>
    </row>
    <row r="11" spans="1:20" ht="24.75" customHeight="1">
      <c r="A11" s="33"/>
      <c r="B11" s="51" t="s">
        <v>159</v>
      </c>
      <c r="C11" s="277">
        <v>409995</v>
      </c>
      <c r="D11" s="336">
        <f t="shared" si="0"/>
        <v>4.8441810007533621E-3</v>
      </c>
      <c r="E11" s="52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5"/>
      <c r="T11" s="361"/>
    </row>
    <row r="12" spans="1:20" ht="24.75" customHeight="1">
      <c r="A12" s="33"/>
      <c r="B12" s="51" t="s">
        <v>160</v>
      </c>
      <c r="C12" s="277">
        <v>280000</v>
      </c>
      <c r="D12" s="336">
        <f t="shared" si="0"/>
        <v>3.3082615158988313E-3</v>
      </c>
      <c r="E12" s="52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4">
        <v>0.5</v>
      </c>
      <c r="T12" s="360"/>
    </row>
    <row r="13" spans="1:20" ht="24.75" customHeight="1">
      <c r="A13" s="33"/>
      <c r="B13" s="51" t="s">
        <v>161</v>
      </c>
      <c r="C13" s="277">
        <v>2194920</v>
      </c>
      <c r="D13" s="336">
        <f t="shared" si="0"/>
        <v>2.5933462023130939E-2</v>
      </c>
      <c r="E13" s="52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0"/>
      <c r="T13" s="360"/>
    </row>
    <row r="14" spans="1:20" ht="24.75" customHeight="1">
      <c r="A14" s="33"/>
      <c r="B14" s="51" t="s">
        <v>162</v>
      </c>
      <c r="C14" s="277">
        <v>1177592</v>
      </c>
      <c r="D14" s="336">
        <f t="shared" si="0"/>
        <v>1.3913508196536917E-2</v>
      </c>
      <c r="E14" s="52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6"/>
    </row>
    <row r="15" spans="1:20" ht="24.75" customHeight="1">
      <c r="A15" s="33"/>
      <c r="B15" s="51" t="s">
        <v>163</v>
      </c>
      <c r="C15" s="277">
        <v>45758856</v>
      </c>
      <c r="D15" s="336">
        <f t="shared" si="0"/>
        <v>0.54065093684412979</v>
      </c>
      <c r="E15" s="52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0"/>
    </row>
    <row r="16" spans="1:20" ht="24.75" customHeight="1">
      <c r="A16" s="33"/>
      <c r="B16" s="51" t="s">
        <v>164</v>
      </c>
      <c r="C16" s="277">
        <v>500000</v>
      </c>
      <c r="D16" s="336">
        <f t="shared" si="0"/>
        <v>5.9076098498193419E-3</v>
      </c>
      <c r="E16" s="52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4">
        <v>0.25</v>
      </c>
    </row>
    <row r="17" spans="1:19" ht="24.75" customHeight="1">
      <c r="A17" s="33"/>
      <c r="B17" s="51" t="s">
        <v>165</v>
      </c>
      <c r="C17" s="278">
        <v>0</v>
      </c>
      <c r="D17" s="336">
        <f t="shared" si="0"/>
        <v>0</v>
      </c>
      <c r="E17" s="52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0"/>
    </row>
    <row r="18" spans="1:19" ht="24.75" customHeight="1">
      <c r="A18" s="33"/>
      <c r="B18" s="51" t="s">
        <v>166</v>
      </c>
      <c r="C18" s="278">
        <v>827782</v>
      </c>
      <c r="D18" s="336">
        <f>IF(C18&lt;&gt;"",C18/$C$20,"")</f>
        <v>9.7804261934063084E-3</v>
      </c>
      <c r="E18" s="52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0"/>
    </row>
    <row r="19" spans="1:19" ht="24.75" customHeight="1">
      <c r="A19" s="33"/>
      <c r="B19" s="51" t="s">
        <v>167</v>
      </c>
      <c r="C19" s="278">
        <v>19670000</v>
      </c>
      <c r="D19" s="336">
        <f>IF(C19&lt;&gt;"",C19/$C$20,"")</f>
        <v>0.23240537149189291</v>
      </c>
      <c r="E19" s="52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6"/>
    </row>
    <row r="20" spans="1:19" ht="24.75" customHeight="1">
      <c r="A20" s="33"/>
      <c r="B20" s="57" t="s">
        <v>35</v>
      </c>
      <c r="C20" s="279">
        <f>SUM(C5:C19)</f>
        <v>84636598</v>
      </c>
      <c r="D20" s="337">
        <f>SUM(D5:D19)</f>
        <v>1</v>
      </c>
      <c r="E20" s="58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60">
        <v>0</v>
      </c>
    </row>
    <row r="21" spans="1:19" ht="24.75" customHeight="1">
      <c r="A21" s="33"/>
      <c r="B21" s="452" t="s">
        <v>36</v>
      </c>
      <c r="C21" s="61"/>
      <c r="D21" s="62" t="s">
        <v>37</v>
      </c>
      <c r="E21" s="372">
        <f>E26</f>
        <v>0</v>
      </c>
      <c r="F21" s="373">
        <f t="shared" ref="F21:R21" si="1">F26</f>
        <v>0</v>
      </c>
      <c r="G21" s="373">
        <f t="shared" si="1"/>
        <v>0</v>
      </c>
      <c r="H21" s="373">
        <f t="shared" si="1"/>
        <v>0</v>
      </c>
      <c r="I21" s="373">
        <f t="shared" si="1"/>
        <v>0</v>
      </c>
      <c r="J21" s="373">
        <f t="shared" si="1"/>
        <v>0</v>
      </c>
      <c r="K21" s="373">
        <f t="shared" si="1"/>
        <v>0</v>
      </c>
      <c r="L21" s="373">
        <f t="shared" si="1"/>
        <v>0</v>
      </c>
      <c r="M21" s="373">
        <f t="shared" si="1"/>
        <v>0</v>
      </c>
      <c r="N21" s="373">
        <f t="shared" si="1"/>
        <v>0</v>
      </c>
      <c r="O21" s="373">
        <f t="shared" si="1"/>
        <v>0</v>
      </c>
      <c r="P21" s="373">
        <f t="shared" si="1"/>
        <v>0</v>
      </c>
      <c r="Q21" s="373">
        <f t="shared" si="1"/>
        <v>0</v>
      </c>
      <c r="R21" s="373">
        <f t="shared" si="1"/>
        <v>0</v>
      </c>
      <c r="S21" s="63"/>
    </row>
    <row r="22" spans="1:19" ht="24.75" customHeight="1" thickBot="1">
      <c r="A22" s="33"/>
      <c r="B22" s="453"/>
      <c r="C22" s="64" t="s">
        <v>38</v>
      </c>
      <c r="D22" s="65" t="s">
        <v>39</v>
      </c>
      <c r="E22" s="280">
        <f>ROUND($C$20*E21/1000,0)</f>
        <v>0</v>
      </c>
      <c r="F22" s="281">
        <f t="shared" ref="F22:R22" si="2">ROUND($C$20*F21/1000,0)</f>
        <v>0</v>
      </c>
      <c r="G22" s="281">
        <f t="shared" si="2"/>
        <v>0</v>
      </c>
      <c r="H22" s="281">
        <f t="shared" si="2"/>
        <v>0</v>
      </c>
      <c r="I22" s="281">
        <f t="shared" si="2"/>
        <v>0</v>
      </c>
      <c r="J22" s="281">
        <f t="shared" si="2"/>
        <v>0</v>
      </c>
      <c r="K22" s="281">
        <f t="shared" si="2"/>
        <v>0</v>
      </c>
      <c r="L22" s="281">
        <f t="shared" si="2"/>
        <v>0</v>
      </c>
      <c r="M22" s="281">
        <f t="shared" si="2"/>
        <v>0</v>
      </c>
      <c r="N22" s="281">
        <f t="shared" si="2"/>
        <v>0</v>
      </c>
      <c r="O22" s="281">
        <f t="shared" si="2"/>
        <v>0</v>
      </c>
      <c r="P22" s="281">
        <f t="shared" si="2"/>
        <v>0</v>
      </c>
      <c r="Q22" s="281">
        <f t="shared" si="2"/>
        <v>0</v>
      </c>
      <c r="R22" s="281">
        <f t="shared" si="2"/>
        <v>0</v>
      </c>
      <c r="S22" s="66"/>
    </row>
    <row r="23" spans="1:19" ht="21.95" customHeight="1">
      <c r="A23" s="33"/>
      <c r="B23" s="33"/>
      <c r="C23" s="33"/>
      <c r="D23" s="35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67"/>
      <c r="Q23" s="67"/>
      <c r="R23" s="67"/>
      <c r="S23" s="67"/>
    </row>
    <row r="24" spans="1:19" ht="12" customHeight="1" thickBot="1">
      <c r="A24" s="33"/>
      <c r="B24" s="33"/>
      <c r="C24" s="33"/>
      <c r="D24" s="35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</row>
    <row r="25" spans="1:19" ht="24.6" customHeight="1">
      <c r="A25" s="33"/>
      <c r="B25" s="33"/>
      <c r="C25" s="463" t="s">
        <v>119</v>
      </c>
      <c r="D25" s="464"/>
      <c r="E25" s="377"/>
      <c r="F25" s="378">
        <f>E26+F26</f>
        <v>0</v>
      </c>
      <c r="G25" s="378">
        <f t="shared" ref="G25:R25" si="3">F25+G26</f>
        <v>0</v>
      </c>
      <c r="H25" s="378">
        <f t="shared" si="3"/>
        <v>0</v>
      </c>
      <c r="I25" s="378">
        <f t="shared" si="3"/>
        <v>0</v>
      </c>
      <c r="J25" s="378">
        <f t="shared" si="3"/>
        <v>0</v>
      </c>
      <c r="K25" s="378">
        <f t="shared" si="3"/>
        <v>0</v>
      </c>
      <c r="L25" s="378">
        <f t="shared" si="3"/>
        <v>0</v>
      </c>
      <c r="M25" s="378">
        <f t="shared" si="3"/>
        <v>0</v>
      </c>
      <c r="N25" s="378">
        <f t="shared" si="3"/>
        <v>0</v>
      </c>
      <c r="O25" s="378">
        <f t="shared" si="3"/>
        <v>0</v>
      </c>
      <c r="P25" s="378">
        <f t="shared" si="3"/>
        <v>0</v>
      </c>
      <c r="Q25" s="378">
        <f t="shared" si="3"/>
        <v>0</v>
      </c>
      <c r="R25" s="379">
        <f t="shared" si="3"/>
        <v>0</v>
      </c>
      <c r="S25" s="175"/>
    </row>
    <row r="26" spans="1:19" ht="24.6" customHeight="1">
      <c r="A26" s="33"/>
      <c r="B26" s="33"/>
      <c r="C26" s="465"/>
      <c r="D26" s="466"/>
      <c r="E26" s="380">
        <f t="shared" ref="E26:R26" si="4">E27/($C$20/1000)</f>
        <v>0</v>
      </c>
      <c r="F26" s="381">
        <f t="shared" si="4"/>
        <v>0</v>
      </c>
      <c r="G26" s="381">
        <f t="shared" si="4"/>
        <v>0</v>
      </c>
      <c r="H26" s="381">
        <f t="shared" si="4"/>
        <v>0</v>
      </c>
      <c r="I26" s="381">
        <f t="shared" si="4"/>
        <v>0</v>
      </c>
      <c r="J26" s="381">
        <f t="shared" si="4"/>
        <v>0</v>
      </c>
      <c r="K26" s="381">
        <f t="shared" si="4"/>
        <v>0</v>
      </c>
      <c r="L26" s="381">
        <f t="shared" si="4"/>
        <v>0</v>
      </c>
      <c r="M26" s="381">
        <f t="shared" si="4"/>
        <v>0</v>
      </c>
      <c r="N26" s="381">
        <f t="shared" si="4"/>
        <v>0</v>
      </c>
      <c r="O26" s="381">
        <f t="shared" si="4"/>
        <v>0</v>
      </c>
      <c r="P26" s="381">
        <f t="shared" si="4"/>
        <v>0</v>
      </c>
      <c r="Q26" s="381">
        <f t="shared" si="4"/>
        <v>0</v>
      </c>
      <c r="R26" s="382">
        <f t="shared" si="4"/>
        <v>0</v>
      </c>
      <c r="S26" s="176"/>
    </row>
    <row r="27" spans="1:19" ht="24.6" customHeight="1">
      <c r="A27" s="33"/>
      <c r="B27" s="33"/>
      <c r="C27" s="467" t="s">
        <v>120</v>
      </c>
      <c r="D27" s="468"/>
      <c r="E27" s="383"/>
      <c r="F27" s="384"/>
      <c r="G27" s="384"/>
      <c r="H27" s="384"/>
      <c r="I27" s="384"/>
      <c r="J27" s="384"/>
      <c r="K27" s="384"/>
      <c r="L27" s="384"/>
      <c r="M27" s="384"/>
      <c r="N27" s="384"/>
      <c r="O27" s="384"/>
      <c r="P27" s="384"/>
      <c r="Q27" s="384"/>
      <c r="R27" s="385"/>
      <c r="S27" s="176"/>
    </row>
    <row r="28" spans="1:19" ht="24.6" customHeight="1" thickBot="1">
      <c r="A28" s="33"/>
      <c r="B28" s="33"/>
      <c r="C28" s="469"/>
      <c r="D28" s="470"/>
      <c r="E28" s="386"/>
      <c r="F28" s="370">
        <f>E27+F27</f>
        <v>0</v>
      </c>
      <c r="G28" s="370">
        <f t="shared" ref="G28:R28" si="5">F28+G27</f>
        <v>0</v>
      </c>
      <c r="H28" s="370">
        <f t="shared" si="5"/>
        <v>0</v>
      </c>
      <c r="I28" s="370">
        <f t="shared" si="5"/>
        <v>0</v>
      </c>
      <c r="J28" s="370">
        <f t="shared" si="5"/>
        <v>0</v>
      </c>
      <c r="K28" s="370">
        <f t="shared" si="5"/>
        <v>0</v>
      </c>
      <c r="L28" s="370">
        <f t="shared" si="5"/>
        <v>0</v>
      </c>
      <c r="M28" s="370">
        <f t="shared" si="5"/>
        <v>0</v>
      </c>
      <c r="N28" s="370">
        <f t="shared" si="5"/>
        <v>0</v>
      </c>
      <c r="O28" s="370">
        <f t="shared" si="5"/>
        <v>0</v>
      </c>
      <c r="P28" s="370">
        <f t="shared" si="5"/>
        <v>0</v>
      </c>
      <c r="Q28" s="370">
        <f t="shared" si="5"/>
        <v>0</v>
      </c>
      <c r="R28" s="371">
        <f t="shared" si="5"/>
        <v>0</v>
      </c>
      <c r="S28" s="176"/>
    </row>
    <row r="29" spans="1:19" ht="21.95" customHeight="1" thickBot="1">
      <c r="A29" s="33"/>
      <c r="B29" s="33"/>
      <c r="C29" s="33"/>
      <c r="D29" s="35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</row>
    <row r="30" spans="1:19" ht="24.6" customHeight="1">
      <c r="A30" s="33"/>
      <c r="B30" s="33"/>
      <c r="C30" s="471"/>
      <c r="D30" s="472"/>
      <c r="E30" s="177" t="s">
        <v>121</v>
      </c>
      <c r="F30" s="178" t="s">
        <v>122</v>
      </c>
      <c r="G30" s="177" t="s">
        <v>123</v>
      </c>
      <c r="H30" s="178" t="s">
        <v>124</v>
      </c>
      <c r="I30" s="177" t="s">
        <v>125</v>
      </c>
      <c r="J30" s="178" t="s">
        <v>126</v>
      </c>
      <c r="K30" s="177" t="s">
        <v>127</v>
      </c>
      <c r="L30" s="178" t="s">
        <v>128</v>
      </c>
      <c r="M30" s="177" t="s">
        <v>129</v>
      </c>
      <c r="N30" s="179" t="s">
        <v>130</v>
      </c>
      <c r="O30" s="33"/>
      <c r="P30" s="33"/>
      <c r="Q30" s="33"/>
      <c r="R30" s="33"/>
      <c r="S30" s="33"/>
    </row>
    <row r="31" spans="1:19" ht="24.6" customHeight="1">
      <c r="A31" s="33"/>
      <c r="B31" s="33"/>
      <c r="C31" s="473"/>
      <c r="D31" s="474"/>
      <c r="E31" s="180"/>
      <c r="F31" s="181"/>
      <c r="G31" s="180"/>
      <c r="H31" s="181"/>
      <c r="I31" s="180"/>
      <c r="J31" s="181"/>
      <c r="K31" s="180"/>
      <c r="L31" s="181"/>
      <c r="M31" s="180"/>
      <c r="N31" s="182"/>
      <c r="O31" s="33"/>
      <c r="P31" s="33"/>
      <c r="Q31" s="33"/>
      <c r="R31" s="33"/>
      <c r="S31" s="33"/>
    </row>
    <row r="32" spans="1:19" ht="24.6" customHeight="1">
      <c r="A32" s="33"/>
      <c r="B32" s="33"/>
      <c r="C32" s="447"/>
      <c r="D32" s="448"/>
      <c r="E32" s="183"/>
      <c r="F32" s="184"/>
      <c r="G32" s="183"/>
      <c r="H32" s="184"/>
      <c r="I32" s="183"/>
      <c r="J32" s="184"/>
      <c r="K32" s="183"/>
      <c r="L32" s="184"/>
      <c r="M32" s="183"/>
      <c r="N32" s="185"/>
      <c r="O32" s="33"/>
      <c r="P32" s="33"/>
      <c r="Q32" s="33"/>
      <c r="R32" s="33"/>
      <c r="S32" s="33"/>
    </row>
    <row r="33" spans="1:19" ht="24.6" customHeight="1">
      <c r="A33" s="33"/>
      <c r="B33" s="33"/>
      <c r="C33" s="447"/>
      <c r="D33" s="448"/>
      <c r="E33" s="183"/>
      <c r="F33" s="184"/>
      <c r="G33" s="183"/>
      <c r="H33" s="184"/>
      <c r="I33" s="183"/>
      <c r="J33" s="184"/>
      <c r="K33" s="183"/>
      <c r="L33" s="184"/>
      <c r="M33" s="183"/>
      <c r="N33" s="185"/>
      <c r="O33" s="33"/>
      <c r="P33" s="33"/>
      <c r="Q33" s="33"/>
      <c r="R33" s="33"/>
      <c r="S33" s="33"/>
    </row>
    <row r="34" spans="1:19" ht="24.6" customHeight="1">
      <c r="A34" s="33"/>
      <c r="B34" s="33"/>
      <c r="C34" s="447"/>
      <c r="D34" s="448"/>
      <c r="E34" s="183"/>
      <c r="F34" s="184"/>
      <c r="G34" s="183"/>
      <c r="H34" s="184"/>
      <c r="I34" s="183"/>
      <c r="J34" s="184"/>
      <c r="K34" s="183"/>
      <c r="L34" s="184"/>
      <c r="M34" s="183"/>
      <c r="N34" s="185"/>
      <c r="O34" s="33"/>
      <c r="P34" s="33"/>
      <c r="Q34" s="33"/>
      <c r="R34" s="33"/>
      <c r="S34" s="33"/>
    </row>
    <row r="35" spans="1:19" ht="24.6" customHeight="1">
      <c r="A35" s="33"/>
      <c r="B35" s="33"/>
      <c r="C35" s="447"/>
      <c r="D35" s="448"/>
      <c r="E35" s="183"/>
      <c r="F35" s="184"/>
      <c r="G35" s="183"/>
      <c r="H35" s="184"/>
      <c r="I35" s="183"/>
      <c r="J35" s="184"/>
      <c r="K35" s="183"/>
      <c r="L35" s="184"/>
      <c r="M35" s="183"/>
      <c r="N35" s="185"/>
      <c r="O35" s="33"/>
      <c r="P35" s="33"/>
      <c r="Q35" s="33"/>
      <c r="R35" s="33"/>
      <c r="S35" s="33"/>
    </row>
    <row r="36" spans="1:19" ht="24.6" customHeight="1">
      <c r="A36" s="33"/>
      <c r="B36" s="33"/>
      <c r="C36" s="447"/>
      <c r="D36" s="448"/>
      <c r="E36" s="183"/>
      <c r="F36" s="184"/>
      <c r="G36" s="183"/>
      <c r="H36" s="184"/>
      <c r="I36" s="183"/>
      <c r="J36" s="184"/>
      <c r="K36" s="183"/>
      <c r="L36" s="184"/>
      <c r="M36" s="183"/>
      <c r="N36" s="185"/>
      <c r="O36" s="33"/>
      <c r="P36" s="33"/>
      <c r="Q36" s="33"/>
      <c r="R36" s="33"/>
      <c r="S36" s="33"/>
    </row>
    <row r="37" spans="1:19" ht="24.6" customHeight="1">
      <c r="A37" s="33"/>
      <c r="B37" s="33"/>
      <c r="C37" s="447"/>
      <c r="D37" s="448"/>
      <c r="E37" s="183"/>
      <c r="F37" s="184"/>
      <c r="G37" s="183"/>
      <c r="H37" s="184"/>
      <c r="I37" s="183"/>
      <c r="J37" s="184"/>
      <c r="K37" s="183"/>
      <c r="L37" s="184"/>
      <c r="M37" s="183"/>
      <c r="N37" s="185"/>
      <c r="O37" s="33"/>
      <c r="P37" s="33"/>
      <c r="Q37" s="33"/>
      <c r="R37" s="33"/>
      <c r="S37" s="33"/>
    </row>
    <row r="38" spans="1:19" ht="24.6" customHeight="1">
      <c r="A38" s="33"/>
      <c r="B38" s="33"/>
      <c r="C38" s="447"/>
      <c r="D38" s="448"/>
      <c r="E38" s="183"/>
      <c r="F38" s="184"/>
      <c r="G38" s="183"/>
      <c r="H38" s="184"/>
      <c r="I38" s="183"/>
      <c r="J38" s="184"/>
      <c r="K38" s="183"/>
      <c r="L38" s="184"/>
      <c r="M38" s="183"/>
      <c r="N38" s="185"/>
      <c r="O38" s="33"/>
      <c r="P38" s="33"/>
      <c r="Q38" s="33"/>
      <c r="R38" s="33"/>
      <c r="S38" s="33"/>
    </row>
    <row r="39" spans="1:19" ht="24.6" customHeight="1">
      <c r="A39" s="33"/>
      <c r="B39" s="33"/>
      <c r="C39" s="447"/>
      <c r="D39" s="448"/>
      <c r="E39" s="183"/>
      <c r="F39" s="184"/>
      <c r="G39" s="183"/>
      <c r="H39" s="184"/>
      <c r="I39" s="183"/>
      <c r="J39" s="184"/>
      <c r="K39" s="183"/>
      <c r="L39" s="184"/>
      <c r="M39" s="183"/>
      <c r="N39" s="185"/>
      <c r="O39" s="33"/>
      <c r="P39" s="33"/>
      <c r="Q39" s="33"/>
      <c r="R39" s="33"/>
      <c r="S39" s="33"/>
    </row>
    <row r="40" spans="1:19" ht="24.6" customHeight="1">
      <c r="A40" s="33"/>
      <c r="B40" s="33"/>
      <c r="C40" s="447"/>
      <c r="D40" s="448"/>
      <c r="E40" s="183"/>
      <c r="F40" s="184"/>
      <c r="G40" s="183"/>
      <c r="H40" s="184"/>
      <c r="I40" s="183"/>
      <c r="J40" s="184"/>
      <c r="K40" s="183"/>
      <c r="L40" s="184"/>
      <c r="M40" s="183"/>
      <c r="N40" s="185"/>
      <c r="O40" s="33"/>
      <c r="P40" s="33"/>
      <c r="Q40" s="33"/>
      <c r="R40" s="33"/>
      <c r="S40" s="33"/>
    </row>
    <row r="41" spans="1:19" ht="24.6" customHeight="1">
      <c r="A41" s="33"/>
      <c r="B41" s="33"/>
      <c r="C41" s="447"/>
      <c r="D41" s="448"/>
      <c r="E41" s="183"/>
      <c r="F41" s="184"/>
      <c r="G41" s="183"/>
      <c r="H41" s="184"/>
      <c r="I41" s="183"/>
      <c r="J41" s="184"/>
      <c r="K41" s="183"/>
      <c r="L41" s="184"/>
      <c r="M41" s="183"/>
      <c r="N41" s="185"/>
      <c r="O41" s="33"/>
      <c r="P41" s="33"/>
      <c r="Q41" s="33"/>
      <c r="R41" s="33"/>
      <c r="S41" s="33"/>
    </row>
    <row r="42" spans="1:19" ht="24.6" customHeight="1">
      <c r="A42" s="33"/>
      <c r="B42" s="33"/>
      <c r="C42" s="447"/>
      <c r="D42" s="448"/>
      <c r="E42" s="183"/>
      <c r="F42" s="184"/>
      <c r="G42" s="183"/>
      <c r="H42" s="184"/>
      <c r="I42" s="183"/>
      <c r="J42" s="184"/>
      <c r="K42" s="183"/>
      <c r="L42" s="184"/>
      <c r="M42" s="183"/>
      <c r="N42" s="185"/>
      <c r="O42" s="33"/>
      <c r="P42" s="33"/>
      <c r="Q42" s="33"/>
      <c r="R42" s="33"/>
      <c r="S42" s="33"/>
    </row>
    <row r="43" spans="1:19" ht="24.6" customHeight="1">
      <c r="A43" s="33"/>
      <c r="B43" s="33"/>
      <c r="C43" s="447"/>
      <c r="D43" s="448"/>
      <c r="E43" s="183"/>
      <c r="F43" s="184"/>
      <c r="G43" s="183"/>
      <c r="H43" s="184"/>
      <c r="I43" s="183"/>
      <c r="J43" s="184"/>
      <c r="K43" s="183"/>
      <c r="L43" s="184"/>
      <c r="M43" s="183"/>
      <c r="N43" s="185"/>
      <c r="O43" s="33"/>
      <c r="P43" s="33"/>
      <c r="Q43" s="33"/>
      <c r="R43" s="33"/>
      <c r="S43" s="33"/>
    </row>
    <row r="44" spans="1:19" ht="24.6" customHeight="1">
      <c r="A44" s="33"/>
      <c r="B44" s="33"/>
      <c r="C44" s="447"/>
      <c r="D44" s="448"/>
      <c r="E44" s="183"/>
      <c r="F44" s="184"/>
      <c r="G44" s="183"/>
      <c r="H44" s="184"/>
      <c r="I44" s="183"/>
      <c r="J44" s="184"/>
      <c r="K44" s="183"/>
      <c r="L44" s="184"/>
      <c r="M44" s="183"/>
      <c r="N44" s="185"/>
      <c r="O44" s="33"/>
      <c r="P44" s="33"/>
      <c r="Q44" s="33"/>
      <c r="R44" s="33"/>
      <c r="S44" s="33"/>
    </row>
    <row r="45" spans="1:19" ht="24.6" customHeight="1" thickBot="1">
      <c r="A45" s="33"/>
      <c r="B45" s="33"/>
      <c r="C45" s="445"/>
      <c r="D45" s="446"/>
      <c r="E45" s="186"/>
      <c r="F45" s="187"/>
      <c r="G45" s="186"/>
      <c r="H45" s="187"/>
      <c r="I45" s="186"/>
      <c r="J45" s="187"/>
      <c r="K45" s="186"/>
      <c r="L45" s="187"/>
      <c r="M45" s="186"/>
      <c r="N45" s="188"/>
      <c r="O45" s="33"/>
      <c r="P45" s="33"/>
      <c r="Q45" s="33"/>
      <c r="R45" s="33"/>
      <c r="S45" s="33"/>
    </row>
    <row r="46" spans="1:19" ht="24.6" customHeight="1">
      <c r="A46" s="33"/>
      <c r="B46" s="33"/>
      <c r="C46" s="33"/>
      <c r="D46" s="35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</row>
  </sheetData>
  <mergeCells count="25">
    <mergeCell ref="N3:P3"/>
    <mergeCell ref="B21:B22"/>
    <mergeCell ref="C33:D33"/>
    <mergeCell ref="K2:M2"/>
    <mergeCell ref="C3:D3"/>
    <mergeCell ref="F3:H3"/>
    <mergeCell ref="K3:M3"/>
    <mergeCell ref="C25:D26"/>
    <mergeCell ref="C27:D28"/>
    <mergeCell ref="C30:D30"/>
    <mergeCell ref="C31:D31"/>
    <mergeCell ref="C32:D32"/>
    <mergeCell ref="N2:R2"/>
    <mergeCell ref="C45:D45"/>
    <mergeCell ref="C34:D34"/>
    <mergeCell ref="C35:D35"/>
    <mergeCell ref="C36:D36"/>
    <mergeCell ref="C37:D37"/>
    <mergeCell ref="C38:D38"/>
    <mergeCell ref="C39:D39"/>
    <mergeCell ref="C40:D40"/>
    <mergeCell ref="C41:D41"/>
    <mergeCell ref="C42:D42"/>
    <mergeCell ref="C43:D43"/>
    <mergeCell ref="C44:D44"/>
  </mergeCells>
  <phoneticPr fontId="4"/>
  <printOptions gridLinesSet="0"/>
  <pageMargins left="0.70866141732283472" right="0.43307086614173229" top="0.62992125984251968" bottom="0.47244094488188981" header="0.31496062992125984" footer="0.31496062992125984"/>
  <pageSetup paperSize="9" scale="86" fitToHeight="0" orientation="landscape" useFirstPageNumber="1" r:id="rId1"/>
  <drawing r:id="rId2"/>
  <legacyDrawing r:id="rId3"/>
  <controls>
    <mc:AlternateContent xmlns:mc="http://schemas.openxmlformats.org/markup-compatibility/2006">
      <mc:Choice Requires="x14">
        <control shapeId="48129" r:id="rId4" name="btn1">
          <controlPr defaultSize="0" autoLine="0" autoPict="0" r:id="rId5">
            <anchor moveWithCells="1">
              <from>
                <xdr:col>0</xdr:col>
                <xdr:colOff>85725</xdr:colOff>
                <xdr:row>23</xdr:row>
                <xdr:rowOff>123825</xdr:rowOff>
              </from>
              <to>
                <xdr:col>1</xdr:col>
                <xdr:colOff>1152525</xdr:colOff>
                <xdr:row>25</xdr:row>
                <xdr:rowOff>9525</xdr:rowOff>
              </to>
            </anchor>
          </controlPr>
        </control>
      </mc:Choice>
      <mc:Fallback>
        <control shapeId="48129" r:id="rId4" name="btn1"/>
      </mc:Fallback>
    </mc:AlternateContent>
    <mc:AlternateContent xmlns:mc="http://schemas.openxmlformats.org/markup-compatibility/2006">
      <mc:Choice Requires="x14">
        <control shapeId="48130" r:id="rId6" name="btn2">
          <controlPr defaultSize="0" autoLine="0" autoPict="0" r:id="rId7">
            <anchor moveWithCells="1">
              <from>
                <xdr:col>0</xdr:col>
                <xdr:colOff>85725</xdr:colOff>
                <xdr:row>25</xdr:row>
                <xdr:rowOff>47625</xdr:rowOff>
              </from>
              <to>
                <xdr:col>1</xdr:col>
                <xdr:colOff>1152525</xdr:colOff>
                <xdr:row>26</xdr:row>
                <xdr:rowOff>95250</xdr:rowOff>
              </to>
            </anchor>
          </controlPr>
        </control>
      </mc:Choice>
      <mc:Fallback>
        <control shapeId="48130" r:id="rId6" name="btn2"/>
      </mc:Fallback>
    </mc:AlternateContent>
    <mc:AlternateContent xmlns:mc="http://schemas.openxmlformats.org/markup-compatibility/2006">
      <mc:Choice Requires="x14">
        <control shapeId="48131" r:id="rId8" name="btn3">
          <controlPr defaultSize="0" autoLine="0" autoPict="0" r:id="rId9">
            <anchor moveWithCells="1">
              <from>
                <xdr:col>0</xdr:col>
                <xdr:colOff>85725</xdr:colOff>
                <xdr:row>26</xdr:row>
                <xdr:rowOff>142875</xdr:rowOff>
              </from>
              <to>
                <xdr:col>1</xdr:col>
                <xdr:colOff>1152525</xdr:colOff>
                <xdr:row>27</xdr:row>
                <xdr:rowOff>180975</xdr:rowOff>
              </to>
            </anchor>
          </controlPr>
        </control>
      </mc:Choice>
      <mc:Fallback>
        <control shapeId="48131" r:id="rId8" name="btn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pageSetUpPr fitToPage="1"/>
  </sheetPr>
  <dimension ref="A1:W24"/>
  <sheetViews>
    <sheetView zoomScaleNormal="100" workbookViewId="0"/>
  </sheetViews>
  <sheetFormatPr defaultColWidth="8.25" defaultRowHeight="13.5"/>
  <cols>
    <col min="1" max="1" width="1.5" style="73" customWidth="1"/>
    <col min="2" max="2" width="15.25" style="73" customWidth="1"/>
    <col min="3" max="3" width="9.25" style="73" customWidth="1"/>
    <col min="4" max="4" width="5.625" style="73" customWidth="1"/>
    <col min="5" max="5" width="11.375" style="73" customWidth="1"/>
    <col min="6" max="6" width="15.25" style="73" customWidth="1"/>
    <col min="7" max="7" width="9.25" style="73" customWidth="1"/>
    <col min="8" max="8" width="5.625" style="73" customWidth="1"/>
    <col min="9" max="9" width="11.375" style="73" customWidth="1"/>
    <col min="10" max="10" width="15.25" style="73" customWidth="1"/>
    <col min="11" max="11" width="10.75" style="73" customWidth="1"/>
    <col min="12" max="12" width="5.625" style="73" customWidth="1"/>
    <col min="13" max="13" width="11.375" style="73" customWidth="1"/>
    <col min="14" max="14" width="2.125" style="73" customWidth="1"/>
    <col min="15" max="15" width="9.25" style="73" customWidth="1"/>
    <col min="16" max="16" width="13.25" style="73" customWidth="1"/>
    <col min="17" max="17" width="11.625" style="73" customWidth="1"/>
    <col min="18" max="18" width="9.5" style="73" customWidth="1"/>
    <col min="19" max="16384" width="8.25" style="73"/>
  </cols>
  <sheetData>
    <row r="1" spans="1:18" ht="42" customHeight="1">
      <c r="A1" s="69"/>
      <c r="B1" s="70" t="s">
        <v>40</v>
      </c>
      <c r="C1" s="71"/>
      <c r="D1" s="69"/>
      <c r="E1" s="69"/>
      <c r="F1" s="69"/>
      <c r="G1" s="69"/>
      <c r="H1" s="69"/>
      <c r="I1" s="69"/>
      <c r="J1" s="69"/>
      <c r="K1" s="69"/>
      <c r="L1" s="69"/>
      <c r="M1" s="72"/>
      <c r="N1" s="69"/>
      <c r="O1" s="69"/>
    </row>
    <row r="2" spans="1:18" ht="13.5" customHeight="1" thickBot="1">
      <c r="A2" s="69"/>
      <c r="B2" s="69"/>
      <c r="C2" s="69"/>
      <c r="D2" s="69"/>
      <c r="E2" s="69"/>
      <c r="F2" s="69"/>
      <c r="G2" s="69"/>
      <c r="H2" s="69"/>
      <c r="I2" s="69"/>
      <c r="J2" s="69"/>
      <c r="K2" s="69"/>
      <c r="L2" s="478"/>
      <c r="M2" s="478"/>
      <c r="N2" s="69"/>
      <c r="O2" s="69"/>
    </row>
    <row r="3" spans="1:18" ht="24.95" customHeight="1">
      <c r="A3" s="69"/>
      <c r="B3" s="74" t="s">
        <v>41</v>
      </c>
      <c r="C3" s="75"/>
      <c r="D3" s="75"/>
      <c r="E3" s="75"/>
      <c r="F3" s="75"/>
      <c r="G3" s="75"/>
      <c r="H3" s="75"/>
      <c r="I3" s="76"/>
      <c r="J3" s="77" t="s">
        <v>42</v>
      </c>
      <c r="K3" s="75"/>
      <c r="L3" s="75"/>
      <c r="M3" s="78"/>
      <c r="N3" s="69"/>
      <c r="O3" s="69"/>
    </row>
    <row r="4" spans="1:18" ht="24.75" customHeight="1">
      <c r="A4" s="69"/>
      <c r="B4" s="479"/>
      <c r="C4" s="480"/>
      <c r="D4" s="480"/>
      <c r="E4" s="480"/>
      <c r="F4" s="480"/>
      <c r="G4" s="480"/>
      <c r="H4" s="480"/>
      <c r="I4" s="481"/>
      <c r="J4" s="79" t="s">
        <v>43</v>
      </c>
      <c r="K4" s="80" t="s">
        <v>44</v>
      </c>
      <c r="L4" s="80" t="s">
        <v>45</v>
      </c>
      <c r="M4" s="81" t="s">
        <v>46</v>
      </c>
      <c r="N4" s="69"/>
      <c r="O4" s="69"/>
    </row>
    <row r="5" spans="1:18" ht="27" customHeight="1">
      <c r="A5" s="69"/>
      <c r="B5" s="482"/>
      <c r="C5" s="483"/>
      <c r="D5" s="483"/>
      <c r="E5" s="483"/>
      <c r="F5" s="483"/>
      <c r="G5" s="483"/>
      <c r="H5" s="483"/>
      <c r="I5" s="484"/>
      <c r="J5" s="82" t="s">
        <v>154</v>
      </c>
      <c r="K5" s="282" t="s">
        <v>168</v>
      </c>
      <c r="L5" s="283" t="s">
        <v>169</v>
      </c>
      <c r="M5" s="284">
        <v>9871</v>
      </c>
      <c r="N5" s="69"/>
      <c r="O5" s="285"/>
      <c r="P5" s="286"/>
      <c r="Q5" s="287"/>
      <c r="R5" s="288"/>
    </row>
    <row r="6" spans="1:18" ht="24.95" customHeight="1">
      <c r="A6" s="69"/>
      <c r="B6" s="482"/>
      <c r="C6" s="483"/>
      <c r="D6" s="483"/>
      <c r="E6" s="483"/>
      <c r="F6" s="483"/>
      <c r="G6" s="483"/>
      <c r="H6" s="483"/>
      <c r="I6" s="484"/>
      <c r="J6" s="85" t="s">
        <v>155</v>
      </c>
      <c r="K6" s="289" t="s">
        <v>170</v>
      </c>
      <c r="L6" s="290" t="s">
        <v>171</v>
      </c>
      <c r="M6" s="291">
        <v>10</v>
      </c>
      <c r="N6" s="69"/>
      <c r="O6" s="285"/>
      <c r="P6" s="286"/>
      <c r="Q6" s="287"/>
      <c r="R6" s="288"/>
    </row>
    <row r="7" spans="1:18" ht="24.95" customHeight="1">
      <c r="A7" s="69"/>
      <c r="B7" s="482"/>
      <c r="C7" s="483"/>
      <c r="D7" s="483"/>
      <c r="E7" s="483"/>
      <c r="F7" s="483"/>
      <c r="G7" s="483"/>
      <c r="H7" s="483"/>
      <c r="I7" s="484"/>
      <c r="J7" s="85" t="s">
        <v>156</v>
      </c>
      <c r="K7" s="289" t="s">
        <v>172</v>
      </c>
      <c r="L7" s="290" t="s">
        <v>171</v>
      </c>
      <c r="M7" s="291">
        <v>2</v>
      </c>
      <c r="N7" s="69"/>
      <c r="O7" s="285"/>
      <c r="P7" s="286"/>
      <c r="Q7" s="287"/>
      <c r="R7" s="288"/>
    </row>
    <row r="8" spans="1:18" ht="24.95" customHeight="1">
      <c r="A8" s="69"/>
      <c r="B8" s="482"/>
      <c r="C8" s="483"/>
      <c r="D8" s="483"/>
      <c r="E8" s="483"/>
      <c r="F8" s="483"/>
      <c r="G8" s="483"/>
      <c r="H8" s="483"/>
      <c r="I8" s="484"/>
      <c r="J8" s="85" t="s">
        <v>157</v>
      </c>
      <c r="K8" s="289" t="s">
        <v>173</v>
      </c>
      <c r="L8" s="290" t="s">
        <v>174</v>
      </c>
      <c r="M8" s="291">
        <v>184</v>
      </c>
      <c r="N8" s="69"/>
      <c r="O8" s="285"/>
      <c r="P8" s="286"/>
      <c r="Q8" s="287"/>
      <c r="R8" s="288"/>
    </row>
    <row r="9" spans="1:18" ht="24.95" customHeight="1">
      <c r="A9" s="69"/>
      <c r="B9" s="482"/>
      <c r="C9" s="483"/>
      <c r="D9" s="483"/>
      <c r="E9" s="483"/>
      <c r="F9" s="483"/>
      <c r="G9" s="483"/>
      <c r="H9" s="483"/>
      <c r="I9" s="484"/>
      <c r="J9" s="85" t="s">
        <v>158</v>
      </c>
      <c r="K9" s="289" t="s">
        <v>175</v>
      </c>
      <c r="L9" s="290" t="s">
        <v>174</v>
      </c>
      <c r="M9" s="291">
        <v>1392</v>
      </c>
      <c r="N9" s="69"/>
      <c r="O9" s="285"/>
      <c r="P9" s="286"/>
      <c r="Q9" s="287"/>
      <c r="R9" s="288"/>
    </row>
    <row r="10" spans="1:18" ht="24.95" customHeight="1">
      <c r="A10" s="69"/>
      <c r="B10" s="482"/>
      <c r="C10" s="483"/>
      <c r="D10" s="483"/>
      <c r="E10" s="483"/>
      <c r="F10" s="483"/>
      <c r="G10" s="483"/>
      <c r="H10" s="483"/>
      <c r="I10" s="484"/>
      <c r="J10" s="85" t="s">
        <v>158</v>
      </c>
      <c r="K10" s="289" t="s">
        <v>176</v>
      </c>
      <c r="L10" s="290" t="s">
        <v>174</v>
      </c>
      <c r="M10" s="291">
        <v>254</v>
      </c>
      <c r="N10" s="69"/>
      <c r="O10" s="285"/>
      <c r="P10" s="286"/>
      <c r="Q10" s="287"/>
      <c r="R10" s="288"/>
    </row>
    <row r="11" spans="1:18" ht="24.95" customHeight="1">
      <c r="A11" s="69"/>
      <c r="B11" s="482"/>
      <c r="C11" s="483"/>
      <c r="D11" s="483"/>
      <c r="E11" s="483"/>
      <c r="F11" s="483"/>
      <c r="G11" s="483"/>
      <c r="H11" s="483"/>
      <c r="I11" s="484"/>
      <c r="J11" s="88" t="s">
        <v>159</v>
      </c>
      <c r="K11" s="289" t="s">
        <v>177</v>
      </c>
      <c r="L11" s="290" t="s">
        <v>174</v>
      </c>
      <c r="M11" s="291">
        <v>27</v>
      </c>
      <c r="N11" s="69"/>
      <c r="O11" s="285"/>
      <c r="P11" s="286"/>
      <c r="Q11" s="287"/>
      <c r="R11" s="288"/>
    </row>
    <row r="12" spans="1:18" ht="24.95" customHeight="1">
      <c r="A12" s="69"/>
      <c r="B12" s="482"/>
      <c r="C12" s="483"/>
      <c r="D12" s="483"/>
      <c r="E12" s="483"/>
      <c r="F12" s="483"/>
      <c r="G12" s="483"/>
      <c r="H12" s="483"/>
      <c r="I12" s="484"/>
      <c r="J12" s="88" t="s">
        <v>160</v>
      </c>
      <c r="K12" s="289" t="s">
        <v>178</v>
      </c>
      <c r="L12" s="290" t="s">
        <v>171</v>
      </c>
      <c r="M12" s="291">
        <v>1</v>
      </c>
      <c r="N12" s="69"/>
      <c r="O12" s="285"/>
      <c r="P12" s="286"/>
      <c r="Q12" s="287"/>
      <c r="R12" s="288"/>
    </row>
    <row r="13" spans="1:18" ht="24.95" customHeight="1">
      <c r="A13" s="69"/>
      <c r="B13" s="482"/>
      <c r="C13" s="483"/>
      <c r="D13" s="483"/>
      <c r="E13" s="483"/>
      <c r="F13" s="483"/>
      <c r="G13" s="483"/>
      <c r="H13" s="483"/>
      <c r="I13" s="484"/>
      <c r="J13" s="88" t="s">
        <v>161</v>
      </c>
      <c r="K13" s="289" t="s">
        <v>179</v>
      </c>
      <c r="L13" s="290" t="s">
        <v>169</v>
      </c>
      <c r="M13" s="291">
        <v>6968</v>
      </c>
      <c r="N13" s="69"/>
      <c r="O13" s="285"/>
      <c r="P13" s="286"/>
      <c r="Q13" s="287"/>
      <c r="R13" s="288"/>
    </row>
    <row r="14" spans="1:18" ht="24.95" customHeight="1" thickBot="1">
      <c r="A14" s="69"/>
      <c r="B14" s="485"/>
      <c r="C14" s="486"/>
      <c r="D14" s="486"/>
      <c r="E14" s="486"/>
      <c r="F14" s="486"/>
      <c r="G14" s="486"/>
      <c r="H14" s="486"/>
      <c r="I14" s="487"/>
      <c r="J14" s="88" t="s">
        <v>162</v>
      </c>
      <c r="K14" s="289" t="s">
        <v>180</v>
      </c>
      <c r="L14" s="290" t="s">
        <v>169</v>
      </c>
      <c r="M14" s="291">
        <v>6968</v>
      </c>
      <c r="N14" s="69"/>
      <c r="O14" s="69"/>
    </row>
    <row r="15" spans="1:18" ht="24.95" customHeight="1" thickTop="1">
      <c r="A15" s="69"/>
      <c r="B15" s="89" t="s">
        <v>47</v>
      </c>
      <c r="C15" s="90"/>
      <c r="D15" s="90"/>
      <c r="E15" s="90"/>
      <c r="F15" s="90"/>
      <c r="G15" s="90"/>
      <c r="H15" s="90"/>
      <c r="I15" s="91"/>
      <c r="J15" s="88" t="s">
        <v>163</v>
      </c>
      <c r="K15" s="289" t="s">
        <v>181</v>
      </c>
      <c r="L15" s="290" t="s">
        <v>169</v>
      </c>
      <c r="M15" s="291">
        <v>6968</v>
      </c>
      <c r="N15" s="69"/>
      <c r="O15" s="69"/>
    </row>
    <row r="16" spans="1:18" ht="24.95" customHeight="1">
      <c r="A16" s="69"/>
      <c r="B16" s="92" t="s">
        <v>48</v>
      </c>
      <c r="C16" s="80" t="s">
        <v>49</v>
      </c>
      <c r="D16" s="80" t="s">
        <v>45</v>
      </c>
      <c r="E16" s="93" t="s">
        <v>46</v>
      </c>
      <c r="F16" s="79" t="s">
        <v>48</v>
      </c>
      <c r="G16" s="80" t="s">
        <v>49</v>
      </c>
      <c r="H16" s="80" t="s">
        <v>45</v>
      </c>
      <c r="I16" s="93" t="s">
        <v>46</v>
      </c>
      <c r="J16" s="88" t="s">
        <v>164</v>
      </c>
      <c r="K16" s="289" t="s">
        <v>182</v>
      </c>
      <c r="L16" s="290" t="s">
        <v>183</v>
      </c>
      <c r="M16" s="291">
        <v>1</v>
      </c>
      <c r="N16" s="69"/>
      <c r="O16" s="69"/>
    </row>
    <row r="17" spans="1:23" ht="24.95" customHeight="1">
      <c r="A17" s="69"/>
      <c r="B17" s="94"/>
      <c r="C17" s="83"/>
      <c r="D17" s="84"/>
      <c r="E17" s="292"/>
      <c r="F17" s="95"/>
      <c r="G17" s="83"/>
      <c r="H17" s="84"/>
      <c r="I17" s="292"/>
      <c r="J17" s="88" t="s">
        <v>165</v>
      </c>
      <c r="K17" s="289" t="s">
        <v>179</v>
      </c>
      <c r="L17" s="290" t="s">
        <v>169</v>
      </c>
      <c r="M17" s="291"/>
      <c r="N17" s="69"/>
      <c r="O17" s="69"/>
    </row>
    <row r="18" spans="1:23" ht="24.95" customHeight="1">
      <c r="A18" s="69"/>
      <c r="B18" s="96"/>
      <c r="C18" s="86"/>
      <c r="D18" s="87"/>
      <c r="E18" s="293"/>
      <c r="F18" s="88"/>
      <c r="G18" s="86"/>
      <c r="H18" s="87"/>
      <c r="I18" s="293"/>
      <c r="J18" s="88" t="s">
        <v>166</v>
      </c>
      <c r="K18" s="289" t="s">
        <v>184</v>
      </c>
      <c r="L18" s="290" t="s">
        <v>169</v>
      </c>
      <c r="M18" s="291">
        <v>2741</v>
      </c>
      <c r="N18" s="69"/>
      <c r="O18" s="69"/>
    </row>
    <row r="19" spans="1:23" ht="24.95" customHeight="1" thickBot="1">
      <c r="A19" s="69"/>
      <c r="B19" s="97"/>
      <c r="C19" s="98"/>
      <c r="D19" s="99"/>
      <c r="E19" s="294"/>
      <c r="F19" s="100"/>
      <c r="G19" s="98"/>
      <c r="H19" s="99"/>
      <c r="I19" s="294"/>
      <c r="J19" s="100" t="s">
        <v>167</v>
      </c>
      <c r="K19" s="295" t="s">
        <v>185</v>
      </c>
      <c r="L19" s="296" t="s">
        <v>186</v>
      </c>
      <c r="M19" s="297">
        <v>40</v>
      </c>
      <c r="N19" s="69"/>
      <c r="O19" s="69"/>
    </row>
    <row r="20" spans="1:23" s="103" customFormat="1" ht="18" customHeight="1">
      <c r="A20" s="362"/>
      <c r="B20" s="362"/>
      <c r="C20" s="362"/>
      <c r="D20" s="362"/>
      <c r="E20" s="362"/>
      <c r="F20" s="362"/>
      <c r="G20" s="362"/>
      <c r="H20" s="362"/>
      <c r="I20" s="362"/>
      <c r="J20" s="363"/>
      <c r="K20" s="362"/>
      <c r="L20" s="362"/>
      <c r="M20" s="364"/>
      <c r="N20" s="362"/>
      <c r="O20" s="362"/>
      <c r="P20" s="256"/>
      <c r="Q20" s="256"/>
      <c r="R20" s="256"/>
      <c r="S20" s="256"/>
      <c r="T20" s="256"/>
      <c r="U20" s="256"/>
      <c r="V20" s="256"/>
      <c r="W20" s="256"/>
    </row>
    <row r="21" spans="1:23">
      <c r="A21" s="69"/>
      <c r="B21" s="69"/>
      <c r="C21" s="69"/>
      <c r="D21" s="69"/>
      <c r="E21" s="69"/>
      <c r="F21" s="69"/>
      <c r="G21" s="69"/>
      <c r="H21" s="69"/>
      <c r="I21" s="69"/>
      <c r="J21" s="69"/>
      <c r="K21" s="69"/>
      <c r="L21" s="69"/>
      <c r="M21" s="69"/>
      <c r="N21" s="69"/>
      <c r="O21" s="69"/>
    </row>
    <row r="22" spans="1:23">
      <c r="A22" s="69"/>
      <c r="B22" s="69"/>
      <c r="C22" s="69"/>
      <c r="D22" s="69"/>
      <c r="E22" s="69"/>
      <c r="F22" s="69"/>
      <c r="G22" s="69"/>
      <c r="H22" s="69"/>
      <c r="I22" s="69"/>
      <c r="J22" s="69"/>
      <c r="K22" s="69"/>
      <c r="L22" s="69"/>
      <c r="M22" s="69"/>
      <c r="N22" s="69"/>
      <c r="O22" s="69"/>
    </row>
    <row r="23" spans="1:23">
      <c r="A23" s="69"/>
      <c r="B23" s="69"/>
      <c r="C23" s="69"/>
      <c r="D23" s="69"/>
      <c r="E23" s="69"/>
      <c r="F23" s="69"/>
      <c r="G23" s="69"/>
      <c r="H23" s="69"/>
      <c r="I23" s="69"/>
      <c r="J23" s="69"/>
      <c r="K23" s="69"/>
      <c r="L23" s="69"/>
      <c r="M23" s="69"/>
      <c r="N23" s="69"/>
      <c r="O23" s="69"/>
    </row>
    <row r="24" spans="1:23">
      <c r="A24" s="69"/>
      <c r="B24" s="69"/>
      <c r="C24" s="69"/>
      <c r="D24" s="69"/>
      <c r="E24" s="69"/>
      <c r="F24" s="69"/>
      <c r="G24" s="69"/>
      <c r="H24" s="69"/>
      <c r="I24" s="69"/>
      <c r="J24" s="69"/>
      <c r="K24" s="69"/>
      <c r="L24" s="69"/>
      <c r="M24" s="69"/>
      <c r="N24" s="69"/>
      <c r="O24" s="69"/>
    </row>
  </sheetData>
  <mergeCells count="2">
    <mergeCell ref="L2:M2"/>
    <mergeCell ref="B4:I14"/>
  </mergeCells>
  <phoneticPr fontId="4"/>
  <pageMargins left="0.70866141732283472" right="0.43307086614173229" top="0.62992125984251968" bottom="0.47244094488188981" header="0.31496062992125984" footer="0.31496062992125984"/>
  <pageSetup paperSize="9" scale="97" fitToHeight="0" orientation="landscape" useFirstPageNumber="1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pageSetUpPr fitToPage="1"/>
  </sheetPr>
  <dimension ref="A1:U23"/>
  <sheetViews>
    <sheetView zoomScaleNormal="100" workbookViewId="0"/>
  </sheetViews>
  <sheetFormatPr defaultColWidth="8.25" defaultRowHeight="13.5"/>
  <cols>
    <col min="1" max="1" width="3.375" style="73" customWidth="1"/>
    <col min="2" max="2" width="10.625" style="73" customWidth="1"/>
    <col min="3" max="3" width="2.375" style="73" customWidth="1"/>
    <col min="4" max="4" width="26.25" style="73" customWidth="1"/>
    <col min="5" max="5" width="18.75" style="73" customWidth="1"/>
    <col min="6" max="6" width="12" style="73" customWidth="1"/>
    <col min="7" max="7" width="6.5" style="73" customWidth="1"/>
    <col min="8" max="15" width="11.625" style="73" customWidth="1"/>
    <col min="16" max="16" width="3.375" style="73" customWidth="1"/>
    <col min="17" max="17" width="11.25" style="73" customWidth="1"/>
    <col min="18" max="18" width="8.25" style="73"/>
    <col min="19" max="19" width="6.625" style="73" customWidth="1"/>
    <col min="20" max="16384" width="8.25" style="73"/>
  </cols>
  <sheetData>
    <row r="1" spans="1:17" ht="9" customHeight="1">
      <c r="A1" s="69"/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</row>
    <row r="2" spans="1:17" ht="30.95" customHeight="1">
      <c r="A2" s="505" t="s">
        <v>50</v>
      </c>
      <c r="B2" s="506"/>
      <c r="C2" s="506"/>
      <c r="D2" s="506"/>
      <c r="E2" s="506"/>
      <c r="F2" s="506"/>
      <c r="G2" s="506"/>
      <c r="H2" s="506"/>
      <c r="I2" s="506"/>
      <c r="J2" s="506"/>
      <c r="K2" s="506"/>
      <c r="L2" s="506"/>
      <c r="M2" s="506"/>
      <c r="N2" s="506"/>
      <c r="O2" s="506"/>
      <c r="P2" s="507"/>
    </row>
    <row r="3" spans="1:17" ht="19.5" customHeight="1" thickBot="1">
      <c r="A3" s="69"/>
      <c r="B3" s="243"/>
      <c r="C3" s="243"/>
      <c r="D3" s="244"/>
      <c r="E3" s="69"/>
      <c r="F3" s="69"/>
      <c r="G3" s="69"/>
      <c r="H3" s="69"/>
      <c r="I3" s="245"/>
      <c r="J3" s="245"/>
      <c r="K3" s="245"/>
      <c r="L3" s="69"/>
      <c r="M3" s="508"/>
      <c r="N3" s="508"/>
      <c r="O3" s="478"/>
      <c r="P3" s="69"/>
    </row>
    <row r="4" spans="1:17" ht="30" customHeight="1">
      <c r="A4" s="69"/>
      <c r="B4" s="104" t="s">
        <v>51</v>
      </c>
      <c r="C4" s="509" t="s">
        <v>148</v>
      </c>
      <c r="D4" s="510"/>
      <c r="E4" s="510"/>
      <c r="F4" s="510"/>
      <c r="G4" s="510"/>
      <c r="H4" s="510"/>
      <c r="I4" s="510"/>
      <c r="J4" s="510"/>
      <c r="K4" s="510"/>
      <c r="L4" s="510"/>
      <c r="M4" s="510"/>
      <c r="N4" s="510"/>
      <c r="O4" s="511"/>
      <c r="P4" s="69"/>
    </row>
    <row r="5" spans="1:17" ht="30" customHeight="1">
      <c r="A5" s="69"/>
      <c r="B5" s="105" t="s">
        <v>52</v>
      </c>
      <c r="C5" s="491" t="s">
        <v>148</v>
      </c>
      <c r="D5" s="512"/>
      <c r="E5" s="246" t="s">
        <v>133</v>
      </c>
      <c r="F5" s="513" t="s">
        <v>195</v>
      </c>
      <c r="G5" s="514"/>
      <c r="H5" s="246" t="s">
        <v>134</v>
      </c>
      <c r="I5" s="491" t="s">
        <v>150</v>
      </c>
      <c r="J5" s="515"/>
      <c r="K5" s="493"/>
      <c r="L5" s="106" t="s">
        <v>118</v>
      </c>
      <c r="M5" s="491" t="s">
        <v>196</v>
      </c>
      <c r="N5" s="515"/>
      <c r="O5" s="516"/>
      <c r="P5" s="69"/>
    </row>
    <row r="6" spans="1:17" ht="30" customHeight="1">
      <c r="A6" s="69"/>
      <c r="B6" s="107" t="s">
        <v>53</v>
      </c>
      <c r="C6" s="491" t="s">
        <v>145</v>
      </c>
      <c r="D6" s="493"/>
      <c r="E6" s="106"/>
      <c r="F6" s="108" t="s">
        <v>54</v>
      </c>
      <c r="G6" s="108" t="s">
        <v>55</v>
      </c>
      <c r="H6" s="109" t="s">
        <v>187</v>
      </c>
      <c r="I6" s="110" t="s">
        <v>188</v>
      </c>
      <c r="J6" s="110" t="s">
        <v>189</v>
      </c>
      <c r="K6" s="110" t="s">
        <v>190</v>
      </c>
      <c r="L6" s="110" t="s">
        <v>191</v>
      </c>
      <c r="M6" s="111" t="s">
        <v>192</v>
      </c>
      <c r="N6" s="110" t="s">
        <v>193</v>
      </c>
      <c r="O6" s="112" t="s">
        <v>194</v>
      </c>
      <c r="P6" s="247"/>
      <c r="Q6" s="248"/>
    </row>
    <row r="7" spans="1:17" ht="30" customHeight="1">
      <c r="A7" s="69"/>
      <c r="B7" s="107" t="s">
        <v>56</v>
      </c>
      <c r="C7" s="491" t="s">
        <v>149</v>
      </c>
      <c r="D7" s="493"/>
      <c r="E7" s="113" t="s">
        <v>57</v>
      </c>
      <c r="F7" s="249">
        <v>147600000</v>
      </c>
      <c r="G7" s="334">
        <v>1</v>
      </c>
      <c r="H7" s="250"/>
      <c r="I7" s="251"/>
      <c r="J7" s="251"/>
      <c r="K7" s="251"/>
      <c r="L7" s="251"/>
      <c r="M7" s="252"/>
      <c r="N7" s="253"/>
      <c r="O7" s="254"/>
      <c r="P7" s="255"/>
      <c r="Q7" s="235"/>
    </row>
    <row r="8" spans="1:17" ht="30" customHeight="1">
      <c r="A8" s="69"/>
      <c r="B8" s="107" t="s">
        <v>58</v>
      </c>
      <c r="C8" s="491"/>
      <c r="D8" s="492"/>
      <c r="E8" s="113" t="s">
        <v>59</v>
      </c>
      <c r="F8" s="249">
        <v>117600000</v>
      </c>
      <c r="G8" s="334">
        <v>0.79669999999999996</v>
      </c>
      <c r="H8" s="250">
        <v>12282633</v>
      </c>
      <c r="I8" s="251">
        <v>7286999</v>
      </c>
      <c r="J8" s="251">
        <v>80723156</v>
      </c>
      <c r="K8" s="251">
        <v>4787900</v>
      </c>
      <c r="L8" s="252">
        <v>2713000</v>
      </c>
      <c r="M8" s="252">
        <v>490000</v>
      </c>
      <c r="N8" s="253">
        <v>7170000</v>
      </c>
      <c r="O8" s="254">
        <v>2146310</v>
      </c>
      <c r="P8" s="255"/>
      <c r="Q8" s="235"/>
    </row>
    <row r="9" spans="1:17" ht="30" customHeight="1">
      <c r="A9" s="69"/>
      <c r="B9" s="107" t="s">
        <v>21</v>
      </c>
      <c r="C9" s="491" t="s">
        <v>151</v>
      </c>
      <c r="D9" s="493"/>
      <c r="E9" s="114" t="s">
        <v>60</v>
      </c>
      <c r="F9" s="249">
        <v>101128310</v>
      </c>
      <c r="G9" s="334">
        <v>0.68520000000000003</v>
      </c>
      <c r="H9" s="250">
        <v>11696343</v>
      </c>
      <c r="I9" s="251">
        <v>7286999</v>
      </c>
      <c r="J9" s="251">
        <v>78533156</v>
      </c>
      <c r="K9" s="251">
        <v>790500</v>
      </c>
      <c r="L9" s="252">
        <v>675000</v>
      </c>
      <c r="M9" s="252"/>
      <c r="N9" s="253"/>
      <c r="O9" s="254">
        <v>2146310</v>
      </c>
      <c r="P9" s="365"/>
      <c r="Q9" s="366"/>
    </row>
    <row r="10" spans="1:17" ht="30" customHeight="1">
      <c r="A10" s="69"/>
      <c r="B10" s="107" t="s">
        <v>61</v>
      </c>
      <c r="C10" s="491" t="s">
        <v>147</v>
      </c>
      <c r="D10" s="493"/>
      <c r="E10" s="114" t="s">
        <v>62</v>
      </c>
      <c r="F10" s="249">
        <v>8865400</v>
      </c>
      <c r="G10" s="334">
        <v>6.0100000000000001E-2</v>
      </c>
      <c r="H10" s="250">
        <v>150000</v>
      </c>
      <c r="I10" s="253"/>
      <c r="J10" s="253">
        <v>2190000</v>
      </c>
      <c r="K10" s="253">
        <v>3997400</v>
      </c>
      <c r="L10" s="251">
        <v>2038000</v>
      </c>
      <c r="M10" s="252">
        <v>490000</v>
      </c>
      <c r="N10" s="253"/>
      <c r="O10" s="254"/>
      <c r="P10" s="365"/>
      <c r="Q10" s="256"/>
    </row>
    <row r="11" spans="1:17" ht="30" customHeight="1">
      <c r="A11" s="69"/>
      <c r="B11" s="107" t="s">
        <v>63</v>
      </c>
      <c r="C11" s="491"/>
      <c r="D11" s="493"/>
      <c r="E11" s="114" t="s">
        <v>64</v>
      </c>
      <c r="F11" s="249">
        <v>7606290</v>
      </c>
      <c r="G11" s="334">
        <v>5.1499999999999997E-2</v>
      </c>
      <c r="H11" s="250">
        <v>436290</v>
      </c>
      <c r="I11" s="253"/>
      <c r="J11" s="253"/>
      <c r="K11" s="253"/>
      <c r="L11" s="251"/>
      <c r="M11" s="252"/>
      <c r="N11" s="253">
        <v>7170000</v>
      </c>
      <c r="O11" s="254"/>
      <c r="P11" s="365"/>
      <c r="Q11" s="256"/>
    </row>
    <row r="12" spans="1:17" ht="30" customHeight="1">
      <c r="A12" s="69"/>
      <c r="B12" s="107" t="s">
        <v>65</v>
      </c>
      <c r="C12" s="491" t="s">
        <v>197</v>
      </c>
      <c r="D12" s="492"/>
      <c r="E12" s="113" t="s">
        <v>66</v>
      </c>
      <c r="F12" s="249">
        <v>30000000</v>
      </c>
      <c r="G12" s="334">
        <v>0.20330000000000001</v>
      </c>
      <c r="H12" s="250"/>
      <c r="I12" s="253"/>
      <c r="J12" s="253"/>
      <c r="K12" s="253"/>
      <c r="L12" s="251"/>
      <c r="M12" s="252"/>
      <c r="N12" s="253"/>
      <c r="O12" s="254"/>
      <c r="P12" s="365"/>
      <c r="Q12" s="256"/>
    </row>
    <row r="13" spans="1:17" ht="30" customHeight="1">
      <c r="A13" s="69"/>
      <c r="B13" s="107" t="s">
        <v>67</v>
      </c>
      <c r="C13" s="491" t="s">
        <v>198</v>
      </c>
      <c r="D13" s="492"/>
      <c r="E13" s="169" t="s">
        <v>110</v>
      </c>
      <c r="F13" s="249">
        <v>9594000</v>
      </c>
      <c r="G13" s="334">
        <v>6.5000000000000002E-2</v>
      </c>
      <c r="H13" s="250"/>
      <c r="I13" s="253"/>
      <c r="J13" s="253"/>
      <c r="K13" s="253"/>
      <c r="L13" s="251"/>
      <c r="M13" s="252"/>
      <c r="N13" s="253"/>
      <c r="O13" s="254"/>
      <c r="P13" s="365"/>
      <c r="Q13" s="256"/>
    </row>
    <row r="14" spans="1:17" ht="30" customHeight="1">
      <c r="A14" s="69"/>
      <c r="B14" s="107" t="s">
        <v>68</v>
      </c>
      <c r="C14" s="491" t="s">
        <v>199</v>
      </c>
      <c r="D14" s="493"/>
      <c r="E14" s="114" t="s">
        <v>111</v>
      </c>
      <c r="F14" s="249">
        <v>7380000</v>
      </c>
      <c r="G14" s="334">
        <v>0.05</v>
      </c>
      <c r="H14" s="250"/>
      <c r="I14" s="253"/>
      <c r="J14" s="253"/>
      <c r="K14" s="253"/>
      <c r="L14" s="251"/>
      <c r="M14" s="252"/>
      <c r="N14" s="253"/>
      <c r="O14" s="254"/>
      <c r="P14" s="365"/>
      <c r="Q14" s="256"/>
    </row>
    <row r="15" spans="1:17" ht="30" customHeight="1">
      <c r="A15" s="69"/>
      <c r="B15" s="236" t="s">
        <v>22</v>
      </c>
      <c r="C15" s="494" t="s">
        <v>200</v>
      </c>
      <c r="D15" s="495"/>
      <c r="E15" s="114" t="s">
        <v>112</v>
      </c>
      <c r="F15" s="249">
        <v>2214000</v>
      </c>
      <c r="G15" s="334">
        <v>1.4999999999999999E-2</v>
      </c>
      <c r="H15" s="250"/>
      <c r="I15" s="253"/>
      <c r="J15" s="253"/>
      <c r="K15" s="253"/>
      <c r="L15" s="251"/>
      <c r="M15" s="252"/>
      <c r="N15" s="253"/>
      <c r="O15" s="254"/>
      <c r="P15" s="362"/>
      <c r="Q15" s="256"/>
    </row>
    <row r="16" spans="1:17" ht="30" customHeight="1">
      <c r="A16" s="69"/>
      <c r="B16" s="107" t="s">
        <v>116</v>
      </c>
      <c r="C16" s="491" t="s">
        <v>200</v>
      </c>
      <c r="D16" s="493"/>
      <c r="E16" s="113" t="s">
        <v>113</v>
      </c>
      <c r="F16" s="249">
        <v>20406000</v>
      </c>
      <c r="G16" s="334">
        <v>0.13830000000000001</v>
      </c>
      <c r="H16" s="250"/>
      <c r="I16" s="253"/>
      <c r="J16" s="253"/>
      <c r="K16" s="253"/>
      <c r="L16" s="251"/>
      <c r="M16" s="252"/>
      <c r="N16" s="253"/>
      <c r="O16" s="254"/>
      <c r="P16" s="365"/>
      <c r="Q16" s="256"/>
    </row>
    <row r="17" spans="1:21" ht="30" customHeight="1">
      <c r="A17" s="69"/>
      <c r="B17" s="496" t="s">
        <v>70</v>
      </c>
      <c r="C17" s="499"/>
      <c r="D17" s="500"/>
      <c r="E17" s="113" t="s">
        <v>114</v>
      </c>
      <c r="F17" s="249">
        <v>1476000</v>
      </c>
      <c r="G17" s="334">
        <v>0.01</v>
      </c>
      <c r="H17" s="250"/>
      <c r="I17" s="253"/>
      <c r="J17" s="253"/>
      <c r="K17" s="253"/>
      <c r="L17" s="251"/>
      <c r="M17" s="252"/>
      <c r="N17" s="253"/>
      <c r="O17" s="254"/>
      <c r="P17" s="365"/>
      <c r="Q17" s="256"/>
    </row>
    <row r="18" spans="1:21" ht="30" customHeight="1">
      <c r="A18" s="69"/>
      <c r="B18" s="497"/>
      <c r="C18" s="501"/>
      <c r="D18" s="502"/>
      <c r="E18" s="168" t="s">
        <v>115</v>
      </c>
      <c r="F18" s="249">
        <v>18930000</v>
      </c>
      <c r="G18" s="334">
        <v>0.1283</v>
      </c>
      <c r="H18" s="250"/>
      <c r="I18" s="253"/>
      <c r="J18" s="253"/>
      <c r="K18" s="253"/>
      <c r="L18" s="251"/>
      <c r="M18" s="252"/>
      <c r="N18" s="253"/>
      <c r="O18" s="254"/>
      <c r="P18" s="365"/>
      <c r="Q18" s="256"/>
    </row>
    <row r="19" spans="1:21" ht="184.5" customHeight="1" thickBot="1">
      <c r="A19" s="69"/>
      <c r="B19" s="498"/>
      <c r="C19" s="503"/>
      <c r="D19" s="504"/>
      <c r="E19" s="173" t="s">
        <v>69</v>
      </c>
      <c r="F19" s="488"/>
      <c r="G19" s="489"/>
      <c r="H19" s="489"/>
      <c r="I19" s="489"/>
      <c r="J19" s="489"/>
      <c r="K19" s="489"/>
      <c r="L19" s="489"/>
      <c r="M19" s="489"/>
      <c r="N19" s="489"/>
      <c r="O19" s="490"/>
      <c r="P19" s="362"/>
      <c r="Q19" s="256"/>
    </row>
    <row r="20" spans="1:21" s="103" customFormat="1">
      <c r="A20" s="362"/>
      <c r="B20" s="362"/>
      <c r="C20" s="362"/>
      <c r="D20" s="362"/>
      <c r="E20" s="362"/>
      <c r="F20" s="362"/>
      <c r="G20" s="362"/>
      <c r="H20" s="362"/>
      <c r="I20" s="362"/>
      <c r="J20" s="362"/>
      <c r="K20" s="362"/>
      <c r="L20" s="362"/>
      <c r="M20" s="362"/>
      <c r="N20" s="362"/>
      <c r="O20" s="367"/>
      <c r="P20" s="362"/>
      <c r="Q20" s="256"/>
      <c r="R20" s="256"/>
      <c r="S20" s="256"/>
      <c r="T20" s="256"/>
      <c r="U20" s="256"/>
    </row>
    <row r="21" spans="1:21">
      <c r="E21" s="256"/>
      <c r="F21" s="256"/>
      <c r="G21" s="256"/>
      <c r="H21" s="256"/>
      <c r="I21" s="256"/>
      <c r="J21" s="256"/>
      <c r="K21" s="256"/>
    </row>
    <row r="22" spans="1:21">
      <c r="E22" s="256"/>
      <c r="F22" s="256"/>
      <c r="G22" s="256"/>
      <c r="H22" s="256"/>
      <c r="I22" s="256"/>
      <c r="J22" s="256"/>
      <c r="K22" s="256"/>
    </row>
    <row r="23" spans="1:21">
      <c r="E23" s="141"/>
      <c r="F23" s="141"/>
      <c r="G23" s="141"/>
      <c r="H23" s="141"/>
    </row>
  </sheetData>
  <mergeCells count="21">
    <mergeCell ref="A2:P2"/>
    <mergeCell ref="M3:O3"/>
    <mergeCell ref="C4:O4"/>
    <mergeCell ref="C5:D5"/>
    <mergeCell ref="F5:G5"/>
    <mergeCell ref="I5:K5"/>
    <mergeCell ref="M5:O5"/>
    <mergeCell ref="B17:B19"/>
    <mergeCell ref="C17:D19"/>
    <mergeCell ref="C6:D6"/>
    <mergeCell ref="C7:D7"/>
    <mergeCell ref="C8:D8"/>
    <mergeCell ref="C9:D9"/>
    <mergeCell ref="C10:D10"/>
    <mergeCell ref="C11:D11"/>
    <mergeCell ref="F19:O19"/>
    <mergeCell ref="C12:D12"/>
    <mergeCell ref="C13:D13"/>
    <mergeCell ref="C14:D14"/>
    <mergeCell ref="C15:D15"/>
    <mergeCell ref="C16:D16"/>
  </mergeCells>
  <phoneticPr fontId="4"/>
  <pageMargins left="0.70866141732283472" right="0.43307086614173229" top="0.62992125984251968" bottom="0.47244094488188981" header="0.31496062992125984" footer="0.31496062992125984"/>
  <pageSetup paperSize="9" scale="70" fitToHeight="0" orientation="landscape" useFirstPageNumber="1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K74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144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148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55</v>
      </c>
      <c r="J5" s="117" t="s">
        <v>95</v>
      </c>
      <c r="K5" s="69"/>
    </row>
    <row r="6" spans="1:11" ht="15.6" customHeight="1">
      <c r="A6" s="69"/>
      <c r="B6" s="222" t="s">
        <v>201</v>
      </c>
      <c r="C6" s="166"/>
      <c r="D6" s="517"/>
      <c r="E6" s="519"/>
      <c r="F6" s="521"/>
      <c r="G6" s="523"/>
      <c r="H6" s="351"/>
      <c r="I6" s="525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/>
      <c r="I7" s="526"/>
      <c r="J7" s="226"/>
      <c r="K7" s="69" t="s">
        <v>96</v>
      </c>
    </row>
    <row r="8" spans="1:11" ht="15.6" customHeight="1">
      <c r="A8" s="69"/>
      <c r="B8" s="222" t="s">
        <v>202</v>
      </c>
      <c r="C8" s="166"/>
      <c r="D8" s="517" t="s">
        <v>183</v>
      </c>
      <c r="E8" s="519">
        <v>1</v>
      </c>
      <c r="F8" s="521">
        <v>1668199</v>
      </c>
      <c r="G8" s="523">
        <v>1668199</v>
      </c>
      <c r="H8" s="351" t="s">
        <v>204</v>
      </c>
      <c r="I8" s="525">
        <v>1.1299999999999999E-2</v>
      </c>
      <c r="J8" s="227"/>
      <c r="K8" s="69" t="s">
        <v>96</v>
      </c>
    </row>
    <row r="9" spans="1:11" ht="15.6" customHeight="1">
      <c r="A9" s="69"/>
      <c r="B9" s="224" t="s">
        <v>203</v>
      </c>
      <c r="C9" s="225"/>
      <c r="D9" s="518"/>
      <c r="E9" s="520"/>
      <c r="F9" s="522"/>
      <c r="G9" s="524"/>
      <c r="H9" s="352" t="s">
        <v>205</v>
      </c>
      <c r="I9" s="526"/>
      <c r="J9" s="227"/>
      <c r="K9" s="69" t="s">
        <v>96</v>
      </c>
    </row>
    <row r="10" spans="1:11" ht="15.6" customHeight="1">
      <c r="A10" s="69"/>
      <c r="B10" s="222" t="s">
        <v>206</v>
      </c>
      <c r="C10" s="166"/>
      <c r="D10" s="517" t="s">
        <v>183</v>
      </c>
      <c r="E10" s="519">
        <v>1</v>
      </c>
      <c r="F10" s="521">
        <v>12839249</v>
      </c>
      <c r="G10" s="523">
        <v>12839249</v>
      </c>
      <c r="H10" s="351" t="s">
        <v>207</v>
      </c>
      <c r="I10" s="525">
        <v>8.6900000000000005E-2</v>
      </c>
      <c r="J10" s="223"/>
      <c r="K10" s="69" t="s">
        <v>96</v>
      </c>
    </row>
    <row r="11" spans="1:11" ht="15.6" customHeight="1">
      <c r="A11" s="69"/>
      <c r="B11" s="224" t="s">
        <v>203</v>
      </c>
      <c r="C11" s="225"/>
      <c r="D11" s="518"/>
      <c r="E11" s="520"/>
      <c r="F11" s="522"/>
      <c r="G11" s="524"/>
      <c r="H11" s="352" t="s">
        <v>205</v>
      </c>
      <c r="I11" s="526"/>
      <c r="J11" s="226"/>
      <c r="K11" s="69" t="s">
        <v>96</v>
      </c>
    </row>
    <row r="12" spans="1:11" ht="15.6" customHeight="1">
      <c r="A12" s="69"/>
      <c r="B12" s="222" t="s">
        <v>208</v>
      </c>
      <c r="C12" s="166"/>
      <c r="D12" s="517" t="s">
        <v>183</v>
      </c>
      <c r="E12" s="519">
        <v>1</v>
      </c>
      <c r="F12" s="521">
        <v>50459150</v>
      </c>
      <c r="G12" s="523">
        <v>50459150</v>
      </c>
      <c r="H12" s="351" t="s">
        <v>209</v>
      </c>
      <c r="I12" s="525">
        <v>0.34179999999999999</v>
      </c>
      <c r="J12" s="223"/>
      <c r="K12" s="69" t="s">
        <v>96</v>
      </c>
    </row>
    <row r="13" spans="1:11" ht="15.6" customHeight="1">
      <c r="A13" s="69"/>
      <c r="B13" s="224" t="s">
        <v>203</v>
      </c>
      <c r="C13" s="225"/>
      <c r="D13" s="518"/>
      <c r="E13" s="520"/>
      <c r="F13" s="522"/>
      <c r="G13" s="524"/>
      <c r="H13" s="352" t="s">
        <v>205</v>
      </c>
      <c r="I13" s="526"/>
      <c r="J13" s="226"/>
      <c r="K13" s="69" t="s">
        <v>96</v>
      </c>
    </row>
    <row r="14" spans="1:11" ht="15.6" customHeight="1">
      <c r="A14" s="69"/>
      <c r="B14" s="222" t="s">
        <v>210</v>
      </c>
      <c r="C14" s="166"/>
      <c r="D14" s="517" t="s">
        <v>183</v>
      </c>
      <c r="E14" s="519">
        <v>1</v>
      </c>
      <c r="F14" s="521">
        <v>26208120</v>
      </c>
      <c r="G14" s="523">
        <v>26208120</v>
      </c>
      <c r="H14" s="351" t="s">
        <v>211</v>
      </c>
      <c r="I14" s="525">
        <v>0.17749999999999999</v>
      </c>
      <c r="J14" s="223"/>
      <c r="K14" s="69" t="s">
        <v>96</v>
      </c>
    </row>
    <row r="15" spans="1:11" ht="15.6" customHeight="1">
      <c r="A15" s="69"/>
      <c r="B15" s="224" t="s">
        <v>203</v>
      </c>
      <c r="C15" s="225"/>
      <c r="D15" s="518"/>
      <c r="E15" s="520"/>
      <c r="F15" s="522"/>
      <c r="G15" s="524"/>
      <c r="H15" s="352" t="s">
        <v>205</v>
      </c>
      <c r="I15" s="526"/>
      <c r="J15" s="226"/>
      <c r="K15" s="69" t="s">
        <v>96</v>
      </c>
    </row>
    <row r="16" spans="1:11" ht="15.6" customHeight="1">
      <c r="A16" s="69"/>
      <c r="B16" s="222" t="s">
        <v>212</v>
      </c>
      <c r="C16" s="166"/>
      <c r="D16" s="517" t="s">
        <v>183</v>
      </c>
      <c r="E16" s="519">
        <v>1</v>
      </c>
      <c r="F16" s="521"/>
      <c r="G16" s="523"/>
      <c r="H16" s="351" t="s">
        <v>213</v>
      </c>
      <c r="I16" s="525"/>
      <c r="J16" s="223"/>
      <c r="K16" s="69" t="s">
        <v>96</v>
      </c>
    </row>
    <row r="17" spans="1:11" ht="15.6" customHeight="1">
      <c r="A17" s="69"/>
      <c r="B17" s="224" t="s">
        <v>203</v>
      </c>
      <c r="C17" s="225"/>
      <c r="D17" s="518"/>
      <c r="E17" s="520"/>
      <c r="F17" s="522"/>
      <c r="G17" s="524"/>
      <c r="H17" s="352" t="s">
        <v>205</v>
      </c>
      <c r="I17" s="526"/>
      <c r="J17" s="226"/>
      <c r="K17" s="69" t="s">
        <v>96</v>
      </c>
    </row>
    <row r="18" spans="1:11" ht="15.6" customHeight="1">
      <c r="A18" s="69"/>
      <c r="B18" s="222" t="s">
        <v>214</v>
      </c>
      <c r="C18" s="166"/>
      <c r="D18" s="517" t="s">
        <v>183</v>
      </c>
      <c r="E18" s="519">
        <v>1</v>
      </c>
      <c r="F18" s="521">
        <v>2146310</v>
      </c>
      <c r="G18" s="523">
        <v>2146310</v>
      </c>
      <c r="H18" s="351" t="s">
        <v>215</v>
      </c>
      <c r="I18" s="525">
        <v>1.4500000000000001E-2</v>
      </c>
      <c r="J18" s="223"/>
      <c r="K18" s="69" t="s">
        <v>96</v>
      </c>
    </row>
    <row r="19" spans="1:11" ht="15.6" customHeight="1">
      <c r="A19" s="69"/>
      <c r="B19" s="224" t="s">
        <v>203</v>
      </c>
      <c r="C19" s="225"/>
      <c r="D19" s="518"/>
      <c r="E19" s="520"/>
      <c r="F19" s="522"/>
      <c r="G19" s="524"/>
      <c r="H19" s="352" t="s">
        <v>205</v>
      </c>
      <c r="I19" s="526"/>
      <c r="J19" s="226"/>
      <c r="K19" s="69" t="s">
        <v>96</v>
      </c>
    </row>
    <row r="20" spans="1:11" ht="15.6" customHeight="1">
      <c r="A20" s="69"/>
      <c r="B20" s="222" t="s">
        <v>216</v>
      </c>
      <c r="C20" s="166"/>
      <c r="D20" s="517" t="s">
        <v>183</v>
      </c>
      <c r="E20" s="519">
        <v>1</v>
      </c>
      <c r="F20" s="521">
        <v>5242000</v>
      </c>
      <c r="G20" s="523">
        <v>5242000</v>
      </c>
      <c r="H20" s="351" t="s">
        <v>217</v>
      </c>
      <c r="I20" s="525">
        <v>3.5499999999999997E-2</v>
      </c>
      <c r="J20" s="223"/>
      <c r="K20" s="69" t="s">
        <v>96</v>
      </c>
    </row>
    <row r="21" spans="1:11" ht="15.6" customHeight="1">
      <c r="A21" s="69"/>
      <c r="B21" s="224" t="s">
        <v>203</v>
      </c>
      <c r="C21" s="225"/>
      <c r="D21" s="518"/>
      <c r="E21" s="520"/>
      <c r="F21" s="522"/>
      <c r="G21" s="524"/>
      <c r="H21" s="352" t="s">
        <v>205</v>
      </c>
      <c r="I21" s="526"/>
      <c r="J21" s="226"/>
      <c r="K21" s="69" t="s">
        <v>96</v>
      </c>
    </row>
    <row r="22" spans="1:11" ht="15.6" customHeight="1">
      <c r="A22" s="69"/>
      <c r="B22" s="222" t="s">
        <v>218</v>
      </c>
      <c r="C22" s="166"/>
      <c r="D22" s="517" t="s">
        <v>183</v>
      </c>
      <c r="E22" s="519">
        <v>1</v>
      </c>
      <c r="F22" s="521">
        <v>2550000</v>
      </c>
      <c r="G22" s="523">
        <v>2550000</v>
      </c>
      <c r="H22" s="351" t="s">
        <v>220</v>
      </c>
      <c r="I22" s="525">
        <v>1.72E-2</v>
      </c>
      <c r="J22" s="223"/>
      <c r="K22" s="69" t="s">
        <v>96</v>
      </c>
    </row>
    <row r="23" spans="1:11" ht="15.6" customHeight="1">
      <c r="A23" s="69"/>
      <c r="B23" s="224" t="s">
        <v>219</v>
      </c>
      <c r="C23" s="225"/>
      <c r="D23" s="518"/>
      <c r="E23" s="520"/>
      <c r="F23" s="522"/>
      <c r="G23" s="524"/>
      <c r="H23" s="352" t="s">
        <v>205</v>
      </c>
      <c r="I23" s="526"/>
      <c r="J23" s="226"/>
      <c r="K23" s="69" t="s">
        <v>96</v>
      </c>
    </row>
    <row r="24" spans="1:11" ht="15.6" customHeight="1">
      <c r="A24" s="69"/>
      <c r="B24" s="222" t="s">
        <v>221</v>
      </c>
      <c r="C24" s="166"/>
      <c r="D24" s="517" t="s">
        <v>183</v>
      </c>
      <c r="E24" s="519">
        <v>1</v>
      </c>
      <c r="F24" s="521">
        <v>15282</v>
      </c>
      <c r="G24" s="523">
        <v>15282</v>
      </c>
      <c r="H24" s="351" t="s">
        <v>222</v>
      </c>
      <c r="I24" s="525">
        <v>1E-4</v>
      </c>
      <c r="J24" s="223"/>
      <c r="K24" s="69" t="s">
        <v>96</v>
      </c>
    </row>
    <row r="25" spans="1:11" ht="15.6" customHeight="1">
      <c r="A25" s="69"/>
      <c r="B25" s="224" t="s">
        <v>203</v>
      </c>
      <c r="C25" s="225"/>
      <c r="D25" s="518"/>
      <c r="E25" s="520"/>
      <c r="F25" s="522"/>
      <c r="G25" s="524"/>
      <c r="H25" s="352" t="s">
        <v>205</v>
      </c>
      <c r="I25" s="526"/>
      <c r="J25" s="226"/>
      <c r="K25" s="69" t="s">
        <v>96</v>
      </c>
    </row>
    <row r="26" spans="1:11" ht="15.6" customHeight="1">
      <c r="A26" s="69"/>
      <c r="B26" s="222" t="s">
        <v>223</v>
      </c>
      <c r="C26" s="166"/>
      <c r="D26" s="517"/>
      <c r="E26" s="519"/>
      <c r="F26" s="521"/>
      <c r="G26" s="523">
        <v>101128310</v>
      </c>
      <c r="H26" s="351"/>
      <c r="I26" s="525">
        <v>0.68520000000000003</v>
      </c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526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525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526"/>
      <c r="J29" s="226"/>
      <c r="K29" s="69" t="s">
        <v>96</v>
      </c>
    </row>
    <row r="30" spans="1:11" ht="15.6" customHeight="1">
      <c r="A30" s="69"/>
      <c r="B30" s="222" t="s">
        <v>224</v>
      </c>
      <c r="C30" s="166"/>
      <c r="D30" s="517"/>
      <c r="E30" s="519"/>
      <c r="F30" s="521"/>
      <c r="G30" s="523"/>
      <c r="H30" s="351"/>
      <c r="I30" s="525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526"/>
      <c r="J31" s="226"/>
      <c r="K31" s="69" t="s">
        <v>96</v>
      </c>
    </row>
    <row r="32" spans="1:11" ht="15.6" customHeight="1">
      <c r="A32" s="69"/>
      <c r="B32" s="222" t="s">
        <v>225</v>
      </c>
      <c r="C32" s="166"/>
      <c r="D32" s="532" t="s">
        <v>183</v>
      </c>
      <c r="E32" s="519">
        <v>1</v>
      </c>
      <c r="F32" s="521">
        <v>8865400</v>
      </c>
      <c r="G32" s="523">
        <v>8865400</v>
      </c>
      <c r="H32" s="351"/>
      <c r="I32" s="525">
        <v>6.0100000000000001E-2</v>
      </c>
      <c r="J32" s="223"/>
      <c r="K32" s="69" t="s">
        <v>96</v>
      </c>
    </row>
    <row r="33" spans="1:11" ht="15.6" customHeight="1">
      <c r="A33" s="69"/>
      <c r="B33" s="224" t="s">
        <v>203</v>
      </c>
      <c r="C33" s="225"/>
      <c r="D33" s="532"/>
      <c r="E33" s="520"/>
      <c r="F33" s="522"/>
      <c r="G33" s="524"/>
      <c r="H33" s="354"/>
      <c r="I33" s="526"/>
      <c r="J33" s="226"/>
      <c r="K33" s="69" t="s">
        <v>96</v>
      </c>
    </row>
    <row r="34" spans="1:11" ht="15.6" customHeight="1">
      <c r="A34" s="69"/>
      <c r="B34" s="222" t="s">
        <v>226</v>
      </c>
      <c r="C34" s="166"/>
      <c r="D34" s="517" t="s">
        <v>183</v>
      </c>
      <c r="E34" s="519">
        <v>1</v>
      </c>
      <c r="F34" s="521">
        <v>7606290</v>
      </c>
      <c r="G34" s="523">
        <v>7606290</v>
      </c>
      <c r="H34" s="351"/>
      <c r="I34" s="525">
        <v>5.1499999999999997E-2</v>
      </c>
      <c r="J34" s="223"/>
      <c r="K34" s="69" t="s">
        <v>96</v>
      </c>
    </row>
    <row r="35" spans="1:11" ht="15.6" customHeight="1">
      <c r="A35" s="69"/>
      <c r="B35" s="224" t="s">
        <v>203</v>
      </c>
      <c r="C35" s="225"/>
      <c r="D35" s="518"/>
      <c r="E35" s="520"/>
      <c r="F35" s="522"/>
      <c r="G35" s="524"/>
      <c r="H35" s="352"/>
      <c r="I35" s="526"/>
      <c r="J35" s="226"/>
      <c r="K35" s="69" t="s">
        <v>96</v>
      </c>
    </row>
    <row r="36" spans="1:11" ht="15.6" customHeight="1">
      <c r="A36" s="69"/>
      <c r="B36" s="301" t="s">
        <v>227</v>
      </c>
      <c r="C36" s="302"/>
      <c r="D36" s="517"/>
      <c r="E36" s="519"/>
      <c r="F36" s="521"/>
      <c r="G36" s="523">
        <v>16471690</v>
      </c>
      <c r="H36" s="351"/>
      <c r="I36" s="525">
        <v>0.1115</v>
      </c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531"/>
      <c r="J37" s="230"/>
      <c r="K37" s="69" t="s">
        <v>96</v>
      </c>
    </row>
    <row r="38" spans="1:11" ht="30" customHeight="1" thickBot="1">
      <c r="A38" s="69"/>
      <c r="B38" s="142"/>
      <c r="C38" s="142"/>
      <c r="D38" s="533" t="s">
        <v>144</v>
      </c>
      <c r="E38" s="533"/>
      <c r="F38" s="533"/>
      <c r="G38" s="533"/>
      <c r="H38" s="69"/>
      <c r="I38" s="69"/>
      <c r="J38" s="69"/>
      <c r="K38" s="69"/>
    </row>
    <row r="39" spans="1:11" ht="15.95" customHeight="1">
      <c r="A39" s="143"/>
      <c r="B39" s="143"/>
      <c r="C39" s="143"/>
      <c r="D39" s="143"/>
      <c r="E39" s="143"/>
      <c r="F39" s="143"/>
      <c r="G39" s="143"/>
      <c r="H39" s="143"/>
      <c r="I39" s="143"/>
      <c r="J39" s="143"/>
      <c r="K39" s="143"/>
    </row>
    <row r="40" spans="1:11" ht="30.95" customHeight="1">
      <c r="A40" s="144"/>
      <c r="B40" s="298" t="s">
        <v>89</v>
      </c>
      <c r="C40" s="219" t="s">
        <v>148</v>
      </c>
      <c r="D40" s="285"/>
      <c r="E40" s="299"/>
      <c r="F40" s="167"/>
      <c r="G40" s="167"/>
      <c r="H40" s="167"/>
      <c r="I40" s="167"/>
      <c r="J40" s="300"/>
      <c r="K40" s="144"/>
    </row>
    <row r="41" spans="1:11" ht="14.1" customHeight="1" thickBot="1">
      <c r="A41" s="69"/>
      <c r="B41" s="69"/>
      <c r="C41" s="69"/>
      <c r="D41" s="69"/>
      <c r="E41" s="69"/>
      <c r="F41" s="69"/>
      <c r="G41" s="69"/>
      <c r="H41" s="69"/>
      <c r="I41" s="69"/>
      <c r="J41" s="72"/>
      <c r="K41" s="69"/>
    </row>
    <row r="42" spans="1:11" ht="17.45" customHeight="1">
      <c r="A42" s="69"/>
      <c r="B42" s="534" t="s">
        <v>90</v>
      </c>
      <c r="C42" s="535"/>
      <c r="D42" s="220" t="s">
        <v>77</v>
      </c>
      <c r="E42" s="220" t="s">
        <v>91</v>
      </c>
      <c r="F42" s="220" t="s">
        <v>92</v>
      </c>
      <c r="G42" s="220" t="s">
        <v>73</v>
      </c>
      <c r="H42" s="221" t="s">
        <v>93</v>
      </c>
      <c r="I42" s="220" t="s">
        <v>55</v>
      </c>
      <c r="J42" s="117" t="s">
        <v>95</v>
      </c>
      <c r="K42" s="69"/>
    </row>
    <row r="43" spans="1:11" ht="15.6" customHeight="1">
      <c r="A43" s="69"/>
      <c r="B43" s="222"/>
      <c r="C43" s="166"/>
      <c r="D43" s="517"/>
      <c r="E43" s="519"/>
      <c r="F43" s="521"/>
      <c r="G43" s="523"/>
      <c r="H43" s="351"/>
      <c r="I43" s="525"/>
      <c r="J43" s="223"/>
      <c r="K43" s="69" t="s">
        <v>96</v>
      </c>
    </row>
    <row r="44" spans="1:11" ht="15.6" customHeight="1">
      <c r="A44" s="69"/>
      <c r="B44" s="224"/>
      <c r="C44" s="225"/>
      <c r="D44" s="518"/>
      <c r="E44" s="520"/>
      <c r="F44" s="522"/>
      <c r="G44" s="524"/>
      <c r="H44" s="352"/>
      <c r="I44" s="526"/>
      <c r="J44" s="226"/>
      <c r="K44" s="69" t="s">
        <v>96</v>
      </c>
    </row>
    <row r="45" spans="1:11" ht="15.6" customHeight="1">
      <c r="A45" s="69"/>
      <c r="B45" s="222" t="s">
        <v>228</v>
      </c>
      <c r="C45" s="166"/>
      <c r="D45" s="517"/>
      <c r="E45" s="519"/>
      <c r="F45" s="521"/>
      <c r="G45" s="523">
        <v>117600000</v>
      </c>
      <c r="H45" s="351"/>
      <c r="I45" s="525">
        <v>0.79669999999999996</v>
      </c>
      <c r="J45" s="227"/>
      <c r="K45" s="69" t="s">
        <v>96</v>
      </c>
    </row>
    <row r="46" spans="1:11" ht="15.6" customHeight="1">
      <c r="A46" s="69"/>
      <c r="B46" s="224"/>
      <c r="C46" s="225"/>
      <c r="D46" s="518"/>
      <c r="E46" s="520"/>
      <c r="F46" s="522"/>
      <c r="G46" s="524"/>
      <c r="H46" s="352"/>
      <c r="I46" s="526"/>
      <c r="J46" s="227"/>
      <c r="K46" s="69" t="s">
        <v>96</v>
      </c>
    </row>
    <row r="47" spans="1:11" ht="15.6" customHeight="1">
      <c r="A47" s="69"/>
      <c r="B47" s="222"/>
      <c r="C47" s="166"/>
      <c r="D47" s="517"/>
      <c r="E47" s="519"/>
      <c r="F47" s="521"/>
      <c r="G47" s="523"/>
      <c r="H47" s="351"/>
      <c r="I47" s="525"/>
      <c r="J47" s="223"/>
      <c r="K47" s="69" t="s">
        <v>96</v>
      </c>
    </row>
    <row r="48" spans="1:11" ht="15.6" customHeight="1">
      <c r="A48" s="69"/>
      <c r="B48" s="224"/>
      <c r="C48" s="225"/>
      <c r="D48" s="518"/>
      <c r="E48" s="520"/>
      <c r="F48" s="522"/>
      <c r="G48" s="524"/>
      <c r="H48" s="352"/>
      <c r="I48" s="526"/>
      <c r="J48" s="226"/>
      <c r="K48" s="69" t="s">
        <v>96</v>
      </c>
    </row>
    <row r="49" spans="1:11" ht="15.6" customHeight="1">
      <c r="A49" s="69"/>
      <c r="B49" s="222" t="s">
        <v>229</v>
      </c>
      <c r="C49" s="166"/>
      <c r="D49" s="517"/>
      <c r="E49" s="519"/>
      <c r="F49" s="521"/>
      <c r="G49" s="523">
        <v>30000000</v>
      </c>
      <c r="H49" s="351"/>
      <c r="I49" s="525">
        <v>0.20330000000000001</v>
      </c>
      <c r="J49" s="223"/>
      <c r="K49" s="69" t="s">
        <v>96</v>
      </c>
    </row>
    <row r="50" spans="1:11" ht="15.6" customHeight="1">
      <c r="A50" s="69"/>
      <c r="B50" s="224"/>
      <c r="C50" s="225"/>
      <c r="D50" s="518"/>
      <c r="E50" s="520"/>
      <c r="F50" s="522"/>
      <c r="G50" s="524"/>
      <c r="H50" s="352"/>
      <c r="I50" s="526"/>
      <c r="J50" s="226"/>
      <c r="K50" s="69" t="s">
        <v>96</v>
      </c>
    </row>
    <row r="51" spans="1:11" ht="15.6" customHeight="1">
      <c r="A51" s="69"/>
      <c r="B51" s="222"/>
      <c r="C51" s="166"/>
      <c r="D51" s="517"/>
      <c r="E51" s="519"/>
      <c r="F51" s="521"/>
      <c r="G51" s="523"/>
      <c r="H51" s="351"/>
      <c r="I51" s="525"/>
      <c r="J51" s="223"/>
      <c r="K51" s="69" t="s">
        <v>96</v>
      </c>
    </row>
    <row r="52" spans="1:11" ht="15.6" customHeight="1">
      <c r="A52" s="69"/>
      <c r="B52" s="224"/>
      <c r="C52" s="225"/>
      <c r="D52" s="518"/>
      <c r="E52" s="520"/>
      <c r="F52" s="522"/>
      <c r="G52" s="524"/>
      <c r="H52" s="352"/>
      <c r="I52" s="526"/>
      <c r="J52" s="226"/>
      <c r="K52" s="69" t="s">
        <v>96</v>
      </c>
    </row>
    <row r="53" spans="1:11" ht="15.6" customHeight="1">
      <c r="A53" s="69"/>
      <c r="B53" s="222" t="s">
        <v>131</v>
      </c>
      <c r="C53" s="166"/>
      <c r="D53" s="517"/>
      <c r="E53" s="519"/>
      <c r="F53" s="521"/>
      <c r="G53" s="523">
        <v>147600000</v>
      </c>
      <c r="H53" s="351"/>
      <c r="I53" s="525">
        <v>1</v>
      </c>
      <c r="J53" s="223"/>
      <c r="K53" s="69" t="s">
        <v>96</v>
      </c>
    </row>
    <row r="54" spans="1:11" ht="15.6" customHeight="1">
      <c r="A54" s="69"/>
      <c r="B54" s="224"/>
      <c r="C54" s="225"/>
      <c r="D54" s="518"/>
      <c r="E54" s="520"/>
      <c r="F54" s="522"/>
      <c r="G54" s="524"/>
      <c r="H54" s="352"/>
      <c r="I54" s="526"/>
      <c r="J54" s="226"/>
      <c r="K54" s="69" t="s">
        <v>96</v>
      </c>
    </row>
    <row r="55" spans="1:11" ht="15.6" customHeight="1">
      <c r="A55" s="69"/>
      <c r="B55" s="222"/>
      <c r="C55" s="166"/>
      <c r="D55" s="517"/>
      <c r="E55" s="519"/>
      <c r="F55" s="521"/>
      <c r="G55" s="523"/>
      <c r="H55" s="351"/>
      <c r="I55" s="525"/>
      <c r="J55" s="223"/>
      <c r="K55" s="69" t="s">
        <v>96</v>
      </c>
    </row>
    <row r="56" spans="1:11" ht="15.6" customHeight="1">
      <c r="A56" s="69"/>
      <c r="B56" s="224"/>
      <c r="C56" s="225"/>
      <c r="D56" s="518"/>
      <c r="E56" s="520"/>
      <c r="F56" s="522"/>
      <c r="G56" s="524"/>
      <c r="H56" s="352"/>
      <c r="I56" s="526"/>
      <c r="J56" s="226"/>
      <c r="K56" s="69" t="s">
        <v>96</v>
      </c>
    </row>
    <row r="57" spans="1:11" ht="15.6" customHeight="1">
      <c r="A57" s="69"/>
      <c r="B57" s="222"/>
      <c r="C57" s="166"/>
      <c r="D57" s="517"/>
      <c r="E57" s="519"/>
      <c r="F57" s="521"/>
      <c r="G57" s="523"/>
      <c r="H57" s="351"/>
      <c r="I57" s="525"/>
      <c r="J57" s="223"/>
      <c r="K57" s="69" t="s">
        <v>96</v>
      </c>
    </row>
    <row r="58" spans="1:11" ht="15.6" customHeight="1">
      <c r="A58" s="69"/>
      <c r="B58" s="224"/>
      <c r="C58" s="225"/>
      <c r="D58" s="518"/>
      <c r="E58" s="520"/>
      <c r="F58" s="522"/>
      <c r="G58" s="524"/>
      <c r="H58" s="352"/>
      <c r="I58" s="526"/>
      <c r="J58" s="226"/>
      <c r="K58" s="69" t="s">
        <v>96</v>
      </c>
    </row>
    <row r="59" spans="1:11" ht="15.6" customHeight="1">
      <c r="A59" s="69"/>
      <c r="B59" s="222"/>
      <c r="C59" s="166"/>
      <c r="D59" s="517"/>
      <c r="E59" s="519"/>
      <c r="F59" s="521"/>
      <c r="G59" s="523"/>
      <c r="H59" s="351"/>
      <c r="I59" s="525"/>
      <c r="J59" s="223"/>
      <c r="K59" s="69" t="s">
        <v>96</v>
      </c>
    </row>
    <row r="60" spans="1:11" ht="15.6" customHeight="1">
      <c r="A60" s="69"/>
      <c r="B60" s="224"/>
      <c r="C60" s="225"/>
      <c r="D60" s="518"/>
      <c r="E60" s="520"/>
      <c r="F60" s="522"/>
      <c r="G60" s="524"/>
      <c r="H60" s="352"/>
      <c r="I60" s="526"/>
      <c r="J60" s="226"/>
      <c r="K60" s="69" t="s">
        <v>96</v>
      </c>
    </row>
    <row r="61" spans="1:11" ht="15.6" customHeight="1">
      <c r="A61" s="69"/>
      <c r="B61" s="222"/>
      <c r="C61" s="166"/>
      <c r="D61" s="517"/>
      <c r="E61" s="519"/>
      <c r="F61" s="521"/>
      <c r="G61" s="523"/>
      <c r="H61" s="351"/>
      <c r="I61" s="525"/>
      <c r="J61" s="223"/>
      <c r="K61" s="69" t="s">
        <v>96</v>
      </c>
    </row>
    <row r="62" spans="1:11" ht="15.6" customHeight="1">
      <c r="A62" s="69"/>
      <c r="B62" s="224"/>
      <c r="C62" s="225"/>
      <c r="D62" s="518"/>
      <c r="E62" s="520"/>
      <c r="F62" s="522"/>
      <c r="G62" s="524"/>
      <c r="H62" s="352"/>
      <c r="I62" s="526"/>
      <c r="J62" s="226"/>
      <c r="K62" s="69" t="s">
        <v>96</v>
      </c>
    </row>
    <row r="63" spans="1:11" ht="15.6" customHeight="1">
      <c r="A63" s="69"/>
      <c r="B63" s="222"/>
      <c r="C63" s="166"/>
      <c r="D63" s="517"/>
      <c r="E63" s="519"/>
      <c r="F63" s="521"/>
      <c r="G63" s="523"/>
      <c r="H63" s="351"/>
      <c r="I63" s="525"/>
      <c r="J63" s="223"/>
      <c r="K63" s="69" t="s">
        <v>96</v>
      </c>
    </row>
    <row r="64" spans="1:11" ht="15.6" customHeight="1">
      <c r="A64" s="69"/>
      <c r="B64" s="224"/>
      <c r="C64" s="225"/>
      <c r="D64" s="518"/>
      <c r="E64" s="520"/>
      <c r="F64" s="522"/>
      <c r="G64" s="524"/>
      <c r="H64" s="352"/>
      <c r="I64" s="526"/>
      <c r="J64" s="226"/>
      <c r="K64" s="69" t="s">
        <v>96</v>
      </c>
    </row>
    <row r="65" spans="1:11" ht="15.6" customHeight="1">
      <c r="A65" s="69"/>
      <c r="B65" s="222"/>
      <c r="C65" s="166"/>
      <c r="D65" s="517"/>
      <c r="E65" s="519"/>
      <c r="F65" s="521"/>
      <c r="G65" s="523"/>
      <c r="H65" s="351"/>
      <c r="I65" s="525"/>
      <c r="J65" s="223"/>
      <c r="K65" s="69" t="s">
        <v>96</v>
      </c>
    </row>
    <row r="66" spans="1:11" ht="15.6" customHeight="1">
      <c r="A66" s="69"/>
      <c r="B66" s="224"/>
      <c r="C66" s="225"/>
      <c r="D66" s="518"/>
      <c r="E66" s="520"/>
      <c r="F66" s="522"/>
      <c r="G66" s="524"/>
      <c r="H66" s="352"/>
      <c r="I66" s="526"/>
      <c r="J66" s="226"/>
      <c r="K66" s="69" t="s">
        <v>96</v>
      </c>
    </row>
    <row r="67" spans="1:11" ht="15.6" customHeight="1">
      <c r="A67" s="69"/>
      <c r="B67" s="222"/>
      <c r="C67" s="166"/>
      <c r="D67" s="517"/>
      <c r="E67" s="519"/>
      <c r="F67" s="521"/>
      <c r="G67" s="523"/>
      <c r="H67" s="351"/>
      <c r="I67" s="525"/>
      <c r="J67" s="223"/>
      <c r="K67" s="69" t="s">
        <v>96</v>
      </c>
    </row>
    <row r="68" spans="1:11" ht="15.6" customHeight="1">
      <c r="A68" s="69"/>
      <c r="B68" s="224"/>
      <c r="C68" s="225"/>
      <c r="D68" s="518"/>
      <c r="E68" s="520"/>
      <c r="F68" s="522"/>
      <c r="G68" s="524"/>
      <c r="H68" s="352"/>
      <c r="I68" s="526"/>
      <c r="J68" s="226"/>
      <c r="K68" s="69" t="s">
        <v>96</v>
      </c>
    </row>
    <row r="69" spans="1:11" ht="15.6" customHeight="1">
      <c r="A69" s="69"/>
      <c r="B69" s="222"/>
      <c r="C69" s="166"/>
      <c r="D69" s="532"/>
      <c r="E69" s="519"/>
      <c r="F69" s="521"/>
      <c r="G69" s="523"/>
      <c r="H69" s="351"/>
      <c r="I69" s="525"/>
      <c r="J69" s="223"/>
      <c r="K69" s="69" t="s">
        <v>96</v>
      </c>
    </row>
    <row r="70" spans="1:11" ht="15.6" customHeight="1">
      <c r="A70" s="69"/>
      <c r="B70" s="224"/>
      <c r="C70" s="225"/>
      <c r="D70" s="532"/>
      <c r="E70" s="520"/>
      <c r="F70" s="522"/>
      <c r="G70" s="524"/>
      <c r="H70" s="354"/>
      <c r="I70" s="526"/>
      <c r="J70" s="226"/>
      <c r="K70" s="69" t="s">
        <v>96</v>
      </c>
    </row>
    <row r="71" spans="1:11" ht="15.6" customHeight="1">
      <c r="A71" s="69"/>
      <c r="B71" s="222"/>
      <c r="C71" s="166"/>
      <c r="D71" s="517"/>
      <c r="E71" s="519"/>
      <c r="F71" s="521"/>
      <c r="G71" s="523"/>
      <c r="H71" s="351"/>
      <c r="I71" s="525"/>
      <c r="J71" s="223"/>
      <c r="K71" s="69" t="s">
        <v>96</v>
      </c>
    </row>
    <row r="72" spans="1:11" ht="15.6" customHeight="1">
      <c r="A72" s="69"/>
      <c r="B72" s="224"/>
      <c r="C72" s="225"/>
      <c r="D72" s="518"/>
      <c r="E72" s="520"/>
      <c r="F72" s="522"/>
      <c r="G72" s="524"/>
      <c r="H72" s="352"/>
      <c r="I72" s="526"/>
      <c r="J72" s="226"/>
      <c r="K72" s="69" t="s">
        <v>96</v>
      </c>
    </row>
    <row r="73" spans="1:11" ht="15.6" customHeight="1">
      <c r="A73" s="69"/>
      <c r="B73" s="301"/>
      <c r="C73" s="302"/>
      <c r="D73" s="517"/>
      <c r="E73" s="519"/>
      <c r="F73" s="521"/>
      <c r="G73" s="523"/>
      <c r="H73" s="351"/>
      <c r="I73" s="525"/>
      <c r="J73" s="223"/>
      <c r="K73" s="69" t="s">
        <v>96</v>
      </c>
    </row>
    <row r="74" spans="1:11" ht="15.6" customHeight="1" thickBot="1">
      <c r="A74" s="69"/>
      <c r="B74" s="228"/>
      <c r="C74" s="229"/>
      <c r="D74" s="527"/>
      <c r="E74" s="528"/>
      <c r="F74" s="529"/>
      <c r="G74" s="530"/>
      <c r="H74" s="353"/>
      <c r="I74" s="531"/>
      <c r="J74" s="230"/>
      <c r="K74" s="69" t="s">
        <v>96</v>
      </c>
    </row>
  </sheetData>
  <mergeCells count="164">
    <mergeCell ref="D73:D74"/>
    <mergeCell ref="E73:E74"/>
    <mergeCell ref="F73:F74"/>
    <mergeCell ref="G73:G74"/>
    <mergeCell ref="I73:I74"/>
    <mergeCell ref="D71:D72"/>
    <mergeCell ref="E71:E72"/>
    <mergeCell ref="F71:F72"/>
    <mergeCell ref="G71:G72"/>
    <mergeCell ref="I71:I72"/>
    <mergeCell ref="D69:D70"/>
    <mergeCell ref="E69:E70"/>
    <mergeCell ref="F69:F70"/>
    <mergeCell ref="G69:G70"/>
    <mergeCell ref="I69:I70"/>
    <mergeCell ref="D67:D68"/>
    <mergeCell ref="E67:E68"/>
    <mergeCell ref="F67:F68"/>
    <mergeCell ref="G67:G68"/>
    <mergeCell ref="I67:I68"/>
    <mergeCell ref="D65:D66"/>
    <mergeCell ref="E65:E66"/>
    <mergeCell ref="F65:F66"/>
    <mergeCell ref="G65:G66"/>
    <mergeCell ref="I65:I66"/>
    <mergeCell ref="D63:D64"/>
    <mergeCell ref="E63:E64"/>
    <mergeCell ref="F63:F64"/>
    <mergeCell ref="G63:G64"/>
    <mergeCell ref="I63:I64"/>
    <mergeCell ref="D61:D62"/>
    <mergeCell ref="E61:E62"/>
    <mergeCell ref="F61:F62"/>
    <mergeCell ref="G61:G62"/>
    <mergeCell ref="I61:I62"/>
    <mergeCell ref="D59:D60"/>
    <mergeCell ref="E59:E60"/>
    <mergeCell ref="F59:F60"/>
    <mergeCell ref="G59:G60"/>
    <mergeCell ref="I59:I60"/>
    <mergeCell ref="D57:D58"/>
    <mergeCell ref="E57:E58"/>
    <mergeCell ref="F57:F58"/>
    <mergeCell ref="G57:G58"/>
    <mergeCell ref="I57:I58"/>
    <mergeCell ref="D55:D56"/>
    <mergeCell ref="E55:E56"/>
    <mergeCell ref="F55:F56"/>
    <mergeCell ref="G55:G56"/>
    <mergeCell ref="I55:I56"/>
    <mergeCell ref="D53:D54"/>
    <mergeCell ref="E53:E54"/>
    <mergeCell ref="F53:F54"/>
    <mergeCell ref="G53:G54"/>
    <mergeCell ref="I53:I54"/>
    <mergeCell ref="D51:D52"/>
    <mergeCell ref="E51:E52"/>
    <mergeCell ref="F51:F52"/>
    <mergeCell ref="G51:G52"/>
    <mergeCell ref="I51:I52"/>
    <mergeCell ref="D49:D50"/>
    <mergeCell ref="E49:E50"/>
    <mergeCell ref="F49:F50"/>
    <mergeCell ref="G49:G50"/>
    <mergeCell ref="I49:I50"/>
    <mergeCell ref="D47:D48"/>
    <mergeCell ref="E47:E48"/>
    <mergeCell ref="F47:F48"/>
    <mergeCell ref="G47:G48"/>
    <mergeCell ref="I47:I48"/>
    <mergeCell ref="I43:I44"/>
    <mergeCell ref="D45:D46"/>
    <mergeCell ref="E45:E46"/>
    <mergeCell ref="F45:F46"/>
    <mergeCell ref="G45:G46"/>
    <mergeCell ref="I45:I46"/>
    <mergeCell ref="D38:G38"/>
    <mergeCell ref="B42:C42"/>
    <mergeCell ref="D43:D44"/>
    <mergeCell ref="E43:E44"/>
    <mergeCell ref="F43:F44"/>
    <mergeCell ref="G43:G44"/>
    <mergeCell ref="D36:D37"/>
    <mergeCell ref="E36:E37"/>
    <mergeCell ref="F36:F37"/>
    <mergeCell ref="G36:G37"/>
    <mergeCell ref="I36:I37"/>
    <mergeCell ref="D34:D35"/>
    <mergeCell ref="E34:E35"/>
    <mergeCell ref="F34:F35"/>
    <mergeCell ref="G34:G35"/>
    <mergeCell ref="I34:I35"/>
    <mergeCell ref="D32:D33"/>
    <mergeCell ref="E32:E33"/>
    <mergeCell ref="F32:F33"/>
    <mergeCell ref="G32:G33"/>
    <mergeCell ref="I32:I33"/>
    <mergeCell ref="D30:D31"/>
    <mergeCell ref="E30:E31"/>
    <mergeCell ref="F30:F31"/>
    <mergeCell ref="G30:G31"/>
    <mergeCell ref="I30:I31"/>
    <mergeCell ref="D28:D29"/>
    <mergeCell ref="E28:E29"/>
    <mergeCell ref="F28:F29"/>
    <mergeCell ref="G28:G29"/>
    <mergeCell ref="I28:I29"/>
    <mergeCell ref="D26:D27"/>
    <mergeCell ref="E26:E27"/>
    <mergeCell ref="F26:F27"/>
    <mergeCell ref="G26:G27"/>
    <mergeCell ref="I26:I27"/>
    <mergeCell ref="D24:D25"/>
    <mergeCell ref="E24:E25"/>
    <mergeCell ref="F24:F25"/>
    <mergeCell ref="G24:G25"/>
    <mergeCell ref="I24:I25"/>
    <mergeCell ref="D22:D23"/>
    <mergeCell ref="E22:E23"/>
    <mergeCell ref="F22:F23"/>
    <mergeCell ref="G22:G23"/>
    <mergeCell ref="I22:I23"/>
    <mergeCell ref="D20:D21"/>
    <mergeCell ref="E20:E21"/>
    <mergeCell ref="F20:F21"/>
    <mergeCell ref="G20:G21"/>
    <mergeCell ref="I20:I21"/>
    <mergeCell ref="D18:D19"/>
    <mergeCell ref="E18:E19"/>
    <mergeCell ref="F18:F19"/>
    <mergeCell ref="G18:G19"/>
    <mergeCell ref="I18:I19"/>
    <mergeCell ref="D16:D17"/>
    <mergeCell ref="E16:E17"/>
    <mergeCell ref="F16:F17"/>
    <mergeCell ref="G16:G17"/>
    <mergeCell ref="I16:I17"/>
    <mergeCell ref="D14:D15"/>
    <mergeCell ref="E14:E15"/>
    <mergeCell ref="F14:F15"/>
    <mergeCell ref="G14:G15"/>
    <mergeCell ref="I14:I15"/>
    <mergeCell ref="D12:D13"/>
    <mergeCell ref="E12:E13"/>
    <mergeCell ref="F12:F13"/>
    <mergeCell ref="G12:G13"/>
    <mergeCell ref="I12:I13"/>
    <mergeCell ref="D10:D11"/>
    <mergeCell ref="E10:E11"/>
    <mergeCell ref="F10:F11"/>
    <mergeCell ref="G10:G11"/>
    <mergeCell ref="I10:I11"/>
    <mergeCell ref="I6:I7"/>
    <mergeCell ref="D8:D9"/>
    <mergeCell ref="E8:E9"/>
    <mergeCell ref="F8:F9"/>
    <mergeCell ref="G8:G9"/>
    <mergeCell ref="I8:I9"/>
    <mergeCell ref="D1:G1"/>
    <mergeCell ref="B5:C5"/>
    <mergeCell ref="D6:D7"/>
    <mergeCell ref="E6:E7"/>
    <mergeCell ref="F6:F7"/>
    <mergeCell ref="G6:G7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7BC4-512D-45BD-8FF7-03F2CE9B8754}">
  <sheetPr codeName="Sheet4">
    <pageSetUpPr fitToPage="1"/>
  </sheetPr>
  <dimension ref="A1:K37"/>
  <sheetViews>
    <sheetView zoomScaleNormal="100" zoomScaleSheetLayoutView="100" workbookViewId="0"/>
  </sheetViews>
  <sheetFormatPr defaultColWidth="9" defaultRowHeight="13.5"/>
  <cols>
    <col min="1" max="1" width="2.5" style="73" customWidth="1"/>
    <col min="2" max="2" width="15.625" style="73" customWidth="1"/>
    <col min="3" max="3" width="33.375" style="73" customWidth="1"/>
    <col min="4" max="4" width="6.75" style="73" customWidth="1"/>
    <col min="5" max="5" width="12.875" style="73" customWidth="1"/>
    <col min="6" max="6" width="15.5" style="73" customWidth="1"/>
    <col min="7" max="7" width="17.5" style="73" customWidth="1"/>
    <col min="8" max="8" width="8.125" style="73" customWidth="1"/>
    <col min="9" max="9" width="12.625" style="73" customWidth="1"/>
    <col min="10" max="10" width="20.625" style="73" customWidth="1"/>
    <col min="11" max="11" width="2.5" style="73" customWidth="1"/>
    <col min="12" max="16384" width="9" style="73"/>
  </cols>
  <sheetData>
    <row r="1" spans="1:11" ht="30" customHeight="1" thickBot="1">
      <c r="A1" s="69"/>
      <c r="B1" s="142"/>
      <c r="C1" s="142"/>
      <c r="D1" s="533" t="s">
        <v>60</v>
      </c>
      <c r="E1" s="533"/>
      <c r="F1" s="533"/>
      <c r="G1" s="533"/>
      <c r="H1" s="69"/>
      <c r="I1" s="69"/>
      <c r="J1" s="69"/>
      <c r="K1" s="69"/>
    </row>
    <row r="2" spans="1:11" ht="15.9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30.95" customHeight="1">
      <c r="A3" s="144"/>
      <c r="B3" s="298" t="s">
        <v>89</v>
      </c>
      <c r="C3" s="219" t="s">
        <v>240</v>
      </c>
      <c r="D3" s="285"/>
      <c r="E3" s="299"/>
      <c r="F3" s="167"/>
      <c r="G3" s="167"/>
      <c r="H3" s="167"/>
      <c r="I3" s="167"/>
      <c r="J3" s="300"/>
      <c r="K3" s="144"/>
    </row>
    <row r="4" spans="1:11" ht="14.1" customHeight="1" thickBot="1">
      <c r="A4" s="69"/>
      <c r="B4" s="69"/>
      <c r="C4" s="69"/>
      <c r="D4" s="69"/>
      <c r="E4" s="69"/>
      <c r="F4" s="69"/>
      <c r="G4" s="69"/>
      <c r="H4" s="69"/>
      <c r="I4" s="69"/>
      <c r="J4" s="72"/>
      <c r="K4" s="69"/>
    </row>
    <row r="5" spans="1:11" ht="17.45" customHeight="1">
      <c r="A5" s="69"/>
      <c r="B5" s="534" t="s">
        <v>90</v>
      </c>
      <c r="C5" s="535"/>
      <c r="D5" s="220" t="s">
        <v>77</v>
      </c>
      <c r="E5" s="220" t="s">
        <v>91</v>
      </c>
      <c r="F5" s="220" t="s">
        <v>92</v>
      </c>
      <c r="G5" s="220" t="s">
        <v>73</v>
      </c>
      <c r="H5" s="221" t="s">
        <v>93</v>
      </c>
      <c r="I5" s="220" t="s">
        <v>94</v>
      </c>
      <c r="J5" s="117" t="s">
        <v>95</v>
      </c>
      <c r="K5" s="69"/>
    </row>
    <row r="6" spans="1:11" ht="15.6" customHeight="1">
      <c r="A6" s="69"/>
      <c r="B6" s="222" t="s">
        <v>230</v>
      </c>
      <c r="C6" s="166"/>
      <c r="D6" s="517" t="s">
        <v>183</v>
      </c>
      <c r="E6" s="519">
        <v>1</v>
      </c>
      <c r="F6" s="521">
        <v>1668199</v>
      </c>
      <c r="G6" s="523">
        <v>1668199</v>
      </c>
      <c r="H6" s="351" t="s">
        <v>204</v>
      </c>
      <c r="I6" s="351"/>
      <c r="J6" s="223"/>
      <c r="K6" s="69" t="s">
        <v>96</v>
      </c>
    </row>
    <row r="7" spans="1:11" ht="15.6" customHeight="1">
      <c r="A7" s="69"/>
      <c r="B7" s="224"/>
      <c r="C7" s="225"/>
      <c r="D7" s="518"/>
      <c r="E7" s="520"/>
      <c r="F7" s="522"/>
      <c r="G7" s="524"/>
      <c r="H7" s="352" t="s">
        <v>205</v>
      </c>
      <c r="I7" s="352"/>
      <c r="J7" s="226"/>
      <c r="K7" s="69" t="s">
        <v>96</v>
      </c>
    </row>
    <row r="8" spans="1:11" ht="15.6" customHeight="1">
      <c r="A8" s="69"/>
      <c r="B8" s="222" t="s">
        <v>231</v>
      </c>
      <c r="C8" s="166"/>
      <c r="D8" s="517" t="s">
        <v>183</v>
      </c>
      <c r="E8" s="519">
        <v>1</v>
      </c>
      <c r="F8" s="521">
        <v>12839249</v>
      </c>
      <c r="G8" s="523">
        <v>12839249</v>
      </c>
      <c r="H8" s="351" t="s">
        <v>207</v>
      </c>
      <c r="I8" s="351"/>
      <c r="J8" s="227"/>
      <c r="K8" s="69" t="s">
        <v>96</v>
      </c>
    </row>
    <row r="9" spans="1:11" ht="15.6" customHeight="1">
      <c r="A9" s="69"/>
      <c r="B9" s="224"/>
      <c r="C9" s="225"/>
      <c r="D9" s="518"/>
      <c r="E9" s="520"/>
      <c r="F9" s="522"/>
      <c r="G9" s="524"/>
      <c r="H9" s="352" t="s">
        <v>205</v>
      </c>
      <c r="I9" s="352"/>
      <c r="J9" s="227"/>
      <c r="K9" s="69" t="s">
        <v>96</v>
      </c>
    </row>
    <row r="10" spans="1:11" ht="15.6" customHeight="1">
      <c r="A10" s="69"/>
      <c r="B10" s="222" t="s">
        <v>232</v>
      </c>
      <c r="C10" s="166"/>
      <c r="D10" s="517" t="s">
        <v>183</v>
      </c>
      <c r="E10" s="519">
        <v>1</v>
      </c>
      <c r="F10" s="521">
        <v>50459150</v>
      </c>
      <c r="G10" s="523">
        <v>50459150</v>
      </c>
      <c r="H10" s="351" t="s">
        <v>209</v>
      </c>
      <c r="I10" s="351"/>
      <c r="J10" s="223"/>
      <c r="K10" s="69" t="s">
        <v>96</v>
      </c>
    </row>
    <row r="11" spans="1:11" ht="15.6" customHeight="1">
      <c r="A11" s="69"/>
      <c r="B11" s="224"/>
      <c r="C11" s="225"/>
      <c r="D11" s="518"/>
      <c r="E11" s="520"/>
      <c r="F11" s="522"/>
      <c r="G11" s="524"/>
      <c r="H11" s="352" t="s">
        <v>205</v>
      </c>
      <c r="I11" s="352"/>
      <c r="J11" s="226"/>
      <c r="K11" s="69" t="s">
        <v>96</v>
      </c>
    </row>
    <row r="12" spans="1:11" ht="15.6" customHeight="1">
      <c r="A12" s="69"/>
      <c r="B12" s="222" t="s">
        <v>233</v>
      </c>
      <c r="C12" s="166"/>
      <c r="D12" s="517" t="s">
        <v>183</v>
      </c>
      <c r="E12" s="519">
        <v>1</v>
      </c>
      <c r="F12" s="521">
        <v>26208120</v>
      </c>
      <c r="G12" s="523">
        <v>26208120</v>
      </c>
      <c r="H12" s="351" t="s">
        <v>211</v>
      </c>
      <c r="I12" s="351"/>
      <c r="J12" s="223"/>
      <c r="K12" s="69" t="s">
        <v>96</v>
      </c>
    </row>
    <row r="13" spans="1:11" ht="15.6" customHeight="1">
      <c r="A13" s="69"/>
      <c r="B13" s="224"/>
      <c r="C13" s="225"/>
      <c r="D13" s="518"/>
      <c r="E13" s="520"/>
      <c r="F13" s="522"/>
      <c r="G13" s="524"/>
      <c r="H13" s="352" t="s">
        <v>205</v>
      </c>
      <c r="I13" s="352"/>
      <c r="J13" s="226"/>
      <c r="K13" s="69" t="s">
        <v>96</v>
      </c>
    </row>
    <row r="14" spans="1:11" ht="15.6" customHeight="1">
      <c r="A14" s="69"/>
      <c r="B14" s="222" t="s">
        <v>234</v>
      </c>
      <c r="C14" s="166"/>
      <c r="D14" s="517" t="s">
        <v>183</v>
      </c>
      <c r="E14" s="519">
        <v>1</v>
      </c>
      <c r="F14" s="521"/>
      <c r="G14" s="523"/>
      <c r="H14" s="351" t="s">
        <v>213</v>
      </c>
      <c r="I14" s="351"/>
      <c r="J14" s="223"/>
      <c r="K14" s="69" t="s">
        <v>96</v>
      </c>
    </row>
    <row r="15" spans="1:11" ht="15.6" customHeight="1">
      <c r="A15" s="69"/>
      <c r="B15" s="224"/>
      <c r="C15" s="225"/>
      <c r="D15" s="518"/>
      <c r="E15" s="520"/>
      <c r="F15" s="522"/>
      <c r="G15" s="524"/>
      <c r="H15" s="352" t="s">
        <v>205</v>
      </c>
      <c r="I15" s="352"/>
      <c r="J15" s="226"/>
      <c r="K15" s="69" t="s">
        <v>96</v>
      </c>
    </row>
    <row r="16" spans="1:11" ht="15.6" customHeight="1">
      <c r="A16" s="69"/>
      <c r="B16" s="222" t="s">
        <v>194</v>
      </c>
      <c r="C16" s="166"/>
      <c r="D16" s="517" t="s">
        <v>183</v>
      </c>
      <c r="E16" s="519">
        <v>1</v>
      </c>
      <c r="F16" s="521">
        <v>2146310</v>
      </c>
      <c r="G16" s="523">
        <v>2146310</v>
      </c>
      <c r="H16" s="351" t="s">
        <v>215</v>
      </c>
      <c r="I16" s="351"/>
      <c r="J16" s="223"/>
      <c r="K16" s="69" t="s">
        <v>96</v>
      </c>
    </row>
    <row r="17" spans="1:11" ht="15.6" customHeight="1">
      <c r="A17" s="69"/>
      <c r="B17" s="224"/>
      <c r="C17" s="225"/>
      <c r="D17" s="518"/>
      <c r="E17" s="520"/>
      <c r="F17" s="522"/>
      <c r="G17" s="524"/>
      <c r="H17" s="352" t="s">
        <v>205</v>
      </c>
      <c r="I17" s="352"/>
      <c r="J17" s="226"/>
      <c r="K17" s="69" t="s">
        <v>96</v>
      </c>
    </row>
    <row r="18" spans="1:11" ht="15.6" customHeight="1">
      <c r="A18" s="69"/>
      <c r="B18" s="222" t="s">
        <v>235</v>
      </c>
      <c r="C18" s="166"/>
      <c r="D18" s="517" t="s">
        <v>183</v>
      </c>
      <c r="E18" s="519">
        <v>1</v>
      </c>
      <c r="F18" s="521">
        <v>5242000</v>
      </c>
      <c r="G18" s="523">
        <v>5242000</v>
      </c>
      <c r="H18" s="351" t="s">
        <v>217</v>
      </c>
      <c r="I18" s="351"/>
      <c r="J18" s="223"/>
      <c r="K18" s="69" t="s">
        <v>96</v>
      </c>
    </row>
    <row r="19" spans="1:11" ht="15.6" customHeight="1">
      <c r="A19" s="69"/>
      <c r="B19" s="224"/>
      <c r="C19" s="225"/>
      <c r="D19" s="518"/>
      <c r="E19" s="520"/>
      <c r="F19" s="522"/>
      <c r="G19" s="524"/>
      <c r="H19" s="352" t="s">
        <v>205</v>
      </c>
      <c r="I19" s="352"/>
      <c r="J19" s="226"/>
      <c r="K19" s="69" t="s">
        <v>96</v>
      </c>
    </row>
    <row r="20" spans="1:11" ht="15.6" customHeight="1">
      <c r="A20" s="69"/>
      <c r="B20" s="222" t="s">
        <v>236</v>
      </c>
      <c r="C20" s="166"/>
      <c r="D20" s="517" t="s">
        <v>183</v>
      </c>
      <c r="E20" s="519">
        <v>1</v>
      </c>
      <c r="F20" s="521">
        <v>2550000</v>
      </c>
      <c r="G20" s="523">
        <v>2550000</v>
      </c>
      <c r="H20" s="351" t="s">
        <v>220</v>
      </c>
      <c r="I20" s="351"/>
      <c r="J20" s="223"/>
      <c r="K20" s="69" t="s">
        <v>96</v>
      </c>
    </row>
    <row r="21" spans="1:11" ht="15.6" customHeight="1">
      <c r="A21" s="69"/>
      <c r="B21" s="224" t="s">
        <v>237</v>
      </c>
      <c r="C21" s="225"/>
      <c r="D21" s="518"/>
      <c r="E21" s="520"/>
      <c r="F21" s="522"/>
      <c r="G21" s="524"/>
      <c r="H21" s="352" t="s">
        <v>205</v>
      </c>
      <c r="I21" s="352"/>
      <c r="J21" s="226"/>
      <c r="K21" s="69" t="s">
        <v>96</v>
      </c>
    </row>
    <row r="22" spans="1:11" ht="15.6" customHeight="1">
      <c r="A22" s="69"/>
      <c r="B22" s="222" t="s">
        <v>238</v>
      </c>
      <c r="C22" s="166"/>
      <c r="D22" s="517" t="s">
        <v>183</v>
      </c>
      <c r="E22" s="519">
        <v>1</v>
      </c>
      <c r="F22" s="521">
        <v>15282</v>
      </c>
      <c r="G22" s="523">
        <v>15282</v>
      </c>
      <c r="H22" s="351" t="s">
        <v>222</v>
      </c>
      <c r="I22" s="351"/>
      <c r="J22" s="223"/>
      <c r="K22" s="69" t="s">
        <v>96</v>
      </c>
    </row>
    <row r="23" spans="1:11" ht="15.6" customHeight="1">
      <c r="A23" s="69"/>
      <c r="B23" s="224"/>
      <c r="C23" s="225"/>
      <c r="D23" s="518"/>
      <c r="E23" s="520"/>
      <c r="F23" s="522"/>
      <c r="G23" s="524"/>
      <c r="H23" s="352" t="s">
        <v>205</v>
      </c>
      <c r="I23" s="352"/>
      <c r="J23" s="226"/>
      <c r="K23" s="69" t="s">
        <v>96</v>
      </c>
    </row>
    <row r="24" spans="1:11" ht="15.6" customHeight="1">
      <c r="A24" s="69"/>
      <c r="B24" s="222"/>
      <c r="C24" s="166"/>
      <c r="D24" s="517"/>
      <c r="E24" s="519"/>
      <c r="F24" s="521"/>
      <c r="G24" s="523"/>
      <c r="H24" s="351"/>
      <c r="I24" s="351"/>
      <c r="J24" s="223"/>
      <c r="K24" s="69" t="s">
        <v>96</v>
      </c>
    </row>
    <row r="25" spans="1:11" ht="15.6" customHeight="1">
      <c r="A25" s="69"/>
      <c r="B25" s="224"/>
      <c r="C25" s="225"/>
      <c r="D25" s="518"/>
      <c r="E25" s="520"/>
      <c r="F25" s="522"/>
      <c r="G25" s="524"/>
      <c r="H25" s="352"/>
      <c r="I25" s="352"/>
      <c r="J25" s="226"/>
      <c r="K25" s="69" t="s">
        <v>96</v>
      </c>
    </row>
    <row r="26" spans="1:11" ht="15.6" customHeight="1">
      <c r="A26" s="69"/>
      <c r="B26" s="222" t="s">
        <v>239</v>
      </c>
      <c r="C26" s="166"/>
      <c r="D26" s="517"/>
      <c r="E26" s="519"/>
      <c r="F26" s="521"/>
      <c r="G26" s="523">
        <v>101128310</v>
      </c>
      <c r="H26" s="351"/>
      <c r="I26" s="351"/>
      <c r="J26" s="223"/>
      <c r="K26" s="69" t="s">
        <v>96</v>
      </c>
    </row>
    <row r="27" spans="1:11" ht="15.6" customHeight="1">
      <c r="A27" s="69"/>
      <c r="B27" s="224"/>
      <c r="C27" s="225"/>
      <c r="D27" s="518"/>
      <c r="E27" s="520"/>
      <c r="F27" s="522"/>
      <c r="G27" s="524"/>
      <c r="H27" s="352"/>
      <c r="I27" s="352"/>
      <c r="J27" s="226"/>
      <c r="K27" s="69" t="s">
        <v>96</v>
      </c>
    </row>
    <row r="28" spans="1:11" ht="15.6" customHeight="1">
      <c r="A28" s="69"/>
      <c r="B28" s="222"/>
      <c r="C28" s="166"/>
      <c r="D28" s="517"/>
      <c r="E28" s="519"/>
      <c r="F28" s="521"/>
      <c r="G28" s="523"/>
      <c r="H28" s="351"/>
      <c r="I28" s="351"/>
      <c r="J28" s="223"/>
      <c r="K28" s="69" t="s">
        <v>96</v>
      </c>
    </row>
    <row r="29" spans="1:11" ht="15.6" customHeight="1">
      <c r="A29" s="69"/>
      <c r="B29" s="224"/>
      <c r="C29" s="225"/>
      <c r="D29" s="518"/>
      <c r="E29" s="520"/>
      <c r="F29" s="522"/>
      <c r="G29" s="524"/>
      <c r="H29" s="352"/>
      <c r="I29" s="352"/>
      <c r="J29" s="226"/>
      <c r="K29" s="69" t="s">
        <v>96</v>
      </c>
    </row>
    <row r="30" spans="1:11" ht="15.6" customHeight="1">
      <c r="A30" s="69"/>
      <c r="B30" s="222"/>
      <c r="C30" s="166"/>
      <c r="D30" s="517"/>
      <c r="E30" s="519"/>
      <c r="F30" s="521"/>
      <c r="G30" s="523"/>
      <c r="H30" s="351"/>
      <c r="I30" s="351"/>
      <c r="J30" s="223"/>
      <c r="K30" s="69" t="s">
        <v>96</v>
      </c>
    </row>
    <row r="31" spans="1:11" ht="15.6" customHeight="1">
      <c r="A31" s="69"/>
      <c r="B31" s="224"/>
      <c r="C31" s="225"/>
      <c r="D31" s="518"/>
      <c r="E31" s="520"/>
      <c r="F31" s="522"/>
      <c r="G31" s="524"/>
      <c r="H31" s="352"/>
      <c r="I31" s="352"/>
      <c r="J31" s="226"/>
      <c r="K31" s="69" t="s">
        <v>96</v>
      </c>
    </row>
    <row r="32" spans="1:11" ht="15.6" customHeight="1">
      <c r="A32" s="69"/>
      <c r="B32" s="222"/>
      <c r="C32" s="166"/>
      <c r="D32" s="532"/>
      <c r="E32" s="519"/>
      <c r="F32" s="521"/>
      <c r="G32" s="523"/>
      <c r="H32" s="351"/>
      <c r="I32" s="351"/>
      <c r="J32" s="223"/>
      <c r="K32" s="69" t="s">
        <v>96</v>
      </c>
    </row>
    <row r="33" spans="1:11" ht="15.6" customHeight="1">
      <c r="A33" s="69"/>
      <c r="B33" s="224"/>
      <c r="C33" s="225"/>
      <c r="D33" s="532"/>
      <c r="E33" s="520"/>
      <c r="F33" s="522"/>
      <c r="G33" s="524"/>
      <c r="H33" s="354"/>
      <c r="I33" s="352"/>
      <c r="J33" s="226"/>
      <c r="K33" s="69" t="s">
        <v>96</v>
      </c>
    </row>
    <row r="34" spans="1:11" ht="15.6" customHeight="1">
      <c r="A34" s="69"/>
      <c r="B34" s="222"/>
      <c r="C34" s="166"/>
      <c r="D34" s="517"/>
      <c r="E34" s="519"/>
      <c r="F34" s="521"/>
      <c r="G34" s="523"/>
      <c r="H34" s="351"/>
      <c r="I34" s="351"/>
      <c r="J34" s="223"/>
      <c r="K34" s="69" t="s">
        <v>96</v>
      </c>
    </row>
    <row r="35" spans="1:11" ht="15.6" customHeight="1">
      <c r="A35" s="69"/>
      <c r="B35" s="224"/>
      <c r="C35" s="225"/>
      <c r="D35" s="518"/>
      <c r="E35" s="520"/>
      <c r="F35" s="522"/>
      <c r="G35" s="524"/>
      <c r="H35" s="352"/>
      <c r="I35" s="352"/>
      <c r="J35" s="226"/>
      <c r="K35" s="69" t="s">
        <v>96</v>
      </c>
    </row>
    <row r="36" spans="1:11" ht="15.6" customHeight="1">
      <c r="A36" s="69"/>
      <c r="B36" s="301"/>
      <c r="C36" s="302"/>
      <c r="D36" s="517"/>
      <c r="E36" s="519"/>
      <c r="F36" s="521"/>
      <c r="G36" s="523"/>
      <c r="H36" s="351"/>
      <c r="I36" s="351"/>
      <c r="J36" s="223"/>
      <c r="K36" s="69" t="s">
        <v>96</v>
      </c>
    </row>
    <row r="37" spans="1:11" ht="15.6" customHeight="1" thickBot="1">
      <c r="A37" s="69"/>
      <c r="B37" s="228"/>
      <c r="C37" s="229"/>
      <c r="D37" s="527"/>
      <c r="E37" s="528"/>
      <c r="F37" s="529"/>
      <c r="G37" s="530"/>
      <c r="H37" s="353"/>
      <c r="I37" s="353"/>
      <c r="J37" s="230"/>
      <c r="K37" s="69" t="s">
        <v>96</v>
      </c>
    </row>
  </sheetData>
  <mergeCells count="66">
    <mergeCell ref="D34:D35"/>
    <mergeCell ref="E34:E35"/>
    <mergeCell ref="F34:F35"/>
    <mergeCell ref="G34:G35"/>
    <mergeCell ref="D36:D37"/>
    <mergeCell ref="E36:E37"/>
    <mergeCell ref="F36:F37"/>
    <mergeCell ref="G36:G37"/>
    <mergeCell ref="D30:D31"/>
    <mergeCell ref="E30:E31"/>
    <mergeCell ref="F30:F31"/>
    <mergeCell ref="G30:G31"/>
    <mergeCell ref="D32:D33"/>
    <mergeCell ref="E32:E33"/>
    <mergeCell ref="F32:F33"/>
    <mergeCell ref="G32:G33"/>
    <mergeCell ref="D26:D27"/>
    <mergeCell ref="E26:E27"/>
    <mergeCell ref="F26:F27"/>
    <mergeCell ref="G26:G27"/>
    <mergeCell ref="D28:D29"/>
    <mergeCell ref="E28:E29"/>
    <mergeCell ref="F28:F29"/>
    <mergeCell ref="G28:G29"/>
    <mergeCell ref="D22:D23"/>
    <mergeCell ref="E22:E23"/>
    <mergeCell ref="F22:F23"/>
    <mergeCell ref="G22:G23"/>
    <mergeCell ref="D24:D25"/>
    <mergeCell ref="E24:E25"/>
    <mergeCell ref="F24:F25"/>
    <mergeCell ref="G24:G25"/>
    <mergeCell ref="D18:D19"/>
    <mergeCell ref="E18:E19"/>
    <mergeCell ref="F18:F19"/>
    <mergeCell ref="G18:G19"/>
    <mergeCell ref="D20:D21"/>
    <mergeCell ref="E20:E21"/>
    <mergeCell ref="F20:F21"/>
    <mergeCell ref="G20:G21"/>
    <mergeCell ref="D14:D15"/>
    <mergeCell ref="E14:E15"/>
    <mergeCell ref="F14:F15"/>
    <mergeCell ref="G14:G15"/>
    <mergeCell ref="D16:D17"/>
    <mergeCell ref="E16:E17"/>
    <mergeCell ref="F16:F17"/>
    <mergeCell ref="G16:G17"/>
    <mergeCell ref="D10:D11"/>
    <mergeCell ref="E10:E11"/>
    <mergeCell ref="F10:F11"/>
    <mergeCell ref="G10:G11"/>
    <mergeCell ref="D12:D13"/>
    <mergeCell ref="E12:E13"/>
    <mergeCell ref="F12:F13"/>
    <mergeCell ref="G12:G13"/>
    <mergeCell ref="D6:D7"/>
    <mergeCell ref="E6:E7"/>
    <mergeCell ref="F6:F7"/>
    <mergeCell ref="G6:G7"/>
    <mergeCell ref="D8:D9"/>
    <mergeCell ref="E8:E9"/>
    <mergeCell ref="F8:F9"/>
    <mergeCell ref="G8:G9"/>
    <mergeCell ref="D1:G1"/>
    <mergeCell ref="B5:C5"/>
  </mergeCells>
  <phoneticPr fontId="4"/>
  <pageMargins left="0.70866141732283472" right="0.43307086614173229" top="0.62992125984251968" bottom="0.47244094488188981" header="0.31496062992125984" footer="0.31496062992125984"/>
  <pageSetup paperSize="9" scale="83" fitToHeight="0" orientation="landscape" useFirstPageNumber="1" r:id="rId1"/>
  <headerFooter>
    <oddFooter>&amp;C&amp;"ＭＳ 明朝,標準"&amp;Pページ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pageSetUpPr fitToPage="1"/>
  </sheetPr>
  <dimension ref="A1:AF207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23-263☆（仮称）みんなのスタジアム2.0新設工事</v>
      </c>
      <c r="G1" s="306"/>
      <c r="H1" s="190" t="s">
        <v>140</v>
      </c>
      <c r="I1" s="333">
        <v>147600000</v>
      </c>
      <c r="J1" s="339">
        <f>I4/I$1</f>
        <v>0.7967479674796748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141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148</v>
      </c>
      <c r="E4" s="342"/>
      <c r="F4" s="345" t="s">
        <v>183</v>
      </c>
      <c r="G4" s="308">
        <v>1</v>
      </c>
      <c r="H4" s="309">
        <v>117600000</v>
      </c>
      <c r="I4" s="309">
        <v>117600000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10">
        <v>0</v>
      </c>
      <c r="P4" s="311">
        <v>0</v>
      </c>
      <c r="Q4" s="311">
        <v>0</v>
      </c>
      <c r="R4" s="211">
        <v>0</v>
      </c>
      <c r="S4" s="212"/>
      <c r="T4" s="213" t="e">
        <v>#DIV/0!</v>
      </c>
      <c r="U4" s="214"/>
      <c r="V4" s="215"/>
      <c r="W4" s="310">
        <v>0</v>
      </c>
      <c r="X4" s="311">
        <v>0</v>
      </c>
      <c r="Y4" s="311">
        <v>0</v>
      </c>
      <c r="Z4" s="211">
        <v>0</v>
      </c>
      <c r="AA4" s="212"/>
      <c r="AB4" s="213" t="e">
        <v>#DIV/0!</v>
      </c>
      <c r="AC4" s="214"/>
      <c r="AD4" s="215"/>
      <c r="AE4" s="342"/>
      <c r="AF4" s="341"/>
    </row>
    <row r="5" spans="1:32">
      <c r="A5" s="307">
        <v>1</v>
      </c>
      <c r="B5" s="342"/>
      <c r="C5" s="342" t="s">
        <v>242</v>
      </c>
      <c r="D5" s="340" t="s">
        <v>243</v>
      </c>
      <c r="E5" s="342"/>
      <c r="F5" s="345" t="s">
        <v>183</v>
      </c>
      <c r="G5" s="308">
        <v>1</v>
      </c>
      <c r="H5" s="309">
        <v>101128310</v>
      </c>
      <c r="I5" s="309">
        <v>101128310</v>
      </c>
      <c r="J5" s="211"/>
      <c r="K5" s="212" t="str">
        <f>IF(OR(J5="",G5=J5),"","*")</f>
        <v/>
      </c>
      <c r="L5" s="338">
        <f>IF($A5&lt;=L$1,I5/I$4,"")</f>
        <v>0.85993460884353745</v>
      </c>
      <c r="M5" s="343"/>
      <c r="N5" s="344"/>
      <c r="O5" s="310">
        <v>0</v>
      </c>
      <c r="P5" s="311">
        <v>0</v>
      </c>
      <c r="Q5" s="311">
        <v>0</v>
      </c>
      <c r="R5" s="211">
        <v>0</v>
      </c>
      <c r="S5" s="212"/>
      <c r="T5" s="213" t="e">
        <v>#DIV/0!</v>
      </c>
      <c r="U5" s="214"/>
      <c r="V5" s="215"/>
      <c r="W5" s="310">
        <v>0</v>
      </c>
      <c r="X5" s="311">
        <v>0</v>
      </c>
      <c r="Y5" s="311">
        <v>0</v>
      </c>
      <c r="Z5" s="211">
        <v>0</v>
      </c>
      <c r="AA5" s="212"/>
      <c r="AB5" s="213" t="e">
        <v>#DIV/0!</v>
      </c>
      <c r="AC5" s="214"/>
      <c r="AD5" s="215"/>
      <c r="AE5" s="342"/>
      <c r="AF5" s="341"/>
    </row>
    <row r="6" spans="1:32">
      <c r="A6" s="307">
        <v>2</v>
      </c>
      <c r="B6" s="342"/>
      <c r="C6" s="342" t="s">
        <v>244</v>
      </c>
      <c r="D6" s="340" t="s">
        <v>245</v>
      </c>
      <c r="E6" s="342"/>
      <c r="F6" s="345" t="s">
        <v>183</v>
      </c>
      <c r="G6" s="308">
        <v>1</v>
      </c>
      <c r="H6" s="309">
        <v>1668199</v>
      </c>
      <c r="I6" s="309">
        <v>1668199</v>
      </c>
      <c r="J6" s="211">
        <v>1</v>
      </c>
      <c r="K6" s="212" t="str">
        <f>IF(OR(J6="",G6=J6),"","*")</f>
        <v/>
      </c>
      <c r="L6" s="338">
        <f>IF($A6&lt;=L$1,I6/I$4,"")</f>
        <v>1.4185365646258503E-2</v>
      </c>
      <c r="M6" s="343"/>
      <c r="N6" s="344" t="s">
        <v>246</v>
      </c>
      <c r="O6" s="310">
        <v>0</v>
      </c>
      <c r="P6" s="311">
        <v>0</v>
      </c>
      <c r="Q6" s="311">
        <v>0</v>
      </c>
      <c r="R6" s="211">
        <v>0</v>
      </c>
      <c r="S6" s="212"/>
      <c r="T6" s="213" t="e">
        <v>#DIV/0!</v>
      </c>
      <c r="U6" s="214"/>
      <c r="V6" s="215"/>
      <c r="W6" s="310">
        <v>0</v>
      </c>
      <c r="X6" s="311">
        <v>0</v>
      </c>
      <c r="Y6" s="311">
        <v>0</v>
      </c>
      <c r="Z6" s="211">
        <v>0</v>
      </c>
      <c r="AA6" s="212"/>
      <c r="AB6" s="213" t="e">
        <v>#DIV/0!</v>
      </c>
      <c r="AC6" s="214"/>
      <c r="AD6" s="215"/>
      <c r="AE6" s="342"/>
      <c r="AF6" s="341"/>
    </row>
    <row r="7" spans="1:32">
      <c r="A7" s="307">
        <v>3</v>
      </c>
      <c r="B7" s="342"/>
      <c r="C7" s="342" t="s">
        <v>244</v>
      </c>
      <c r="D7" s="340" t="s">
        <v>247</v>
      </c>
      <c r="E7" s="342" t="s">
        <v>168</v>
      </c>
      <c r="F7" s="345" t="s">
        <v>169</v>
      </c>
      <c r="G7" s="308">
        <v>9871</v>
      </c>
      <c r="H7" s="309">
        <v>169</v>
      </c>
      <c r="I7" s="309">
        <v>1668199</v>
      </c>
      <c r="J7" s="211">
        <v>9871</v>
      </c>
      <c r="K7" s="212" t="str">
        <f>IF(OR(J7="",G7=J7),"","*")</f>
        <v/>
      </c>
      <c r="L7" s="338">
        <f>IF($A7&lt;=L$1,I7/I$4,"")</f>
        <v>1.4185365646258503E-2</v>
      </c>
      <c r="M7" s="343"/>
      <c r="N7" s="344" t="s">
        <v>248</v>
      </c>
      <c r="O7" s="310">
        <v>0</v>
      </c>
      <c r="P7" s="311">
        <v>0</v>
      </c>
      <c r="Q7" s="311">
        <v>0</v>
      </c>
      <c r="R7" s="211">
        <v>0</v>
      </c>
      <c r="S7" s="212"/>
      <c r="T7" s="213" t="e">
        <v>#DIV/0!</v>
      </c>
      <c r="U7" s="214"/>
      <c r="V7" s="215"/>
      <c r="W7" s="310">
        <v>0</v>
      </c>
      <c r="X7" s="311">
        <v>0</v>
      </c>
      <c r="Y7" s="311">
        <v>0</v>
      </c>
      <c r="Z7" s="211">
        <v>0</v>
      </c>
      <c r="AA7" s="212"/>
      <c r="AB7" s="213" t="e">
        <v>#DIV/0!</v>
      </c>
      <c r="AC7" s="214"/>
      <c r="AD7" s="215"/>
      <c r="AE7" s="342"/>
      <c r="AF7" s="341"/>
    </row>
    <row r="8" spans="1:32">
      <c r="A8" s="307">
        <v>4</v>
      </c>
      <c r="B8" s="342"/>
      <c r="C8" s="342" t="s">
        <v>188</v>
      </c>
      <c r="D8" s="340" t="s">
        <v>249</v>
      </c>
      <c r="E8" s="342"/>
      <c r="F8" s="345" t="s">
        <v>250</v>
      </c>
      <c r="G8" s="308">
        <v>9</v>
      </c>
      <c r="H8" s="309">
        <v>30000</v>
      </c>
      <c r="I8" s="309">
        <v>270000</v>
      </c>
      <c r="J8" s="211"/>
      <c r="K8" s="212" t="str">
        <f>IF(OR(J8="",G8=J8),"","*")</f>
        <v/>
      </c>
      <c r="L8" s="338" t="str">
        <f>IF($A8&lt;=L$1,I8/I$4,"")</f>
        <v/>
      </c>
      <c r="M8" s="343"/>
      <c r="N8" s="344"/>
      <c r="O8" s="310">
        <v>0</v>
      </c>
      <c r="P8" s="311">
        <v>0</v>
      </c>
      <c r="Q8" s="311">
        <v>0</v>
      </c>
      <c r="R8" s="211">
        <v>0</v>
      </c>
      <c r="S8" s="212"/>
      <c r="T8" s="213" t="e">
        <v>#DIV/0!</v>
      </c>
      <c r="U8" s="214"/>
      <c r="V8" s="215"/>
      <c r="W8" s="310">
        <v>0</v>
      </c>
      <c r="X8" s="311">
        <v>0</v>
      </c>
      <c r="Y8" s="311">
        <v>0</v>
      </c>
      <c r="Z8" s="211">
        <v>0</v>
      </c>
      <c r="AA8" s="212"/>
      <c r="AB8" s="213" t="e">
        <v>#DIV/0!</v>
      </c>
      <c r="AC8" s="214"/>
      <c r="AD8" s="215"/>
      <c r="AE8" s="342" t="s">
        <v>251</v>
      </c>
      <c r="AF8" s="341" t="s">
        <v>252</v>
      </c>
    </row>
    <row r="9" spans="1:32">
      <c r="A9" s="307">
        <v>4</v>
      </c>
      <c r="B9" s="342"/>
      <c r="C9" s="342" t="s">
        <v>188</v>
      </c>
      <c r="D9" s="340" t="s">
        <v>253</v>
      </c>
      <c r="E9" s="342"/>
      <c r="F9" s="345" t="s">
        <v>250</v>
      </c>
      <c r="G9" s="308">
        <v>45</v>
      </c>
      <c r="H9" s="309">
        <v>21000</v>
      </c>
      <c r="I9" s="309">
        <v>945000</v>
      </c>
      <c r="J9" s="211"/>
      <c r="K9" s="212" t="str">
        <f>IF(OR(J9="",G9=J9),"","*")</f>
        <v/>
      </c>
      <c r="L9" s="338" t="str">
        <f>IF($A9&lt;=L$1,I9/I$4,"")</f>
        <v/>
      </c>
      <c r="M9" s="343"/>
      <c r="N9" s="344"/>
      <c r="O9" s="310">
        <v>0</v>
      </c>
      <c r="P9" s="311">
        <v>0</v>
      </c>
      <c r="Q9" s="311">
        <v>0</v>
      </c>
      <c r="R9" s="211">
        <v>0</v>
      </c>
      <c r="S9" s="212"/>
      <c r="T9" s="213" t="e">
        <v>#DIV/0!</v>
      </c>
      <c r="U9" s="214"/>
      <c r="V9" s="215"/>
      <c r="W9" s="310">
        <v>0</v>
      </c>
      <c r="X9" s="311">
        <v>0</v>
      </c>
      <c r="Y9" s="311">
        <v>0</v>
      </c>
      <c r="Z9" s="211">
        <v>0</v>
      </c>
      <c r="AA9" s="212"/>
      <c r="AB9" s="213" t="e">
        <v>#DIV/0!</v>
      </c>
      <c r="AC9" s="214"/>
      <c r="AD9" s="215"/>
      <c r="AE9" s="342" t="s">
        <v>254</v>
      </c>
      <c r="AF9" s="341" t="s">
        <v>255</v>
      </c>
    </row>
    <row r="10" spans="1:32">
      <c r="A10" s="307">
        <v>4</v>
      </c>
      <c r="B10" s="342"/>
      <c r="C10" s="342" t="s">
        <v>190</v>
      </c>
      <c r="D10" s="340" t="s">
        <v>256</v>
      </c>
      <c r="E10" s="342" t="s">
        <v>257</v>
      </c>
      <c r="F10" s="345" t="s">
        <v>258</v>
      </c>
      <c r="G10" s="308">
        <v>9</v>
      </c>
      <c r="H10" s="309">
        <v>6000</v>
      </c>
      <c r="I10" s="309">
        <v>54000</v>
      </c>
      <c r="J10" s="211"/>
      <c r="K10" s="212" t="str">
        <f>IF(OR(J10="",G10=J10),"","*")</f>
        <v/>
      </c>
      <c r="L10" s="338" t="str">
        <f>IF($A10&lt;=L$1,I10/I$4,"")</f>
        <v/>
      </c>
      <c r="M10" s="343"/>
      <c r="N10" s="344"/>
      <c r="O10" s="310">
        <v>0</v>
      </c>
      <c r="P10" s="311">
        <v>0</v>
      </c>
      <c r="Q10" s="311">
        <v>0</v>
      </c>
      <c r="R10" s="211">
        <v>0</v>
      </c>
      <c r="S10" s="212"/>
      <c r="T10" s="213" t="e">
        <v>#DIV/0!</v>
      </c>
      <c r="U10" s="214"/>
      <c r="V10" s="215"/>
      <c r="W10" s="310">
        <v>0</v>
      </c>
      <c r="X10" s="311">
        <v>0</v>
      </c>
      <c r="Y10" s="311">
        <v>0</v>
      </c>
      <c r="Z10" s="211">
        <v>0</v>
      </c>
      <c r="AA10" s="212"/>
      <c r="AB10" s="213" t="e">
        <v>#DIV/0!</v>
      </c>
      <c r="AC10" s="214"/>
      <c r="AD10" s="215"/>
      <c r="AE10" s="342" t="s">
        <v>259</v>
      </c>
      <c r="AF10" s="341" t="s">
        <v>252</v>
      </c>
    </row>
    <row r="11" spans="1:32">
      <c r="A11" s="307">
        <v>4</v>
      </c>
      <c r="B11" s="342"/>
      <c r="C11" s="342" t="s">
        <v>190</v>
      </c>
      <c r="D11" s="340" t="s">
        <v>260</v>
      </c>
      <c r="E11" s="342"/>
      <c r="F11" s="345" t="s">
        <v>258</v>
      </c>
      <c r="G11" s="308">
        <v>9</v>
      </c>
      <c r="H11" s="309">
        <v>8000</v>
      </c>
      <c r="I11" s="309">
        <v>72000</v>
      </c>
      <c r="J11" s="211"/>
      <c r="K11" s="212" t="str">
        <f>IF(OR(J11="",G11=J11),"","*")</f>
        <v/>
      </c>
      <c r="L11" s="338" t="str">
        <f>IF($A11&lt;=L$1,I11/I$4,"")</f>
        <v/>
      </c>
      <c r="M11" s="343"/>
      <c r="N11" s="344"/>
      <c r="O11" s="310">
        <v>0</v>
      </c>
      <c r="P11" s="311">
        <v>0</v>
      </c>
      <c r="Q11" s="311">
        <v>0</v>
      </c>
      <c r="R11" s="211">
        <v>0</v>
      </c>
      <c r="S11" s="212"/>
      <c r="T11" s="213" t="e">
        <v>#DIV/0!</v>
      </c>
      <c r="U11" s="214"/>
      <c r="V11" s="215"/>
      <c r="W11" s="310">
        <v>0</v>
      </c>
      <c r="X11" s="311">
        <v>0</v>
      </c>
      <c r="Y11" s="311">
        <v>0</v>
      </c>
      <c r="Z11" s="211">
        <v>0</v>
      </c>
      <c r="AA11" s="212"/>
      <c r="AB11" s="213" t="e">
        <v>#DIV/0!</v>
      </c>
      <c r="AC11" s="214"/>
      <c r="AD11" s="215"/>
      <c r="AE11" s="342" t="s">
        <v>261</v>
      </c>
      <c r="AF11" s="341" t="s">
        <v>252</v>
      </c>
    </row>
    <row r="12" spans="1:32">
      <c r="A12" s="307">
        <v>4</v>
      </c>
      <c r="B12" s="342"/>
      <c r="C12" s="342" t="s">
        <v>190</v>
      </c>
      <c r="D12" s="340" t="s">
        <v>262</v>
      </c>
      <c r="E12" s="342" t="s">
        <v>263</v>
      </c>
      <c r="F12" s="345" t="s">
        <v>258</v>
      </c>
      <c r="G12" s="308">
        <v>9</v>
      </c>
      <c r="H12" s="309">
        <v>5500</v>
      </c>
      <c r="I12" s="309">
        <v>49500</v>
      </c>
      <c r="J12" s="211"/>
      <c r="K12" s="212" t="str">
        <f>IF(OR(J12="",G12=J12),"","*")</f>
        <v/>
      </c>
      <c r="L12" s="338" t="str">
        <f>IF($A12&lt;=L$1,I12/I$4,"")</f>
        <v/>
      </c>
      <c r="M12" s="343"/>
      <c r="N12" s="344"/>
      <c r="O12" s="310">
        <v>0</v>
      </c>
      <c r="P12" s="311">
        <v>0</v>
      </c>
      <c r="Q12" s="311">
        <v>0</v>
      </c>
      <c r="R12" s="211">
        <v>0</v>
      </c>
      <c r="S12" s="212"/>
      <c r="T12" s="213" t="e">
        <v>#DIV/0!</v>
      </c>
      <c r="U12" s="214"/>
      <c r="V12" s="215"/>
      <c r="W12" s="310">
        <v>0</v>
      </c>
      <c r="X12" s="311">
        <v>0</v>
      </c>
      <c r="Y12" s="311">
        <v>0</v>
      </c>
      <c r="Z12" s="211">
        <v>0</v>
      </c>
      <c r="AA12" s="212"/>
      <c r="AB12" s="213" t="e">
        <v>#DIV/0!</v>
      </c>
      <c r="AC12" s="214"/>
      <c r="AD12" s="215"/>
      <c r="AE12" s="342" t="s">
        <v>264</v>
      </c>
      <c r="AF12" s="341" t="s">
        <v>252</v>
      </c>
    </row>
    <row r="13" spans="1:32">
      <c r="A13" s="307">
        <v>4</v>
      </c>
      <c r="B13" s="342"/>
      <c r="C13" s="342" t="s">
        <v>190</v>
      </c>
      <c r="D13" s="340" t="s">
        <v>265</v>
      </c>
      <c r="E13" s="342"/>
      <c r="F13" s="345" t="s">
        <v>258</v>
      </c>
      <c r="G13" s="308">
        <v>9</v>
      </c>
      <c r="H13" s="309">
        <v>1000</v>
      </c>
      <c r="I13" s="309">
        <v>9000</v>
      </c>
      <c r="J13" s="211"/>
      <c r="K13" s="212" t="str">
        <f>IF(OR(J13="",G13=J13),"","*")</f>
        <v/>
      </c>
      <c r="L13" s="338" t="str">
        <f>IF($A13&lt;=L$1,I13/I$4,"")</f>
        <v/>
      </c>
      <c r="M13" s="343"/>
      <c r="N13" s="344"/>
      <c r="O13" s="310">
        <v>0</v>
      </c>
      <c r="P13" s="311">
        <v>0</v>
      </c>
      <c r="Q13" s="311">
        <v>0</v>
      </c>
      <c r="R13" s="211">
        <v>0</v>
      </c>
      <c r="S13" s="212"/>
      <c r="T13" s="213" t="e">
        <v>#DIV/0!</v>
      </c>
      <c r="U13" s="214"/>
      <c r="V13" s="215"/>
      <c r="W13" s="310">
        <v>0</v>
      </c>
      <c r="X13" s="311">
        <v>0</v>
      </c>
      <c r="Y13" s="311">
        <v>0</v>
      </c>
      <c r="Z13" s="211">
        <v>0</v>
      </c>
      <c r="AA13" s="212"/>
      <c r="AB13" s="213" t="e">
        <v>#DIV/0!</v>
      </c>
      <c r="AC13" s="214"/>
      <c r="AD13" s="215"/>
      <c r="AE13" s="342" t="s">
        <v>266</v>
      </c>
      <c r="AF13" s="341" t="s">
        <v>252</v>
      </c>
    </row>
    <row r="14" spans="1:32">
      <c r="A14" s="307">
        <v>4</v>
      </c>
      <c r="B14" s="342"/>
      <c r="C14" s="342" t="s">
        <v>190</v>
      </c>
      <c r="D14" s="340" t="s">
        <v>267</v>
      </c>
      <c r="E14" s="342"/>
      <c r="F14" s="345" t="s">
        <v>258</v>
      </c>
      <c r="G14" s="308">
        <v>9</v>
      </c>
      <c r="H14" s="309">
        <v>1000</v>
      </c>
      <c r="I14" s="309">
        <v>9000</v>
      </c>
      <c r="J14" s="211"/>
      <c r="K14" s="212" t="str">
        <f>IF(OR(J14="",G14=J14),"","*")</f>
        <v/>
      </c>
      <c r="L14" s="338" t="str">
        <f>IF($A14&lt;=L$1,I14/I$4,"")</f>
        <v/>
      </c>
      <c r="M14" s="343"/>
      <c r="N14" s="344"/>
      <c r="O14" s="310">
        <v>0</v>
      </c>
      <c r="P14" s="311">
        <v>0</v>
      </c>
      <c r="Q14" s="311">
        <v>0</v>
      </c>
      <c r="R14" s="211">
        <v>0</v>
      </c>
      <c r="S14" s="212"/>
      <c r="T14" s="213" t="e">
        <v>#DIV/0!</v>
      </c>
      <c r="U14" s="214"/>
      <c r="V14" s="215"/>
      <c r="W14" s="310">
        <v>0</v>
      </c>
      <c r="X14" s="311">
        <v>0</v>
      </c>
      <c r="Y14" s="311">
        <v>0</v>
      </c>
      <c r="Z14" s="211">
        <v>0</v>
      </c>
      <c r="AA14" s="212"/>
      <c r="AB14" s="213" t="e">
        <v>#DIV/0!</v>
      </c>
      <c r="AC14" s="214"/>
      <c r="AD14" s="215"/>
      <c r="AE14" s="342" t="s">
        <v>268</v>
      </c>
      <c r="AF14" s="341" t="s">
        <v>252</v>
      </c>
    </row>
    <row r="15" spans="1:32">
      <c r="A15" s="307">
        <v>4</v>
      </c>
      <c r="B15" s="342"/>
      <c r="C15" s="342" t="s">
        <v>191</v>
      </c>
      <c r="D15" s="340" t="s">
        <v>269</v>
      </c>
      <c r="E15" s="342"/>
      <c r="F15" s="345" t="s">
        <v>258</v>
      </c>
      <c r="G15" s="308">
        <v>18</v>
      </c>
      <c r="H15" s="309">
        <v>5000</v>
      </c>
      <c r="I15" s="309">
        <v>90000</v>
      </c>
      <c r="J15" s="211"/>
      <c r="K15" s="212" t="str">
        <f>IF(OR(J15="",G15=J15),"","*")</f>
        <v/>
      </c>
      <c r="L15" s="338" t="str">
        <f>IF($A15&lt;=L$1,I15/I$4,"")</f>
        <v/>
      </c>
      <c r="M15" s="343"/>
      <c r="N15" s="344"/>
      <c r="O15" s="310">
        <v>0</v>
      </c>
      <c r="P15" s="311">
        <v>0</v>
      </c>
      <c r="Q15" s="311">
        <v>0</v>
      </c>
      <c r="R15" s="211">
        <v>0</v>
      </c>
      <c r="S15" s="212"/>
      <c r="T15" s="213" t="e">
        <v>#DIV/0!</v>
      </c>
      <c r="U15" s="214"/>
      <c r="V15" s="215"/>
      <c r="W15" s="310">
        <v>0</v>
      </c>
      <c r="X15" s="311">
        <v>0</v>
      </c>
      <c r="Y15" s="311">
        <v>0</v>
      </c>
      <c r="Z15" s="211">
        <v>0</v>
      </c>
      <c r="AA15" s="212"/>
      <c r="AB15" s="213" t="e">
        <v>#DIV/0!</v>
      </c>
      <c r="AC15" s="214"/>
      <c r="AD15" s="215"/>
      <c r="AE15" s="342" t="s">
        <v>270</v>
      </c>
      <c r="AF15" s="341" t="s">
        <v>271</v>
      </c>
    </row>
    <row r="16" spans="1:32">
      <c r="A16" s="307">
        <v>4</v>
      </c>
      <c r="B16" s="342"/>
      <c r="C16" s="342" t="s">
        <v>191</v>
      </c>
      <c r="D16" s="340" t="s">
        <v>272</v>
      </c>
      <c r="E16" s="342" t="s">
        <v>273</v>
      </c>
      <c r="F16" s="345" t="s">
        <v>258</v>
      </c>
      <c r="G16" s="308">
        <v>18</v>
      </c>
      <c r="H16" s="309">
        <v>4000</v>
      </c>
      <c r="I16" s="309">
        <v>72000</v>
      </c>
      <c r="J16" s="211"/>
      <c r="K16" s="212" t="str">
        <f>IF(OR(J16="",G16=J16),"","*")</f>
        <v/>
      </c>
      <c r="L16" s="338" t="str">
        <f>IF($A16&lt;=L$1,I16/I$4,"")</f>
        <v/>
      </c>
      <c r="M16" s="343"/>
      <c r="N16" s="344"/>
      <c r="O16" s="310">
        <v>0</v>
      </c>
      <c r="P16" s="311">
        <v>0</v>
      </c>
      <c r="Q16" s="311">
        <v>0</v>
      </c>
      <c r="R16" s="211">
        <v>0</v>
      </c>
      <c r="S16" s="212"/>
      <c r="T16" s="213" t="e">
        <v>#DIV/0!</v>
      </c>
      <c r="U16" s="214"/>
      <c r="V16" s="215"/>
      <c r="W16" s="310">
        <v>0</v>
      </c>
      <c r="X16" s="311">
        <v>0</v>
      </c>
      <c r="Y16" s="311">
        <v>0</v>
      </c>
      <c r="Z16" s="211">
        <v>0</v>
      </c>
      <c r="AA16" s="212"/>
      <c r="AB16" s="213" t="e">
        <v>#DIV/0!</v>
      </c>
      <c r="AC16" s="214"/>
      <c r="AD16" s="215"/>
      <c r="AE16" s="342" t="s">
        <v>274</v>
      </c>
      <c r="AF16" s="341" t="s">
        <v>271</v>
      </c>
    </row>
    <row r="17" spans="1:32">
      <c r="A17" s="307">
        <v>4</v>
      </c>
      <c r="B17" s="342"/>
      <c r="C17" s="342" t="s">
        <v>187</v>
      </c>
      <c r="D17" s="340" t="s">
        <v>275</v>
      </c>
      <c r="E17" s="342"/>
      <c r="F17" s="345" t="s">
        <v>183</v>
      </c>
      <c r="G17" s="308">
        <v>1</v>
      </c>
      <c r="H17" s="309">
        <v>5000</v>
      </c>
      <c r="I17" s="309">
        <v>5000</v>
      </c>
      <c r="J17" s="211"/>
      <c r="K17" s="212" t="str">
        <f>IF(OR(J17="",G17=J17),"","*")</f>
        <v/>
      </c>
      <c r="L17" s="338" t="str">
        <f>IF($A17&lt;=L$1,I17/I$4,"")</f>
        <v/>
      </c>
      <c r="M17" s="343"/>
      <c r="N17" s="344"/>
      <c r="O17" s="310">
        <v>0</v>
      </c>
      <c r="P17" s="311">
        <v>0</v>
      </c>
      <c r="Q17" s="311">
        <v>0</v>
      </c>
      <c r="R17" s="211">
        <v>0</v>
      </c>
      <c r="S17" s="212"/>
      <c r="T17" s="213" t="e">
        <v>#DIV/0!</v>
      </c>
      <c r="U17" s="214"/>
      <c r="V17" s="215"/>
      <c r="W17" s="310">
        <v>0</v>
      </c>
      <c r="X17" s="311">
        <v>0</v>
      </c>
      <c r="Y17" s="311">
        <v>0</v>
      </c>
      <c r="Z17" s="211">
        <v>0</v>
      </c>
      <c r="AA17" s="212"/>
      <c r="AB17" s="213" t="e">
        <v>#DIV/0!</v>
      </c>
      <c r="AC17" s="214"/>
      <c r="AD17" s="215"/>
      <c r="AE17" s="342" t="s">
        <v>276</v>
      </c>
      <c r="AF17" s="341"/>
    </row>
    <row r="18" spans="1:32">
      <c r="A18" s="307">
        <v>4</v>
      </c>
      <c r="B18" s="342"/>
      <c r="C18" s="342" t="s">
        <v>187</v>
      </c>
      <c r="D18" s="340" t="s">
        <v>277</v>
      </c>
      <c r="E18" s="342"/>
      <c r="F18" s="345" t="s">
        <v>278</v>
      </c>
      <c r="G18" s="308">
        <v>630</v>
      </c>
      <c r="H18" s="309">
        <v>150</v>
      </c>
      <c r="I18" s="309">
        <v>94500</v>
      </c>
      <c r="J18" s="211"/>
      <c r="K18" s="212" t="str">
        <f>IF(OR(J18="",G18=J18),"","*")</f>
        <v/>
      </c>
      <c r="L18" s="338" t="str">
        <f>IF($A18&lt;=L$1,I18/I$4,"")</f>
        <v/>
      </c>
      <c r="M18" s="343"/>
      <c r="N18" s="344"/>
      <c r="O18" s="310">
        <v>0</v>
      </c>
      <c r="P18" s="311">
        <v>0</v>
      </c>
      <c r="Q18" s="311">
        <v>0</v>
      </c>
      <c r="R18" s="211">
        <v>0</v>
      </c>
      <c r="S18" s="212"/>
      <c r="T18" s="213" t="e">
        <v>#DIV/0!</v>
      </c>
      <c r="U18" s="214"/>
      <c r="V18" s="215"/>
      <c r="W18" s="310">
        <v>0</v>
      </c>
      <c r="X18" s="311">
        <v>0</v>
      </c>
      <c r="Y18" s="311">
        <v>0</v>
      </c>
      <c r="Z18" s="211">
        <v>0</v>
      </c>
      <c r="AA18" s="212"/>
      <c r="AB18" s="213" t="e">
        <v>#DIV/0!</v>
      </c>
      <c r="AC18" s="214"/>
      <c r="AD18" s="215"/>
      <c r="AE18" s="342" t="s">
        <v>279</v>
      </c>
      <c r="AF18" s="341"/>
    </row>
    <row r="19" spans="1:32">
      <c r="A19" s="307">
        <v>2</v>
      </c>
      <c r="B19" s="342"/>
      <c r="C19" s="342" t="s">
        <v>244</v>
      </c>
      <c r="D19" s="340" t="s">
        <v>280</v>
      </c>
      <c r="E19" s="342"/>
      <c r="F19" s="345" t="s">
        <v>183</v>
      </c>
      <c r="G19" s="308">
        <v>1</v>
      </c>
      <c r="H19" s="309">
        <v>12839249</v>
      </c>
      <c r="I19" s="309">
        <v>12839249</v>
      </c>
      <c r="J19" s="211">
        <v>1</v>
      </c>
      <c r="K19" s="212" t="str">
        <f>IF(OR(J19="",G19=J19),"","*")</f>
        <v/>
      </c>
      <c r="L19" s="338">
        <f>IF($A19&lt;=L$1,I19/I$4,"")</f>
        <v>0.10917728741496599</v>
      </c>
      <c r="M19" s="343"/>
      <c r="N19" s="344" t="s">
        <v>281</v>
      </c>
      <c r="O19" s="310">
        <v>0</v>
      </c>
      <c r="P19" s="311">
        <v>0</v>
      </c>
      <c r="Q19" s="311">
        <v>0</v>
      </c>
      <c r="R19" s="211">
        <v>0</v>
      </c>
      <c r="S19" s="212"/>
      <c r="T19" s="213" t="e">
        <v>#DIV/0!</v>
      </c>
      <c r="U19" s="214"/>
      <c r="V19" s="215"/>
      <c r="W19" s="310">
        <v>0</v>
      </c>
      <c r="X19" s="311">
        <v>0</v>
      </c>
      <c r="Y19" s="311">
        <v>0</v>
      </c>
      <c r="Z19" s="211">
        <v>0</v>
      </c>
      <c r="AA19" s="212"/>
      <c r="AB19" s="213" t="e">
        <v>#DIV/0!</v>
      </c>
      <c r="AC19" s="214"/>
      <c r="AD19" s="215"/>
      <c r="AE19" s="342"/>
      <c r="AF19" s="341"/>
    </row>
    <row r="20" spans="1:32">
      <c r="A20" s="307">
        <v>3</v>
      </c>
      <c r="B20" s="342"/>
      <c r="C20" s="342" t="s">
        <v>244</v>
      </c>
      <c r="D20" s="340" t="s">
        <v>282</v>
      </c>
      <c r="E20" s="342" t="s">
        <v>170</v>
      </c>
      <c r="F20" s="345" t="s">
        <v>171</v>
      </c>
      <c r="G20" s="308">
        <v>10</v>
      </c>
      <c r="H20" s="309">
        <v>98000</v>
      </c>
      <c r="I20" s="309">
        <v>980000</v>
      </c>
      <c r="J20" s="211">
        <v>10</v>
      </c>
      <c r="K20" s="212" t="str">
        <f>IF(OR(J20="",G20=J20),"","*")</f>
        <v/>
      </c>
      <c r="L20" s="338">
        <f>IF($A20&lt;=L$1,I20/I$4,"")</f>
        <v>8.3333333333333332E-3</v>
      </c>
      <c r="M20" s="343"/>
      <c r="N20" s="344" t="s">
        <v>283</v>
      </c>
      <c r="O20" s="310">
        <v>0</v>
      </c>
      <c r="P20" s="311">
        <v>0</v>
      </c>
      <c r="Q20" s="311">
        <v>0</v>
      </c>
      <c r="R20" s="211">
        <v>0</v>
      </c>
      <c r="S20" s="212"/>
      <c r="T20" s="213" t="e">
        <v>#DIV/0!</v>
      </c>
      <c r="U20" s="214"/>
      <c r="V20" s="215"/>
      <c r="W20" s="310">
        <v>0</v>
      </c>
      <c r="X20" s="311">
        <v>0</v>
      </c>
      <c r="Y20" s="311">
        <v>0</v>
      </c>
      <c r="Z20" s="211">
        <v>0</v>
      </c>
      <c r="AA20" s="212"/>
      <c r="AB20" s="213" t="e">
        <v>#DIV/0!</v>
      </c>
      <c r="AC20" s="214"/>
      <c r="AD20" s="215"/>
      <c r="AE20" s="342"/>
      <c r="AF20" s="341"/>
    </row>
    <row r="21" spans="1:32">
      <c r="A21" s="307">
        <v>4</v>
      </c>
      <c r="B21" s="342"/>
      <c r="C21" s="342" t="s">
        <v>187</v>
      </c>
      <c r="D21" s="340" t="s">
        <v>284</v>
      </c>
      <c r="E21" s="342" t="s">
        <v>285</v>
      </c>
      <c r="F21" s="345" t="s">
        <v>286</v>
      </c>
      <c r="G21" s="308">
        <v>10</v>
      </c>
      <c r="H21" s="309">
        <v>39620</v>
      </c>
      <c r="I21" s="309">
        <v>396200</v>
      </c>
      <c r="J21" s="211"/>
      <c r="K21" s="212" t="str">
        <f>IF(OR(J21="",G21=J21),"","*")</f>
        <v/>
      </c>
      <c r="L21" s="338" t="str">
        <f>IF($A21&lt;=L$1,I21/I$4,"")</f>
        <v/>
      </c>
      <c r="M21" s="343"/>
      <c r="N21" s="344"/>
      <c r="O21" s="310">
        <v>0</v>
      </c>
      <c r="P21" s="311">
        <v>0</v>
      </c>
      <c r="Q21" s="311">
        <v>0</v>
      </c>
      <c r="R21" s="211">
        <v>0</v>
      </c>
      <c r="S21" s="212"/>
      <c r="T21" s="213" t="e">
        <v>#DIV/0!</v>
      </c>
      <c r="U21" s="214"/>
      <c r="V21" s="215"/>
      <c r="W21" s="310">
        <v>0</v>
      </c>
      <c r="X21" s="311">
        <v>0</v>
      </c>
      <c r="Y21" s="311">
        <v>0</v>
      </c>
      <c r="Z21" s="211">
        <v>0</v>
      </c>
      <c r="AA21" s="212"/>
      <c r="AB21" s="213" t="e">
        <v>#DIV/0!</v>
      </c>
      <c r="AC21" s="214"/>
      <c r="AD21" s="215"/>
      <c r="AE21" s="342"/>
      <c r="AF21" s="341"/>
    </row>
    <row r="22" spans="1:32">
      <c r="A22" s="307">
        <v>4</v>
      </c>
      <c r="B22" s="342"/>
      <c r="C22" s="342" t="s">
        <v>187</v>
      </c>
      <c r="D22" s="340" t="s">
        <v>287</v>
      </c>
      <c r="E22" s="342" t="s">
        <v>288</v>
      </c>
      <c r="F22" s="345" t="s">
        <v>289</v>
      </c>
      <c r="G22" s="308">
        <v>10</v>
      </c>
      <c r="H22" s="309">
        <v>17550</v>
      </c>
      <c r="I22" s="309">
        <v>175500</v>
      </c>
      <c r="J22" s="211"/>
      <c r="K22" s="212" t="str">
        <f>IF(OR(J22="",G22=J22),"","*")</f>
        <v/>
      </c>
      <c r="L22" s="338" t="str">
        <f>IF($A22&lt;=L$1,I22/I$4,"")</f>
        <v/>
      </c>
      <c r="M22" s="343"/>
      <c r="N22" s="344"/>
      <c r="O22" s="310">
        <v>0</v>
      </c>
      <c r="P22" s="311">
        <v>0</v>
      </c>
      <c r="Q22" s="311">
        <v>0</v>
      </c>
      <c r="R22" s="211">
        <v>0</v>
      </c>
      <c r="S22" s="212"/>
      <c r="T22" s="213" t="e">
        <v>#DIV/0!</v>
      </c>
      <c r="U22" s="214"/>
      <c r="V22" s="215"/>
      <c r="W22" s="310">
        <v>0</v>
      </c>
      <c r="X22" s="311">
        <v>0</v>
      </c>
      <c r="Y22" s="311">
        <v>0</v>
      </c>
      <c r="Z22" s="211">
        <v>0</v>
      </c>
      <c r="AA22" s="212"/>
      <c r="AB22" s="213" t="e">
        <v>#DIV/0!</v>
      </c>
      <c r="AC22" s="214"/>
      <c r="AD22" s="215"/>
      <c r="AE22" s="342"/>
      <c r="AF22" s="341"/>
    </row>
    <row r="23" spans="1:32">
      <c r="A23" s="307">
        <v>4</v>
      </c>
      <c r="B23" s="342"/>
      <c r="C23" s="342" t="s">
        <v>187</v>
      </c>
      <c r="D23" s="340" t="s">
        <v>290</v>
      </c>
      <c r="E23" s="342" t="s">
        <v>291</v>
      </c>
      <c r="F23" s="345" t="s">
        <v>292</v>
      </c>
      <c r="G23" s="308">
        <v>1.5</v>
      </c>
      <c r="H23" s="309">
        <v>500</v>
      </c>
      <c r="I23" s="309">
        <v>750</v>
      </c>
      <c r="J23" s="211"/>
      <c r="K23" s="212" t="str">
        <f>IF(OR(J23="",G23=J23),"","*")</f>
        <v/>
      </c>
      <c r="L23" s="338" t="str">
        <f>IF($A23&lt;=L$1,I23/I$4,"")</f>
        <v/>
      </c>
      <c r="M23" s="343"/>
      <c r="N23" s="344"/>
      <c r="O23" s="310">
        <v>0</v>
      </c>
      <c r="P23" s="311">
        <v>0</v>
      </c>
      <c r="Q23" s="311">
        <v>0</v>
      </c>
      <c r="R23" s="211">
        <v>0</v>
      </c>
      <c r="S23" s="212"/>
      <c r="T23" s="213" t="e">
        <v>#DIV/0!</v>
      </c>
      <c r="U23" s="214"/>
      <c r="V23" s="215"/>
      <c r="W23" s="310">
        <v>0</v>
      </c>
      <c r="X23" s="311">
        <v>0</v>
      </c>
      <c r="Y23" s="311">
        <v>0</v>
      </c>
      <c r="Z23" s="211">
        <v>0</v>
      </c>
      <c r="AA23" s="212"/>
      <c r="AB23" s="213" t="e">
        <v>#DIV/0!</v>
      </c>
      <c r="AC23" s="214"/>
      <c r="AD23" s="215"/>
      <c r="AE23" s="342" t="s">
        <v>293</v>
      </c>
      <c r="AF23" s="341" t="s">
        <v>294</v>
      </c>
    </row>
    <row r="24" spans="1:32">
      <c r="A24" s="307">
        <v>4</v>
      </c>
      <c r="B24" s="342"/>
      <c r="C24" s="342" t="s">
        <v>187</v>
      </c>
      <c r="D24" s="340" t="s">
        <v>295</v>
      </c>
      <c r="E24" s="342"/>
      <c r="F24" s="345" t="s">
        <v>296</v>
      </c>
      <c r="G24" s="308">
        <v>1</v>
      </c>
      <c r="H24" s="309">
        <v>22300</v>
      </c>
      <c r="I24" s="309">
        <v>22300</v>
      </c>
      <c r="J24" s="211"/>
      <c r="K24" s="212" t="str">
        <f>IF(OR(J24="",G24=J24),"","*")</f>
        <v/>
      </c>
      <c r="L24" s="338" t="str">
        <f>IF($A24&lt;=L$1,I24/I$4,"")</f>
        <v/>
      </c>
      <c r="M24" s="343"/>
      <c r="N24" s="344"/>
      <c r="O24" s="310">
        <v>0</v>
      </c>
      <c r="P24" s="311">
        <v>0</v>
      </c>
      <c r="Q24" s="311">
        <v>0</v>
      </c>
      <c r="R24" s="211">
        <v>0</v>
      </c>
      <c r="S24" s="212"/>
      <c r="T24" s="213" t="e">
        <v>#DIV/0!</v>
      </c>
      <c r="U24" s="214"/>
      <c r="V24" s="215"/>
      <c r="W24" s="310">
        <v>0</v>
      </c>
      <c r="X24" s="311">
        <v>0</v>
      </c>
      <c r="Y24" s="311">
        <v>0</v>
      </c>
      <c r="Z24" s="211">
        <v>0</v>
      </c>
      <c r="AA24" s="212"/>
      <c r="AB24" s="213" t="e">
        <v>#DIV/0!</v>
      </c>
      <c r="AC24" s="214"/>
      <c r="AD24" s="215"/>
      <c r="AE24" s="342" t="s">
        <v>297</v>
      </c>
      <c r="AF24" s="341" t="s">
        <v>298</v>
      </c>
    </row>
    <row r="25" spans="1:32">
      <c r="A25" s="307">
        <v>4</v>
      </c>
      <c r="B25" s="342"/>
      <c r="C25" s="342" t="s">
        <v>187</v>
      </c>
      <c r="D25" s="340" t="s">
        <v>299</v>
      </c>
      <c r="E25" s="342"/>
      <c r="F25" s="345" t="s">
        <v>300</v>
      </c>
      <c r="G25" s="308">
        <v>1</v>
      </c>
      <c r="H25" s="309">
        <v>3000</v>
      </c>
      <c r="I25" s="309">
        <v>3000</v>
      </c>
      <c r="J25" s="211"/>
      <c r="K25" s="212" t="str">
        <f>IF(OR(J25="",G25=J25),"","*")</f>
        <v/>
      </c>
      <c r="L25" s="338" t="str">
        <f>IF($A25&lt;=L$1,I25/I$4,"")</f>
        <v/>
      </c>
      <c r="M25" s="343"/>
      <c r="N25" s="344"/>
      <c r="O25" s="310">
        <v>0</v>
      </c>
      <c r="P25" s="311">
        <v>0</v>
      </c>
      <c r="Q25" s="311">
        <v>0</v>
      </c>
      <c r="R25" s="211">
        <v>0</v>
      </c>
      <c r="S25" s="212"/>
      <c r="T25" s="213" t="e">
        <v>#DIV/0!</v>
      </c>
      <c r="U25" s="214"/>
      <c r="V25" s="215"/>
      <c r="W25" s="310">
        <v>0</v>
      </c>
      <c r="X25" s="311">
        <v>0</v>
      </c>
      <c r="Y25" s="311">
        <v>0</v>
      </c>
      <c r="Z25" s="211">
        <v>0</v>
      </c>
      <c r="AA25" s="212"/>
      <c r="AB25" s="213" t="e">
        <v>#DIV/0!</v>
      </c>
      <c r="AC25" s="214"/>
      <c r="AD25" s="215"/>
      <c r="AE25" s="342" t="s">
        <v>301</v>
      </c>
      <c r="AF25" s="341"/>
    </row>
    <row r="26" spans="1:32">
      <c r="A26" s="307">
        <v>4</v>
      </c>
      <c r="B26" s="342"/>
      <c r="C26" s="342" t="s">
        <v>188</v>
      </c>
      <c r="D26" s="340" t="s">
        <v>249</v>
      </c>
      <c r="E26" s="342"/>
      <c r="F26" s="345" t="s">
        <v>250</v>
      </c>
      <c r="G26" s="308">
        <v>3</v>
      </c>
      <c r="H26" s="309">
        <v>30000</v>
      </c>
      <c r="I26" s="309">
        <v>90000</v>
      </c>
      <c r="J26" s="211"/>
      <c r="K26" s="212" t="str">
        <f>IF(OR(J26="",G26=J26),"","*")</f>
        <v/>
      </c>
      <c r="L26" s="338" t="str">
        <f>IF($A26&lt;=L$1,I26/I$4,"")</f>
        <v/>
      </c>
      <c r="M26" s="343"/>
      <c r="N26" s="344"/>
      <c r="O26" s="310">
        <v>0</v>
      </c>
      <c r="P26" s="311">
        <v>0</v>
      </c>
      <c r="Q26" s="311">
        <v>0</v>
      </c>
      <c r="R26" s="211">
        <v>0</v>
      </c>
      <c r="S26" s="212"/>
      <c r="T26" s="213" t="e">
        <v>#DIV/0!</v>
      </c>
      <c r="U26" s="214"/>
      <c r="V26" s="215"/>
      <c r="W26" s="310">
        <v>0</v>
      </c>
      <c r="X26" s="311">
        <v>0</v>
      </c>
      <c r="Y26" s="311">
        <v>0</v>
      </c>
      <c r="Z26" s="211">
        <v>0</v>
      </c>
      <c r="AA26" s="212"/>
      <c r="AB26" s="213" t="e">
        <v>#DIV/0!</v>
      </c>
      <c r="AC26" s="214"/>
      <c r="AD26" s="215"/>
      <c r="AE26" s="342" t="s">
        <v>251</v>
      </c>
      <c r="AF26" s="341" t="s">
        <v>302</v>
      </c>
    </row>
    <row r="27" spans="1:32">
      <c r="A27" s="307">
        <v>4</v>
      </c>
      <c r="B27" s="342"/>
      <c r="C27" s="342" t="s">
        <v>188</v>
      </c>
      <c r="D27" s="340" t="s">
        <v>253</v>
      </c>
      <c r="E27" s="342"/>
      <c r="F27" s="345" t="s">
        <v>250</v>
      </c>
      <c r="G27" s="308">
        <v>9</v>
      </c>
      <c r="H27" s="309">
        <v>21000</v>
      </c>
      <c r="I27" s="309">
        <v>189000</v>
      </c>
      <c r="J27" s="211"/>
      <c r="K27" s="212" t="str">
        <f>IF(OR(J27="",G27=J27),"","*")</f>
        <v/>
      </c>
      <c r="L27" s="338" t="str">
        <f>IF($A27&lt;=L$1,I27/I$4,"")</f>
        <v/>
      </c>
      <c r="M27" s="343"/>
      <c r="N27" s="344"/>
      <c r="O27" s="310">
        <v>0</v>
      </c>
      <c r="P27" s="311">
        <v>0</v>
      </c>
      <c r="Q27" s="311">
        <v>0</v>
      </c>
      <c r="R27" s="211">
        <v>0</v>
      </c>
      <c r="S27" s="212"/>
      <c r="T27" s="213" t="e">
        <v>#DIV/0!</v>
      </c>
      <c r="U27" s="214"/>
      <c r="V27" s="215"/>
      <c r="W27" s="310">
        <v>0</v>
      </c>
      <c r="X27" s="311">
        <v>0</v>
      </c>
      <c r="Y27" s="311">
        <v>0</v>
      </c>
      <c r="Z27" s="211">
        <v>0</v>
      </c>
      <c r="AA27" s="212"/>
      <c r="AB27" s="213" t="e">
        <v>#DIV/0!</v>
      </c>
      <c r="AC27" s="214"/>
      <c r="AD27" s="215"/>
      <c r="AE27" s="342" t="s">
        <v>254</v>
      </c>
      <c r="AF27" s="341" t="s">
        <v>303</v>
      </c>
    </row>
    <row r="28" spans="1:32">
      <c r="A28" s="307">
        <v>4</v>
      </c>
      <c r="B28" s="342"/>
      <c r="C28" s="342" t="s">
        <v>190</v>
      </c>
      <c r="D28" s="340" t="s">
        <v>260</v>
      </c>
      <c r="E28" s="342"/>
      <c r="F28" s="345" t="s">
        <v>258</v>
      </c>
      <c r="G28" s="308">
        <v>3</v>
      </c>
      <c r="H28" s="309">
        <v>8000</v>
      </c>
      <c r="I28" s="309">
        <v>24000</v>
      </c>
      <c r="J28" s="211"/>
      <c r="K28" s="212" t="str">
        <f>IF(OR(J28="",G28=J28),"","*")</f>
        <v/>
      </c>
      <c r="L28" s="338" t="str">
        <f>IF($A28&lt;=L$1,I28/I$4,"")</f>
        <v/>
      </c>
      <c r="M28" s="343"/>
      <c r="N28" s="344"/>
      <c r="O28" s="310">
        <v>0</v>
      </c>
      <c r="P28" s="311">
        <v>0</v>
      </c>
      <c r="Q28" s="311">
        <v>0</v>
      </c>
      <c r="R28" s="211">
        <v>0</v>
      </c>
      <c r="S28" s="212"/>
      <c r="T28" s="213" t="e">
        <v>#DIV/0!</v>
      </c>
      <c r="U28" s="214"/>
      <c r="V28" s="215"/>
      <c r="W28" s="310">
        <v>0</v>
      </c>
      <c r="X28" s="311">
        <v>0</v>
      </c>
      <c r="Y28" s="311">
        <v>0</v>
      </c>
      <c r="Z28" s="211">
        <v>0</v>
      </c>
      <c r="AA28" s="212"/>
      <c r="AB28" s="213" t="e">
        <v>#DIV/0!</v>
      </c>
      <c r="AC28" s="214"/>
      <c r="AD28" s="215"/>
      <c r="AE28" s="342" t="s">
        <v>261</v>
      </c>
      <c r="AF28" s="341" t="s">
        <v>302</v>
      </c>
    </row>
    <row r="29" spans="1:32">
      <c r="A29" s="307">
        <v>4</v>
      </c>
      <c r="B29" s="342"/>
      <c r="C29" s="342" t="s">
        <v>190</v>
      </c>
      <c r="D29" s="340" t="s">
        <v>265</v>
      </c>
      <c r="E29" s="342"/>
      <c r="F29" s="345" t="s">
        <v>258</v>
      </c>
      <c r="G29" s="308">
        <v>3</v>
      </c>
      <c r="H29" s="309">
        <v>1000</v>
      </c>
      <c r="I29" s="309">
        <v>3000</v>
      </c>
      <c r="J29" s="211"/>
      <c r="K29" s="212" t="str">
        <f>IF(OR(J29="",G29=J29),"","*")</f>
        <v/>
      </c>
      <c r="L29" s="338" t="str">
        <f>IF($A29&lt;=L$1,I29/I$4,"")</f>
        <v/>
      </c>
      <c r="M29" s="343"/>
      <c r="N29" s="344"/>
      <c r="O29" s="310">
        <v>0</v>
      </c>
      <c r="P29" s="311">
        <v>0</v>
      </c>
      <c r="Q29" s="311">
        <v>0</v>
      </c>
      <c r="R29" s="211">
        <v>0</v>
      </c>
      <c r="S29" s="212"/>
      <c r="T29" s="213" t="e">
        <v>#DIV/0!</v>
      </c>
      <c r="U29" s="214"/>
      <c r="V29" s="215"/>
      <c r="W29" s="310">
        <v>0</v>
      </c>
      <c r="X29" s="311">
        <v>0</v>
      </c>
      <c r="Y29" s="311">
        <v>0</v>
      </c>
      <c r="Z29" s="211">
        <v>0</v>
      </c>
      <c r="AA29" s="212"/>
      <c r="AB29" s="213" t="e">
        <v>#DIV/0!</v>
      </c>
      <c r="AC29" s="214"/>
      <c r="AD29" s="215"/>
      <c r="AE29" s="342" t="s">
        <v>266</v>
      </c>
      <c r="AF29" s="341" t="s">
        <v>302</v>
      </c>
    </row>
    <row r="30" spans="1:32">
      <c r="A30" s="307">
        <v>4</v>
      </c>
      <c r="B30" s="342"/>
      <c r="C30" s="342" t="s">
        <v>190</v>
      </c>
      <c r="D30" s="340" t="s">
        <v>267</v>
      </c>
      <c r="E30" s="342"/>
      <c r="F30" s="345" t="s">
        <v>258</v>
      </c>
      <c r="G30" s="308">
        <v>3</v>
      </c>
      <c r="H30" s="309">
        <v>1000</v>
      </c>
      <c r="I30" s="309">
        <v>3000</v>
      </c>
      <c r="J30" s="211"/>
      <c r="K30" s="212" t="str">
        <f>IF(OR(J30="",G30=J30),"","*")</f>
        <v/>
      </c>
      <c r="L30" s="338" t="str">
        <f>IF($A30&lt;=L$1,I30/I$4,"")</f>
        <v/>
      </c>
      <c r="M30" s="343"/>
      <c r="N30" s="344"/>
      <c r="O30" s="310">
        <v>0</v>
      </c>
      <c r="P30" s="311">
        <v>0</v>
      </c>
      <c r="Q30" s="311">
        <v>0</v>
      </c>
      <c r="R30" s="211">
        <v>0</v>
      </c>
      <c r="S30" s="212"/>
      <c r="T30" s="213" t="e">
        <v>#DIV/0!</v>
      </c>
      <c r="U30" s="214"/>
      <c r="V30" s="215"/>
      <c r="W30" s="310">
        <v>0</v>
      </c>
      <c r="X30" s="311">
        <v>0</v>
      </c>
      <c r="Y30" s="311">
        <v>0</v>
      </c>
      <c r="Z30" s="211">
        <v>0</v>
      </c>
      <c r="AA30" s="212"/>
      <c r="AB30" s="213" t="e">
        <v>#DIV/0!</v>
      </c>
      <c r="AC30" s="214"/>
      <c r="AD30" s="215"/>
      <c r="AE30" s="342" t="s">
        <v>268</v>
      </c>
      <c r="AF30" s="341" t="s">
        <v>302</v>
      </c>
    </row>
    <row r="31" spans="1:32">
      <c r="A31" s="307">
        <v>4</v>
      </c>
      <c r="B31" s="342"/>
      <c r="C31" s="342" t="s">
        <v>190</v>
      </c>
      <c r="D31" s="340" t="s">
        <v>304</v>
      </c>
      <c r="E31" s="342"/>
      <c r="F31" s="345" t="s">
        <v>258</v>
      </c>
      <c r="G31" s="308">
        <v>7</v>
      </c>
      <c r="H31" s="309">
        <v>3000</v>
      </c>
      <c r="I31" s="309">
        <v>21000</v>
      </c>
      <c r="J31" s="211"/>
      <c r="K31" s="212" t="str">
        <f>IF(OR(J31="",G31=J31),"","*")</f>
        <v/>
      </c>
      <c r="L31" s="338" t="str">
        <f>IF($A31&lt;=L$1,I31/I$4,"")</f>
        <v/>
      </c>
      <c r="M31" s="343"/>
      <c r="N31" s="344"/>
      <c r="O31" s="310">
        <v>0</v>
      </c>
      <c r="P31" s="311">
        <v>0</v>
      </c>
      <c r="Q31" s="311">
        <v>0</v>
      </c>
      <c r="R31" s="211">
        <v>0</v>
      </c>
      <c r="S31" s="212"/>
      <c r="T31" s="213" t="e">
        <v>#DIV/0!</v>
      </c>
      <c r="U31" s="214"/>
      <c r="V31" s="215"/>
      <c r="W31" s="310">
        <v>0</v>
      </c>
      <c r="X31" s="311">
        <v>0</v>
      </c>
      <c r="Y31" s="311">
        <v>0</v>
      </c>
      <c r="Z31" s="211">
        <v>0</v>
      </c>
      <c r="AA31" s="212"/>
      <c r="AB31" s="213" t="e">
        <v>#DIV/0!</v>
      </c>
      <c r="AC31" s="214"/>
      <c r="AD31" s="215"/>
      <c r="AE31" s="342" t="s">
        <v>305</v>
      </c>
      <c r="AF31" s="341" t="s">
        <v>306</v>
      </c>
    </row>
    <row r="32" spans="1:32">
      <c r="A32" s="307">
        <v>4</v>
      </c>
      <c r="B32" s="342"/>
      <c r="C32" s="342" t="s">
        <v>191</v>
      </c>
      <c r="D32" s="340" t="s">
        <v>269</v>
      </c>
      <c r="E32" s="342"/>
      <c r="F32" s="345" t="s">
        <v>258</v>
      </c>
      <c r="G32" s="308">
        <v>3</v>
      </c>
      <c r="H32" s="309">
        <v>5000</v>
      </c>
      <c r="I32" s="309">
        <v>15000</v>
      </c>
      <c r="J32" s="211"/>
      <c r="K32" s="212" t="str">
        <f>IF(OR(J32="",G32=J32),"","*")</f>
        <v/>
      </c>
      <c r="L32" s="338" t="str">
        <f>IF($A32&lt;=L$1,I32/I$4,"")</f>
        <v/>
      </c>
      <c r="M32" s="343"/>
      <c r="N32" s="344"/>
      <c r="O32" s="310">
        <v>0</v>
      </c>
      <c r="P32" s="311">
        <v>0</v>
      </c>
      <c r="Q32" s="311">
        <v>0</v>
      </c>
      <c r="R32" s="211">
        <v>0</v>
      </c>
      <c r="S32" s="212"/>
      <c r="T32" s="213" t="e">
        <v>#DIV/0!</v>
      </c>
      <c r="U32" s="214"/>
      <c r="V32" s="215"/>
      <c r="W32" s="310">
        <v>0</v>
      </c>
      <c r="X32" s="311">
        <v>0</v>
      </c>
      <c r="Y32" s="311">
        <v>0</v>
      </c>
      <c r="Z32" s="211">
        <v>0</v>
      </c>
      <c r="AA32" s="212"/>
      <c r="AB32" s="213" t="e">
        <v>#DIV/0!</v>
      </c>
      <c r="AC32" s="214"/>
      <c r="AD32" s="215"/>
      <c r="AE32" s="342" t="s">
        <v>270</v>
      </c>
      <c r="AF32" s="341" t="s">
        <v>302</v>
      </c>
    </row>
    <row r="33" spans="1:32">
      <c r="A33" s="307">
        <v>4</v>
      </c>
      <c r="B33" s="342"/>
      <c r="C33" s="342" t="s">
        <v>191</v>
      </c>
      <c r="D33" s="340" t="s">
        <v>272</v>
      </c>
      <c r="E33" s="342" t="s">
        <v>273</v>
      </c>
      <c r="F33" s="345" t="s">
        <v>258</v>
      </c>
      <c r="G33" s="308">
        <v>3</v>
      </c>
      <c r="H33" s="309">
        <v>4000</v>
      </c>
      <c r="I33" s="309">
        <v>12000</v>
      </c>
      <c r="J33" s="211"/>
      <c r="K33" s="212" t="str">
        <f>IF(OR(J33="",G33=J33),"","*")</f>
        <v/>
      </c>
      <c r="L33" s="338" t="str">
        <f>IF($A33&lt;=L$1,I33/I$4,"")</f>
        <v/>
      </c>
      <c r="M33" s="343"/>
      <c r="N33" s="344"/>
      <c r="O33" s="310">
        <v>0</v>
      </c>
      <c r="P33" s="311">
        <v>0</v>
      </c>
      <c r="Q33" s="311">
        <v>0</v>
      </c>
      <c r="R33" s="211">
        <v>0</v>
      </c>
      <c r="S33" s="212"/>
      <c r="T33" s="213" t="e">
        <v>#DIV/0!</v>
      </c>
      <c r="U33" s="214"/>
      <c r="V33" s="215"/>
      <c r="W33" s="310">
        <v>0</v>
      </c>
      <c r="X33" s="311">
        <v>0</v>
      </c>
      <c r="Y33" s="311">
        <v>0</v>
      </c>
      <c r="Z33" s="211">
        <v>0</v>
      </c>
      <c r="AA33" s="212"/>
      <c r="AB33" s="213" t="e">
        <v>#DIV/0!</v>
      </c>
      <c r="AC33" s="214"/>
      <c r="AD33" s="215"/>
      <c r="AE33" s="342" t="s">
        <v>274</v>
      </c>
      <c r="AF33" s="341" t="s">
        <v>302</v>
      </c>
    </row>
    <row r="34" spans="1:32">
      <c r="A34" s="307">
        <v>4</v>
      </c>
      <c r="B34" s="342"/>
      <c r="C34" s="342" t="s">
        <v>187</v>
      </c>
      <c r="D34" s="340" t="s">
        <v>275</v>
      </c>
      <c r="E34" s="342"/>
      <c r="F34" s="345" t="s">
        <v>183</v>
      </c>
      <c r="G34" s="308">
        <v>1</v>
      </c>
      <c r="H34" s="309">
        <v>2750</v>
      </c>
      <c r="I34" s="309">
        <v>2750</v>
      </c>
      <c r="J34" s="211"/>
      <c r="K34" s="212" t="str">
        <f>IF(OR(J34="",G34=J34),"","*")</f>
        <v/>
      </c>
      <c r="L34" s="338" t="str">
        <f>IF($A34&lt;=L$1,I34/I$4,"")</f>
        <v/>
      </c>
      <c r="M34" s="343"/>
      <c r="N34" s="344"/>
      <c r="O34" s="310">
        <v>0</v>
      </c>
      <c r="P34" s="311">
        <v>0</v>
      </c>
      <c r="Q34" s="311">
        <v>0</v>
      </c>
      <c r="R34" s="211">
        <v>0</v>
      </c>
      <c r="S34" s="212"/>
      <c r="T34" s="213" t="e">
        <v>#DIV/0!</v>
      </c>
      <c r="U34" s="214"/>
      <c r="V34" s="215"/>
      <c r="W34" s="310">
        <v>0</v>
      </c>
      <c r="X34" s="311">
        <v>0</v>
      </c>
      <c r="Y34" s="311">
        <v>0</v>
      </c>
      <c r="Z34" s="211">
        <v>0</v>
      </c>
      <c r="AA34" s="212"/>
      <c r="AB34" s="213" t="e">
        <v>#DIV/0!</v>
      </c>
      <c r="AC34" s="214"/>
      <c r="AD34" s="215"/>
      <c r="AE34" s="342" t="s">
        <v>276</v>
      </c>
      <c r="AF34" s="341"/>
    </row>
    <row r="35" spans="1:32">
      <c r="A35" s="307">
        <v>4</v>
      </c>
      <c r="B35" s="342"/>
      <c r="C35" s="342" t="s">
        <v>187</v>
      </c>
      <c r="D35" s="340" t="s">
        <v>277</v>
      </c>
      <c r="E35" s="342"/>
      <c r="F35" s="345" t="s">
        <v>278</v>
      </c>
      <c r="G35" s="308">
        <v>150</v>
      </c>
      <c r="H35" s="309">
        <v>150</v>
      </c>
      <c r="I35" s="309">
        <v>22500</v>
      </c>
      <c r="J35" s="211"/>
      <c r="K35" s="212" t="str">
        <f>IF(OR(J35="",G35=J35),"","*")</f>
        <v/>
      </c>
      <c r="L35" s="338" t="str">
        <f>IF($A35&lt;=L$1,I35/I$4,"")</f>
        <v/>
      </c>
      <c r="M35" s="343"/>
      <c r="N35" s="344"/>
      <c r="O35" s="310">
        <v>0</v>
      </c>
      <c r="P35" s="311">
        <v>0</v>
      </c>
      <c r="Q35" s="311">
        <v>0</v>
      </c>
      <c r="R35" s="211">
        <v>0</v>
      </c>
      <c r="S35" s="212"/>
      <c r="T35" s="213" t="e">
        <v>#DIV/0!</v>
      </c>
      <c r="U35" s="214"/>
      <c r="V35" s="215"/>
      <c r="W35" s="310">
        <v>0</v>
      </c>
      <c r="X35" s="311">
        <v>0</v>
      </c>
      <c r="Y35" s="311">
        <v>0</v>
      </c>
      <c r="Z35" s="211">
        <v>0</v>
      </c>
      <c r="AA35" s="212"/>
      <c r="AB35" s="213" t="e">
        <v>#DIV/0!</v>
      </c>
      <c r="AC35" s="214"/>
      <c r="AD35" s="215"/>
      <c r="AE35" s="342" t="s">
        <v>279</v>
      </c>
      <c r="AF35" s="341"/>
    </row>
    <row r="36" spans="1:32">
      <c r="A36" s="307">
        <v>3</v>
      </c>
      <c r="B36" s="342"/>
      <c r="C36" s="342" t="s">
        <v>244</v>
      </c>
      <c r="D36" s="340" t="s">
        <v>307</v>
      </c>
      <c r="E36" s="342" t="s">
        <v>172</v>
      </c>
      <c r="F36" s="345" t="s">
        <v>171</v>
      </c>
      <c r="G36" s="308">
        <v>2</v>
      </c>
      <c r="H36" s="309">
        <v>225000</v>
      </c>
      <c r="I36" s="309">
        <v>450000</v>
      </c>
      <c r="J36" s="211">
        <v>2</v>
      </c>
      <c r="K36" s="212" t="str">
        <f>IF(OR(J36="",G36=J36),"","*")</f>
        <v/>
      </c>
      <c r="L36" s="338">
        <f>IF($A36&lt;=L$1,I36/I$4,"")</f>
        <v>3.8265306122448979E-3</v>
      </c>
      <c r="M36" s="343"/>
      <c r="N36" s="344" t="s">
        <v>308</v>
      </c>
      <c r="O36" s="310">
        <v>0</v>
      </c>
      <c r="P36" s="311">
        <v>0</v>
      </c>
      <c r="Q36" s="311">
        <v>0</v>
      </c>
      <c r="R36" s="211">
        <v>0</v>
      </c>
      <c r="S36" s="212"/>
      <c r="T36" s="213" t="e">
        <v>#DIV/0!</v>
      </c>
      <c r="U36" s="214"/>
      <c r="V36" s="215"/>
      <c r="W36" s="310">
        <v>0</v>
      </c>
      <c r="X36" s="311">
        <v>0</v>
      </c>
      <c r="Y36" s="311">
        <v>0</v>
      </c>
      <c r="Z36" s="211">
        <v>0</v>
      </c>
      <c r="AA36" s="212"/>
      <c r="AB36" s="213" t="e">
        <v>#DIV/0!</v>
      </c>
      <c r="AC36" s="214"/>
      <c r="AD36" s="215"/>
      <c r="AE36" s="342"/>
      <c r="AF36" s="341"/>
    </row>
    <row r="37" spans="1:32">
      <c r="A37" s="307">
        <v>4</v>
      </c>
      <c r="B37" s="342"/>
      <c r="C37" s="342" t="s">
        <v>187</v>
      </c>
      <c r="D37" s="340" t="s">
        <v>290</v>
      </c>
      <c r="E37" s="342" t="s">
        <v>291</v>
      </c>
      <c r="F37" s="345" t="s">
        <v>292</v>
      </c>
      <c r="G37" s="308">
        <v>0.3</v>
      </c>
      <c r="H37" s="309">
        <v>500</v>
      </c>
      <c r="I37" s="309">
        <v>150</v>
      </c>
      <c r="J37" s="211"/>
      <c r="K37" s="212" t="str">
        <f>IF(OR(J37="",G37=J37),"","*")</f>
        <v/>
      </c>
      <c r="L37" s="338" t="str">
        <f>IF($A37&lt;=L$1,I37/I$4,"")</f>
        <v/>
      </c>
      <c r="M37" s="343"/>
      <c r="N37" s="344"/>
      <c r="O37" s="310">
        <v>0</v>
      </c>
      <c r="P37" s="311">
        <v>0</v>
      </c>
      <c r="Q37" s="311">
        <v>0</v>
      </c>
      <c r="R37" s="211">
        <v>0</v>
      </c>
      <c r="S37" s="212"/>
      <c r="T37" s="213" t="e">
        <v>#DIV/0!</v>
      </c>
      <c r="U37" s="214"/>
      <c r="V37" s="215"/>
      <c r="W37" s="310">
        <v>0</v>
      </c>
      <c r="X37" s="311">
        <v>0</v>
      </c>
      <c r="Y37" s="311">
        <v>0</v>
      </c>
      <c r="Z37" s="211">
        <v>0</v>
      </c>
      <c r="AA37" s="212"/>
      <c r="AB37" s="213" t="e">
        <v>#DIV/0!</v>
      </c>
      <c r="AC37" s="214"/>
      <c r="AD37" s="215"/>
      <c r="AE37" s="342" t="s">
        <v>293</v>
      </c>
      <c r="AF37" s="341" t="s">
        <v>309</v>
      </c>
    </row>
    <row r="38" spans="1:32">
      <c r="A38" s="307">
        <v>4</v>
      </c>
      <c r="B38" s="342"/>
      <c r="C38" s="342" t="s">
        <v>187</v>
      </c>
      <c r="D38" s="340" t="s">
        <v>295</v>
      </c>
      <c r="E38" s="342"/>
      <c r="F38" s="345" t="s">
        <v>296</v>
      </c>
      <c r="G38" s="308">
        <v>0.3</v>
      </c>
      <c r="H38" s="309">
        <v>22300</v>
      </c>
      <c r="I38" s="309">
        <v>6690</v>
      </c>
      <c r="J38" s="211"/>
      <c r="K38" s="212" t="str">
        <f>IF(OR(J38="",G38=J38),"","*")</f>
        <v/>
      </c>
      <c r="L38" s="338" t="str">
        <f>IF($A38&lt;=L$1,I38/I$4,"")</f>
        <v/>
      </c>
      <c r="M38" s="343"/>
      <c r="N38" s="344"/>
      <c r="O38" s="310">
        <v>0</v>
      </c>
      <c r="P38" s="311">
        <v>0</v>
      </c>
      <c r="Q38" s="311">
        <v>0</v>
      </c>
      <c r="R38" s="211">
        <v>0</v>
      </c>
      <c r="S38" s="212"/>
      <c r="T38" s="213" t="e">
        <v>#DIV/0!</v>
      </c>
      <c r="U38" s="214"/>
      <c r="V38" s="215"/>
      <c r="W38" s="310">
        <v>0</v>
      </c>
      <c r="X38" s="311">
        <v>0</v>
      </c>
      <c r="Y38" s="311">
        <v>0</v>
      </c>
      <c r="Z38" s="211">
        <v>0</v>
      </c>
      <c r="AA38" s="212"/>
      <c r="AB38" s="213" t="e">
        <v>#DIV/0!</v>
      </c>
      <c r="AC38" s="214"/>
      <c r="AD38" s="215"/>
      <c r="AE38" s="342" t="s">
        <v>297</v>
      </c>
      <c r="AF38" s="341" t="s">
        <v>310</v>
      </c>
    </row>
    <row r="39" spans="1:32">
      <c r="A39" s="307">
        <v>4</v>
      </c>
      <c r="B39" s="342"/>
      <c r="C39" s="342" t="s">
        <v>187</v>
      </c>
      <c r="D39" s="340" t="s">
        <v>299</v>
      </c>
      <c r="E39" s="342"/>
      <c r="F39" s="345" t="s">
        <v>300</v>
      </c>
      <c r="G39" s="308">
        <v>2</v>
      </c>
      <c r="H39" s="309">
        <v>3000</v>
      </c>
      <c r="I39" s="309">
        <v>6000</v>
      </c>
      <c r="J39" s="211"/>
      <c r="K39" s="212" t="str">
        <f>IF(OR(J39="",G39=J39),"","*")</f>
        <v/>
      </c>
      <c r="L39" s="338" t="str">
        <f>IF($A39&lt;=L$1,I39/I$4,"")</f>
        <v/>
      </c>
      <c r="M39" s="343"/>
      <c r="N39" s="344"/>
      <c r="O39" s="310">
        <v>0</v>
      </c>
      <c r="P39" s="311">
        <v>0</v>
      </c>
      <c r="Q39" s="311">
        <v>0</v>
      </c>
      <c r="R39" s="211">
        <v>0</v>
      </c>
      <c r="S39" s="212"/>
      <c r="T39" s="213" t="e">
        <v>#DIV/0!</v>
      </c>
      <c r="U39" s="214"/>
      <c r="V39" s="215"/>
      <c r="W39" s="310">
        <v>0</v>
      </c>
      <c r="X39" s="311">
        <v>0</v>
      </c>
      <c r="Y39" s="311">
        <v>0</v>
      </c>
      <c r="Z39" s="211">
        <v>0</v>
      </c>
      <c r="AA39" s="212"/>
      <c r="AB39" s="213" t="e">
        <v>#DIV/0!</v>
      </c>
      <c r="AC39" s="214"/>
      <c r="AD39" s="215"/>
      <c r="AE39" s="342" t="s">
        <v>301</v>
      </c>
      <c r="AF39" s="341"/>
    </row>
    <row r="40" spans="1:32">
      <c r="A40" s="307">
        <v>4</v>
      </c>
      <c r="B40" s="342"/>
      <c r="C40" s="342" t="s">
        <v>187</v>
      </c>
      <c r="D40" s="340" t="s">
        <v>311</v>
      </c>
      <c r="E40" s="342" t="s">
        <v>312</v>
      </c>
      <c r="F40" s="345" t="s">
        <v>313</v>
      </c>
      <c r="G40" s="308">
        <v>4</v>
      </c>
      <c r="H40" s="309">
        <v>42000</v>
      </c>
      <c r="I40" s="309">
        <v>168000</v>
      </c>
      <c r="J40" s="211"/>
      <c r="K40" s="212" t="str">
        <f>IF(OR(J40="",G40=J40),"","*")</f>
        <v/>
      </c>
      <c r="L40" s="338" t="str">
        <f>IF($A40&lt;=L$1,I40/I$4,"")</f>
        <v/>
      </c>
      <c r="M40" s="343"/>
      <c r="N40" s="344"/>
      <c r="O40" s="310">
        <v>0</v>
      </c>
      <c r="P40" s="311">
        <v>0</v>
      </c>
      <c r="Q40" s="311">
        <v>0</v>
      </c>
      <c r="R40" s="211">
        <v>0</v>
      </c>
      <c r="S40" s="212"/>
      <c r="T40" s="213" t="e">
        <v>#DIV/0!</v>
      </c>
      <c r="U40" s="214"/>
      <c r="V40" s="215"/>
      <c r="W40" s="310">
        <v>0</v>
      </c>
      <c r="X40" s="311">
        <v>0</v>
      </c>
      <c r="Y40" s="311">
        <v>0</v>
      </c>
      <c r="Z40" s="211">
        <v>0</v>
      </c>
      <c r="AA40" s="212"/>
      <c r="AB40" s="213" t="e">
        <v>#DIV/0!</v>
      </c>
      <c r="AC40" s="214"/>
      <c r="AD40" s="215"/>
      <c r="AE40" s="342"/>
      <c r="AF40" s="341"/>
    </row>
    <row r="41" spans="1:32">
      <c r="A41" s="307">
        <v>4</v>
      </c>
      <c r="B41" s="342"/>
      <c r="C41" s="342" t="s">
        <v>188</v>
      </c>
      <c r="D41" s="340" t="s">
        <v>249</v>
      </c>
      <c r="E41" s="342"/>
      <c r="F41" s="345" t="s">
        <v>250</v>
      </c>
      <c r="G41" s="308">
        <v>2</v>
      </c>
      <c r="H41" s="309">
        <v>30000</v>
      </c>
      <c r="I41" s="309">
        <v>60000</v>
      </c>
      <c r="J41" s="211"/>
      <c r="K41" s="212" t="str">
        <f>IF(OR(J41="",G41=J41),"","*")</f>
        <v/>
      </c>
      <c r="L41" s="338" t="str">
        <f>IF($A41&lt;=L$1,I41/I$4,"")</f>
        <v/>
      </c>
      <c r="M41" s="343"/>
      <c r="N41" s="344"/>
      <c r="O41" s="310">
        <v>0</v>
      </c>
      <c r="P41" s="311">
        <v>0</v>
      </c>
      <c r="Q41" s="311">
        <v>0</v>
      </c>
      <c r="R41" s="211">
        <v>0</v>
      </c>
      <c r="S41" s="212"/>
      <c r="T41" s="213" t="e">
        <v>#DIV/0!</v>
      </c>
      <c r="U41" s="214"/>
      <c r="V41" s="215"/>
      <c r="W41" s="310">
        <v>0</v>
      </c>
      <c r="X41" s="311">
        <v>0</v>
      </c>
      <c r="Y41" s="311">
        <v>0</v>
      </c>
      <c r="Z41" s="211">
        <v>0</v>
      </c>
      <c r="AA41" s="212"/>
      <c r="AB41" s="213" t="e">
        <v>#DIV/0!</v>
      </c>
      <c r="AC41" s="214"/>
      <c r="AD41" s="215"/>
      <c r="AE41" s="342" t="s">
        <v>251</v>
      </c>
      <c r="AF41" s="341" t="s">
        <v>314</v>
      </c>
    </row>
    <row r="42" spans="1:32">
      <c r="A42" s="307">
        <v>4</v>
      </c>
      <c r="B42" s="342"/>
      <c r="C42" s="342" t="s">
        <v>188</v>
      </c>
      <c r="D42" s="340" t="s">
        <v>253</v>
      </c>
      <c r="E42" s="342"/>
      <c r="F42" s="345" t="s">
        <v>250</v>
      </c>
      <c r="G42" s="308">
        <v>6</v>
      </c>
      <c r="H42" s="309">
        <v>21000</v>
      </c>
      <c r="I42" s="309">
        <v>126000</v>
      </c>
      <c r="J42" s="211"/>
      <c r="K42" s="212" t="str">
        <f>IF(OR(J42="",G42=J42),"","*")</f>
        <v/>
      </c>
      <c r="L42" s="338" t="str">
        <f>IF($A42&lt;=L$1,I42/I$4,"")</f>
        <v/>
      </c>
      <c r="M42" s="343"/>
      <c r="N42" s="344"/>
      <c r="O42" s="310">
        <v>0</v>
      </c>
      <c r="P42" s="311">
        <v>0</v>
      </c>
      <c r="Q42" s="311">
        <v>0</v>
      </c>
      <c r="R42" s="211">
        <v>0</v>
      </c>
      <c r="S42" s="212"/>
      <c r="T42" s="213" t="e">
        <v>#DIV/0!</v>
      </c>
      <c r="U42" s="214"/>
      <c r="V42" s="215"/>
      <c r="W42" s="310">
        <v>0</v>
      </c>
      <c r="X42" s="311">
        <v>0</v>
      </c>
      <c r="Y42" s="311">
        <v>0</v>
      </c>
      <c r="Z42" s="211">
        <v>0</v>
      </c>
      <c r="AA42" s="212"/>
      <c r="AB42" s="213" t="e">
        <v>#DIV/0!</v>
      </c>
      <c r="AC42" s="214"/>
      <c r="AD42" s="215"/>
      <c r="AE42" s="342" t="s">
        <v>254</v>
      </c>
      <c r="AF42" s="341" t="s">
        <v>315</v>
      </c>
    </row>
    <row r="43" spans="1:32">
      <c r="A43" s="307">
        <v>4</v>
      </c>
      <c r="B43" s="342"/>
      <c r="C43" s="342" t="s">
        <v>190</v>
      </c>
      <c r="D43" s="340" t="s">
        <v>260</v>
      </c>
      <c r="E43" s="342"/>
      <c r="F43" s="345" t="s">
        <v>258</v>
      </c>
      <c r="G43" s="308">
        <v>2</v>
      </c>
      <c r="H43" s="309">
        <v>8000</v>
      </c>
      <c r="I43" s="309">
        <v>16000</v>
      </c>
      <c r="J43" s="211"/>
      <c r="K43" s="212" t="str">
        <f>IF(OR(J43="",G43=J43),"","*")</f>
        <v/>
      </c>
      <c r="L43" s="338" t="str">
        <f>IF($A43&lt;=L$1,I43/I$4,"")</f>
        <v/>
      </c>
      <c r="M43" s="343"/>
      <c r="N43" s="344"/>
      <c r="O43" s="310">
        <v>0</v>
      </c>
      <c r="P43" s="311">
        <v>0</v>
      </c>
      <c r="Q43" s="311">
        <v>0</v>
      </c>
      <c r="R43" s="211">
        <v>0</v>
      </c>
      <c r="S43" s="212"/>
      <c r="T43" s="213" t="e">
        <v>#DIV/0!</v>
      </c>
      <c r="U43" s="214"/>
      <c r="V43" s="215"/>
      <c r="W43" s="310">
        <v>0</v>
      </c>
      <c r="X43" s="311">
        <v>0</v>
      </c>
      <c r="Y43" s="311">
        <v>0</v>
      </c>
      <c r="Z43" s="211">
        <v>0</v>
      </c>
      <c r="AA43" s="212"/>
      <c r="AB43" s="213" t="e">
        <v>#DIV/0!</v>
      </c>
      <c r="AC43" s="214"/>
      <c r="AD43" s="215"/>
      <c r="AE43" s="342" t="s">
        <v>261</v>
      </c>
      <c r="AF43" s="341" t="s">
        <v>314</v>
      </c>
    </row>
    <row r="44" spans="1:32">
      <c r="A44" s="307">
        <v>4</v>
      </c>
      <c r="B44" s="342"/>
      <c r="C44" s="342" t="s">
        <v>190</v>
      </c>
      <c r="D44" s="340" t="s">
        <v>265</v>
      </c>
      <c r="E44" s="342"/>
      <c r="F44" s="345" t="s">
        <v>258</v>
      </c>
      <c r="G44" s="308">
        <v>2</v>
      </c>
      <c r="H44" s="309">
        <v>1000</v>
      </c>
      <c r="I44" s="309">
        <v>2000</v>
      </c>
      <c r="J44" s="211"/>
      <c r="K44" s="212" t="str">
        <f>IF(OR(J44="",G44=J44),"","*")</f>
        <v/>
      </c>
      <c r="L44" s="338" t="str">
        <f>IF($A44&lt;=L$1,I44/I$4,"")</f>
        <v/>
      </c>
      <c r="M44" s="343"/>
      <c r="N44" s="344"/>
      <c r="O44" s="310">
        <v>0</v>
      </c>
      <c r="P44" s="311">
        <v>0</v>
      </c>
      <c r="Q44" s="311">
        <v>0</v>
      </c>
      <c r="R44" s="211">
        <v>0</v>
      </c>
      <c r="S44" s="212"/>
      <c r="T44" s="213" t="e">
        <v>#DIV/0!</v>
      </c>
      <c r="U44" s="214"/>
      <c r="V44" s="215"/>
      <c r="W44" s="310">
        <v>0</v>
      </c>
      <c r="X44" s="311">
        <v>0</v>
      </c>
      <c r="Y44" s="311">
        <v>0</v>
      </c>
      <c r="Z44" s="211">
        <v>0</v>
      </c>
      <c r="AA44" s="212"/>
      <c r="AB44" s="213" t="e">
        <v>#DIV/0!</v>
      </c>
      <c r="AC44" s="214"/>
      <c r="AD44" s="215"/>
      <c r="AE44" s="342" t="s">
        <v>266</v>
      </c>
      <c r="AF44" s="341" t="s">
        <v>314</v>
      </c>
    </row>
    <row r="45" spans="1:32">
      <c r="A45" s="307">
        <v>4</v>
      </c>
      <c r="B45" s="342"/>
      <c r="C45" s="342" t="s">
        <v>190</v>
      </c>
      <c r="D45" s="340" t="s">
        <v>267</v>
      </c>
      <c r="E45" s="342"/>
      <c r="F45" s="345" t="s">
        <v>258</v>
      </c>
      <c r="G45" s="308">
        <v>3</v>
      </c>
      <c r="H45" s="309">
        <v>1000</v>
      </c>
      <c r="I45" s="309">
        <v>3000</v>
      </c>
      <c r="J45" s="211"/>
      <c r="K45" s="212" t="str">
        <f>IF(OR(J45="",G45=J45),"","*")</f>
        <v/>
      </c>
      <c r="L45" s="338" t="str">
        <f>IF($A45&lt;=L$1,I45/I$4,"")</f>
        <v/>
      </c>
      <c r="M45" s="343"/>
      <c r="N45" s="344"/>
      <c r="O45" s="310">
        <v>0</v>
      </c>
      <c r="P45" s="311">
        <v>0</v>
      </c>
      <c r="Q45" s="311">
        <v>0</v>
      </c>
      <c r="R45" s="211">
        <v>0</v>
      </c>
      <c r="S45" s="212"/>
      <c r="T45" s="213" t="e">
        <v>#DIV/0!</v>
      </c>
      <c r="U45" s="214"/>
      <c r="V45" s="215"/>
      <c r="W45" s="310">
        <v>0</v>
      </c>
      <c r="X45" s="311">
        <v>0</v>
      </c>
      <c r="Y45" s="311">
        <v>0</v>
      </c>
      <c r="Z45" s="211">
        <v>0</v>
      </c>
      <c r="AA45" s="212"/>
      <c r="AB45" s="213" t="e">
        <v>#DIV/0!</v>
      </c>
      <c r="AC45" s="214"/>
      <c r="AD45" s="215"/>
      <c r="AE45" s="342" t="s">
        <v>268</v>
      </c>
      <c r="AF45" s="341" t="s">
        <v>302</v>
      </c>
    </row>
    <row r="46" spans="1:32">
      <c r="A46" s="307">
        <v>4</v>
      </c>
      <c r="B46" s="342"/>
      <c r="C46" s="342" t="s">
        <v>190</v>
      </c>
      <c r="D46" s="340" t="s">
        <v>316</v>
      </c>
      <c r="E46" s="342"/>
      <c r="F46" s="345" t="s">
        <v>258</v>
      </c>
      <c r="G46" s="308">
        <v>3</v>
      </c>
      <c r="H46" s="309">
        <v>1000</v>
      </c>
      <c r="I46" s="309">
        <v>3000</v>
      </c>
      <c r="J46" s="211"/>
      <c r="K46" s="212" t="str">
        <f>IF(OR(J46="",G46=J46),"","*")</f>
        <v/>
      </c>
      <c r="L46" s="338" t="str">
        <f>IF($A46&lt;=L$1,I46/I$4,"")</f>
        <v/>
      </c>
      <c r="M46" s="343"/>
      <c r="N46" s="344"/>
      <c r="O46" s="310">
        <v>0</v>
      </c>
      <c r="P46" s="311">
        <v>0</v>
      </c>
      <c r="Q46" s="311">
        <v>0</v>
      </c>
      <c r="R46" s="211">
        <v>0</v>
      </c>
      <c r="S46" s="212"/>
      <c r="T46" s="213" t="e">
        <v>#DIV/0!</v>
      </c>
      <c r="U46" s="214"/>
      <c r="V46" s="215"/>
      <c r="W46" s="310">
        <v>0</v>
      </c>
      <c r="X46" s="311">
        <v>0</v>
      </c>
      <c r="Y46" s="311">
        <v>0</v>
      </c>
      <c r="Z46" s="211">
        <v>0</v>
      </c>
      <c r="AA46" s="212"/>
      <c r="AB46" s="213" t="e">
        <v>#DIV/0!</v>
      </c>
      <c r="AC46" s="214"/>
      <c r="AD46" s="215"/>
      <c r="AE46" s="342" t="s">
        <v>317</v>
      </c>
      <c r="AF46" s="341" t="s">
        <v>302</v>
      </c>
    </row>
    <row r="47" spans="1:32">
      <c r="A47" s="307">
        <v>4</v>
      </c>
      <c r="B47" s="342"/>
      <c r="C47" s="342" t="s">
        <v>190</v>
      </c>
      <c r="D47" s="340" t="s">
        <v>304</v>
      </c>
      <c r="E47" s="342"/>
      <c r="F47" s="345" t="s">
        <v>258</v>
      </c>
      <c r="G47" s="308">
        <v>3</v>
      </c>
      <c r="H47" s="309">
        <v>3000</v>
      </c>
      <c r="I47" s="309">
        <v>9000</v>
      </c>
      <c r="J47" s="211"/>
      <c r="K47" s="212" t="str">
        <f>IF(OR(J47="",G47=J47),"","*")</f>
        <v/>
      </c>
      <c r="L47" s="338" t="str">
        <f>IF($A47&lt;=L$1,I47/I$4,"")</f>
        <v/>
      </c>
      <c r="M47" s="343"/>
      <c r="N47" s="344"/>
      <c r="O47" s="310">
        <v>0</v>
      </c>
      <c r="P47" s="311">
        <v>0</v>
      </c>
      <c r="Q47" s="311">
        <v>0</v>
      </c>
      <c r="R47" s="211">
        <v>0</v>
      </c>
      <c r="S47" s="212"/>
      <c r="T47" s="213" t="e">
        <v>#DIV/0!</v>
      </c>
      <c r="U47" s="214"/>
      <c r="V47" s="215"/>
      <c r="W47" s="310">
        <v>0</v>
      </c>
      <c r="X47" s="311">
        <v>0</v>
      </c>
      <c r="Y47" s="311">
        <v>0</v>
      </c>
      <c r="Z47" s="211">
        <v>0</v>
      </c>
      <c r="AA47" s="212"/>
      <c r="AB47" s="213" t="e">
        <v>#DIV/0!</v>
      </c>
      <c r="AC47" s="214"/>
      <c r="AD47" s="215"/>
      <c r="AE47" s="342" t="s">
        <v>305</v>
      </c>
      <c r="AF47" s="341" t="s">
        <v>302</v>
      </c>
    </row>
    <row r="48" spans="1:32">
      <c r="A48" s="307">
        <v>4</v>
      </c>
      <c r="B48" s="342"/>
      <c r="C48" s="342" t="s">
        <v>191</v>
      </c>
      <c r="D48" s="340" t="s">
        <v>269</v>
      </c>
      <c r="E48" s="342"/>
      <c r="F48" s="345" t="s">
        <v>258</v>
      </c>
      <c r="G48" s="308">
        <v>2</v>
      </c>
      <c r="H48" s="309">
        <v>5000</v>
      </c>
      <c r="I48" s="309">
        <v>10000</v>
      </c>
      <c r="J48" s="211"/>
      <c r="K48" s="212" t="str">
        <f>IF(OR(J48="",G48=J48),"","*")</f>
        <v/>
      </c>
      <c r="L48" s="338" t="str">
        <f>IF($A48&lt;=L$1,I48/I$4,"")</f>
        <v/>
      </c>
      <c r="M48" s="343"/>
      <c r="N48" s="344"/>
      <c r="O48" s="310">
        <v>0</v>
      </c>
      <c r="P48" s="311">
        <v>0</v>
      </c>
      <c r="Q48" s="311">
        <v>0</v>
      </c>
      <c r="R48" s="211">
        <v>0</v>
      </c>
      <c r="S48" s="212"/>
      <c r="T48" s="213" t="e">
        <v>#DIV/0!</v>
      </c>
      <c r="U48" s="214"/>
      <c r="V48" s="215"/>
      <c r="W48" s="310">
        <v>0</v>
      </c>
      <c r="X48" s="311">
        <v>0</v>
      </c>
      <c r="Y48" s="311">
        <v>0</v>
      </c>
      <c r="Z48" s="211">
        <v>0</v>
      </c>
      <c r="AA48" s="212"/>
      <c r="AB48" s="213" t="e">
        <v>#DIV/0!</v>
      </c>
      <c r="AC48" s="214"/>
      <c r="AD48" s="215"/>
      <c r="AE48" s="342" t="s">
        <v>270</v>
      </c>
      <c r="AF48" s="341" t="s">
        <v>314</v>
      </c>
    </row>
    <row r="49" spans="1:32">
      <c r="A49" s="307">
        <v>4</v>
      </c>
      <c r="B49" s="342"/>
      <c r="C49" s="342" t="s">
        <v>191</v>
      </c>
      <c r="D49" s="340" t="s">
        <v>272</v>
      </c>
      <c r="E49" s="342" t="s">
        <v>273</v>
      </c>
      <c r="F49" s="345" t="s">
        <v>258</v>
      </c>
      <c r="G49" s="308">
        <v>2</v>
      </c>
      <c r="H49" s="309">
        <v>4000</v>
      </c>
      <c r="I49" s="309">
        <v>8000</v>
      </c>
      <c r="J49" s="211"/>
      <c r="K49" s="212" t="str">
        <f>IF(OR(J49="",G49=J49),"","*")</f>
        <v/>
      </c>
      <c r="L49" s="338" t="str">
        <f>IF($A49&lt;=L$1,I49/I$4,"")</f>
        <v/>
      </c>
      <c r="M49" s="343"/>
      <c r="N49" s="344"/>
      <c r="O49" s="310">
        <v>0</v>
      </c>
      <c r="P49" s="311">
        <v>0</v>
      </c>
      <c r="Q49" s="311">
        <v>0</v>
      </c>
      <c r="R49" s="211">
        <v>0</v>
      </c>
      <c r="S49" s="212"/>
      <c r="T49" s="213" t="e">
        <v>#DIV/0!</v>
      </c>
      <c r="U49" s="214"/>
      <c r="V49" s="215"/>
      <c r="W49" s="310">
        <v>0</v>
      </c>
      <c r="X49" s="311">
        <v>0</v>
      </c>
      <c r="Y49" s="311">
        <v>0</v>
      </c>
      <c r="Z49" s="211">
        <v>0</v>
      </c>
      <c r="AA49" s="212"/>
      <c r="AB49" s="213" t="e">
        <v>#DIV/0!</v>
      </c>
      <c r="AC49" s="214"/>
      <c r="AD49" s="215"/>
      <c r="AE49" s="342" t="s">
        <v>274</v>
      </c>
      <c r="AF49" s="341" t="s">
        <v>314</v>
      </c>
    </row>
    <row r="50" spans="1:32">
      <c r="A50" s="307">
        <v>4</v>
      </c>
      <c r="B50" s="342"/>
      <c r="C50" s="342" t="s">
        <v>187</v>
      </c>
      <c r="D50" s="340" t="s">
        <v>318</v>
      </c>
      <c r="E50" s="342"/>
      <c r="F50" s="345" t="s">
        <v>183</v>
      </c>
      <c r="G50" s="308">
        <v>1</v>
      </c>
      <c r="H50" s="309">
        <v>15000</v>
      </c>
      <c r="I50" s="309">
        <v>15000</v>
      </c>
      <c r="J50" s="211"/>
      <c r="K50" s="212" t="str">
        <f>IF(OR(J50="",G50=J50),"","*")</f>
        <v/>
      </c>
      <c r="L50" s="338" t="str">
        <f>IF($A50&lt;=L$1,I50/I$4,"")</f>
        <v/>
      </c>
      <c r="M50" s="343"/>
      <c r="N50" s="344"/>
      <c r="O50" s="310">
        <v>0</v>
      </c>
      <c r="P50" s="311">
        <v>0</v>
      </c>
      <c r="Q50" s="311">
        <v>0</v>
      </c>
      <c r="R50" s="211">
        <v>0</v>
      </c>
      <c r="S50" s="212"/>
      <c r="T50" s="213" t="e">
        <v>#DIV/0!</v>
      </c>
      <c r="U50" s="214"/>
      <c r="V50" s="215"/>
      <c r="W50" s="310">
        <v>0</v>
      </c>
      <c r="X50" s="311">
        <v>0</v>
      </c>
      <c r="Y50" s="311">
        <v>0</v>
      </c>
      <c r="Z50" s="211">
        <v>0</v>
      </c>
      <c r="AA50" s="212"/>
      <c r="AB50" s="213" t="e">
        <v>#DIV/0!</v>
      </c>
      <c r="AC50" s="214"/>
      <c r="AD50" s="215"/>
      <c r="AE50" s="342" t="s">
        <v>276</v>
      </c>
      <c r="AF50" s="341"/>
    </row>
    <row r="51" spans="1:32">
      <c r="A51" s="307">
        <v>4</v>
      </c>
      <c r="B51" s="342"/>
      <c r="C51" s="342" t="s">
        <v>187</v>
      </c>
      <c r="D51" s="340" t="s">
        <v>275</v>
      </c>
      <c r="E51" s="342"/>
      <c r="F51" s="345" t="s">
        <v>183</v>
      </c>
      <c r="G51" s="308">
        <v>1</v>
      </c>
      <c r="H51" s="309">
        <v>2160</v>
      </c>
      <c r="I51" s="309">
        <v>2160</v>
      </c>
      <c r="J51" s="211"/>
      <c r="K51" s="212" t="str">
        <f>IF(OR(J51="",G51=J51),"","*")</f>
        <v/>
      </c>
      <c r="L51" s="338" t="str">
        <f>IF($A51&lt;=L$1,I51/I$4,"")</f>
        <v/>
      </c>
      <c r="M51" s="343"/>
      <c r="N51" s="344"/>
      <c r="O51" s="310">
        <v>0</v>
      </c>
      <c r="P51" s="311">
        <v>0</v>
      </c>
      <c r="Q51" s="311">
        <v>0</v>
      </c>
      <c r="R51" s="211">
        <v>0</v>
      </c>
      <c r="S51" s="212"/>
      <c r="T51" s="213" t="e">
        <v>#DIV/0!</v>
      </c>
      <c r="U51" s="214"/>
      <c r="V51" s="215"/>
      <c r="W51" s="310">
        <v>0</v>
      </c>
      <c r="X51" s="311">
        <v>0</v>
      </c>
      <c r="Y51" s="311">
        <v>0</v>
      </c>
      <c r="Z51" s="211">
        <v>0</v>
      </c>
      <c r="AA51" s="212"/>
      <c r="AB51" s="213" t="e">
        <v>#DIV/0!</v>
      </c>
      <c r="AC51" s="214"/>
      <c r="AD51" s="215"/>
      <c r="AE51" s="342" t="s">
        <v>276</v>
      </c>
      <c r="AF51" s="341"/>
    </row>
    <row r="52" spans="1:32">
      <c r="A52" s="307">
        <v>4</v>
      </c>
      <c r="B52" s="342"/>
      <c r="C52" s="342" t="s">
        <v>187</v>
      </c>
      <c r="D52" s="340" t="s">
        <v>277</v>
      </c>
      <c r="E52" s="342"/>
      <c r="F52" s="345" t="s">
        <v>278</v>
      </c>
      <c r="G52" s="308">
        <v>100</v>
      </c>
      <c r="H52" s="309">
        <v>150</v>
      </c>
      <c r="I52" s="309">
        <v>15000</v>
      </c>
      <c r="J52" s="211"/>
      <c r="K52" s="212" t="str">
        <f>IF(OR(J52="",G52=J52),"","*")</f>
        <v/>
      </c>
      <c r="L52" s="338" t="str">
        <f>IF($A52&lt;=L$1,I52/I$4,"")</f>
        <v/>
      </c>
      <c r="M52" s="343"/>
      <c r="N52" s="344"/>
      <c r="O52" s="310">
        <v>0</v>
      </c>
      <c r="P52" s="311">
        <v>0</v>
      </c>
      <c r="Q52" s="311">
        <v>0</v>
      </c>
      <c r="R52" s="211">
        <v>0</v>
      </c>
      <c r="S52" s="212"/>
      <c r="T52" s="213" t="e">
        <v>#DIV/0!</v>
      </c>
      <c r="U52" s="214"/>
      <c r="V52" s="215"/>
      <c r="W52" s="310">
        <v>0</v>
      </c>
      <c r="X52" s="311">
        <v>0</v>
      </c>
      <c r="Y52" s="311">
        <v>0</v>
      </c>
      <c r="Z52" s="211">
        <v>0</v>
      </c>
      <c r="AA52" s="212"/>
      <c r="AB52" s="213" t="e">
        <v>#DIV/0!</v>
      </c>
      <c r="AC52" s="214"/>
      <c r="AD52" s="215"/>
      <c r="AE52" s="342" t="s">
        <v>279</v>
      </c>
      <c r="AF52" s="341"/>
    </row>
    <row r="53" spans="1:32">
      <c r="A53" s="307">
        <v>3</v>
      </c>
      <c r="B53" s="342"/>
      <c r="C53" s="342" t="s">
        <v>244</v>
      </c>
      <c r="D53" s="340" t="s">
        <v>319</v>
      </c>
      <c r="E53" s="342" t="s">
        <v>173</v>
      </c>
      <c r="F53" s="345" t="s">
        <v>174</v>
      </c>
      <c r="G53" s="308">
        <v>184</v>
      </c>
      <c r="H53" s="309">
        <v>27173</v>
      </c>
      <c r="I53" s="309">
        <v>4999832</v>
      </c>
      <c r="J53" s="211">
        <v>184</v>
      </c>
      <c r="K53" s="212" t="str">
        <f>IF(OR(J53="",G53=J53),"","*")</f>
        <v/>
      </c>
      <c r="L53" s="338">
        <f>IF($A53&lt;=L$1,I53/I$4,"")</f>
        <v>4.2515578231292518E-2</v>
      </c>
      <c r="M53" s="343"/>
      <c r="N53" s="344" t="s">
        <v>320</v>
      </c>
      <c r="O53" s="310">
        <v>0</v>
      </c>
      <c r="P53" s="311">
        <v>0</v>
      </c>
      <c r="Q53" s="311">
        <v>0</v>
      </c>
      <c r="R53" s="211">
        <v>0</v>
      </c>
      <c r="S53" s="212"/>
      <c r="T53" s="213" t="e">
        <v>#DIV/0!</v>
      </c>
      <c r="U53" s="214"/>
      <c r="V53" s="215"/>
      <c r="W53" s="310">
        <v>0</v>
      </c>
      <c r="X53" s="311">
        <v>0</v>
      </c>
      <c r="Y53" s="311">
        <v>0</v>
      </c>
      <c r="Z53" s="211">
        <v>0</v>
      </c>
      <c r="AA53" s="212"/>
      <c r="AB53" s="213" t="e">
        <v>#DIV/0!</v>
      </c>
      <c r="AC53" s="214"/>
      <c r="AD53" s="215"/>
      <c r="AE53" s="342"/>
      <c r="AF53" s="341"/>
    </row>
    <row r="54" spans="1:32">
      <c r="A54" s="307">
        <v>4</v>
      </c>
      <c r="B54" s="342"/>
      <c r="C54" s="342" t="s">
        <v>187</v>
      </c>
      <c r="D54" s="340" t="s">
        <v>321</v>
      </c>
      <c r="E54" s="342" t="s">
        <v>322</v>
      </c>
      <c r="F54" s="345" t="s">
        <v>323</v>
      </c>
      <c r="G54" s="308">
        <v>92</v>
      </c>
      <c r="H54" s="309">
        <v>11440</v>
      </c>
      <c r="I54" s="309">
        <v>1052480</v>
      </c>
      <c r="J54" s="211"/>
      <c r="K54" s="212" t="str">
        <f>IF(OR(J54="",G54=J54),"","*")</f>
        <v/>
      </c>
      <c r="L54" s="338" t="str">
        <f>IF($A54&lt;=L$1,I54/I$4,"")</f>
        <v/>
      </c>
      <c r="M54" s="343"/>
      <c r="N54" s="344"/>
      <c r="O54" s="310">
        <v>0</v>
      </c>
      <c r="P54" s="311">
        <v>0</v>
      </c>
      <c r="Q54" s="311">
        <v>0</v>
      </c>
      <c r="R54" s="211">
        <v>0</v>
      </c>
      <c r="S54" s="212"/>
      <c r="T54" s="213" t="e">
        <v>#DIV/0!</v>
      </c>
      <c r="U54" s="214"/>
      <c r="V54" s="215"/>
      <c r="W54" s="310">
        <v>0</v>
      </c>
      <c r="X54" s="311">
        <v>0</v>
      </c>
      <c r="Y54" s="311">
        <v>0</v>
      </c>
      <c r="Z54" s="211">
        <v>0</v>
      </c>
      <c r="AA54" s="212"/>
      <c r="AB54" s="213" t="e">
        <v>#DIV/0!</v>
      </c>
      <c r="AC54" s="214"/>
      <c r="AD54" s="215"/>
      <c r="AE54" s="342"/>
      <c r="AF54" s="341"/>
    </row>
    <row r="55" spans="1:32">
      <c r="A55" s="307">
        <v>4</v>
      </c>
      <c r="B55" s="342"/>
      <c r="C55" s="342" t="s">
        <v>187</v>
      </c>
      <c r="D55" s="340" t="s">
        <v>324</v>
      </c>
      <c r="E55" s="342" t="s">
        <v>325</v>
      </c>
      <c r="F55" s="345" t="s">
        <v>323</v>
      </c>
      <c r="G55" s="308">
        <v>3</v>
      </c>
      <c r="H55" s="309">
        <v>9170</v>
      </c>
      <c r="I55" s="309">
        <v>27510</v>
      </c>
      <c r="J55" s="211"/>
      <c r="K55" s="212" t="str">
        <f>IF(OR(J55="",G55=J55),"","*")</f>
        <v/>
      </c>
      <c r="L55" s="338" t="str">
        <f>IF($A55&lt;=L$1,I55/I$4,"")</f>
        <v/>
      </c>
      <c r="M55" s="343"/>
      <c r="N55" s="344"/>
      <c r="O55" s="310">
        <v>0</v>
      </c>
      <c r="P55" s="311">
        <v>0</v>
      </c>
      <c r="Q55" s="311">
        <v>0</v>
      </c>
      <c r="R55" s="211">
        <v>0</v>
      </c>
      <c r="S55" s="212"/>
      <c r="T55" s="213" t="e">
        <v>#DIV/0!</v>
      </c>
      <c r="U55" s="214"/>
      <c r="V55" s="215"/>
      <c r="W55" s="310">
        <v>0</v>
      </c>
      <c r="X55" s="311">
        <v>0</v>
      </c>
      <c r="Y55" s="311">
        <v>0</v>
      </c>
      <c r="Z55" s="211">
        <v>0</v>
      </c>
      <c r="AA55" s="212"/>
      <c r="AB55" s="213" t="e">
        <v>#DIV/0!</v>
      </c>
      <c r="AC55" s="214"/>
      <c r="AD55" s="215"/>
      <c r="AE55" s="342"/>
      <c r="AF55" s="341"/>
    </row>
    <row r="56" spans="1:32">
      <c r="A56" s="307">
        <v>4</v>
      </c>
      <c r="B56" s="342"/>
      <c r="C56" s="342" t="s">
        <v>187</v>
      </c>
      <c r="D56" s="340" t="s">
        <v>326</v>
      </c>
      <c r="E56" s="342" t="s">
        <v>327</v>
      </c>
      <c r="F56" s="345" t="s">
        <v>313</v>
      </c>
      <c r="G56" s="308">
        <v>187</v>
      </c>
      <c r="H56" s="309">
        <v>15180</v>
      </c>
      <c r="I56" s="309">
        <v>2838660</v>
      </c>
      <c r="J56" s="211"/>
      <c r="K56" s="212" t="str">
        <f>IF(OR(J56="",G56=J56),"","*")</f>
        <v/>
      </c>
      <c r="L56" s="338" t="str">
        <f>IF($A56&lt;=L$1,I56/I$4,"")</f>
        <v/>
      </c>
      <c r="M56" s="343"/>
      <c r="N56" s="344"/>
      <c r="O56" s="310">
        <v>0</v>
      </c>
      <c r="P56" s="311">
        <v>0</v>
      </c>
      <c r="Q56" s="311">
        <v>0</v>
      </c>
      <c r="R56" s="211">
        <v>0</v>
      </c>
      <c r="S56" s="212"/>
      <c r="T56" s="213" t="e">
        <v>#DIV/0!</v>
      </c>
      <c r="U56" s="214"/>
      <c r="V56" s="215"/>
      <c r="W56" s="310">
        <v>0</v>
      </c>
      <c r="X56" s="311">
        <v>0</v>
      </c>
      <c r="Y56" s="311">
        <v>0</v>
      </c>
      <c r="Z56" s="211">
        <v>0</v>
      </c>
      <c r="AA56" s="212"/>
      <c r="AB56" s="213" t="e">
        <v>#DIV/0!</v>
      </c>
      <c r="AC56" s="214"/>
      <c r="AD56" s="215"/>
      <c r="AE56" s="342"/>
      <c r="AF56" s="341"/>
    </row>
    <row r="57" spans="1:32">
      <c r="A57" s="307">
        <v>4</v>
      </c>
      <c r="B57" s="342"/>
      <c r="C57" s="342" t="s">
        <v>187</v>
      </c>
      <c r="D57" s="340" t="s">
        <v>290</v>
      </c>
      <c r="E57" s="342" t="s">
        <v>291</v>
      </c>
      <c r="F57" s="345" t="s">
        <v>292</v>
      </c>
      <c r="G57" s="308">
        <v>15</v>
      </c>
      <c r="H57" s="309">
        <v>500</v>
      </c>
      <c r="I57" s="309">
        <v>7500</v>
      </c>
      <c r="J57" s="211"/>
      <c r="K57" s="212" t="str">
        <f>IF(OR(J57="",G57=J57),"","*")</f>
        <v/>
      </c>
      <c r="L57" s="338" t="str">
        <f>IF($A57&lt;=L$1,I57/I$4,"")</f>
        <v/>
      </c>
      <c r="M57" s="343"/>
      <c r="N57" s="344"/>
      <c r="O57" s="310">
        <v>0</v>
      </c>
      <c r="P57" s="311">
        <v>0</v>
      </c>
      <c r="Q57" s="311">
        <v>0</v>
      </c>
      <c r="R57" s="211">
        <v>0</v>
      </c>
      <c r="S57" s="212"/>
      <c r="T57" s="213" t="e">
        <v>#DIV/0!</v>
      </c>
      <c r="U57" s="214"/>
      <c r="V57" s="215"/>
      <c r="W57" s="310">
        <v>0</v>
      </c>
      <c r="X57" s="311">
        <v>0</v>
      </c>
      <c r="Y57" s="311">
        <v>0</v>
      </c>
      <c r="Z57" s="211">
        <v>0</v>
      </c>
      <c r="AA57" s="212"/>
      <c r="AB57" s="213" t="e">
        <v>#DIV/0!</v>
      </c>
      <c r="AC57" s="214"/>
      <c r="AD57" s="215"/>
      <c r="AE57" s="342" t="s">
        <v>293</v>
      </c>
      <c r="AF57" s="341" t="s">
        <v>328</v>
      </c>
    </row>
    <row r="58" spans="1:32">
      <c r="A58" s="307">
        <v>4</v>
      </c>
      <c r="B58" s="342"/>
      <c r="C58" s="342" t="s">
        <v>187</v>
      </c>
      <c r="D58" s="340" t="s">
        <v>329</v>
      </c>
      <c r="E58" s="342"/>
      <c r="F58" s="345" t="s">
        <v>296</v>
      </c>
      <c r="G58" s="308">
        <v>3</v>
      </c>
      <c r="H58" s="309">
        <v>15500</v>
      </c>
      <c r="I58" s="309">
        <v>46500</v>
      </c>
      <c r="J58" s="211"/>
      <c r="K58" s="212" t="str">
        <f>IF(OR(J58="",G58=J58),"","*")</f>
        <v/>
      </c>
      <c r="L58" s="338" t="str">
        <f>IF($A58&lt;=L$1,I58/I$4,"")</f>
        <v/>
      </c>
      <c r="M58" s="343"/>
      <c r="N58" s="344"/>
      <c r="O58" s="310">
        <v>0</v>
      </c>
      <c r="P58" s="311">
        <v>0</v>
      </c>
      <c r="Q58" s="311">
        <v>0</v>
      </c>
      <c r="R58" s="211">
        <v>0</v>
      </c>
      <c r="S58" s="212"/>
      <c r="T58" s="213" t="e">
        <v>#DIV/0!</v>
      </c>
      <c r="U58" s="214"/>
      <c r="V58" s="215"/>
      <c r="W58" s="310">
        <v>0</v>
      </c>
      <c r="X58" s="311">
        <v>0</v>
      </c>
      <c r="Y58" s="311">
        <v>0</v>
      </c>
      <c r="Z58" s="211">
        <v>0</v>
      </c>
      <c r="AA58" s="212"/>
      <c r="AB58" s="213" t="e">
        <v>#DIV/0!</v>
      </c>
      <c r="AC58" s="214"/>
      <c r="AD58" s="215"/>
      <c r="AE58" s="342" t="s">
        <v>330</v>
      </c>
      <c r="AF58" s="341" t="s">
        <v>331</v>
      </c>
    </row>
    <row r="59" spans="1:32">
      <c r="A59" s="307">
        <v>4</v>
      </c>
      <c r="B59" s="342"/>
      <c r="C59" s="342" t="s">
        <v>188</v>
      </c>
      <c r="D59" s="340" t="s">
        <v>249</v>
      </c>
      <c r="E59" s="342"/>
      <c r="F59" s="345" t="s">
        <v>250</v>
      </c>
      <c r="G59" s="308">
        <v>7</v>
      </c>
      <c r="H59" s="309">
        <v>30000</v>
      </c>
      <c r="I59" s="309">
        <v>210000</v>
      </c>
      <c r="J59" s="211"/>
      <c r="K59" s="212" t="str">
        <f>IF(OR(J59="",G59=J59),"","*")</f>
        <v/>
      </c>
      <c r="L59" s="338" t="str">
        <f>IF($A59&lt;=L$1,I59/I$4,"")</f>
        <v/>
      </c>
      <c r="M59" s="343"/>
      <c r="N59" s="344"/>
      <c r="O59" s="310">
        <v>0</v>
      </c>
      <c r="P59" s="311">
        <v>0</v>
      </c>
      <c r="Q59" s="311">
        <v>0</v>
      </c>
      <c r="R59" s="211">
        <v>0</v>
      </c>
      <c r="S59" s="212"/>
      <c r="T59" s="213" t="e">
        <v>#DIV/0!</v>
      </c>
      <c r="U59" s="214"/>
      <c r="V59" s="215"/>
      <c r="W59" s="310">
        <v>0</v>
      </c>
      <c r="X59" s="311">
        <v>0</v>
      </c>
      <c r="Y59" s="311">
        <v>0</v>
      </c>
      <c r="Z59" s="211">
        <v>0</v>
      </c>
      <c r="AA59" s="212"/>
      <c r="AB59" s="213" t="e">
        <v>#DIV/0!</v>
      </c>
      <c r="AC59" s="214"/>
      <c r="AD59" s="215"/>
      <c r="AE59" s="342" t="s">
        <v>251</v>
      </c>
      <c r="AF59" s="341" t="s">
        <v>306</v>
      </c>
    </row>
    <row r="60" spans="1:32">
      <c r="A60" s="307">
        <v>4</v>
      </c>
      <c r="B60" s="342"/>
      <c r="C60" s="342" t="s">
        <v>188</v>
      </c>
      <c r="D60" s="340" t="s">
        <v>253</v>
      </c>
      <c r="E60" s="342"/>
      <c r="F60" s="345" t="s">
        <v>250</v>
      </c>
      <c r="G60" s="308">
        <v>28</v>
      </c>
      <c r="H60" s="309">
        <v>21000</v>
      </c>
      <c r="I60" s="309">
        <v>588000</v>
      </c>
      <c r="J60" s="211"/>
      <c r="K60" s="212" t="str">
        <f>IF(OR(J60="",G60=J60),"","*")</f>
        <v/>
      </c>
      <c r="L60" s="338" t="str">
        <f>IF($A60&lt;=L$1,I60/I$4,"")</f>
        <v/>
      </c>
      <c r="M60" s="343"/>
      <c r="N60" s="344"/>
      <c r="O60" s="310">
        <v>0</v>
      </c>
      <c r="P60" s="311">
        <v>0</v>
      </c>
      <c r="Q60" s="311">
        <v>0</v>
      </c>
      <c r="R60" s="211">
        <v>0</v>
      </c>
      <c r="S60" s="212"/>
      <c r="T60" s="213" t="e">
        <v>#DIV/0!</v>
      </c>
      <c r="U60" s="214"/>
      <c r="V60" s="215"/>
      <c r="W60" s="310">
        <v>0</v>
      </c>
      <c r="X60" s="311">
        <v>0</v>
      </c>
      <c r="Y60" s="311">
        <v>0</v>
      </c>
      <c r="Z60" s="211">
        <v>0</v>
      </c>
      <c r="AA60" s="212"/>
      <c r="AB60" s="213" t="e">
        <v>#DIV/0!</v>
      </c>
      <c r="AC60" s="214"/>
      <c r="AD60" s="215"/>
      <c r="AE60" s="342" t="s">
        <v>254</v>
      </c>
      <c r="AF60" s="341" t="s">
        <v>332</v>
      </c>
    </row>
    <row r="61" spans="1:32">
      <c r="A61" s="307">
        <v>4</v>
      </c>
      <c r="B61" s="342"/>
      <c r="C61" s="342" t="s">
        <v>190</v>
      </c>
      <c r="D61" s="340" t="s">
        <v>260</v>
      </c>
      <c r="E61" s="342"/>
      <c r="F61" s="345" t="s">
        <v>258</v>
      </c>
      <c r="G61" s="308">
        <v>7</v>
      </c>
      <c r="H61" s="309">
        <v>8000</v>
      </c>
      <c r="I61" s="309">
        <v>56000</v>
      </c>
      <c r="J61" s="211"/>
      <c r="K61" s="212" t="str">
        <f>IF(OR(J61="",G61=J61),"","*")</f>
        <v/>
      </c>
      <c r="L61" s="338" t="str">
        <f>IF($A61&lt;=L$1,I61/I$4,"")</f>
        <v/>
      </c>
      <c r="M61" s="343"/>
      <c r="N61" s="344"/>
      <c r="O61" s="310">
        <v>0</v>
      </c>
      <c r="P61" s="311">
        <v>0</v>
      </c>
      <c r="Q61" s="311">
        <v>0</v>
      </c>
      <c r="R61" s="211">
        <v>0</v>
      </c>
      <c r="S61" s="212"/>
      <c r="T61" s="213" t="e">
        <v>#DIV/0!</v>
      </c>
      <c r="U61" s="214"/>
      <c r="V61" s="215"/>
      <c r="W61" s="310">
        <v>0</v>
      </c>
      <c r="X61" s="311">
        <v>0</v>
      </c>
      <c r="Y61" s="311">
        <v>0</v>
      </c>
      <c r="Z61" s="211">
        <v>0</v>
      </c>
      <c r="AA61" s="212"/>
      <c r="AB61" s="213" t="e">
        <v>#DIV/0!</v>
      </c>
      <c r="AC61" s="214"/>
      <c r="AD61" s="215"/>
      <c r="AE61" s="342" t="s">
        <v>261</v>
      </c>
      <c r="AF61" s="341" t="s">
        <v>306</v>
      </c>
    </row>
    <row r="62" spans="1:32">
      <c r="A62" s="307">
        <v>4</v>
      </c>
      <c r="B62" s="342"/>
      <c r="C62" s="342" t="s">
        <v>190</v>
      </c>
      <c r="D62" s="340" t="s">
        <v>265</v>
      </c>
      <c r="E62" s="342"/>
      <c r="F62" s="345" t="s">
        <v>258</v>
      </c>
      <c r="G62" s="308">
        <v>7</v>
      </c>
      <c r="H62" s="309">
        <v>1000</v>
      </c>
      <c r="I62" s="309">
        <v>7000</v>
      </c>
      <c r="J62" s="211"/>
      <c r="K62" s="212" t="str">
        <f>IF(OR(J62="",G62=J62),"","*")</f>
        <v/>
      </c>
      <c r="L62" s="338" t="str">
        <f>IF($A62&lt;=L$1,I62/I$4,"")</f>
        <v/>
      </c>
      <c r="M62" s="343"/>
      <c r="N62" s="344"/>
      <c r="O62" s="310">
        <v>0</v>
      </c>
      <c r="P62" s="311">
        <v>0</v>
      </c>
      <c r="Q62" s="311">
        <v>0</v>
      </c>
      <c r="R62" s="211">
        <v>0</v>
      </c>
      <c r="S62" s="212"/>
      <c r="T62" s="213" t="e">
        <v>#DIV/0!</v>
      </c>
      <c r="U62" s="214"/>
      <c r="V62" s="215"/>
      <c r="W62" s="310">
        <v>0</v>
      </c>
      <c r="X62" s="311">
        <v>0</v>
      </c>
      <c r="Y62" s="311">
        <v>0</v>
      </c>
      <c r="Z62" s="211">
        <v>0</v>
      </c>
      <c r="AA62" s="212"/>
      <c r="AB62" s="213" t="e">
        <v>#DIV/0!</v>
      </c>
      <c r="AC62" s="214"/>
      <c r="AD62" s="215"/>
      <c r="AE62" s="342" t="s">
        <v>266</v>
      </c>
      <c r="AF62" s="341" t="s">
        <v>306</v>
      </c>
    </row>
    <row r="63" spans="1:32">
      <c r="A63" s="307">
        <v>4</v>
      </c>
      <c r="B63" s="342"/>
      <c r="C63" s="342" t="s">
        <v>190</v>
      </c>
      <c r="D63" s="340" t="s">
        <v>333</v>
      </c>
      <c r="E63" s="342" t="s">
        <v>334</v>
      </c>
      <c r="F63" s="345" t="s">
        <v>258</v>
      </c>
      <c r="G63" s="308">
        <v>7</v>
      </c>
      <c r="H63" s="309">
        <v>2000</v>
      </c>
      <c r="I63" s="309">
        <v>14000</v>
      </c>
      <c r="J63" s="211"/>
      <c r="K63" s="212" t="str">
        <f>IF(OR(J63="",G63=J63),"","*")</f>
        <v/>
      </c>
      <c r="L63" s="338" t="str">
        <f>IF($A63&lt;=L$1,I63/I$4,"")</f>
        <v/>
      </c>
      <c r="M63" s="343"/>
      <c r="N63" s="344"/>
      <c r="O63" s="310">
        <v>0</v>
      </c>
      <c r="P63" s="311">
        <v>0</v>
      </c>
      <c r="Q63" s="311">
        <v>0</v>
      </c>
      <c r="R63" s="211">
        <v>0</v>
      </c>
      <c r="S63" s="212"/>
      <c r="T63" s="213" t="e">
        <v>#DIV/0!</v>
      </c>
      <c r="U63" s="214"/>
      <c r="V63" s="215"/>
      <c r="W63" s="310">
        <v>0</v>
      </c>
      <c r="X63" s="311">
        <v>0</v>
      </c>
      <c r="Y63" s="311">
        <v>0</v>
      </c>
      <c r="Z63" s="211">
        <v>0</v>
      </c>
      <c r="AA63" s="212"/>
      <c r="AB63" s="213" t="e">
        <v>#DIV/0!</v>
      </c>
      <c r="AC63" s="214"/>
      <c r="AD63" s="215"/>
      <c r="AE63" s="342" t="s">
        <v>335</v>
      </c>
      <c r="AF63" s="341" t="s">
        <v>306</v>
      </c>
    </row>
    <row r="64" spans="1:32">
      <c r="A64" s="307">
        <v>4</v>
      </c>
      <c r="B64" s="342"/>
      <c r="C64" s="342" t="s">
        <v>191</v>
      </c>
      <c r="D64" s="340" t="s">
        <v>269</v>
      </c>
      <c r="E64" s="342"/>
      <c r="F64" s="345" t="s">
        <v>258</v>
      </c>
      <c r="G64" s="308">
        <v>14</v>
      </c>
      <c r="H64" s="309">
        <v>5000</v>
      </c>
      <c r="I64" s="309">
        <v>70000</v>
      </c>
      <c r="J64" s="211"/>
      <c r="K64" s="212" t="str">
        <f>IF(OR(J64="",G64=J64),"","*")</f>
        <v/>
      </c>
      <c r="L64" s="338" t="str">
        <f>IF($A64&lt;=L$1,I64/I$4,"")</f>
        <v/>
      </c>
      <c r="M64" s="343"/>
      <c r="N64" s="344"/>
      <c r="O64" s="310">
        <v>0</v>
      </c>
      <c r="P64" s="311">
        <v>0</v>
      </c>
      <c r="Q64" s="311">
        <v>0</v>
      </c>
      <c r="R64" s="211">
        <v>0</v>
      </c>
      <c r="S64" s="212"/>
      <c r="T64" s="213" t="e">
        <v>#DIV/0!</v>
      </c>
      <c r="U64" s="214"/>
      <c r="V64" s="215"/>
      <c r="W64" s="310">
        <v>0</v>
      </c>
      <c r="X64" s="311">
        <v>0</v>
      </c>
      <c r="Y64" s="311">
        <v>0</v>
      </c>
      <c r="Z64" s="211">
        <v>0</v>
      </c>
      <c r="AA64" s="212"/>
      <c r="AB64" s="213" t="e">
        <v>#DIV/0!</v>
      </c>
      <c r="AC64" s="214"/>
      <c r="AD64" s="215"/>
      <c r="AE64" s="342" t="s">
        <v>270</v>
      </c>
      <c r="AF64" s="341" t="s">
        <v>336</v>
      </c>
    </row>
    <row r="65" spans="1:32">
      <c r="A65" s="307">
        <v>4</v>
      </c>
      <c r="B65" s="342"/>
      <c r="C65" s="342" t="s">
        <v>191</v>
      </c>
      <c r="D65" s="340" t="s">
        <v>272</v>
      </c>
      <c r="E65" s="342" t="s">
        <v>273</v>
      </c>
      <c r="F65" s="345" t="s">
        <v>258</v>
      </c>
      <c r="G65" s="308">
        <v>7</v>
      </c>
      <c r="H65" s="309">
        <v>4000</v>
      </c>
      <c r="I65" s="309">
        <v>28000</v>
      </c>
      <c r="J65" s="211"/>
      <c r="K65" s="212" t="str">
        <f>IF(OR(J65="",G65=J65),"","*")</f>
        <v/>
      </c>
      <c r="L65" s="338" t="str">
        <f>IF($A65&lt;=L$1,I65/I$4,"")</f>
        <v/>
      </c>
      <c r="M65" s="343"/>
      <c r="N65" s="344"/>
      <c r="O65" s="310">
        <v>0</v>
      </c>
      <c r="P65" s="311">
        <v>0</v>
      </c>
      <c r="Q65" s="311">
        <v>0</v>
      </c>
      <c r="R65" s="211">
        <v>0</v>
      </c>
      <c r="S65" s="212"/>
      <c r="T65" s="213" t="e">
        <v>#DIV/0!</v>
      </c>
      <c r="U65" s="214"/>
      <c r="V65" s="215"/>
      <c r="W65" s="310">
        <v>0</v>
      </c>
      <c r="X65" s="311">
        <v>0</v>
      </c>
      <c r="Y65" s="311">
        <v>0</v>
      </c>
      <c r="Z65" s="211">
        <v>0</v>
      </c>
      <c r="AA65" s="212"/>
      <c r="AB65" s="213" t="e">
        <v>#DIV/0!</v>
      </c>
      <c r="AC65" s="214"/>
      <c r="AD65" s="215"/>
      <c r="AE65" s="342" t="s">
        <v>274</v>
      </c>
      <c r="AF65" s="341" t="s">
        <v>306</v>
      </c>
    </row>
    <row r="66" spans="1:32">
      <c r="A66" s="307">
        <v>4</v>
      </c>
      <c r="B66" s="342"/>
      <c r="C66" s="342" t="s">
        <v>187</v>
      </c>
      <c r="D66" s="340" t="s">
        <v>275</v>
      </c>
      <c r="E66" s="342"/>
      <c r="F66" s="345" t="s">
        <v>183</v>
      </c>
      <c r="G66" s="308">
        <v>1</v>
      </c>
      <c r="H66" s="309">
        <v>1850</v>
      </c>
      <c r="I66" s="309">
        <v>1850</v>
      </c>
      <c r="J66" s="211"/>
      <c r="K66" s="212" t="str">
        <f>IF(OR(J66="",G66=J66),"","*")</f>
        <v/>
      </c>
      <c r="L66" s="338" t="str">
        <f>IF($A66&lt;=L$1,I66/I$4,"")</f>
        <v/>
      </c>
      <c r="M66" s="343"/>
      <c r="N66" s="344"/>
      <c r="O66" s="310">
        <v>0</v>
      </c>
      <c r="P66" s="311">
        <v>0</v>
      </c>
      <c r="Q66" s="311">
        <v>0</v>
      </c>
      <c r="R66" s="211">
        <v>0</v>
      </c>
      <c r="S66" s="212"/>
      <c r="T66" s="213" t="e">
        <v>#DIV/0!</v>
      </c>
      <c r="U66" s="214"/>
      <c r="V66" s="215"/>
      <c r="W66" s="310">
        <v>0</v>
      </c>
      <c r="X66" s="311">
        <v>0</v>
      </c>
      <c r="Y66" s="311">
        <v>0</v>
      </c>
      <c r="Z66" s="211">
        <v>0</v>
      </c>
      <c r="AA66" s="212"/>
      <c r="AB66" s="213" t="e">
        <v>#DIV/0!</v>
      </c>
      <c r="AC66" s="214"/>
      <c r="AD66" s="215"/>
      <c r="AE66" s="342" t="s">
        <v>276</v>
      </c>
      <c r="AF66" s="341"/>
    </row>
    <row r="67" spans="1:32">
      <c r="A67" s="307">
        <v>4</v>
      </c>
      <c r="B67" s="342"/>
      <c r="C67" s="342" t="s">
        <v>187</v>
      </c>
      <c r="D67" s="340" t="s">
        <v>277</v>
      </c>
      <c r="E67" s="342"/>
      <c r="F67" s="345" t="s">
        <v>278</v>
      </c>
      <c r="G67" s="308">
        <v>350</v>
      </c>
      <c r="H67" s="309">
        <v>150</v>
      </c>
      <c r="I67" s="309">
        <v>52500</v>
      </c>
      <c r="J67" s="211"/>
      <c r="K67" s="212" t="str">
        <f>IF(OR(J67="",G67=J67),"","*")</f>
        <v/>
      </c>
      <c r="L67" s="338" t="str">
        <f>IF($A67&lt;=L$1,I67/I$4,"")</f>
        <v/>
      </c>
      <c r="M67" s="343"/>
      <c r="N67" s="344"/>
      <c r="O67" s="310">
        <v>0</v>
      </c>
      <c r="P67" s="311">
        <v>0</v>
      </c>
      <c r="Q67" s="311">
        <v>0</v>
      </c>
      <c r="R67" s="211">
        <v>0</v>
      </c>
      <c r="S67" s="212"/>
      <c r="T67" s="213" t="e">
        <v>#DIV/0!</v>
      </c>
      <c r="U67" s="214"/>
      <c r="V67" s="215"/>
      <c r="W67" s="310">
        <v>0</v>
      </c>
      <c r="X67" s="311">
        <v>0</v>
      </c>
      <c r="Y67" s="311">
        <v>0</v>
      </c>
      <c r="Z67" s="211">
        <v>0</v>
      </c>
      <c r="AA67" s="212"/>
      <c r="AB67" s="213" t="e">
        <v>#DIV/0!</v>
      </c>
      <c r="AC67" s="214"/>
      <c r="AD67" s="215"/>
      <c r="AE67" s="342" t="s">
        <v>279</v>
      </c>
      <c r="AF67" s="341"/>
    </row>
    <row r="68" spans="1:32">
      <c r="A68" s="307">
        <v>3</v>
      </c>
      <c r="B68" s="342"/>
      <c r="C68" s="342" t="s">
        <v>244</v>
      </c>
      <c r="D68" s="340" t="s">
        <v>337</v>
      </c>
      <c r="E68" s="342" t="s">
        <v>175</v>
      </c>
      <c r="F68" s="345" t="s">
        <v>174</v>
      </c>
      <c r="G68" s="308">
        <v>1392</v>
      </c>
      <c r="H68" s="309">
        <v>1300</v>
      </c>
      <c r="I68" s="309">
        <v>1809600</v>
      </c>
      <c r="J68" s="211">
        <v>1392</v>
      </c>
      <c r="K68" s="212" t="str">
        <f>IF(OR(J68="",G68=J68),"","*")</f>
        <v/>
      </c>
      <c r="L68" s="338">
        <f>IF($A68&lt;=L$1,I68/I$4,"")</f>
        <v>1.5387755102040816E-2</v>
      </c>
      <c r="M68" s="343"/>
      <c r="N68" s="344" t="s">
        <v>338</v>
      </c>
      <c r="O68" s="310">
        <v>0</v>
      </c>
      <c r="P68" s="311">
        <v>0</v>
      </c>
      <c r="Q68" s="311">
        <v>0</v>
      </c>
      <c r="R68" s="211">
        <v>0</v>
      </c>
      <c r="S68" s="212"/>
      <c r="T68" s="213" t="e">
        <v>#DIV/0!</v>
      </c>
      <c r="U68" s="214"/>
      <c r="V68" s="215"/>
      <c r="W68" s="310">
        <v>0</v>
      </c>
      <c r="X68" s="311">
        <v>0</v>
      </c>
      <c r="Y68" s="311">
        <v>0</v>
      </c>
      <c r="Z68" s="211">
        <v>0</v>
      </c>
      <c r="AA68" s="212"/>
      <c r="AB68" s="213" t="e">
        <v>#DIV/0!</v>
      </c>
      <c r="AC68" s="214"/>
      <c r="AD68" s="215"/>
      <c r="AE68" s="342"/>
      <c r="AF68" s="341"/>
    </row>
    <row r="69" spans="1:32">
      <c r="A69" s="307">
        <v>4</v>
      </c>
      <c r="B69" s="342"/>
      <c r="C69" s="342" t="s">
        <v>187</v>
      </c>
      <c r="D69" s="340" t="s">
        <v>339</v>
      </c>
      <c r="E69" s="342" t="s">
        <v>340</v>
      </c>
      <c r="F69" s="345" t="s">
        <v>341</v>
      </c>
      <c r="G69" s="308">
        <v>29</v>
      </c>
      <c r="H69" s="309">
        <v>55000</v>
      </c>
      <c r="I69" s="309">
        <v>1595000</v>
      </c>
      <c r="J69" s="211"/>
      <c r="K69" s="212" t="str">
        <f>IF(OR(J69="",G69=J69),"","*")</f>
        <v/>
      </c>
      <c r="L69" s="338" t="str">
        <f>IF($A69&lt;=L$1,I69/I$4,"")</f>
        <v/>
      </c>
      <c r="M69" s="343"/>
      <c r="N69" s="344"/>
      <c r="O69" s="310">
        <v>0</v>
      </c>
      <c r="P69" s="311">
        <v>0</v>
      </c>
      <c r="Q69" s="311">
        <v>0</v>
      </c>
      <c r="R69" s="211">
        <v>0</v>
      </c>
      <c r="S69" s="212"/>
      <c r="T69" s="213" t="e">
        <v>#DIV/0!</v>
      </c>
      <c r="U69" s="214"/>
      <c r="V69" s="215"/>
      <c r="W69" s="310">
        <v>0</v>
      </c>
      <c r="X69" s="311">
        <v>0</v>
      </c>
      <c r="Y69" s="311">
        <v>0</v>
      </c>
      <c r="Z69" s="211">
        <v>0</v>
      </c>
      <c r="AA69" s="212"/>
      <c r="AB69" s="213" t="e">
        <v>#DIV/0!</v>
      </c>
      <c r="AC69" s="214"/>
      <c r="AD69" s="215"/>
      <c r="AE69" s="342"/>
      <c r="AF69" s="341"/>
    </row>
    <row r="70" spans="1:32">
      <c r="A70" s="307">
        <v>4</v>
      </c>
      <c r="B70" s="342"/>
      <c r="C70" s="342" t="s">
        <v>188</v>
      </c>
      <c r="D70" s="340" t="s">
        <v>249</v>
      </c>
      <c r="E70" s="342"/>
      <c r="F70" s="345" t="s">
        <v>250</v>
      </c>
      <c r="G70" s="308">
        <v>0</v>
      </c>
      <c r="H70" s="309">
        <v>30000</v>
      </c>
      <c r="I70" s="309">
        <v>0</v>
      </c>
      <c r="J70" s="211"/>
      <c r="K70" s="212" t="str">
        <f>IF(OR(J70="",G70=J70),"","*")</f>
        <v/>
      </c>
      <c r="L70" s="338" t="str">
        <f>IF($A70&lt;=L$1,I70/I$4,"")</f>
        <v/>
      </c>
      <c r="M70" s="343"/>
      <c r="N70" s="344"/>
      <c r="O70" s="310">
        <v>0</v>
      </c>
      <c r="P70" s="311">
        <v>0</v>
      </c>
      <c r="Q70" s="311">
        <v>0</v>
      </c>
      <c r="R70" s="211">
        <v>0</v>
      </c>
      <c r="S70" s="212"/>
      <c r="T70" s="213" t="e">
        <v>#DIV/0!</v>
      </c>
      <c r="U70" s="214"/>
      <c r="V70" s="215"/>
      <c r="W70" s="310">
        <v>0</v>
      </c>
      <c r="X70" s="311">
        <v>0</v>
      </c>
      <c r="Y70" s="311">
        <v>0</v>
      </c>
      <c r="Z70" s="211">
        <v>0</v>
      </c>
      <c r="AA70" s="212"/>
      <c r="AB70" s="213" t="e">
        <v>#DIV/0!</v>
      </c>
      <c r="AC70" s="214"/>
      <c r="AD70" s="215"/>
      <c r="AE70" s="342" t="s">
        <v>251</v>
      </c>
      <c r="AF70" s="341" t="s">
        <v>302</v>
      </c>
    </row>
    <row r="71" spans="1:32">
      <c r="A71" s="307">
        <v>4</v>
      </c>
      <c r="B71" s="342"/>
      <c r="C71" s="342" t="s">
        <v>188</v>
      </c>
      <c r="D71" s="340" t="s">
        <v>253</v>
      </c>
      <c r="E71" s="342"/>
      <c r="F71" s="345" t="s">
        <v>250</v>
      </c>
      <c r="G71" s="308">
        <v>9</v>
      </c>
      <c r="H71" s="309">
        <v>21000</v>
      </c>
      <c r="I71" s="309">
        <v>189000</v>
      </c>
      <c r="J71" s="211"/>
      <c r="K71" s="212" t="str">
        <f>IF(OR(J71="",G71=J71),"","*")</f>
        <v/>
      </c>
      <c r="L71" s="338" t="str">
        <f>IF($A71&lt;=L$1,I71/I$4,"")</f>
        <v/>
      </c>
      <c r="M71" s="343"/>
      <c r="N71" s="344"/>
      <c r="O71" s="310">
        <v>0</v>
      </c>
      <c r="P71" s="311">
        <v>0</v>
      </c>
      <c r="Q71" s="311">
        <v>0</v>
      </c>
      <c r="R71" s="211">
        <v>0</v>
      </c>
      <c r="S71" s="212"/>
      <c r="T71" s="213" t="e">
        <v>#DIV/0!</v>
      </c>
      <c r="U71" s="214"/>
      <c r="V71" s="215"/>
      <c r="W71" s="310">
        <v>0</v>
      </c>
      <c r="X71" s="311">
        <v>0</v>
      </c>
      <c r="Y71" s="311">
        <v>0</v>
      </c>
      <c r="Z71" s="211">
        <v>0</v>
      </c>
      <c r="AA71" s="212"/>
      <c r="AB71" s="213" t="e">
        <v>#DIV/0!</v>
      </c>
      <c r="AC71" s="214"/>
      <c r="AD71" s="215"/>
      <c r="AE71" s="342" t="s">
        <v>254</v>
      </c>
      <c r="AF71" s="341" t="s">
        <v>303</v>
      </c>
    </row>
    <row r="72" spans="1:32">
      <c r="A72" s="307">
        <v>4</v>
      </c>
      <c r="B72" s="342"/>
      <c r="C72" s="342" t="s">
        <v>191</v>
      </c>
      <c r="D72" s="340" t="s">
        <v>269</v>
      </c>
      <c r="E72" s="342"/>
      <c r="F72" s="345" t="s">
        <v>258</v>
      </c>
      <c r="G72" s="308">
        <v>1</v>
      </c>
      <c r="H72" s="309">
        <v>5000</v>
      </c>
      <c r="I72" s="309">
        <v>5000</v>
      </c>
      <c r="J72" s="211"/>
      <c r="K72" s="212" t="str">
        <f>IF(OR(J72="",G72=J72),"","*")</f>
        <v/>
      </c>
      <c r="L72" s="338" t="str">
        <f>IF($A72&lt;=L$1,I72/I$4,"")</f>
        <v/>
      </c>
      <c r="M72" s="343"/>
      <c r="N72" s="344"/>
      <c r="O72" s="310">
        <v>0</v>
      </c>
      <c r="P72" s="311">
        <v>0</v>
      </c>
      <c r="Q72" s="311">
        <v>0</v>
      </c>
      <c r="R72" s="211">
        <v>0</v>
      </c>
      <c r="S72" s="212"/>
      <c r="T72" s="213" t="e">
        <v>#DIV/0!</v>
      </c>
      <c r="U72" s="214"/>
      <c r="V72" s="215"/>
      <c r="W72" s="310">
        <v>0</v>
      </c>
      <c r="X72" s="311">
        <v>0</v>
      </c>
      <c r="Y72" s="311">
        <v>0</v>
      </c>
      <c r="Z72" s="211">
        <v>0</v>
      </c>
      <c r="AA72" s="212"/>
      <c r="AB72" s="213" t="e">
        <v>#DIV/0!</v>
      </c>
      <c r="AC72" s="214"/>
      <c r="AD72" s="215"/>
      <c r="AE72" s="342" t="s">
        <v>270</v>
      </c>
      <c r="AF72" s="341"/>
    </row>
    <row r="73" spans="1:32">
      <c r="A73" s="307">
        <v>4</v>
      </c>
      <c r="B73" s="342"/>
      <c r="C73" s="342" t="s">
        <v>191</v>
      </c>
      <c r="D73" s="340" t="s">
        <v>272</v>
      </c>
      <c r="E73" s="342" t="s">
        <v>273</v>
      </c>
      <c r="F73" s="345" t="s">
        <v>258</v>
      </c>
      <c r="G73" s="308">
        <v>3</v>
      </c>
      <c r="H73" s="309">
        <v>4000</v>
      </c>
      <c r="I73" s="309">
        <v>12000</v>
      </c>
      <c r="J73" s="211"/>
      <c r="K73" s="212" t="str">
        <f>IF(OR(J73="",G73=J73),"","*")</f>
        <v/>
      </c>
      <c r="L73" s="338" t="str">
        <f>IF($A73&lt;=L$1,I73/I$4,"")</f>
        <v/>
      </c>
      <c r="M73" s="343"/>
      <c r="N73" s="344"/>
      <c r="O73" s="310">
        <v>0</v>
      </c>
      <c r="P73" s="311">
        <v>0</v>
      </c>
      <c r="Q73" s="311">
        <v>0</v>
      </c>
      <c r="R73" s="211">
        <v>0</v>
      </c>
      <c r="S73" s="212"/>
      <c r="T73" s="213" t="e">
        <v>#DIV/0!</v>
      </c>
      <c r="U73" s="214"/>
      <c r="V73" s="215"/>
      <c r="W73" s="310">
        <v>0</v>
      </c>
      <c r="X73" s="311">
        <v>0</v>
      </c>
      <c r="Y73" s="311">
        <v>0</v>
      </c>
      <c r="Z73" s="211">
        <v>0</v>
      </c>
      <c r="AA73" s="212"/>
      <c r="AB73" s="213" t="e">
        <v>#DIV/0!</v>
      </c>
      <c r="AC73" s="214"/>
      <c r="AD73" s="215"/>
      <c r="AE73" s="342" t="s">
        <v>274</v>
      </c>
      <c r="AF73" s="341" t="s">
        <v>302</v>
      </c>
    </row>
    <row r="74" spans="1:32">
      <c r="A74" s="307">
        <v>4</v>
      </c>
      <c r="B74" s="342"/>
      <c r="C74" s="342" t="s">
        <v>190</v>
      </c>
      <c r="D74" s="340" t="s">
        <v>304</v>
      </c>
      <c r="E74" s="342"/>
      <c r="F74" s="345" t="s">
        <v>258</v>
      </c>
      <c r="G74" s="308">
        <v>0</v>
      </c>
      <c r="H74" s="309">
        <v>3000</v>
      </c>
      <c r="I74" s="309">
        <v>0</v>
      </c>
      <c r="J74" s="211"/>
      <c r="K74" s="212" t="str">
        <f>IF(OR(J74="",G74=J74),"","*")</f>
        <v/>
      </c>
      <c r="L74" s="338" t="str">
        <f>IF($A74&lt;=L$1,I74/I$4,"")</f>
        <v/>
      </c>
      <c r="M74" s="343"/>
      <c r="N74" s="344"/>
      <c r="O74" s="310">
        <v>0</v>
      </c>
      <c r="P74" s="311">
        <v>0</v>
      </c>
      <c r="Q74" s="311">
        <v>0</v>
      </c>
      <c r="R74" s="211">
        <v>0</v>
      </c>
      <c r="S74" s="212"/>
      <c r="T74" s="213" t="e">
        <v>#DIV/0!</v>
      </c>
      <c r="U74" s="214"/>
      <c r="V74" s="215"/>
      <c r="W74" s="310">
        <v>0</v>
      </c>
      <c r="X74" s="311">
        <v>0</v>
      </c>
      <c r="Y74" s="311">
        <v>0</v>
      </c>
      <c r="Z74" s="211">
        <v>0</v>
      </c>
      <c r="AA74" s="212"/>
      <c r="AB74" s="213" t="e">
        <v>#DIV/0!</v>
      </c>
      <c r="AC74" s="214"/>
      <c r="AD74" s="215"/>
      <c r="AE74" s="342" t="s">
        <v>305</v>
      </c>
      <c r="AF74" s="341" t="s">
        <v>302</v>
      </c>
    </row>
    <row r="75" spans="1:32">
      <c r="A75" s="307">
        <v>4</v>
      </c>
      <c r="B75" s="342"/>
      <c r="C75" s="342" t="s">
        <v>187</v>
      </c>
      <c r="D75" s="340" t="s">
        <v>277</v>
      </c>
      <c r="E75" s="342"/>
      <c r="F75" s="345" t="s">
        <v>278</v>
      </c>
      <c r="G75" s="308">
        <v>60</v>
      </c>
      <c r="H75" s="309">
        <v>150</v>
      </c>
      <c r="I75" s="309">
        <v>9000</v>
      </c>
      <c r="J75" s="211"/>
      <c r="K75" s="212" t="str">
        <f>IF(OR(J75="",G75=J75),"","*")</f>
        <v/>
      </c>
      <c r="L75" s="338" t="str">
        <f>IF($A75&lt;=L$1,I75/I$4,"")</f>
        <v/>
      </c>
      <c r="M75" s="343"/>
      <c r="N75" s="344"/>
      <c r="O75" s="310">
        <v>0</v>
      </c>
      <c r="P75" s="311">
        <v>0</v>
      </c>
      <c r="Q75" s="311">
        <v>0</v>
      </c>
      <c r="R75" s="211">
        <v>0</v>
      </c>
      <c r="S75" s="212"/>
      <c r="T75" s="213" t="e">
        <v>#DIV/0!</v>
      </c>
      <c r="U75" s="214"/>
      <c r="V75" s="215"/>
      <c r="W75" s="310">
        <v>0</v>
      </c>
      <c r="X75" s="311">
        <v>0</v>
      </c>
      <c r="Y75" s="311">
        <v>0</v>
      </c>
      <c r="Z75" s="211">
        <v>0</v>
      </c>
      <c r="AA75" s="212"/>
      <c r="AB75" s="213" t="e">
        <v>#DIV/0!</v>
      </c>
      <c r="AC75" s="214"/>
      <c r="AD75" s="215"/>
      <c r="AE75" s="342" t="s">
        <v>279</v>
      </c>
      <c r="AF75" s="341"/>
    </row>
    <row r="76" spans="1:32">
      <c r="A76" s="307">
        <v>4</v>
      </c>
      <c r="B76" s="342"/>
      <c r="C76" s="342" t="s">
        <v>187</v>
      </c>
      <c r="D76" s="340" t="s">
        <v>275</v>
      </c>
      <c r="E76" s="342"/>
      <c r="F76" s="345" t="s">
        <v>183</v>
      </c>
      <c r="G76" s="308">
        <v>1</v>
      </c>
      <c r="H76" s="309">
        <v>0</v>
      </c>
      <c r="I76" s="309">
        <v>0</v>
      </c>
      <c r="J76" s="211"/>
      <c r="K76" s="212" t="str">
        <f>IF(OR(J76="",G76=J76),"","*")</f>
        <v/>
      </c>
      <c r="L76" s="338" t="str">
        <f>IF($A76&lt;=L$1,I76/I$4,"")</f>
        <v/>
      </c>
      <c r="M76" s="343"/>
      <c r="N76" s="344"/>
      <c r="O76" s="310">
        <v>0</v>
      </c>
      <c r="P76" s="311">
        <v>0</v>
      </c>
      <c r="Q76" s="311">
        <v>0</v>
      </c>
      <c r="R76" s="211">
        <v>0</v>
      </c>
      <c r="S76" s="212"/>
      <c r="T76" s="213" t="e">
        <v>#DIV/0!</v>
      </c>
      <c r="U76" s="214"/>
      <c r="V76" s="215"/>
      <c r="W76" s="310">
        <v>0</v>
      </c>
      <c r="X76" s="311">
        <v>0</v>
      </c>
      <c r="Y76" s="311">
        <v>0</v>
      </c>
      <c r="Z76" s="211">
        <v>0</v>
      </c>
      <c r="AA76" s="212"/>
      <c r="AB76" s="213" t="e">
        <v>#DIV/0!</v>
      </c>
      <c r="AC76" s="214"/>
      <c r="AD76" s="215"/>
      <c r="AE76" s="342" t="s">
        <v>276</v>
      </c>
      <c r="AF76" s="341"/>
    </row>
    <row r="77" spans="1:32">
      <c r="A77" s="307">
        <v>3</v>
      </c>
      <c r="B77" s="342"/>
      <c r="C77" s="342" t="s">
        <v>244</v>
      </c>
      <c r="D77" s="340" t="s">
        <v>337</v>
      </c>
      <c r="E77" s="342" t="s">
        <v>176</v>
      </c>
      <c r="F77" s="345" t="s">
        <v>174</v>
      </c>
      <c r="G77" s="308">
        <v>254</v>
      </c>
      <c r="H77" s="309">
        <v>15393</v>
      </c>
      <c r="I77" s="309">
        <v>3909822</v>
      </c>
      <c r="J77" s="211">
        <v>254</v>
      </c>
      <c r="K77" s="212" t="str">
        <f>IF(OR(J77="",G77=J77),"","*")</f>
        <v/>
      </c>
      <c r="L77" s="338">
        <f>IF($A77&lt;=L$1,I77/I$4,"")</f>
        <v>3.3246785714285715E-2</v>
      </c>
      <c r="M77" s="343"/>
      <c r="N77" s="344" t="s">
        <v>342</v>
      </c>
      <c r="O77" s="310">
        <v>0</v>
      </c>
      <c r="P77" s="311">
        <v>0</v>
      </c>
      <c r="Q77" s="311">
        <v>0</v>
      </c>
      <c r="R77" s="211">
        <v>0</v>
      </c>
      <c r="S77" s="212"/>
      <c r="T77" s="213" t="e">
        <v>#DIV/0!</v>
      </c>
      <c r="U77" s="214"/>
      <c r="V77" s="215"/>
      <c r="W77" s="310">
        <v>0</v>
      </c>
      <c r="X77" s="311">
        <v>0</v>
      </c>
      <c r="Y77" s="311">
        <v>0</v>
      </c>
      <c r="Z77" s="211">
        <v>0</v>
      </c>
      <c r="AA77" s="212"/>
      <c r="AB77" s="213" t="e">
        <v>#DIV/0!</v>
      </c>
      <c r="AC77" s="214"/>
      <c r="AD77" s="215"/>
      <c r="AE77" s="342"/>
      <c r="AF77" s="341"/>
    </row>
    <row r="78" spans="1:32">
      <c r="A78" s="307">
        <v>4</v>
      </c>
      <c r="B78" s="342"/>
      <c r="C78" s="342" t="s">
        <v>187</v>
      </c>
      <c r="D78" s="340" t="s">
        <v>343</v>
      </c>
      <c r="E78" s="342" t="s">
        <v>344</v>
      </c>
      <c r="F78" s="345" t="s">
        <v>345</v>
      </c>
      <c r="G78" s="308">
        <v>120</v>
      </c>
      <c r="H78" s="309">
        <v>5950</v>
      </c>
      <c r="I78" s="309">
        <v>714000</v>
      </c>
      <c r="J78" s="211"/>
      <c r="K78" s="212" t="str">
        <f>IF(OR(J78="",G78=J78),"","*")</f>
        <v/>
      </c>
      <c r="L78" s="338" t="str">
        <f>IF($A78&lt;=L$1,I78/I$4,"")</f>
        <v/>
      </c>
      <c r="M78" s="343"/>
      <c r="N78" s="344"/>
      <c r="O78" s="310">
        <v>0</v>
      </c>
      <c r="P78" s="311">
        <v>0</v>
      </c>
      <c r="Q78" s="311">
        <v>0</v>
      </c>
      <c r="R78" s="211">
        <v>0</v>
      </c>
      <c r="S78" s="212"/>
      <c r="T78" s="213" t="e">
        <v>#DIV/0!</v>
      </c>
      <c r="U78" s="214"/>
      <c r="V78" s="215"/>
      <c r="W78" s="310">
        <v>0</v>
      </c>
      <c r="X78" s="311">
        <v>0</v>
      </c>
      <c r="Y78" s="311">
        <v>0</v>
      </c>
      <c r="Z78" s="211">
        <v>0</v>
      </c>
      <c r="AA78" s="212"/>
      <c r="AB78" s="213" t="e">
        <v>#DIV/0!</v>
      </c>
      <c r="AC78" s="214"/>
      <c r="AD78" s="215"/>
      <c r="AE78" s="342"/>
      <c r="AF78" s="341"/>
    </row>
    <row r="79" spans="1:32">
      <c r="A79" s="307">
        <v>4</v>
      </c>
      <c r="B79" s="342"/>
      <c r="C79" s="342" t="s">
        <v>187</v>
      </c>
      <c r="D79" s="340" t="s">
        <v>346</v>
      </c>
      <c r="E79" s="342" t="s">
        <v>347</v>
      </c>
      <c r="F79" s="345" t="s">
        <v>345</v>
      </c>
      <c r="G79" s="308">
        <v>135</v>
      </c>
      <c r="H79" s="309">
        <v>11900</v>
      </c>
      <c r="I79" s="309">
        <v>1606500</v>
      </c>
      <c r="J79" s="211"/>
      <c r="K79" s="212" t="str">
        <f>IF(OR(J79="",G79=J79),"","*")</f>
        <v/>
      </c>
      <c r="L79" s="338" t="str">
        <f>IF($A79&lt;=L$1,I79/I$4,"")</f>
        <v/>
      </c>
      <c r="M79" s="343"/>
      <c r="N79" s="344"/>
      <c r="O79" s="310">
        <v>0</v>
      </c>
      <c r="P79" s="311">
        <v>0</v>
      </c>
      <c r="Q79" s="311">
        <v>0</v>
      </c>
      <c r="R79" s="211">
        <v>0</v>
      </c>
      <c r="S79" s="212"/>
      <c r="T79" s="213" t="e">
        <v>#DIV/0!</v>
      </c>
      <c r="U79" s="214"/>
      <c r="V79" s="215"/>
      <c r="W79" s="310">
        <v>0</v>
      </c>
      <c r="X79" s="311">
        <v>0</v>
      </c>
      <c r="Y79" s="311">
        <v>0</v>
      </c>
      <c r="Z79" s="211">
        <v>0</v>
      </c>
      <c r="AA79" s="212"/>
      <c r="AB79" s="213" t="e">
        <v>#DIV/0!</v>
      </c>
      <c r="AC79" s="214"/>
      <c r="AD79" s="215"/>
      <c r="AE79" s="342"/>
      <c r="AF79" s="341"/>
    </row>
    <row r="80" spans="1:32">
      <c r="A80" s="307">
        <v>4</v>
      </c>
      <c r="B80" s="342"/>
      <c r="C80" s="342" t="s">
        <v>187</v>
      </c>
      <c r="D80" s="340" t="s">
        <v>348</v>
      </c>
      <c r="E80" s="342" t="s">
        <v>349</v>
      </c>
      <c r="F80" s="345" t="s">
        <v>323</v>
      </c>
      <c r="G80" s="308">
        <v>1</v>
      </c>
      <c r="H80" s="309">
        <v>2800</v>
      </c>
      <c r="I80" s="309">
        <v>2800</v>
      </c>
      <c r="J80" s="211"/>
      <c r="K80" s="212" t="str">
        <f>IF(OR(J80="",G80=J80),"","*")</f>
        <v/>
      </c>
      <c r="L80" s="338" t="str">
        <f>IF($A80&lt;=L$1,I80/I$4,"")</f>
        <v/>
      </c>
      <c r="M80" s="343"/>
      <c r="N80" s="344"/>
      <c r="O80" s="310">
        <v>0</v>
      </c>
      <c r="P80" s="311">
        <v>0</v>
      </c>
      <c r="Q80" s="311">
        <v>0</v>
      </c>
      <c r="R80" s="211">
        <v>0</v>
      </c>
      <c r="S80" s="212"/>
      <c r="T80" s="213" t="e">
        <v>#DIV/0!</v>
      </c>
      <c r="U80" s="214"/>
      <c r="V80" s="215"/>
      <c r="W80" s="310">
        <v>0</v>
      </c>
      <c r="X80" s="311">
        <v>0</v>
      </c>
      <c r="Y80" s="311">
        <v>0</v>
      </c>
      <c r="Z80" s="211">
        <v>0</v>
      </c>
      <c r="AA80" s="212"/>
      <c r="AB80" s="213" t="e">
        <v>#DIV/0!</v>
      </c>
      <c r="AC80" s="214"/>
      <c r="AD80" s="215"/>
      <c r="AE80" s="342"/>
      <c r="AF80" s="341"/>
    </row>
    <row r="81" spans="1:32">
      <c r="A81" s="307">
        <v>4</v>
      </c>
      <c r="B81" s="342"/>
      <c r="C81" s="342" t="s">
        <v>187</v>
      </c>
      <c r="D81" s="340" t="s">
        <v>350</v>
      </c>
      <c r="E81" s="342" t="s">
        <v>351</v>
      </c>
      <c r="F81" s="345" t="s">
        <v>323</v>
      </c>
      <c r="G81" s="308">
        <v>2</v>
      </c>
      <c r="H81" s="309">
        <v>2800</v>
      </c>
      <c r="I81" s="309">
        <v>5600</v>
      </c>
      <c r="J81" s="211"/>
      <c r="K81" s="212" t="str">
        <f>IF(OR(J81="",G81=J81),"","*")</f>
        <v/>
      </c>
      <c r="L81" s="338" t="str">
        <f>IF($A81&lt;=L$1,I81/I$4,"")</f>
        <v/>
      </c>
      <c r="M81" s="343"/>
      <c r="N81" s="344"/>
      <c r="O81" s="310">
        <v>0</v>
      </c>
      <c r="P81" s="311">
        <v>0</v>
      </c>
      <c r="Q81" s="311">
        <v>0</v>
      </c>
      <c r="R81" s="211">
        <v>0</v>
      </c>
      <c r="S81" s="212"/>
      <c r="T81" s="213" t="e">
        <v>#DIV/0!</v>
      </c>
      <c r="U81" s="214"/>
      <c r="V81" s="215"/>
      <c r="W81" s="310">
        <v>0</v>
      </c>
      <c r="X81" s="311">
        <v>0</v>
      </c>
      <c r="Y81" s="311">
        <v>0</v>
      </c>
      <c r="Z81" s="211">
        <v>0</v>
      </c>
      <c r="AA81" s="212"/>
      <c r="AB81" s="213" t="e">
        <v>#DIV/0!</v>
      </c>
      <c r="AC81" s="214"/>
      <c r="AD81" s="215"/>
      <c r="AE81" s="342"/>
      <c r="AF81" s="341"/>
    </row>
    <row r="82" spans="1:32">
      <c r="A82" s="307">
        <v>4</v>
      </c>
      <c r="B82" s="342"/>
      <c r="C82" s="342" t="s">
        <v>187</v>
      </c>
      <c r="D82" s="340" t="s">
        <v>352</v>
      </c>
      <c r="E82" s="342" t="s">
        <v>353</v>
      </c>
      <c r="F82" s="345" t="s">
        <v>323</v>
      </c>
      <c r="G82" s="308">
        <v>1</v>
      </c>
      <c r="H82" s="309">
        <v>2800</v>
      </c>
      <c r="I82" s="309">
        <v>2800</v>
      </c>
      <c r="J82" s="211"/>
      <c r="K82" s="212" t="str">
        <f>IF(OR(J82="",G82=J82),"","*")</f>
        <v/>
      </c>
      <c r="L82" s="338" t="str">
        <f>IF($A82&lt;=L$1,I82/I$4,"")</f>
        <v/>
      </c>
      <c r="M82" s="343"/>
      <c r="N82" s="344"/>
      <c r="O82" s="310">
        <v>0</v>
      </c>
      <c r="P82" s="311">
        <v>0</v>
      </c>
      <c r="Q82" s="311">
        <v>0</v>
      </c>
      <c r="R82" s="211">
        <v>0</v>
      </c>
      <c r="S82" s="212"/>
      <c r="T82" s="213" t="e">
        <v>#DIV/0!</v>
      </c>
      <c r="U82" s="214"/>
      <c r="V82" s="215"/>
      <c r="W82" s="310">
        <v>0</v>
      </c>
      <c r="X82" s="311">
        <v>0</v>
      </c>
      <c r="Y82" s="311">
        <v>0</v>
      </c>
      <c r="Z82" s="211">
        <v>0</v>
      </c>
      <c r="AA82" s="212"/>
      <c r="AB82" s="213" t="e">
        <v>#DIV/0!</v>
      </c>
      <c r="AC82" s="214"/>
      <c r="AD82" s="215"/>
      <c r="AE82" s="342"/>
      <c r="AF82" s="341"/>
    </row>
    <row r="83" spans="1:32">
      <c r="A83" s="307">
        <v>4</v>
      </c>
      <c r="B83" s="342"/>
      <c r="C83" s="342" t="s">
        <v>187</v>
      </c>
      <c r="D83" s="340" t="s">
        <v>354</v>
      </c>
      <c r="E83" s="342" t="s">
        <v>355</v>
      </c>
      <c r="F83" s="345" t="s">
        <v>323</v>
      </c>
      <c r="G83" s="308">
        <v>4</v>
      </c>
      <c r="H83" s="309">
        <v>5390</v>
      </c>
      <c r="I83" s="309">
        <v>21560</v>
      </c>
      <c r="J83" s="211"/>
      <c r="K83" s="212" t="str">
        <f>IF(OR(J83="",G83=J83),"","*")</f>
        <v/>
      </c>
      <c r="L83" s="338" t="str">
        <f>IF($A83&lt;=L$1,I83/I$4,"")</f>
        <v/>
      </c>
      <c r="M83" s="343"/>
      <c r="N83" s="344"/>
      <c r="O83" s="310">
        <v>0</v>
      </c>
      <c r="P83" s="311">
        <v>0</v>
      </c>
      <c r="Q83" s="311">
        <v>0</v>
      </c>
      <c r="R83" s="211">
        <v>0</v>
      </c>
      <c r="S83" s="212"/>
      <c r="T83" s="213" t="e">
        <v>#DIV/0!</v>
      </c>
      <c r="U83" s="214"/>
      <c r="V83" s="215"/>
      <c r="W83" s="310">
        <v>0</v>
      </c>
      <c r="X83" s="311">
        <v>0</v>
      </c>
      <c r="Y83" s="311">
        <v>0</v>
      </c>
      <c r="Z83" s="211">
        <v>0</v>
      </c>
      <c r="AA83" s="212"/>
      <c r="AB83" s="213" t="e">
        <v>#DIV/0!</v>
      </c>
      <c r="AC83" s="214"/>
      <c r="AD83" s="215"/>
      <c r="AE83" s="342"/>
      <c r="AF83" s="341"/>
    </row>
    <row r="84" spans="1:32">
      <c r="A84" s="307">
        <v>4</v>
      </c>
      <c r="B84" s="342"/>
      <c r="C84" s="342" t="s">
        <v>187</v>
      </c>
      <c r="D84" s="340" t="s">
        <v>356</v>
      </c>
      <c r="E84" s="342" t="s">
        <v>357</v>
      </c>
      <c r="F84" s="345" t="s">
        <v>323</v>
      </c>
      <c r="G84" s="308">
        <v>1</v>
      </c>
      <c r="H84" s="309">
        <v>5390</v>
      </c>
      <c r="I84" s="309">
        <v>5390</v>
      </c>
      <c r="J84" s="211"/>
      <c r="K84" s="212" t="str">
        <f>IF(OR(J84="",G84=J84),"","*")</f>
        <v/>
      </c>
      <c r="L84" s="338" t="str">
        <f>IF($A84&lt;=L$1,I84/I$4,"")</f>
        <v/>
      </c>
      <c r="M84" s="343"/>
      <c r="N84" s="344"/>
      <c r="O84" s="310">
        <v>0</v>
      </c>
      <c r="P84" s="311">
        <v>0</v>
      </c>
      <c r="Q84" s="311">
        <v>0</v>
      </c>
      <c r="R84" s="211">
        <v>0</v>
      </c>
      <c r="S84" s="212"/>
      <c r="T84" s="213" t="e">
        <v>#DIV/0!</v>
      </c>
      <c r="U84" s="214"/>
      <c r="V84" s="215"/>
      <c r="W84" s="310">
        <v>0</v>
      </c>
      <c r="X84" s="311">
        <v>0</v>
      </c>
      <c r="Y84" s="311">
        <v>0</v>
      </c>
      <c r="Z84" s="211">
        <v>0</v>
      </c>
      <c r="AA84" s="212"/>
      <c r="AB84" s="213" t="e">
        <v>#DIV/0!</v>
      </c>
      <c r="AC84" s="214"/>
      <c r="AD84" s="215"/>
      <c r="AE84" s="342"/>
      <c r="AF84" s="341"/>
    </row>
    <row r="85" spans="1:32">
      <c r="A85" s="307">
        <v>4</v>
      </c>
      <c r="B85" s="342"/>
      <c r="C85" s="342" t="s">
        <v>191</v>
      </c>
      <c r="D85" s="340" t="s">
        <v>358</v>
      </c>
      <c r="E85" s="342" t="s">
        <v>359</v>
      </c>
      <c r="F85" s="345" t="s">
        <v>183</v>
      </c>
      <c r="G85" s="308">
        <v>1</v>
      </c>
      <c r="H85" s="309">
        <v>200000</v>
      </c>
      <c r="I85" s="309">
        <v>200000</v>
      </c>
      <c r="J85" s="211"/>
      <c r="K85" s="212" t="str">
        <f>IF(OR(J85="",G85=J85),"","*")</f>
        <v/>
      </c>
      <c r="L85" s="338" t="str">
        <f>IF($A85&lt;=L$1,I85/I$4,"")</f>
        <v/>
      </c>
      <c r="M85" s="343"/>
      <c r="N85" s="344"/>
      <c r="O85" s="310">
        <v>0</v>
      </c>
      <c r="P85" s="311">
        <v>0</v>
      </c>
      <c r="Q85" s="311">
        <v>0</v>
      </c>
      <c r="R85" s="211">
        <v>0</v>
      </c>
      <c r="S85" s="212"/>
      <c r="T85" s="213" t="e">
        <v>#DIV/0!</v>
      </c>
      <c r="U85" s="214"/>
      <c r="V85" s="215"/>
      <c r="W85" s="310">
        <v>0</v>
      </c>
      <c r="X85" s="311">
        <v>0</v>
      </c>
      <c r="Y85" s="311">
        <v>0</v>
      </c>
      <c r="Z85" s="211">
        <v>0</v>
      </c>
      <c r="AA85" s="212"/>
      <c r="AB85" s="213" t="e">
        <v>#DIV/0!</v>
      </c>
      <c r="AC85" s="214"/>
      <c r="AD85" s="215"/>
      <c r="AE85" s="342"/>
      <c r="AF85" s="341"/>
    </row>
    <row r="86" spans="1:32">
      <c r="A86" s="307">
        <v>4</v>
      </c>
      <c r="B86" s="342"/>
      <c r="C86" s="342" t="s">
        <v>187</v>
      </c>
      <c r="D86" s="340" t="s">
        <v>290</v>
      </c>
      <c r="E86" s="342" t="s">
        <v>291</v>
      </c>
      <c r="F86" s="345" t="s">
        <v>292</v>
      </c>
      <c r="G86" s="308">
        <v>12</v>
      </c>
      <c r="H86" s="309">
        <v>500</v>
      </c>
      <c r="I86" s="309">
        <v>6000</v>
      </c>
      <c r="J86" s="211"/>
      <c r="K86" s="212" t="str">
        <f>IF(OR(J86="",G86=J86),"","*")</f>
        <v/>
      </c>
      <c r="L86" s="338" t="str">
        <f>IF($A86&lt;=L$1,I86/I$4,"")</f>
        <v/>
      </c>
      <c r="M86" s="343"/>
      <c r="N86" s="344"/>
      <c r="O86" s="310">
        <v>0</v>
      </c>
      <c r="P86" s="311">
        <v>0</v>
      </c>
      <c r="Q86" s="311">
        <v>0</v>
      </c>
      <c r="R86" s="211">
        <v>0</v>
      </c>
      <c r="S86" s="212"/>
      <c r="T86" s="213" t="e">
        <v>#DIV/0!</v>
      </c>
      <c r="U86" s="214"/>
      <c r="V86" s="215"/>
      <c r="W86" s="310">
        <v>0</v>
      </c>
      <c r="X86" s="311">
        <v>0</v>
      </c>
      <c r="Y86" s="311">
        <v>0</v>
      </c>
      <c r="Z86" s="211">
        <v>0</v>
      </c>
      <c r="AA86" s="212"/>
      <c r="AB86" s="213" t="e">
        <v>#DIV/0!</v>
      </c>
      <c r="AC86" s="214"/>
      <c r="AD86" s="215"/>
      <c r="AE86" s="342" t="s">
        <v>293</v>
      </c>
      <c r="AF86" s="341" t="s">
        <v>360</v>
      </c>
    </row>
    <row r="87" spans="1:32">
      <c r="A87" s="307">
        <v>4</v>
      </c>
      <c r="B87" s="342"/>
      <c r="C87" s="342" t="s">
        <v>187</v>
      </c>
      <c r="D87" s="340" t="s">
        <v>329</v>
      </c>
      <c r="E87" s="342"/>
      <c r="F87" s="345" t="s">
        <v>296</v>
      </c>
      <c r="G87" s="308">
        <v>1.5</v>
      </c>
      <c r="H87" s="309">
        <v>15500</v>
      </c>
      <c r="I87" s="309">
        <v>23250</v>
      </c>
      <c r="J87" s="211"/>
      <c r="K87" s="212" t="str">
        <f>IF(OR(J87="",G87=J87),"","*")</f>
        <v/>
      </c>
      <c r="L87" s="338" t="str">
        <f>IF($A87&lt;=L$1,I87/I$4,"")</f>
        <v/>
      </c>
      <c r="M87" s="343"/>
      <c r="N87" s="344"/>
      <c r="O87" s="310">
        <v>0</v>
      </c>
      <c r="P87" s="311">
        <v>0</v>
      </c>
      <c r="Q87" s="311">
        <v>0</v>
      </c>
      <c r="R87" s="211">
        <v>0</v>
      </c>
      <c r="S87" s="212"/>
      <c r="T87" s="213" t="e">
        <v>#DIV/0!</v>
      </c>
      <c r="U87" s="214"/>
      <c r="V87" s="215"/>
      <c r="W87" s="310">
        <v>0</v>
      </c>
      <c r="X87" s="311">
        <v>0</v>
      </c>
      <c r="Y87" s="311">
        <v>0</v>
      </c>
      <c r="Z87" s="211">
        <v>0</v>
      </c>
      <c r="AA87" s="212"/>
      <c r="AB87" s="213" t="e">
        <v>#DIV/0!</v>
      </c>
      <c r="AC87" s="214"/>
      <c r="AD87" s="215"/>
      <c r="AE87" s="342" t="s">
        <v>330</v>
      </c>
      <c r="AF87" s="341" t="s">
        <v>361</v>
      </c>
    </row>
    <row r="88" spans="1:32">
      <c r="A88" s="307">
        <v>4</v>
      </c>
      <c r="B88" s="342"/>
      <c r="C88" s="342" t="s">
        <v>188</v>
      </c>
      <c r="D88" s="340" t="s">
        <v>249</v>
      </c>
      <c r="E88" s="342"/>
      <c r="F88" s="345" t="s">
        <v>250</v>
      </c>
      <c r="G88" s="308">
        <v>9</v>
      </c>
      <c r="H88" s="309">
        <v>30000</v>
      </c>
      <c r="I88" s="309">
        <v>270000</v>
      </c>
      <c r="J88" s="211"/>
      <c r="K88" s="212" t="str">
        <f>IF(OR(J88="",G88=J88),"","*")</f>
        <v/>
      </c>
      <c r="L88" s="338" t="str">
        <f>IF($A88&lt;=L$1,I88/I$4,"")</f>
        <v/>
      </c>
      <c r="M88" s="343"/>
      <c r="N88" s="344"/>
      <c r="O88" s="310">
        <v>0</v>
      </c>
      <c r="P88" s="311">
        <v>0</v>
      </c>
      <c r="Q88" s="311">
        <v>0</v>
      </c>
      <c r="R88" s="211">
        <v>0</v>
      </c>
      <c r="S88" s="212"/>
      <c r="T88" s="213" t="e">
        <v>#DIV/0!</v>
      </c>
      <c r="U88" s="214"/>
      <c r="V88" s="215"/>
      <c r="W88" s="310">
        <v>0</v>
      </c>
      <c r="X88" s="311">
        <v>0</v>
      </c>
      <c r="Y88" s="311">
        <v>0</v>
      </c>
      <c r="Z88" s="211">
        <v>0</v>
      </c>
      <c r="AA88" s="212"/>
      <c r="AB88" s="213" t="e">
        <v>#DIV/0!</v>
      </c>
      <c r="AC88" s="214"/>
      <c r="AD88" s="215"/>
      <c r="AE88" s="342" t="s">
        <v>251</v>
      </c>
      <c r="AF88" s="341" t="s">
        <v>252</v>
      </c>
    </row>
    <row r="89" spans="1:32">
      <c r="A89" s="307">
        <v>4</v>
      </c>
      <c r="B89" s="342"/>
      <c r="C89" s="342" t="s">
        <v>188</v>
      </c>
      <c r="D89" s="340" t="s">
        <v>253</v>
      </c>
      <c r="E89" s="342"/>
      <c r="F89" s="345" t="s">
        <v>250</v>
      </c>
      <c r="G89" s="308">
        <v>36</v>
      </c>
      <c r="H89" s="309">
        <v>21000</v>
      </c>
      <c r="I89" s="309">
        <v>756000</v>
      </c>
      <c r="J89" s="211"/>
      <c r="K89" s="212" t="str">
        <f>IF(OR(J89="",G89=J89),"","*")</f>
        <v/>
      </c>
      <c r="L89" s="338" t="str">
        <f>IF($A89&lt;=L$1,I89/I$4,"")</f>
        <v/>
      </c>
      <c r="M89" s="343"/>
      <c r="N89" s="344"/>
      <c r="O89" s="310">
        <v>0</v>
      </c>
      <c r="P89" s="311">
        <v>0</v>
      </c>
      <c r="Q89" s="311">
        <v>0</v>
      </c>
      <c r="R89" s="211">
        <v>0</v>
      </c>
      <c r="S89" s="212"/>
      <c r="T89" s="213" t="e">
        <v>#DIV/0!</v>
      </c>
      <c r="U89" s="214"/>
      <c r="V89" s="215"/>
      <c r="W89" s="310">
        <v>0</v>
      </c>
      <c r="X89" s="311">
        <v>0</v>
      </c>
      <c r="Y89" s="311">
        <v>0</v>
      </c>
      <c r="Z89" s="211">
        <v>0</v>
      </c>
      <c r="AA89" s="212"/>
      <c r="AB89" s="213" t="e">
        <v>#DIV/0!</v>
      </c>
      <c r="AC89" s="214"/>
      <c r="AD89" s="215"/>
      <c r="AE89" s="342" t="s">
        <v>254</v>
      </c>
      <c r="AF89" s="341" t="s">
        <v>362</v>
      </c>
    </row>
    <row r="90" spans="1:32">
      <c r="A90" s="307">
        <v>4</v>
      </c>
      <c r="B90" s="342"/>
      <c r="C90" s="342" t="s">
        <v>190</v>
      </c>
      <c r="D90" s="340" t="s">
        <v>260</v>
      </c>
      <c r="E90" s="342"/>
      <c r="F90" s="345" t="s">
        <v>258</v>
      </c>
      <c r="G90" s="308">
        <v>9</v>
      </c>
      <c r="H90" s="309">
        <v>8000</v>
      </c>
      <c r="I90" s="309">
        <v>72000</v>
      </c>
      <c r="J90" s="211"/>
      <c r="K90" s="212" t="str">
        <f>IF(OR(J90="",G90=J90),"","*")</f>
        <v/>
      </c>
      <c r="L90" s="338" t="str">
        <f>IF($A90&lt;=L$1,I90/I$4,"")</f>
        <v/>
      </c>
      <c r="M90" s="343"/>
      <c r="N90" s="344"/>
      <c r="O90" s="310">
        <v>0</v>
      </c>
      <c r="P90" s="311">
        <v>0</v>
      </c>
      <c r="Q90" s="311">
        <v>0</v>
      </c>
      <c r="R90" s="211">
        <v>0</v>
      </c>
      <c r="S90" s="212"/>
      <c r="T90" s="213" t="e">
        <v>#DIV/0!</v>
      </c>
      <c r="U90" s="214"/>
      <c r="V90" s="215"/>
      <c r="W90" s="310">
        <v>0</v>
      </c>
      <c r="X90" s="311">
        <v>0</v>
      </c>
      <c r="Y90" s="311">
        <v>0</v>
      </c>
      <c r="Z90" s="211">
        <v>0</v>
      </c>
      <c r="AA90" s="212"/>
      <c r="AB90" s="213" t="e">
        <v>#DIV/0!</v>
      </c>
      <c r="AC90" s="214"/>
      <c r="AD90" s="215"/>
      <c r="AE90" s="342" t="s">
        <v>261</v>
      </c>
      <c r="AF90" s="341" t="s">
        <v>252</v>
      </c>
    </row>
    <row r="91" spans="1:32">
      <c r="A91" s="307">
        <v>4</v>
      </c>
      <c r="B91" s="342"/>
      <c r="C91" s="342" t="s">
        <v>190</v>
      </c>
      <c r="D91" s="340" t="s">
        <v>265</v>
      </c>
      <c r="E91" s="342"/>
      <c r="F91" s="345" t="s">
        <v>258</v>
      </c>
      <c r="G91" s="308">
        <v>9</v>
      </c>
      <c r="H91" s="309">
        <v>1000</v>
      </c>
      <c r="I91" s="309">
        <v>9000</v>
      </c>
      <c r="J91" s="211"/>
      <c r="K91" s="212" t="str">
        <f>IF(OR(J91="",G91=J91),"","*")</f>
        <v/>
      </c>
      <c r="L91" s="338" t="str">
        <f>IF($A91&lt;=L$1,I91/I$4,"")</f>
        <v/>
      </c>
      <c r="M91" s="343"/>
      <c r="N91" s="344"/>
      <c r="O91" s="310">
        <v>0</v>
      </c>
      <c r="P91" s="311">
        <v>0</v>
      </c>
      <c r="Q91" s="311">
        <v>0</v>
      </c>
      <c r="R91" s="211">
        <v>0</v>
      </c>
      <c r="S91" s="212"/>
      <c r="T91" s="213" t="e">
        <v>#DIV/0!</v>
      </c>
      <c r="U91" s="214"/>
      <c r="V91" s="215"/>
      <c r="W91" s="310">
        <v>0</v>
      </c>
      <c r="X91" s="311">
        <v>0</v>
      </c>
      <c r="Y91" s="311">
        <v>0</v>
      </c>
      <c r="Z91" s="211">
        <v>0</v>
      </c>
      <c r="AA91" s="212"/>
      <c r="AB91" s="213" t="e">
        <v>#DIV/0!</v>
      </c>
      <c r="AC91" s="214"/>
      <c r="AD91" s="215"/>
      <c r="AE91" s="342" t="s">
        <v>266</v>
      </c>
      <c r="AF91" s="341" t="s">
        <v>252</v>
      </c>
    </row>
    <row r="92" spans="1:32">
      <c r="A92" s="307">
        <v>4</v>
      </c>
      <c r="B92" s="342"/>
      <c r="C92" s="342" t="s">
        <v>190</v>
      </c>
      <c r="D92" s="340" t="s">
        <v>333</v>
      </c>
      <c r="E92" s="342" t="s">
        <v>334</v>
      </c>
      <c r="F92" s="345" t="s">
        <v>258</v>
      </c>
      <c r="G92" s="308">
        <v>9</v>
      </c>
      <c r="H92" s="309">
        <v>2000</v>
      </c>
      <c r="I92" s="309">
        <v>18000</v>
      </c>
      <c r="J92" s="211"/>
      <c r="K92" s="212" t="str">
        <f>IF(OR(J92="",G92=J92),"","*")</f>
        <v/>
      </c>
      <c r="L92" s="338" t="str">
        <f>IF($A92&lt;=L$1,I92/I$4,"")</f>
        <v/>
      </c>
      <c r="M92" s="343"/>
      <c r="N92" s="344"/>
      <c r="O92" s="310">
        <v>0</v>
      </c>
      <c r="P92" s="311">
        <v>0</v>
      </c>
      <c r="Q92" s="311">
        <v>0</v>
      </c>
      <c r="R92" s="211">
        <v>0</v>
      </c>
      <c r="S92" s="212"/>
      <c r="T92" s="213" t="e">
        <v>#DIV/0!</v>
      </c>
      <c r="U92" s="214"/>
      <c r="V92" s="215"/>
      <c r="W92" s="310">
        <v>0</v>
      </c>
      <c r="X92" s="311">
        <v>0</v>
      </c>
      <c r="Y92" s="311">
        <v>0</v>
      </c>
      <c r="Z92" s="211">
        <v>0</v>
      </c>
      <c r="AA92" s="212"/>
      <c r="AB92" s="213" t="e">
        <v>#DIV/0!</v>
      </c>
      <c r="AC92" s="214"/>
      <c r="AD92" s="215"/>
      <c r="AE92" s="342" t="s">
        <v>335</v>
      </c>
      <c r="AF92" s="341" t="s">
        <v>252</v>
      </c>
    </row>
    <row r="93" spans="1:32">
      <c r="A93" s="307">
        <v>4</v>
      </c>
      <c r="B93" s="342"/>
      <c r="C93" s="342" t="s">
        <v>191</v>
      </c>
      <c r="D93" s="340" t="s">
        <v>269</v>
      </c>
      <c r="E93" s="342"/>
      <c r="F93" s="345" t="s">
        <v>258</v>
      </c>
      <c r="G93" s="308">
        <v>18</v>
      </c>
      <c r="H93" s="309">
        <v>5000</v>
      </c>
      <c r="I93" s="309">
        <v>90000</v>
      </c>
      <c r="J93" s="211"/>
      <c r="K93" s="212" t="str">
        <f>IF(OR(J93="",G93=J93),"","*")</f>
        <v/>
      </c>
      <c r="L93" s="338" t="str">
        <f>IF($A93&lt;=L$1,I93/I$4,"")</f>
        <v/>
      </c>
      <c r="M93" s="343"/>
      <c r="N93" s="344"/>
      <c r="O93" s="310">
        <v>0</v>
      </c>
      <c r="P93" s="311">
        <v>0</v>
      </c>
      <c r="Q93" s="311">
        <v>0</v>
      </c>
      <c r="R93" s="211">
        <v>0</v>
      </c>
      <c r="S93" s="212"/>
      <c r="T93" s="213" t="e">
        <v>#DIV/0!</v>
      </c>
      <c r="U93" s="214"/>
      <c r="V93" s="215"/>
      <c r="W93" s="310">
        <v>0</v>
      </c>
      <c r="X93" s="311">
        <v>0</v>
      </c>
      <c r="Y93" s="311">
        <v>0</v>
      </c>
      <c r="Z93" s="211">
        <v>0</v>
      </c>
      <c r="AA93" s="212"/>
      <c r="AB93" s="213" t="e">
        <v>#DIV/0!</v>
      </c>
      <c r="AC93" s="214"/>
      <c r="AD93" s="215"/>
      <c r="AE93" s="342" t="s">
        <v>270</v>
      </c>
      <c r="AF93" s="341" t="s">
        <v>271</v>
      </c>
    </row>
    <row r="94" spans="1:32">
      <c r="A94" s="307">
        <v>4</v>
      </c>
      <c r="B94" s="342"/>
      <c r="C94" s="342" t="s">
        <v>191</v>
      </c>
      <c r="D94" s="340" t="s">
        <v>272</v>
      </c>
      <c r="E94" s="342" t="s">
        <v>273</v>
      </c>
      <c r="F94" s="345" t="s">
        <v>258</v>
      </c>
      <c r="G94" s="308">
        <v>9</v>
      </c>
      <c r="H94" s="309">
        <v>4000</v>
      </c>
      <c r="I94" s="309">
        <v>36000</v>
      </c>
      <c r="J94" s="211"/>
      <c r="K94" s="212" t="str">
        <f>IF(OR(J94="",G94=J94),"","*")</f>
        <v/>
      </c>
      <c r="L94" s="338" t="str">
        <f>IF($A94&lt;=L$1,I94/I$4,"")</f>
        <v/>
      </c>
      <c r="M94" s="343"/>
      <c r="N94" s="344"/>
      <c r="O94" s="310">
        <v>0</v>
      </c>
      <c r="P94" s="311">
        <v>0</v>
      </c>
      <c r="Q94" s="311">
        <v>0</v>
      </c>
      <c r="R94" s="211">
        <v>0</v>
      </c>
      <c r="S94" s="212"/>
      <c r="T94" s="213" t="e">
        <v>#DIV/0!</v>
      </c>
      <c r="U94" s="214"/>
      <c r="V94" s="215"/>
      <c r="W94" s="310">
        <v>0</v>
      </c>
      <c r="X94" s="311">
        <v>0</v>
      </c>
      <c r="Y94" s="311">
        <v>0</v>
      </c>
      <c r="Z94" s="211">
        <v>0</v>
      </c>
      <c r="AA94" s="212"/>
      <c r="AB94" s="213" t="e">
        <v>#DIV/0!</v>
      </c>
      <c r="AC94" s="214"/>
      <c r="AD94" s="215"/>
      <c r="AE94" s="342" t="s">
        <v>274</v>
      </c>
      <c r="AF94" s="341" t="s">
        <v>252</v>
      </c>
    </row>
    <row r="95" spans="1:32">
      <c r="A95" s="307">
        <v>4</v>
      </c>
      <c r="B95" s="342"/>
      <c r="C95" s="342" t="s">
        <v>187</v>
      </c>
      <c r="D95" s="340" t="s">
        <v>275</v>
      </c>
      <c r="E95" s="342"/>
      <c r="F95" s="345" t="s">
        <v>183</v>
      </c>
      <c r="G95" s="308">
        <v>1</v>
      </c>
      <c r="H95" s="309">
        <v>3600</v>
      </c>
      <c r="I95" s="309">
        <v>3600</v>
      </c>
      <c r="J95" s="211"/>
      <c r="K95" s="212" t="str">
        <f>IF(OR(J95="",G95=J95),"","*")</f>
        <v/>
      </c>
      <c r="L95" s="338" t="str">
        <f>IF($A95&lt;=L$1,I95/I$4,"")</f>
        <v/>
      </c>
      <c r="M95" s="343"/>
      <c r="N95" s="344"/>
      <c r="O95" s="310">
        <v>0</v>
      </c>
      <c r="P95" s="311">
        <v>0</v>
      </c>
      <c r="Q95" s="311">
        <v>0</v>
      </c>
      <c r="R95" s="211">
        <v>0</v>
      </c>
      <c r="S95" s="212"/>
      <c r="T95" s="213" t="e">
        <v>#DIV/0!</v>
      </c>
      <c r="U95" s="214"/>
      <c r="V95" s="215"/>
      <c r="W95" s="310">
        <v>0</v>
      </c>
      <c r="X95" s="311">
        <v>0</v>
      </c>
      <c r="Y95" s="311">
        <v>0</v>
      </c>
      <c r="Z95" s="211">
        <v>0</v>
      </c>
      <c r="AA95" s="212"/>
      <c r="AB95" s="213" t="e">
        <v>#DIV/0!</v>
      </c>
      <c r="AC95" s="214"/>
      <c r="AD95" s="215"/>
      <c r="AE95" s="342" t="s">
        <v>276</v>
      </c>
      <c r="AF95" s="341"/>
    </row>
    <row r="96" spans="1:32">
      <c r="A96" s="307">
        <v>4</v>
      </c>
      <c r="B96" s="342"/>
      <c r="C96" s="342" t="s">
        <v>187</v>
      </c>
      <c r="D96" s="340" t="s">
        <v>277</v>
      </c>
      <c r="E96" s="342"/>
      <c r="F96" s="345" t="s">
        <v>278</v>
      </c>
      <c r="G96" s="308">
        <v>450</v>
      </c>
      <c r="H96" s="309">
        <v>150</v>
      </c>
      <c r="I96" s="309">
        <v>67500</v>
      </c>
      <c r="J96" s="211"/>
      <c r="K96" s="212" t="str">
        <f>IF(OR(J96="",G96=J96),"","*")</f>
        <v/>
      </c>
      <c r="L96" s="338" t="str">
        <f>IF($A96&lt;=L$1,I96/I$4,"")</f>
        <v/>
      </c>
      <c r="M96" s="343"/>
      <c r="N96" s="344"/>
      <c r="O96" s="310">
        <v>0</v>
      </c>
      <c r="P96" s="311">
        <v>0</v>
      </c>
      <c r="Q96" s="311">
        <v>0</v>
      </c>
      <c r="R96" s="211">
        <v>0</v>
      </c>
      <c r="S96" s="212"/>
      <c r="T96" s="213" t="e">
        <v>#DIV/0!</v>
      </c>
      <c r="U96" s="214"/>
      <c r="V96" s="215"/>
      <c r="W96" s="310">
        <v>0</v>
      </c>
      <c r="X96" s="311">
        <v>0</v>
      </c>
      <c r="Y96" s="311">
        <v>0</v>
      </c>
      <c r="Z96" s="211">
        <v>0</v>
      </c>
      <c r="AA96" s="212"/>
      <c r="AB96" s="213" t="e">
        <v>#DIV/0!</v>
      </c>
      <c r="AC96" s="214"/>
      <c r="AD96" s="215"/>
      <c r="AE96" s="342" t="s">
        <v>279</v>
      </c>
      <c r="AF96" s="341"/>
    </row>
    <row r="97" spans="1:32">
      <c r="A97" s="307">
        <v>3</v>
      </c>
      <c r="B97" s="342"/>
      <c r="C97" s="342" t="s">
        <v>244</v>
      </c>
      <c r="D97" s="340" t="s">
        <v>363</v>
      </c>
      <c r="E97" s="342" t="s">
        <v>177</v>
      </c>
      <c r="F97" s="345" t="s">
        <v>174</v>
      </c>
      <c r="G97" s="308">
        <v>27</v>
      </c>
      <c r="H97" s="309">
        <v>15185</v>
      </c>
      <c r="I97" s="309">
        <v>409995</v>
      </c>
      <c r="J97" s="211">
        <v>27</v>
      </c>
      <c r="K97" s="212" t="str">
        <f>IF(OR(J97="",G97=J97),"","*")</f>
        <v/>
      </c>
      <c r="L97" s="338">
        <f>IF($A97&lt;=L$1,I97/I$4,"")</f>
        <v>3.4863520408163267E-3</v>
      </c>
      <c r="M97" s="343"/>
      <c r="N97" s="344" t="s">
        <v>364</v>
      </c>
      <c r="O97" s="310">
        <v>0</v>
      </c>
      <c r="P97" s="311">
        <v>0</v>
      </c>
      <c r="Q97" s="311">
        <v>0</v>
      </c>
      <c r="R97" s="211">
        <v>0</v>
      </c>
      <c r="S97" s="212"/>
      <c r="T97" s="213" t="e">
        <v>#DIV/0!</v>
      </c>
      <c r="U97" s="214"/>
      <c r="V97" s="215"/>
      <c r="W97" s="310">
        <v>0</v>
      </c>
      <c r="X97" s="311">
        <v>0</v>
      </c>
      <c r="Y97" s="311">
        <v>0</v>
      </c>
      <c r="Z97" s="211">
        <v>0</v>
      </c>
      <c r="AA97" s="212"/>
      <c r="AB97" s="213" t="e">
        <v>#DIV/0!</v>
      </c>
      <c r="AC97" s="214"/>
      <c r="AD97" s="215"/>
      <c r="AE97" s="342"/>
      <c r="AF97" s="341"/>
    </row>
    <row r="98" spans="1:32">
      <c r="A98" s="307">
        <v>4</v>
      </c>
      <c r="B98" s="342"/>
      <c r="C98" s="342" t="s">
        <v>187</v>
      </c>
      <c r="D98" s="340" t="s">
        <v>365</v>
      </c>
      <c r="E98" s="342" t="s">
        <v>366</v>
      </c>
      <c r="F98" s="345" t="s">
        <v>186</v>
      </c>
      <c r="G98" s="308">
        <v>15</v>
      </c>
      <c r="H98" s="309">
        <v>8500</v>
      </c>
      <c r="I98" s="309">
        <v>127500</v>
      </c>
      <c r="J98" s="211"/>
      <c r="K98" s="212" t="str">
        <f>IF(OR(J98="",G98=J98),"","*")</f>
        <v/>
      </c>
      <c r="L98" s="338" t="str">
        <f>IF($A98&lt;=L$1,I98/I$4,"")</f>
        <v/>
      </c>
      <c r="M98" s="343"/>
      <c r="N98" s="344"/>
      <c r="O98" s="310">
        <v>0</v>
      </c>
      <c r="P98" s="311">
        <v>0</v>
      </c>
      <c r="Q98" s="311">
        <v>0</v>
      </c>
      <c r="R98" s="211">
        <v>0</v>
      </c>
      <c r="S98" s="212"/>
      <c r="T98" s="213" t="e">
        <v>#DIV/0!</v>
      </c>
      <c r="U98" s="214"/>
      <c r="V98" s="215"/>
      <c r="W98" s="310">
        <v>0</v>
      </c>
      <c r="X98" s="311">
        <v>0</v>
      </c>
      <c r="Y98" s="311">
        <v>0</v>
      </c>
      <c r="Z98" s="211">
        <v>0</v>
      </c>
      <c r="AA98" s="212"/>
      <c r="AB98" s="213" t="e">
        <v>#DIV/0!</v>
      </c>
      <c r="AC98" s="214"/>
      <c r="AD98" s="215"/>
      <c r="AE98" s="342" t="s">
        <v>367</v>
      </c>
      <c r="AF98" s="341"/>
    </row>
    <row r="99" spans="1:32">
      <c r="A99" s="307">
        <v>4</v>
      </c>
      <c r="B99" s="342"/>
      <c r="C99" s="342" t="s">
        <v>187</v>
      </c>
      <c r="D99" s="340" t="s">
        <v>368</v>
      </c>
      <c r="E99" s="342"/>
      <c r="F99" s="345" t="s">
        <v>296</v>
      </c>
      <c r="G99" s="308">
        <v>7</v>
      </c>
      <c r="H99" s="309">
        <v>4500</v>
      </c>
      <c r="I99" s="309">
        <v>31500</v>
      </c>
      <c r="J99" s="211"/>
      <c r="K99" s="212" t="str">
        <f>IF(OR(J99="",G99=J99),"","*")</f>
        <v/>
      </c>
      <c r="L99" s="338" t="str">
        <f>IF($A99&lt;=L$1,I99/I$4,"")</f>
        <v/>
      </c>
      <c r="M99" s="343"/>
      <c r="N99" s="344"/>
      <c r="O99" s="310">
        <v>0</v>
      </c>
      <c r="P99" s="311">
        <v>0</v>
      </c>
      <c r="Q99" s="311">
        <v>0</v>
      </c>
      <c r="R99" s="211">
        <v>0</v>
      </c>
      <c r="S99" s="212"/>
      <c r="T99" s="213" t="e">
        <v>#DIV/0!</v>
      </c>
      <c r="U99" s="214"/>
      <c r="V99" s="215"/>
      <c r="W99" s="310">
        <v>0</v>
      </c>
      <c r="X99" s="311">
        <v>0</v>
      </c>
      <c r="Y99" s="311">
        <v>0</v>
      </c>
      <c r="Z99" s="211">
        <v>0</v>
      </c>
      <c r="AA99" s="212"/>
      <c r="AB99" s="213" t="e">
        <v>#DIV/0!</v>
      </c>
      <c r="AC99" s="214"/>
      <c r="AD99" s="215"/>
      <c r="AE99" s="342" t="s">
        <v>369</v>
      </c>
      <c r="AF99" s="341" t="s">
        <v>370</v>
      </c>
    </row>
    <row r="100" spans="1:32">
      <c r="A100" s="307">
        <v>4</v>
      </c>
      <c r="B100" s="342"/>
      <c r="C100" s="342" t="s">
        <v>188</v>
      </c>
      <c r="D100" s="340" t="s">
        <v>249</v>
      </c>
      <c r="E100" s="342"/>
      <c r="F100" s="345" t="s">
        <v>250</v>
      </c>
      <c r="G100" s="308">
        <v>2</v>
      </c>
      <c r="H100" s="309">
        <v>30000</v>
      </c>
      <c r="I100" s="309">
        <v>60000</v>
      </c>
      <c r="J100" s="211"/>
      <c r="K100" s="212" t="str">
        <f>IF(OR(J100="",G100=J100),"","*")</f>
        <v/>
      </c>
      <c r="L100" s="338" t="str">
        <f>IF($A100&lt;=L$1,I100/I$4,"")</f>
        <v/>
      </c>
      <c r="M100" s="343"/>
      <c r="N100" s="344"/>
      <c r="O100" s="310">
        <v>0</v>
      </c>
      <c r="P100" s="311">
        <v>0</v>
      </c>
      <c r="Q100" s="311">
        <v>0</v>
      </c>
      <c r="R100" s="211">
        <v>0</v>
      </c>
      <c r="S100" s="212"/>
      <c r="T100" s="213" t="e">
        <v>#DIV/0!</v>
      </c>
      <c r="U100" s="214"/>
      <c r="V100" s="215"/>
      <c r="W100" s="310">
        <v>0</v>
      </c>
      <c r="X100" s="311">
        <v>0</v>
      </c>
      <c r="Y100" s="311">
        <v>0</v>
      </c>
      <c r="Z100" s="211">
        <v>0</v>
      </c>
      <c r="AA100" s="212"/>
      <c r="AB100" s="213" t="e">
        <v>#DIV/0!</v>
      </c>
      <c r="AC100" s="214"/>
      <c r="AD100" s="215"/>
      <c r="AE100" s="342" t="s">
        <v>251</v>
      </c>
      <c r="AF100" s="341" t="s">
        <v>314</v>
      </c>
    </row>
    <row r="101" spans="1:32">
      <c r="A101" s="307">
        <v>4</v>
      </c>
      <c r="B101" s="342"/>
      <c r="C101" s="342" t="s">
        <v>188</v>
      </c>
      <c r="D101" s="340" t="s">
        <v>253</v>
      </c>
      <c r="E101" s="342"/>
      <c r="F101" s="345" t="s">
        <v>250</v>
      </c>
      <c r="G101" s="308">
        <v>6</v>
      </c>
      <c r="H101" s="309">
        <v>21000</v>
      </c>
      <c r="I101" s="309">
        <v>126000</v>
      </c>
      <c r="J101" s="211"/>
      <c r="K101" s="212" t="str">
        <f>IF(OR(J101="",G101=J101),"","*")</f>
        <v/>
      </c>
      <c r="L101" s="338" t="str">
        <f>IF($A101&lt;=L$1,I101/I$4,"")</f>
        <v/>
      </c>
      <c r="M101" s="343"/>
      <c r="N101" s="344"/>
      <c r="O101" s="310">
        <v>0</v>
      </c>
      <c r="P101" s="311">
        <v>0</v>
      </c>
      <c r="Q101" s="311">
        <v>0</v>
      </c>
      <c r="R101" s="211">
        <v>0</v>
      </c>
      <c r="S101" s="212"/>
      <c r="T101" s="213" t="e">
        <v>#DIV/0!</v>
      </c>
      <c r="U101" s="214"/>
      <c r="V101" s="215"/>
      <c r="W101" s="310">
        <v>0</v>
      </c>
      <c r="X101" s="311">
        <v>0</v>
      </c>
      <c r="Y101" s="311">
        <v>0</v>
      </c>
      <c r="Z101" s="211">
        <v>0</v>
      </c>
      <c r="AA101" s="212"/>
      <c r="AB101" s="213" t="e">
        <v>#DIV/0!</v>
      </c>
      <c r="AC101" s="214"/>
      <c r="AD101" s="215"/>
      <c r="AE101" s="342" t="s">
        <v>254</v>
      </c>
      <c r="AF101" s="341" t="s">
        <v>315</v>
      </c>
    </row>
    <row r="102" spans="1:32">
      <c r="A102" s="307">
        <v>4</v>
      </c>
      <c r="B102" s="342"/>
      <c r="C102" s="342" t="s">
        <v>190</v>
      </c>
      <c r="D102" s="340" t="s">
        <v>260</v>
      </c>
      <c r="E102" s="342"/>
      <c r="F102" s="345" t="s">
        <v>258</v>
      </c>
      <c r="G102" s="308">
        <v>2</v>
      </c>
      <c r="H102" s="309">
        <v>8000</v>
      </c>
      <c r="I102" s="309">
        <v>16000</v>
      </c>
      <c r="J102" s="211"/>
      <c r="K102" s="212" t="str">
        <f>IF(OR(J102="",G102=J102),"","*")</f>
        <v/>
      </c>
      <c r="L102" s="338" t="str">
        <f>IF($A102&lt;=L$1,I102/I$4,"")</f>
        <v/>
      </c>
      <c r="M102" s="343"/>
      <c r="N102" s="344"/>
      <c r="O102" s="310">
        <v>0</v>
      </c>
      <c r="P102" s="311">
        <v>0</v>
      </c>
      <c r="Q102" s="311">
        <v>0</v>
      </c>
      <c r="R102" s="211">
        <v>0</v>
      </c>
      <c r="S102" s="212"/>
      <c r="T102" s="213" t="e">
        <v>#DIV/0!</v>
      </c>
      <c r="U102" s="214"/>
      <c r="V102" s="215"/>
      <c r="W102" s="310">
        <v>0</v>
      </c>
      <c r="X102" s="311">
        <v>0</v>
      </c>
      <c r="Y102" s="311">
        <v>0</v>
      </c>
      <c r="Z102" s="211">
        <v>0</v>
      </c>
      <c r="AA102" s="212"/>
      <c r="AB102" s="213" t="e">
        <v>#DIV/0!</v>
      </c>
      <c r="AC102" s="214"/>
      <c r="AD102" s="215"/>
      <c r="AE102" s="342" t="s">
        <v>261</v>
      </c>
      <c r="AF102" s="341" t="s">
        <v>314</v>
      </c>
    </row>
    <row r="103" spans="1:32">
      <c r="A103" s="307">
        <v>4</v>
      </c>
      <c r="B103" s="342"/>
      <c r="C103" s="342" t="s">
        <v>190</v>
      </c>
      <c r="D103" s="340" t="s">
        <v>265</v>
      </c>
      <c r="E103" s="342"/>
      <c r="F103" s="345" t="s">
        <v>258</v>
      </c>
      <c r="G103" s="308">
        <v>2</v>
      </c>
      <c r="H103" s="309">
        <v>1000</v>
      </c>
      <c r="I103" s="309">
        <v>2000</v>
      </c>
      <c r="J103" s="211"/>
      <c r="K103" s="212" t="str">
        <f>IF(OR(J103="",G103=J103),"","*")</f>
        <v/>
      </c>
      <c r="L103" s="338" t="str">
        <f>IF($A103&lt;=L$1,I103/I$4,"")</f>
        <v/>
      </c>
      <c r="M103" s="343"/>
      <c r="N103" s="344"/>
      <c r="O103" s="310">
        <v>0</v>
      </c>
      <c r="P103" s="311">
        <v>0</v>
      </c>
      <c r="Q103" s="311">
        <v>0</v>
      </c>
      <c r="R103" s="211">
        <v>0</v>
      </c>
      <c r="S103" s="212"/>
      <c r="T103" s="213" t="e">
        <v>#DIV/0!</v>
      </c>
      <c r="U103" s="214"/>
      <c r="V103" s="215"/>
      <c r="W103" s="310">
        <v>0</v>
      </c>
      <c r="X103" s="311">
        <v>0</v>
      </c>
      <c r="Y103" s="311">
        <v>0</v>
      </c>
      <c r="Z103" s="211">
        <v>0</v>
      </c>
      <c r="AA103" s="212"/>
      <c r="AB103" s="213" t="e">
        <v>#DIV/0!</v>
      </c>
      <c r="AC103" s="214"/>
      <c r="AD103" s="215"/>
      <c r="AE103" s="342" t="s">
        <v>266</v>
      </c>
      <c r="AF103" s="341" t="s">
        <v>314</v>
      </c>
    </row>
    <row r="104" spans="1:32">
      <c r="A104" s="307">
        <v>4</v>
      </c>
      <c r="B104" s="342"/>
      <c r="C104" s="342" t="s">
        <v>190</v>
      </c>
      <c r="D104" s="340" t="s">
        <v>267</v>
      </c>
      <c r="E104" s="342"/>
      <c r="F104" s="345" t="s">
        <v>258</v>
      </c>
      <c r="G104" s="308">
        <v>2</v>
      </c>
      <c r="H104" s="309">
        <v>1000</v>
      </c>
      <c r="I104" s="309">
        <v>2000</v>
      </c>
      <c r="J104" s="211"/>
      <c r="K104" s="212" t="str">
        <f>IF(OR(J104="",G104=J104),"","*")</f>
        <v/>
      </c>
      <c r="L104" s="338" t="str">
        <f>IF($A104&lt;=L$1,I104/I$4,"")</f>
        <v/>
      </c>
      <c r="M104" s="343"/>
      <c r="N104" s="344"/>
      <c r="O104" s="310">
        <v>0</v>
      </c>
      <c r="P104" s="311">
        <v>0</v>
      </c>
      <c r="Q104" s="311">
        <v>0</v>
      </c>
      <c r="R104" s="211">
        <v>0</v>
      </c>
      <c r="S104" s="212"/>
      <c r="T104" s="213" t="e">
        <v>#DIV/0!</v>
      </c>
      <c r="U104" s="214"/>
      <c r="V104" s="215"/>
      <c r="W104" s="310">
        <v>0</v>
      </c>
      <c r="X104" s="311">
        <v>0</v>
      </c>
      <c r="Y104" s="311">
        <v>0</v>
      </c>
      <c r="Z104" s="211">
        <v>0</v>
      </c>
      <c r="AA104" s="212"/>
      <c r="AB104" s="213" t="e">
        <v>#DIV/0!</v>
      </c>
      <c r="AC104" s="214"/>
      <c r="AD104" s="215"/>
      <c r="AE104" s="342" t="s">
        <v>268</v>
      </c>
      <c r="AF104" s="341" t="s">
        <v>314</v>
      </c>
    </row>
    <row r="105" spans="1:32">
      <c r="A105" s="307">
        <v>4</v>
      </c>
      <c r="B105" s="342"/>
      <c r="C105" s="342" t="s">
        <v>190</v>
      </c>
      <c r="D105" s="340" t="s">
        <v>304</v>
      </c>
      <c r="E105" s="342"/>
      <c r="F105" s="345" t="s">
        <v>258</v>
      </c>
      <c r="G105" s="308">
        <v>2</v>
      </c>
      <c r="H105" s="309">
        <v>3000</v>
      </c>
      <c r="I105" s="309">
        <v>6000</v>
      </c>
      <c r="J105" s="211"/>
      <c r="K105" s="212" t="str">
        <f>IF(OR(J105="",G105=J105),"","*")</f>
        <v/>
      </c>
      <c r="L105" s="338" t="str">
        <f>IF($A105&lt;=L$1,I105/I$4,"")</f>
        <v/>
      </c>
      <c r="M105" s="343"/>
      <c r="N105" s="344"/>
      <c r="O105" s="310">
        <v>0</v>
      </c>
      <c r="P105" s="311">
        <v>0</v>
      </c>
      <c r="Q105" s="311">
        <v>0</v>
      </c>
      <c r="R105" s="211">
        <v>0</v>
      </c>
      <c r="S105" s="212"/>
      <c r="T105" s="213" t="e">
        <v>#DIV/0!</v>
      </c>
      <c r="U105" s="214"/>
      <c r="V105" s="215"/>
      <c r="W105" s="310">
        <v>0</v>
      </c>
      <c r="X105" s="311">
        <v>0</v>
      </c>
      <c r="Y105" s="311">
        <v>0</v>
      </c>
      <c r="Z105" s="211">
        <v>0</v>
      </c>
      <c r="AA105" s="212"/>
      <c r="AB105" s="213" t="e">
        <v>#DIV/0!</v>
      </c>
      <c r="AC105" s="214"/>
      <c r="AD105" s="215"/>
      <c r="AE105" s="342" t="s">
        <v>305</v>
      </c>
      <c r="AF105" s="341" t="s">
        <v>314</v>
      </c>
    </row>
    <row r="106" spans="1:32">
      <c r="A106" s="307">
        <v>4</v>
      </c>
      <c r="B106" s="342"/>
      <c r="C106" s="342" t="s">
        <v>191</v>
      </c>
      <c r="D106" s="340" t="s">
        <v>269</v>
      </c>
      <c r="E106" s="342"/>
      <c r="F106" s="345" t="s">
        <v>258</v>
      </c>
      <c r="G106" s="308">
        <v>2</v>
      </c>
      <c r="H106" s="309">
        <v>5000</v>
      </c>
      <c r="I106" s="309">
        <v>10000</v>
      </c>
      <c r="J106" s="211"/>
      <c r="K106" s="212" t="str">
        <f>IF(OR(J106="",G106=J106),"","*")</f>
        <v/>
      </c>
      <c r="L106" s="338" t="str">
        <f>IF($A106&lt;=L$1,I106/I$4,"")</f>
        <v/>
      </c>
      <c r="M106" s="343"/>
      <c r="N106" s="344"/>
      <c r="O106" s="310">
        <v>0</v>
      </c>
      <c r="P106" s="311">
        <v>0</v>
      </c>
      <c r="Q106" s="311">
        <v>0</v>
      </c>
      <c r="R106" s="211">
        <v>0</v>
      </c>
      <c r="S106" s="212"/>
      <c r="T106" s="213" t="e">
        <v>#DIV/0!</v>
      </c>
      <c r="U106" s="214"/>
      <c r="V106" s="215"/>
      <c r="W106" s="310">
        <v>0</v>
      </c>
      <c r="X106" s="311">
        <v>0</v>
      </c>
      <c r="Y106" s="311">
        <v>0</v>
      </c>
      <c r="Z106" s="211">
        <v>0</v>
      </c>
      <c r="AA106" s="212"/>
      <c r="AB106" s="213" t="e">
        <v>#DIV/0!</v>
      </c>
      <c r="AC106" s="214"/>
      <c r="AD106" s="215"/>
      <c r="AE106" s="342" t="s">
        <v>270</v>
      </c>
      <c r="AF106" s="341" t="s">
        <v>314</v>
      </c>
    </row>
    <row r="107" spans="1:32">
      <c r="A107" s="307">
        <v>4</v>
      </c>
      <c r="B107" s="342"/>
      <c r="C107" s="342" t="s">
        <v>191</v>
      </c>
      <c r="D107" s="340" t="s">
        <v>272</v>
      </c>
      <c r="E107" s="342" t="s">
        <v>273</v>
      </c>
      <c r="F107" s="345" t="s">
        <v>258</v>
      </c>
      <c r="G107" s="308">
        <v>2</v>
      </c>
      <c r="H107" s="309">
        <v>4000</v>
      </c>
      <c r="I107" s="309">
        <v>8000</v>
      </c>
      <c r="J107" s="211"/>
      <c r="K107" s="212" t="str">
        <f>IF(OR(J107="",G107=J107),"","*")</f>
        <v/>
      </c>
      <c r="L107" s="338" t="str">
        <f>IF($A107&lt;=L$1,I107/I$4,"")</f>
        <v/>
      </c>
      <c r="M107" s="343"/>
      <c r="N107" s="344"/>
      <c r="O107" s="310">
        <v>0</v>
      </c>
      <c r="P107" s="311">
        <v>0</v>
      </c>
      <c r="Q107" s="311">
        <v>0</v>
      </c>
      <c r="R107" s="211">
        <v>0</v>
      </c>
      <c r="S107" s="212"/>
      <c r="T107" s="213" t="e">
        <v>#DIV/0!</v>
      </c>
      <c r="U107" s="214"/>
      <c r="V107" s="215"/>
      <c r="W107" s="310">
        <v>0</v>
      </c>
      <c r="X107" s="311">
        <v>0</v>
      </c>
      <c r="Y107" s="311">
        <v>0</v>
      </c>
      <c r="Z107" s="211">
        <v>0</v>
      </c>
      <c r="AA107" s="212"/>
      <c r="AB107" s="213" t="e">
        <v>#DIV/0!</v>
      </c>
      <c r="AC107" s="214"/>
      <c r="AD107" s="215"/>
      <c r="AE107" s="342" t="s">
        <v>274</v>
      </c>
      <c r="AF107" s="341" t="s">
        <v>314</v>
      </c>
    </row>
    <row r="108" spans="1:32">
      <c r="A108" s="307">
        <v>4</v>
      </c>
      <c r="B108" s="342"/>
      <c r="C108" s="342" t="s">
        <v>187</v>
      </c>
      <c r="D108" s="340" t="s">
        <v>275</v>
      </c>
      <c r="E108" s="342"/>
      <c r="F108" s="345" t="s">
        <v>183</v>
      </c>
      <c r="G108" s="308">
        <v>1</v>
      </c>
      <c r="H108" s="309">
        <v>6000</v>
      </c>
      <c r="I108" s="309">
        <v>6000</v>
      </c>
      <c r="J108" s="211"/>
      <c r="K108" s="212" t="str">
        <f>IF(OR(J108="",G108=J108),"","*")</f>
        <v/>
      </c>
      <c r="L108" s="338" t="str">
        <f>IF($A108&lt;=L$1,I108/I$4,"")</f>
        <v/>
      </c>
      <c r="M108" s="343"/>
      <c r="N108" s="344"/>
      <c r="O108" s="310">
        <v>0</v>
      </c>
      <c r="P108" s="311">
        <v>0</v>
      </c>
      <c r="Q108" s="311">
        <v>0</v>
      </c>
      <c r="R108" s="211">
        <v>0</v>
      </c>
      <c r="S108" s="212"/>
      <c r="T108" s="213" t="e">
        <v>#DIV/0!</v>
      </c>
      <c r="U108" s="214"/>
      <c r="V108" s="215"/>
      <c r="W108" s="310">
        <v>0</v>
      </c>
      <c r="X108" s="311">
        <v>0</v>
      </c>
      <c r="Y108" s="311">
        <v>0</v>
      </c>
      <c r="Z108" s="211">
        <v>0</v>
      </c>
      <c r="AA108" s="212"/>
      <c r="AB108" s="213" t="e">
        <v>#DIV/0!</v>
      </c>
      <c r="AC108" s="214"/>
      <c r="AD108" s="215"/>
      <c r="AE108" s="342" t="s">
        <v>276</v>
      </c>
      <c r="AF108" s="341"/>
    </row>
    <row r="109" spans="1:32">
      <c r="A109" s="307">
        <v>4</v>
      </c>
      <c r="B109" s="342"/>
      <c r="C109" s="342" t="s">
        <v>187</v>
      </c>
      <c r="D109" s="340" t="s">
        <v>277</v>
      </c>
      <c r="E109" s="342"/>
      <c r="F109" s="345" t="s">
        <v>278</v>
      </c>
      <c r="G109" s="308">
        <v>100</v>
      </c>
      <c r="H109" s="309">
        <v>150</v>
      </c>
      <c r="I109" s="309">
        <v>15000</v>
      </c>
      <c r="J109" s="211"/>
      <c r="K109" s="212" t="str">
        <f>IF(OR(J109="",G109=J109),"","*")</f>
        <v/>
      </c>
      <c r="L109" s="338" t="str">
        <f>IF($A109&lt;=L$1,I109/I$4,"")</f>
        <v/>
      </c>
      <c r="M109" s="343"/>
      <c r="N109" s="344"/>
      <c r="O109" s="310">
        <v>0</v>
      </c>
      <c r="P109" s="311">
        <v>0</v>
      </c>
      <c r="Q109" s="311">
        <v>0</v>
      </c>
      <c r="R109" s="211">
        <v>0</v>
      </c>
      <c r="S109" s="212"/>
      <c r="T109" s="213" t="e">
        <v>#DIV/0!</v>
      </c>
      <c r="U109" s="214"/>
      <c r="V109" s="215"/>
      <c r="W109" s="310">
        <v>0</v>
      </c>
      <c r="X109" s="311">
        <v>0</v>
      </c>
      <c r="Y109" s="311">
        <v>0</v>
      </c>
      <c r="Z109" s="211">
        <v>0</v>
      </c>
      <c r="AA109" s="212"/>
      <c r="AB109" s="213" t="e">
        <v>#DIV/0!</v>
      </c>
      <c r="AC109" s="214"/>
      <c r="AD109" s="215"/>
      <c r="AE109" s="342" t="s">
        <v>279</v>
      </c>
      <c r="AF109" s="341"/>
    </row>
    <row r="110" spans="1:32">
      <c r="A110" s="307">
        <v>3</v>
      </c>
      <c r="B110" s="342"/>
      <c r="C110" s="342" t="s">
        <v>244</v>
      </c>
      <c r="D110" s="340" t="s">
        <v>371</v>
      </c>
      <c r="E110" s="342" t="s">
        <v>178</v>
      </c>
      <c r="F110" s="345" t="s">
        <v>171</v>
      </c>
      <c r="G110" s="308">
        <v>1</v>
      </c>
      <c r="H110" s="309">
        <v>280000</v>
      </c>
      <c r="I110" s="309">
        <v>280000</v>
      </c>
      <c r="J110" s="211">
        <v>1</v>
      </c>
      <c r="K110" s="212" t="str">
        <f>IF(OR(J110="",G110=J110),"","*")</f>
        <v/>
      </c>
      <c r="L110" s="338">
        <f>IF($A110&lt;=L$1,I110/I$4,"")</f>
        <v>2.3809523809523812E-3</v>
      </c>
      <c r="M110" s="343"/>
      <c r="N110" s="344" t="s">
        <v>372</v>
      </c>
      <c r="O110" s="310">
        <v>0</v>
      </c>
      <c r="P110" s="311">
        <v>0</v>
      </c>
      <c r="Q110" s="311">
        <v>0</v>
      </c>
      <c r="R110" s="211">
        <v>0</v>
      </c>
      <c r="S110" s="212"/>
      <c r="T110" s="213" t="e">
        <v>#DIV/0!</v>
      </c>
      <c r="U110" s="214"/>
      <c r="V110" s="215"/>
      <c r="W110" s="310">
        <v>0</v>
      </c>
      <c r="X110" s="311">
        <v>0</v>
      </c>
      <c r="Y110" s="311">
        <v>0</v>
      </c>
      <c r="Z110" s="211">
        <v>0</v>
      </c>
      <c r="AA110" s="212"/>
      <c r="AB110" s="213" t="e">
        <v>#DIV/0!</v>
      </c>
      <c r="AC110" s="214"/>
      <c r="AD110" s="215"/>
      <c r="AE110" s="342"/>
      <c r="AF110" s="341"/>
    </row>
    <row r="111" spans="1:32">
      <c r="A111" s="307">
        <v>4</v>
      </c>
      <c r="B111" s="342"/>
      <c r="C111" s="342" t="s">
        <v>187</v>
      </c>
      <c r="D111" s="340" t="s">
        <v>373</v>
      </c>
      <c r="E111" s="342"/>
      <c r="F111" s="345" t="s">
        <v>183</v>
      </c>
      <c r="G111" s="308">
        <v>1</v>
      </c>
      <c r="H111" s="309">
        <v>100000</v>
      </c>
      <c r="I111" s="309">
        <v>100000</v>
      </c>
      <c r="J111" s="211"/>
      <c r="K111" s="212" t="str">
        <f>IF(OR(J111="",G111=J111),"","*")</f>
        <v/>
      </c>
      <c r="L111" s="338" t="str">
        <f>IF($A111&lt;=L$1,I111/I$4,"")</f>
        <v/>
      </c>
      <c r="M111" s="343"/>
      <c r="N111" s="344"/>
      <c r="O111" s="310">
        <v>0</v>
      </c>
      <c r="P111" s="311">
        <v>0</v>
      </c>
      <c r="Q111" s="311">
        <v>0</v>
      </c>
      <c r="R111" s="211">
        <v>0</v>
      </c>
      <c r="S111" s="212"/>
      <c r="T111" s="213" t="e">
        <v>#DIV/0!</v>
      </c>
      <c r="U111" s="214"/>
      <c r="V111" s="215"/>
      <c r="W111" s="310">
        <v>0</v>
      </c>
      <c r="X111" s="311">
        <v>0</v>
      </c>
      <c r="Y111" s="311">
        <v>0</v>
      </c>
      <c r="Z111" s="211">
        <v>0</v>
      </c>
      <c r="AA111" s="212"/>
      <c r="AB111" s="213" t="e">
        <v>#DIV/0!</v>
      </c>
      <c r="AC111" s="214"/>
      <c r="AD111" s="215"/>
      <c r="AE111" s="342"/>
      <c r="AF111" s="341"/>
    </row>
    <row r="112" spans="1:32">
      <c r="A112" s="307">
        <v>4</v>
      </c>
      <c r="B112" s="342"/>
      <c r="C112" s="342" t="s">
        <v>187</v>
      </c>
      <c r="D112" s="340" t="s">
        <v>290</v>
      </c>
      <c r="E112" s="342" t="s">
        <v>291</v>
      </c>
      <c r="F112" s="345" t="s">
        <v>292</v>
      </c>
      <c r="G112" s="308">
        <v>0.5</v>
      </c>
      <c r="H112" s="309">
        <v>500</v>
      </c>
      <c r="I112" s="309">
        <v>250</v>
      </c>
      <c r="J112" s="211"/>
      <c r="K112" s="212" t="str">
        <f>IF(OR(J112="",G112=J112),"","*")</f>
        <v/>
      </c>
      <c r="L112" s="338" t="str">
        <f>IF($A112&lt;=L$1,I112/I$4,"")</f>
        <v/>
      </c>
      <c r="M112" s="343"/>
      <c r="N112" s="344"/>
      <c r="O112" s="310">
        <v>0</v>
      </c>
      <c r="P112" s="311">
        <v>0</v>
      </c>
      <c r="Q112" s="311">
        <v>0</v>
      </c>
      <c r="R112" s="211">
        <v>0</v>
      </c>
      <c r="S112" s="212"/>
      <c r="T112" s="213" t="e">
        <v>#DIV/0!</v>
      </c>
      <c r="U112" s="214"/>
      <c r="V112" s="215"/>
      <c r="W112" s="310">
        <v>0</v>
      </c>
      <c r="X112" s="311">
        <v>0</v>
      </c>
      <c r="Y112" s="311">
        <v>0</v>
      </c>
      <c r="Z112" s="211">
        <v>0</v>
      </c>
      <c r="AA112" s="212"/>
      <c r="AB112" s="213" t="e">
        <v>#DIV/0!</v>
      </c>
      <c r="AC112" s="214"/>
      <c r="AD112" s="215"/>
      <c r="AE112" s="342" t="s">
        <v>293</v>
      </c>
      <c r="AF112" s="341" t="s">
        <v>374</v>
      </c>
    </row>
    <row r="113" spans="1:32">
      <c r="A113" s="307">
        <v>4</v>
      </c>
      <c r="B113" s="342"/>
      <c r="C113" s="342" t="s">
        <v>187</v>
      </c>
      <c r="D113" s="340" t="s">
        <v>295</v>
      </c>
      <c r="E113" s="342"/>
      <c r="F113" s="345" t="s">
        <v>296</v>
      </c>
      <c r="G113" s="308">
        <v>0.7</v>
      </c>
      <c r="H113" s="309">
        <v>22300</v>
      </c>
      <c r="I113" s="309">
        <v>15610</v>
      </c>
      <c r="J113" s="211"/>
      <c r="K113" s="212" t="str">
        <f>IF(OR(J113="",G113=J113),"","*")</f>
        <v/>
      </c>
      <c r="L113" s="338" t="str">
        <f>IF($A113&lt;=L$1,I113/I$4,"")</f>
        <v/>
      </c>
      <c r="M113" s="343"/>
      <c r="N113" s="344"/>
      <c r="O113" s="310">
        <v>0</v>
      </c>
      <c r="P113" s="311">
        <v>0</v>
      </c>
      <c r="Q113" s="311">
        <v>0</v>
      </c>
      <c r="R113" s="211">
        <v>0</v>
      </c>
      <c r="S113" s="212"/>
      <c r="T113" s="213" t="e">
        <v>#DIV/0!</v>
      </c>
      <c r="U113" s="214"/>
      <c r="V113" s="215"/>
      <c r="W113" s="310">
        <v>0</v>
      </c>
      <c r="X113" s="311">
        <v>0</v>
      </c>
      <c r="Y113" s="311">
        <v>0</v>
      </c>
      <c r="Z113" s="211">
        <v>0</v>
      </c>
      <c r="AA113" s="212"/>
      <c r="AB113" s="213" t="e">
        <v>#DIV/0!</v>
      </c>
      <c r="AC113" s="214"/>
      <c r="AD113" s="215"/>
      <c r="AE113" s="342" t="s">
        <v>297</v>
      </c>
      <c r="AF113" s="341" t="s">
        <v>375</v>
      </c>
    </row>
    <row r="114" spans="1:32">
      <c r="A114" s="307">
        <v>4</v>
      </c>
      <c r="B114" s="342"/>
      <c r="C114" s="342" t="s">
        <v>187</v>
      </c>
      <c r="D114" s="340" t="s">
        <v>299</v>
      </c>
      <c r="E114" s="342"/>
      <c r="F114" s="345" t="s">
        <v>300</v>
      </c>
      <c r="G114" s="308">
        <v>1</v>
      </c>
      <c r="H114" s="309">
        <v>3000</v>
      </c>
      <c r="I114" s="309">
        <v>3000</v>
      </c>
      <c r="J114" s="211"/>
      <c r="K114" s="212" t="str">
        <f>IF(OR(J114="",G114=J114),"","*")</f>
        <v/>
      </c>
      <c r="L114" s="338" t="str">
        <f>IF($A114&lt;=L$1,I114/I$4,"")</f>
        <v/>
      </c>
      <c r="M114" s="343"/>
      <c r="N114" s="344"/>
      <c r="O114" s="310">
        <v>0</v>
      </c>
      <c r="P114" s="311">
        <v>0</v>
      </c>
      <c r="Q114" s="311">
        <v>0</v>
      </c>
      <c r="R114" s="211">
        <v>0</v>
      </c>
      <c r="S114" s="212"/>
      <c r="T114" s="213" t="e">
        <v>#DIV/0!</v>
      </c>
      <c r="U114" s="214"/>
      <c r="V114" s="215"/>
      <c r="W114" s="310">
        <v>0</v>
      </c>
      <c r="X114" s="311">
        <v>0</v>
      </c>
      <c r="Y114" s="311">
        <v>0</v>
      </c>
      <c r="Z114" s="211">
        <v>0</v>
      </c>
      <c r="AA114" s="212"/>
      <c r="AB114" s="213" t="e">
        <v>#DIV/0!</v>
      </c>
      <c r="AC114" s="214"/>
      <c r="AD114" s="215"/>
      <c r="AE114" s="342" t="s">
        <v>301</v>
      </c>
      <c r="AF114" s="341"/>
    </row>
    <row r="115" spans="1:32">
      <c r="A115" s="307">
        <v>4</v>
      </c>
      <c r="B115" s="342"/>
      <c r="C115" s="342" t="s">
        <v>187</v>
      </c>
      <c r="D115" s="340" t="s">
        <v>376</v>
      </c>
      <c r="E115" s="342" t="s">
        <v>377</v>
      </c>
      <c r="F115" s="345" t="s">
        <v>378</v>
      </c>
      <c r="G115" s="308">
        <v>2</v>
      </c>
      <c r="H115" s="309">
        <v>3200</v>
      </c>
      <c r="I115" s="309">
        <v>6400</v>
      </c>
      <c r="J115" s="211"/>
      <c r="K115" s="212" t="str">
        <f>IF(OR(J115="",G115=J115),"","*")</f>
        <v/>
      </c>
      <c r="L115" s="338" t="str">
        <f>IF($A115&lt;=L$1,I115/I$4,"")</f>
        <v/>
      </c>
      <c r="M115" s="343"/>
      <c r="N115" s="344"/>
      <c r="O115" s="310">
        <v>0</v>
      </c>
      <c r="P115" s="311">
        <v>0</v>
      </c>
      <c r="Q115" s="311">
        <v>0</v>
      </c>
      <c r="R115" s="211">
        <v>0</v>
      </c>
      <c r="S115" s="212"/>
      <c r="T115" s="213" t="e">
        <v>#DIV/0!</v>
      </c>
      <c r="U115" s="214"/>
      <c r="V115" s="215"/>
      <c r="W115" s="310">
        <v>0</v>
      </c>
      <c r="X115" s="311">
        <v>0</v>
      </c>
      <c r="Y115" s="311">
        <v>0</v>
      </c>
      <c r="Z115" s="211">
        <v>0</v>
      </c>
      <c r="AA115" s="212"/>
      <c r="AB115" s="213" t="e">
        <v>#DIV/0!</v>
      </c>
      <c r="AC115" s="214"/>
      <c r="AD115" s="215"/>
      <c r="AE115" s="342" t="s">
        <v>379</v>
      </c>
      <c r="AF115" s="341"/>
    </row>
    <row r="116" spans="1:32">
      <c r="A116" s="307">
        <v>4</v>
      </c>
      <c r="B116" s="342"/>
      <c r="C116" s="342" t="s">
        <v>188</v>
      </c>
      <c r="D116" s="340" t="s">
        <v>249</v>
      </c>
      <c r="E116" s="342"/>
      <c r="F116" s="345" t="s">
        <v>250</v>
      </c>
      <c r="G116" s="308">
        <v>1</v>
      </c>
      <c r="H116" s="309">
        <v>30000</v>
      </c>
      <c r="I116" s="309">
        <v>30000</v>
      </c>
      <c r="J116" s="211"/>
      <c r="K116" s="212" t="str">
        <f>IF(OR(J116="",G116=J116),"","*")</f>
        <v/>
      </c>
      <c r="L116" s="338" t="str">
        <f>IF($A116&lt;=L$1,I116/I$4,"")</f>
        <v/>
      </c>
      <c r="M116" s="343"/>
      <c r="N116" s="344"/>
      <c r="O116" s="310">
        <v>0</v>
      </c>
      <c r="P116" s="311">
        <v>0</v>
      </c>
      <c r="Q116" s="311">
        <v>0</v>
      </c>
      <c r="R116" s="211">
        <v>0</v>
      </c>
      <c r="S116" s="212"/>
      <c r="T116" s="213" t="e">
        <v>#DIV/0!</v>
      </c>
      <c r="U116" s="214"/>
      <c r="V116" s="215"/>
      <c r="W116" s="310">
        <v>0</v>
      </c>
      <c r="X116" s="311">
        <v>0</v>
      </c>
      <c r="Y116" s="311">
        <v>0</v>
      </c>
      <c r="Z116" s="211">
        <v>0</v>
      </c>
      <c r="AA116" s="212"/>
      <c r="AB116" s="213" t="e">
        <v>#DIV/0!</v>
      </c>
      <c r="AC116" s="214"/>
      <c r="AD116" s="215"/>
      <c r="AE116" s="342" t="s">
        <v>251</v>
      </c>
      <c r="AF116" s="341"/>
    </row>
    <row r="117" spans="1:32">
      <c r="A117" s="307">
        <v>4</v>
      </c>
      <c r="B117" s="342"/>
      <c r="C117" s="342" t="s">
        <v>188</v>
      </c>
      <c r="D117" s="340" t="s">
        <v>253</v>
      </c>
      <c r="E117" s="342"/>
      <c r="F117" s="345" t="s">
        <v>250</v>
      </c>
      <c r="G117" s="308">
        <v>4</v>
      </c>
      <c r="H117" s="309">
        <v>21000</v>
      </c>
      <c r="I117" s="309">
        <v>84000</v>
      </c>
      <c r="J117" s="211"/>
      <c r="K117" s="212" t="str">
        <f>IF(OR(J117="",G117=J117),"","*")</f>
        <v/>
      </c>
      <c r="L117" s="338" t="str">
        <f>IF($A117&lt;=L$1,I117/I$4,"")</f>
        <v/>
      </c>
      <c r="M117" s="343"/>
      <c r="N117" s="344"/>
      <c r="O117" s="310">
        <v>0</v>
      </c>
      <c r="P117" s="311">
        <v>0</v>
      </c>
      <c r="Q117" s="311">
        <v>0</v>
      </c>
      <c r="R117" s="211">
        <v>0</v>
      </c>
      <c r="S117" s="212"/>
      <c r="T117" s="213" t="e">
        <v>#DIV/0!</v>
      </c>
      <c r="U117" s="214"/>
      <c r="V117" s="215"/>
      <c r="W117" s="310">
        <v>0</v>
      </c>
      <c r="X117" s="311">
        <v>0</v>
      </c>
      <c r="Y117" s="311">
        <v>0</v>
      </c>
      <c r="Z117" s="211">
        <v>0</v>
      </c>
      <c r="AA117" s="212"/>
      <c r="AB117" s="213" t="e">
        <v>#DIV/0!</v>
      </c>
      <c r="AC117" s="214"/>
      <c r="AD117" s="215"/>
      <c r="AE117" s="342" t="s">
        <v>254</v>
      </c>
      <c r="AF117" s="341"/>
    </row>
    <row r="118" spans="1:32">
      <c r="A118" s="307">
        <v>4</v>
      </c>
      <c r="B118" s="342"/>
      <c r="C118" s="342" t="s">
        <v>190</v>
      </c>
      <c r="D118" s="340" t="s">
        <v>380</v>
      </c>
      <c r="E118" s="342"/>
      <c r="F118" s="345" t="s">
        <v>258</v>
      </c>
      <c r="G118" s="308">
        <v>1</v>
      </c>
      <c r="H118" s="309">
        <v>10000</v>
      </c>
      <c r="I118" s="309">
        <v>10000</v>
      </c>
      <c r="J118" s="211"/>
      <c r="K118" s="212" t="str">
        <f>IF(OR(J118="",G118=J118),"","*")</f>
        <v/>
      </c>
      <c r="L118" s="338" t="str">
        <f>IF($A118&lt;=L$1,I118/I$4,"")</f>
        <v/>
      </c>
      <c r="M118" s="343"/>
      <c r="N118" s="344"/>
      <c r="O118" s="310">
        <v>0</v>
      </c>
      <c r="P118" s="311">
        <v>0</v>
      </c>
      <c r="Q118" s="311">
        <v>0</v>
      </c>
      <c r="R118" s="211">
        <v>0</v>
      </c>
      <c r="S118" s="212"/>
      <c r="T118" s="213" t="e">
        <v>#DIV/0!</v>
      </c>
      <c r="U118" s="214"/>
      <c r="V118" s="215"/>
      <c r="W118" s="310">
        <v>0</v>
      </c>
      <c r="X118" s="311">
        <v>0</v>
      </c>
      <c r="Y118" s="311">
        <v>0</v>
      </c>
      <c r="Z118" s="211">
        <v>0</v>
      </c>
      <c r="AA118" s="212"/>
      <c r="AB118" s="213" t="e">
        <v>#DIV/0!</v>
      </c>
      <c r="AC118" s="214"/>
      <c r="AD118" s="215"/>
      <c r="AE118" s="342" t="s">
        <v>381</v>
      </c>
      <c r="AF118" s="341"/>
    </row>
    <row r="119" spans="1:32">
      <c r="A119" s="307">
        <v>4</v>
      </c>
      <c r="B119" s="342"/>
      <c r="C119" s="342" t="s">
        <v>190</v>
      </c>
      <c r="D119" s="340" t="s">
        <v>265</v>
      </c>
      <c r="E119" s="342"/>
      <c r="F119" s="345" t="s">
        <v>258</v>
      </c>
      <c r="G119" s="308">
        <v>1</v>
      </c>
      <c r="H119" s="309">
        <v>1000</v>
      </c>
      <c r="I119" s="309">
        <v>1000</v>
      </c>
      <c r="J119" s="211"/>
      <c r="K119" s="212" t="str">
        <f>IF(OR(J119="",G119=J119),"","*")</f>
        <v/>
      </c>
      <c r="L119" s="338" t="str">
        <f>IF($A119&lt;=L$1,I119/I$4,"")</f>
        <v/>
      </c>
      <c r="M119" s="343"/>
      <c r="N119" s="344"/>
      <c r="O119" s="310">
        <v>0</v>
      </c>
      <c r="P119" s="311">
        <v>0</v>
      </c>
      <c r="Q119" s="311">
        <v>0</v>
      </c>
      <c r="R119" s="211">
        <v>0</v>
      </c>
      <c r="S119" s="212"/>
      <c r="T119" s="213" t="e">
        <v>#DIV/0!</v>
      </c>
      <c r="U119" s="214"/>
      <c r="V119" s="215"/>
      <c r="W119" s="310">
        <v>0</v>
      </c>
      <c r="X119" s="311">
        <v>0</v>
      </c>
      <c r="Y119" s="311">
        <v>0</v>
      </c>
      <c r="Z119" s="211">
        <v>0</v>
      </c>
      <c r="AA119" s="212"/>
      <c r="AB119" s="213" t="e">
        <v>#DIV/0!</v>
      </c>
      <c r="AC119" s="214"/>
      <c r="AD119" s="215"/>
      <c r="AE119" s="342" t="s">
        <v>266</v>
      </c>
      <c r="AF119" s="341"/>
    </row>
    <row r="120" spans="1:32">
      <c r="A120" s="307">
        <v>4</v>
      </c>
      <c r="B120" s="342"/>
      <c r="C120" s="342" t="s">
        <v>190</v>
      </c>
      <c r="D120" s="340" t="s">
        <v>267</v>
      </c>
      <c r="E120" s="342"/>
      <c r="F120" s="345" t="s">
        <v>258</v>
      </c>
      <c r="G120" s="308">
        <v>1</v>
      </c>
      <c r="H120" s="309">
        <v>1000</v>
      </c>
      <c r="I120" s="309">
        <v>1000</v>
      </c>
      <c r="J120" s="211"/>
      <c r="K120" s="212" t="str">
        <f>IF(OR(J120="",G120=J120),"","*")</f>
        <v/>
      </c>
      <c r="L120" s="338" t="str">
        <f>IF($A120&lt;=L$1,I120/I$4,"")</f>
        <v/>
      </c>
      <c r="M120" s="343"/>
      <c r="N120" s="344"/>
      <c r="O120" s="310">
        <v>0</v>
      </c>
      <c r="P120" s="311">
        <v>0</v>
      </c>
      <c r="Q120" s="311">
        <v>0</v>
      </c>
      <c r="R120" s="211">
        <v>0</v>
      </c>
      <c r="S120" s="212"/>
      <c r="T120" s="213" t="e">
        <v>#DIV/0!</v>
      </c>
      <c r="U120" s="214"/>
      <c r="V120" s="215"/>
      <c r="W120" s="310">
        <v>0</v>
      </c>
      <c r="X120" s="311">
        <v>0</v>
      </c>
      <c r="Y120" s="311">
        <v>0</v>
      </c>
      <c r="Z120" s="211">
        <v>0</v>
      </c>
      <c r="AA120" s="212"/>
      <c r="AB120" s="213" t="e">
        <v>#DIV/0!</v>
      </c>
      <c r="AC120" s="214"/>
      <c r="AD120" s="215"/>
      <c r="AE120" s="342" t="s">
        <v>268</v>
      </c>
      <c r="AF120" s="341"/>
    </row>
    <row r="121" spans="1:32">
      <c r="A121" s="307">
        <v>4</v>
      </c>
      <c r="B121" s="342"/>
      <c r="C121" s="342" t="s">
        <v>190</v>
      </c>
      <c r="D121" s="340" t="s">
        <v>304</v>
      </c>
      <c r="E121" s="342"/>
      <c r="F121" s="345" t="s">
        <v>258</v>
      </c>
      <c r="G121" s="308">
        <v>1</v>
      </c>
      <c r="H121" s="309">
        <v>3000</v>
      </c>
      <c r="I121" s="309">
        <v>3000</v>
      </c>
      <c r="J121" s="211"/>
      <c r="K121" s="212" t="str">
        <f>IF(OR(J121="",G121=J121),"","*")</f>
        <v/>
      </c>
      <c r="L121" s="338" t="str">
        <f>IF($A121&lt;=L$1,I121/I$4,"")</f>
        <v/>
      </c>
      <c r="M121" s="343"/>
      <c r="N121" s="344"/>
      <c r="O121" s="310">
        <v>0</v>
      </c>
      <c r="P121" s="311">
        <v>0</v>
      </c>
      <c r="Q121" s="311">
        <v>0</v>
      </c>
      <c r="R121" s="211">
        <v>0</v>
      </c>
      <c r="S121" s="212"/>
      <c r="T121" s="213" t="e">
        <v>#DIV/0!</v>
      </c>
      <c r="U121" s="214"/>
      <c r="V121" s="215"/>
      <c r="W121" s="310">
        <v>0</v>
      </c>
      <c r="X121" s="311">
        <v>0</v>
      </c>
      <c r="Y121" s="311">
        <v>0</v>
      </c>
      <c r="Z121" s="211">
        <v>0</v>
      </c>
      <c r="AA121" s="212"/>
      <c r="AB121" s="213" t="e">
        <v>#DIV/0!</v>
      </c>
      <c r="AC121" s="214"/>
      <c r="AD121" s="215"/>
      <c r="AE121" s="342" t="s">
        <v>305</v>
      </c>
      <c r="AF121" s="341"/>
    </row>
    <row r="122" spans="1:32">
      <c r="A122" s="307">
        <v>4</v>
      </c>
      <c r="B122" s="342"/>
      <c r="C122" s="342" t="s">
        <v>191</v>
      </c>
      <c r="D122" s="340" t="s">
        <v>269</v>
      </c>
      <c r="E122" s="342"/>
      <c r="F122" s="345" t="s">
        <v>258</v>
      </c>
      <c r="G122" s="308">
        <v>1</v>
      </c>
      <c r="H122" s="309">
        <v>5000</v>
      </c>
      <c r="I122" s="309">
        <v>5000</v>
      </c>
      <c r="J122" s="211"/>
      <c r="K122" s="212" t="str">
        <f>IF(OR(J122="",G122=J122),"","*")</f>
        <v/>
      </c>
      <c r="L122" s="338" t="str">
        <f>IF($A122&lt;=L$1,I122/I$4,"")</f>
        <v/>
      </c>
      <c r="M122" s="343"/>
      <c r="N122" s="344"/>
      <c r="O122" s="310">
        <v>0</v>
      </c>
      <c r="P122" s="311">
        <v>0</v>
      </c>
      <c r="Q122" s="311">
        <v>0</v>
      </c>
      <c r="R122" s="211">
        <v>0</v>
      </c>
      <c r="S122" s="212"/>
      <c r="T122" s="213" t="e">
        <v>#DIV/0!</v>
      </c>
      <c r="U122" s="214"/>
      <c r="V122" s="215"/>
      <c r="W122" s="310">
        <v>0</v>
      </c>
      <c r="X122" s="311">
        <v>0</v>
      </c>
      <c r="Y122" s="311">
        <v>0</v>
      </c>
      <c r="Z122" s="211">
        <v>0</v>
      </c>
      <c r="AA122" s="212"/>
      <c r="AB122" s="213" t="e">
        <v>#DIV/0!</v>
      </c>
      <c r="AC122" s="214"/>
      <c r="AD122" s="215"/>
      <c r="AE122" s="342" t="s">
        <v>270</v>
      </c>
      <c r="AF122" s="341"/>
    </row>
    <row r="123" spans="1:32">
      <c r="A123" s="307">
        <v>4</v>
      </c>
      <c r="B123" s="342"/>
      <c r="C123" s="342" t="s">
        <v>191</v>
      </c>
      <c r="D123" s="340" t="s">
        <v>272</v>
      </c>
      <c r="E123" s="342" t="s">
        <v>273</v>
      </c>
      <c r="F123" s="345" t="s">
        <v>258</v>
      </c>
      <c r="G123" s="308">
        <v>1</v>
      </c>
      <c r="H123" s="309">
        <v>4000</v>
      </c>
      <c r="I123" s="309">
        <v>4000</v>
      </c>
      <c r="J123" s="211"/>
      <c r="K123" s="212" t="str">
        <f>IF(OR(J123="",G123=J123),"","*")</f>
        <v/>
      </c>
      <c r="L123" s="338" t="str">
        <f>IF($A123&lt;=L$1,I123/I$4,"")</f>
        <v/>
      </c>
      <c r="M123" s="343"/>
      <c r="N123" s="344"/>
      <c r="O123" s="310">
        <v>0</v>
      </c>
      <c r="P123" s="311">
        <v>0</v>
      </c>
      <c r="Q123" s="311">
        <v>0</v>
      </c>
      <c r="R123" s="211">
        <v>0</v>
      </c>
      <c r="S123" s="212"/>
      <c r="T123" s="213" t="e">
        <v>#DIV/0!</v>
      </c>
      <c r="U123" s="214"/>
      <c r="V123" s="215"/>
      <c r="W123" s="310">
        <v>0</v>
      </c>
      <c r="X123" s="311">
        <v>0</v>
      </c>
      <c r="Y123" s="311">
        <v>0</v>
      </c>
      <c r="Z123" s="211">
        <v>0</v>
      </c>
      <c r="AA123" s="212"/>
      <c r="AB123" s="213" t="e">
        <v>#DIV/0!</v>
      </c>
      <c r="AC123" s="214"/>
      <c r="AD123" s="215"/>
      <c r="AE123" s="342" t="s">
        <v>274</v>
      </c>
      <c r="AF123" s="341"/>
    </row>
    <row r="124" spans="1:32">
      <c r="A124" s="307">
        <v>4</v>
      </c>
      <c r="B124" s="342"/>
      <c r="C124" s="342" t="s">
        <v>187</v>
      </c>
      <c r="D124" s="340" t="s">
        <v>275</v>
      </c>
      <c r="E124" s="342"/>
      <c r="F124" s="345" t="s">
        <v>183</v>
      </c>
      <c r="G124" s="308">
        <v>1</v>
      </c>
      <c r="H124" s="309">
        <v>9240</v>
      </c>
      <c r="I124" s="309">
        <v>9240</v>
      </c>
      <c r="J124" s="211"/>
      <c r="K124" s="212" t="str">
        <f>IF(OR(J124="",G124=J124),"","*")</f>
        <v/>
      </c>
      <c r="L124" s="338" t="str">
        <f>IF($A124&lt;=L$1,I124/I$4,"")</f>
        <v/>
      </c>
      <c r="M124" s="343"/>
      <c r="N124" s="344"/>
      <c r="O124" s="310">
        <v>0</v>
      </c>
      <c r="P124" s="311">
        <v>0</v>
      </c>
      <c r="Q124" s="311">
        <v>0</v>
      </c>
      <c r="R124" s="211">
        <v>0</v>
      </c>
      <c r="S124" s="212"/>
      <c r="T124" s="213" t="e">
        <v>#DIV/0!</v>
      </c>
      <c r="U124" s="214"/>
      <c r="V124" s="215"/>
      <c r="W124" s="310">
        <v>0</v>
      </c>
      <c r="X124" s="311">
        <v>0</v>
      </c>
      <c r="Y124" s="311">
        <v>0</v>
      </c>
      <c r="Z124" s="211">
        <v>0</v>
      </c>
      <c r="AA124" s="212"/>
      <c r="AB124" s="213" t="e">
        <v>#DIV/0!</v>
      </c>
      <c r="AC124" s="214"/>
      <c r="AD124" s="215"/>
      <c r="AE124" s="342" t="s">
        <v>276</v>
      </c>
      <c r="AF124" s="341"/>
    </row>
    <row r="125" spans="1:32">
      <c r="A125" s="307">
        <v>4</v>
      </c>
      <c r="B125" s="342"/>
      <c r="C125" s="342" t="s">
        <v>187</v>
      </c>
      <c r="D125" s="340" t="s">
        <v>277</v>
      </c>
      <c r="E125" s="342"/>
      <c r="F125" s="345" t="s">
        <v>278</v>
      </c>
      <c r="G125" s="308">
        <v>50</v>
      </c>
      <c r="H125" s="309">
        <v>150</v>
      </c>
      <c r="I125" s="309">
        <v>7500</v>
      </c>
      <c r="J125" s="211"/>
      <c r="K125" s="212" t="str">
        <f>IF(OR(J125="",G125=J125),"","*")</f>
        <v/>
      </c>
      <c r="L125" s="338" t="str">
        <f>IF($A125&lt;=L$1,I125/I$4,"")</f>
        <v/>
      </c>
      <c r="M125" s="343"/>
      <c r="N125" s="344"/>
      <c r="O125" s="310">
        <v>0</v>
      </c>
      <c r="P125" s="311">
        <v>0</v>
      </c>
      <c r="Q125" s="311">
        <v>0</v>
      </c>
      <c r="R125" s="211">
        <v>0</v>
      </c>
      <c r="S125" s="212"/>
      <c r="T125" s="213" t="e">
        <v>#DIV/0!</v>
      </c>
      <c r="U125" s="214"/>
      <c r="V125" s="215"/>
      <c r="W125" s="310">
        <v>0</v>
      </c>
      <c r="X125" s="311">
        <v>0</v>
      </c>
      <c r="Y125" s="311">
        <v>0</v>
      </c>
      <c r="Z125" s="211">
        <v>0</v>
      </c>
      <c r="AA125" s="212"/>
      <c r="AB125" s="213" t="e">
        <v>#DIV/0!</v>
      </c>
      <c r="AC125" s="214"/>
      <c r="AD125" s="215"/>
      <c r="AE125" s="342" t="s">
        <v>279</v>
      </c>
      <c r="AF125" s="341"/>
    </row>
    <row r="126" spans="1:32">
      <c r="A126" s="307">
        <v>2</v>
      </c>
      <c r="B126" s="342"/>
      <c r="C126" s="342" t="s">
        <v>244</v>
      </c>
      <c r="D126" s="340" t="s">
        <v>382</v>
      </c>
      <c r="E126" s="342"/>
      <c r="F126" s="345" t="s">
        <v>183</v>
      </c>
      <c r="G126" s="308">
        <v>1</v>
      </c>
      <c r="H126" s="309">
        <v>50459150</v>
      </c>
      <c r="I126" s="309">
        <v>50459150</v>
      </c>
      <c r="J126" s="211">
        <v>1</v>
      </c>
      <c r="K126" s="212" t="str">
        <f>IF(OR(J126="",G126=J126),"","*")</f>
        <v/>
      </c>
      <c r="L126" s="338">
        <f>IF($A126&lt;=L$1,I126/I$4,"")</f>
        <v>0.42907440476190478</v>
      </c>
      <c r="M126" s="343"/>
      <c r="N126" s="344" t="s">
        <v>383</v>
      </c>
      <c r="O126" s="310">
        <v>0</v>
      </c>
      <c r="P126" s="311">
        <v>0</v>
      </c>
      <c r="Q126" s="311">
        <v>0</v>
      </c>
      <c r="R126" s="211">
        <v>0</v>
      </c>
      <c r="S126" s="212"/>
      <c r="T126" s="213" t="e">
        <v>#DIV/0!</v>
      </c>
      <c r="U126" s="214"/>
      <c r="V126" s="215"/>
      <c r="W126" s="310">
        <v>0</v>
      </c>
      <c r="X126" s="311">
        <v>0</v>
      </c>
      <c r="Y126" s="311">
        <v>0</v>
      </c>
      <c r="Z126" s="211">
        <v>0</v>
      </c>
      <c r="AA126" s="212"/>
      <c r="AB126" s="213" t="e">
        <v>#DIV/0!</v>
      </c>
      <c r="AC126" s="214"/>
      <c r="AD126" s="215"/>
      <c r="AE126" s="342"/>
      <c r="AF126" s="341"/>
    </row>
    <row r="127" spans="1:32">
      <c r="A127" s="307">
        <v>3</v>
      </c>
      <c r="B127" s="342"/>
      <c r="C127" s="342" t="s">
        <v>244</v>
      </c>
      <c r="D127" s="340" t="s">
        <v>384</v>
      </c>
      <c r="E127" s="342" t="s">
        <v>179</v>
      </c>
      <c r="F127" s="345" t="s">
        <v>169</v>
      </c>
      <c r="G127" s="308">
        <v>6968</v>
      </c>
      <c r="H127" s="309">
        <v>315</v>
      </c>
      <c r="I127" s="309">
        <v>2194920</v>
      </c>
      <c r="J127" s="211">
        <v>6968</v>
      </c>
      <c r="K127" s="212" t="str">
        <f>IF(OR(J127="",G127=J127),"","*")</f>
        <v/>
      </c>
      <c r="L127" s="338">
        <f>IF($A127&lt;=L$1,I127/I$4,"")</f>
        <v>1.8664285714285713E-2</v>
      </c>
      <c r="M127" s="343"/>
      <c r="N127" s="344" t="s">
        <v>385</v>
      </c>
      <c r="O127" s="310">
        <v>0</v>
      </c>
      <c r="P127" s="311">
        <v>0</v>
      </c>
      <c r="Q127" s="311">
        <v>0</v>
      </c>
      <c r="R127" s="211">
        <v>0</v>
      </c>
      <c r="S127" s="212"/>
      <c r="T127" s="213" t="e">
        <v>#DIV/0!</v>
      </c>
      <c r="U127" s="214"/>
      <c r="V127" s="215"/>
      <c r="W127" s="310">
        <v>0</v>
      </c>
      <c r="X127" s="311">
        <v>0</v>
      </c>
      <c r="Y127" s="311">
        <v>0</v>
      </c>
      <c r="Z127" s="211">
        <v>0</v>
      </c>
      <c r="AA127" s="212"/>
      <c r="AB127" s="213" t="e">
        <v>#DIV/0!</v>
      </c>
      <c r="AC127" s="214"/>
      <c r="AD127" s="215"/>
      <c r="AE127" s="342"/>
      <c r="AF127" s="341"/>
    </row>
    <row r="128" spans="1:32">
      <c r="A128" s="307">
        <v>4</v>
      </c>
      <c r="B128" s="342"/>
      <c r="C128" s="342" t="s">
        <v>187</v>
      </c>
      <c r="D128" s="340" t="s">
        <v>290</v>
      </c>
      <c r="E128" s="342" t="s">
        <v>291</v>
      </c>
      <c r="F128" s="345" t="s">
        <v>292</v>
      </c>
      <c r="G128" s="308">
        <v>2390</v>
      </c>
      <c r="H128" s="309">
        <v>500</v>
      </c>
      <c r="I128" s="309">
        <v>1195000</v>
      </c>
      <c r="J128" s="211"/>
      <c r="K128" s="212" t="str">
        <f>IF(OR(J128="",G128=J128),"","*")</f>
        <v/>
      </c>
      <c r="L128" s="338" t="str">
        <f>IF($A128&lt;=L$1,I128/I$4,"")</f>
        <v/>
      </c>
      <c r="M128" s="343"/>
      <c r="N128" s="344"/>
      <c r="O128" s="310">
        <v>0</v>
      </c>
      <c r="P128" s="311">
        <v>0</v>
      </c>
      <c r="Q128" s="311">
        <v>0</v>
      </c>
      <c r="R128" s="211">
        <v>0</v>
      </c>
      <c r="S128" s="212"/>
      <c r="T128" s="213" t="e">
        <v>#DIV/0!</v>
      </c>
      <c r="U128" s="214"/>
      <c r="V128" s="215"/>
      <c r="W128" s="310">
        <v>0</v>
      </c>
      <c r="X128" s="311">
        <v>0</v>
      </c>
      <c r="Y128" s="311">
        <v>0</v>
      </c>
      <c r="Z128" s="211">
        <v>0</v>
      </c>
      <c r="AA128" s="212"/>
      <c r="AB128" s="213" t="e">
        <v>#DIV/0!</v>
      </c>
      <c r="AC128" s="214"/>
      <c r="AD128" s="215"/>
      <c r="AE128" s="342" t="s">
        <v>293</v>
      </c>
      <c r="AF128" s="341" t="s">
        <v>386</v>
      </c>
    </row>
    <row r="129" spans="1:32">
      <c r="A129" s="307">
        <v>4</v>
      </c>
      <c r="B129" s="342"/>
      <c r="C129" s="342" t="s">
        <v>188</v>
      </c>
      <c r="D129" s="340" t="s">
        <v>249</v>
      </c>
      <c r="E129" s="342"/>
      <c r="F129" s="345" t="s">
        <v>250</v>
      </c>
      <c r="G129" s="308">
        <v>6</v>
      </c>
      <c r="H129" s="309">
        <v>30000</v>
      </c>
      <c r="I129" s="309">
        <v>180000</v>
      </c>
      <c r="J129" s="211"/>
      <c r="K129" s="212" t="str">
        <f>IF(OR(J129="",G129=J129),"","*")</f>
        <v/>
      </c>
      <c r="L129" s="338" t="str">
        <f>IF($A129&lt;=L$1,I129/I$4,"")</f>
        <v/>
      </c>
      <c r="M129" s="343"/>
      <c r="N129" s="344"/>
      <c r="O129" s="310">
        <v>0</v>
      </c>
      <c r="P129" s="311">
        <v>0</v>
      </c>
      <c r="Q129" s="311">
        <v>0</v>
      </c>
      <c r="R129" s="211">
        <v>0</v>
      </c>
      <c r="S129" s="212"/>
      <c r="T129" s="213" t="e">
        <v>#DIV/0!</v>
      </c>
      <c r="U129" s="214"/>
      <c r="V129" s="215"/>
      <c r="W129" s="310">
        <v>0</v>
      </c>
      <c r="X129" s="311">
        <v>0</v>
      </c>
      <c r="Y129" s="311">
        <v>0</v>
      </c>
      <c r="Z129" s="211">
        <v>0</v>
      </c>
      <c r="AA129" s="212"/>
      <c r="AB129" s="213" t="e">
        <v>#DIV/0!</v>
      </c>
      <c r="AC129" s="214"/>
      <c r="AD129" s="215"/>
      <c r="AE129" s="342" t="s">
        <v>251</v>
      </c>
      <c r="AF129" s="341" t="s">
        <v>387</v>
      </c>
    </row>
    <row r="130" spans="1:32">
      <c r="A130" s="307">
        <v>4</v>
      </c>
      <c r="B130" s="342"/>
      <c r="C130" s="342" t="s">
        <v>188</v>
      </c>
      <c r="D130" s="340" t="s">
        <v>253</v>
      </c>
      <c r="E130" s="342"/>
      <c r="F130" s="345" t="s">
        <v>250</v>
      </c>
      <c r="G130" s="308">
        <v>36</v>
      </c>
      <c r="H130" s="309">
        <v>21000</v>
      </c>
      <c r="I130" s="309">
        <v>756000</v>
      </c>
      <c r="J130" s="211"/>
      <c r="K130" s="212" t="str">
        <f>IF(OR(J130="",G130=J130),"","*")</f>
        <v/>
      </c>
      <c r="L130" s="338" t="str">
        <f>IF($A130&lt;=L$1,I130/I$4,"")</f>
        <v/>
      </c>
      <c r="M130" s="343"/>
      <c r="N130" s="344"/>
      <c r="O130" s="310">
        <v>0</v>
      </c>
      <c r="P130" s="311">
        <v>0</v>
      </c>
      <c r="Q130" s="311">
        <v>0</v>
      </c>
      <c r="R130" s="211">
        <v>0</v>
      </c>
      <c r="S130" s="212"/>
      <c r="T130" s="213" t="e">
        <v>#DIV/0!</v>
      </c>
      <c r="U130" s="214"/>
      <c r="V130" s="215"/>
      <c r="W130" s="310">
        <v>0</v>
      </c>
      <c r="X130" s="311">
        <v>0</v>
      </c>
      <c r="Y130" s="311">
        <v>0</v>
      </c>
      <c r="Z130" s="211">
        <v>0</v>
      </c>
      <c r="AA130" s="212"/>
      <c r="AB130" s="213" t="e">
        <v>#DIV/0!</v>
      </c>
      <c r="AC130" s="214"/>
      <c r="AD130" s="215"/>
      <c r="AE130" s="342" t="s">
        <v>254</v>
      </c>
      <c r="AF130" s="341" t="s">
        <v>388</v>
      </c>
    </row>
    <row r="131" spans="1:32">
      <c r="A131" s="307">
        <v>4</v>
      </c>
      <c r="B131" s="342"/>
      <c r="C131" s="342" t="s">
        <v>190</v>
      </c>
      <c r="D131" s="340" t="s">
        <v>265</v>
      </c>
      <c r="E131" s="342"/>
      <c r="F131" s="345" t="s">
        <v>258</v>
      </c>
      <c r="G131" s="308">
        <v>6</v>
      </c>
      <c r="H131" s="309">
        <v>1000</v>
      </c>
      <c r="I131" s="309">
        <v>6000</v>
      </c>
      <c r="J131" s="211"/>
      <c r="K131" s="212" t="str">
        <f>IF(OR(J131="",G131=J131),"","*")</f>
        <v/>
      </c>
      <c r="L131" s="338" t="str">
        <f>IF($A131&lt;=L$1,I131/I$4,"")</f>
        <v/>
      </c>
      <c r="M131" s="343"/>
      <c r="N131" s="344"/>
      <c r="O131" s="310">
        <v>0</v>
      </c>
      <c r="P131" s="311">
        <v>0</v>
      </c>
      <c r="Q131" s="311">
        <v>0</v>
      </c>
      <c r="R131" s="211">
        <v>0</v>
      </c>
      <c r="S131" s="212"/>
      <c r="T131" s="213" t="e">
        <v>#DIV/0!</v>
      </c>
      <c r="U131" s="214"/>
      <c r="V131" s="215"/>
      <c r="W131" s="310">
        <v>0</v>
      </c>
      <c r="X131" s="311">
        <v>0</v>
      </c>
      <c r="Y131" s="311">
        <v>0</v>
      </c>
      <c r="Z131" s="211">
        <v>0</v>
      </c>
      <c r="AA131" s="212"/>
      <c r="AB131" s="213" t="e">
        <v>#DIV/0!</v>
      </c>
      <c r="AC131" s="214"/>
      <c r="AD131" s="215"/>
      <c r="AE131" s="342" t="s">
        <v>266</v>
      </c>
      <c r="AF131" s="341" t="s">
        <v>387</v>
      </c>
    </row>
    <row r="132" spans="1:32">
      <c r="A132" s="307">
        <v>4</v>
      </c>
      <c r="B132" s="342"/>
      <c r="C132" s="342" t="s">
        <v>190</v>
      </c>
      <c r="D132" s="340" t="s">
        <v>267</v>
      </c>
      <c r="E132" s="342"/>
      <c r="F132" s="345" t="s">
        <v>258</v>
      </c>
      <c r="G132" s="308">
        <v>6</v>
      </c>
      <c r="H132" s="309">
        <v>1000</v>
      </c>
      <c r="I132" s="309">
        <v>6000</v>
      </c>
      <c r="J132" s="211"/>
      <c r="K132" s="212" t="str">
        <f>IF(OR(J132="",G132=J132),"","*")</f>
        <v/>
      </c>
      <c r="L132" s="338" t="str">
        <f>IF($A132&lt;=L$1,I132/I$4,"")</f>
        <v/>
      </c>
      <c r="M132" s="343"/>
      <c r="N132" s="344"/>
      <c r="O132" s="310">
        <v>0</v>
      </c>
      <c r="P132" s="311">
        <v>0</v>
      </c>
      <c r="Q132" s="311">
        <v>0</v>
      </c>
      <c r="R132" s="211">
        <v>0</v>
      </c>
      <c r="S132" s="212"/>
      <c r="T132" s="213" t="e">
        <v>#DIV/0!</v>
      </c>
      <c r="U132" s="214"/>
      <c r="V132" s="215"/>
      <c r="W132" s="310">
        <v>0</v>
      </c>
      <c r="X132" s="311">
        <v>0</v>
      </c>
      <c r="Y132" s="311">
        <v>0</v>
      </c>
      <c r="Z132" s="211">
        <v>0</v>
      </c>
      <c r="AA132" s="212"/>
      <c r="AB132" s="213" t="e">
        <v>#DIV/0!</v>
      </c>
      <c r="AC132" s="214"/>
      <c r="AD132" s="215"/>
      <c r="AE132" s="342" t="s">
        <v>268</v>
      </c>
      <c r="AF132" s="341" t="s">
        <v>387</v>
      </c>
    </row>
    <row r="133" spans="1:32">
      <c r="A133" s="307">
        <v>4</v>
      </c>
      <c r="B133" s="342"/>
      <c r="C133" s="342" t="s">
        <v>190</v>
      </c>
      <c r="D133" s="340" t="s">
        <v>260</v>
      </c>
      <c r="E133" s="342"/>
      <c r="F133" s="345" t="s">
        <v>258</v>
      </c>
      <c r="G133" s="308">
        <v>6</v>
      </c>
      <c r="H133" s="309">
        <v>8000</v>
      </c>
      <c r="I133" s="309">
        <v>48000</v>
      </c>
      <c r="J133" s="211"/>
      <c r="K133" s="212" t="str">
        <f>IF(OR(J133="",G133=J133),"","*")</f>
        <v/>
      </c>
      <c r="L133" s="338" t="str">
        <f>IF($A133&lt;=L$1,I133/I$4,"")</f>
        <v/>
      </c>
      <c r="M133" s="343"/>
      <c r="N133" s="344"/>
      <c r="O133" s="310">
        <v>0</v>
      </c>
      <c r="P133" s="311">
        <v>0</v>
      </c>
      <c r="Q133" s="311">
        <v>0</v>
      </c>
      <c r="R133" s="211">
        <v>0</v>
      </c>
      <c r="S133" s="212"/>
      <c r="T133" s="213" t="e">
        <v>#DIV/0!</v>
      </c>
      <c r="U133" s="214"/>
      <c r="V133" s="215"/>
      <c r="W133" s="310">
        <v>0</v>
      </c>
      <c r="X133" s="311">
        <v>0</v>
      </c>
      <c r="Y133" s="311">
        <v>0</v>
      </c>
      <c r="Z133" s="211">
        <v>0</v>
      </c>
      <c r="AA133" s="212"/>
      <c r="AB133" s="213" t="e">
        <v>#DIV/0!</v>
      </c>
      <c r="AC133" s="214"/>
      <c r="AD133" s="215"/>
      <c r="AE133" s="342" t="s">
        <v>261</v>
      </c>
      <c r="AF133" s="341" t="s">
        <v>387</v>
      </c>
    </row>
    <row r="134" spans="1:32">
      <c r="A134" s="307">
        <v>4</v>
      </c>
      <c r="B134" s="342"/>
      <c r="C134" s="342" t="s">
        <v>187</v>
      </c>
      <c r="D134" s="340" t="s">
        <v>275</v>
      </c>
      <c r="E134" s="342"/>
      <c r="F134" s="345" t="s">
        <v>183</v>
      </c>
      <c r="G134" s="308">
        <v>1</v>
      </c>
      <c r="H134" s="309">
        <v>9000</v>
      </c>
      <c r="I134" s="309">
        <v>9000</v>
      </c>
      <c r="J134" s="211"/>
      <c r="K134" s="212" t="str">
        <f>IF(OR(J134="",G134=J134),"","*")</f>
        <v/>
      </c>
      <c r="L134" s="338" t="str">
        <f>IF($A134&lt;=L$1,I134/I$4,"")</f>
        <v/>
      </c>
      <c r="M134" s="343"/>
      <c r="N134" s="344"/>
      <c r="O134" s="310">
        <v>0</v>
      </c>
      <c r="P134" s="311">
        <v>0</v>
      </c>
      <c r="Q134" s="311">
        <v>0</v>
      </c>
      <c r="R134" s="211">
        <v>0</v>
      </c>
      <c r="S134" s="212"/>
      <c r="T134" s="213" t="e">
        <v>#DIV/0!</v>
      </c>
      <c r="U134" s="214"/>
      <c r="V134" s="215"/>
      <c r="W134" s="310">
        <v>0</v>
      </c>
      <c r="X134" s="311">
        <v>0</v>
      </c>
      <c r="Y134" s="311">
        <v>0</v>
      </c>
      <c r="Z134" s="211">
        <v>0</v>
      </c>
      <c r="AA134" s="212"/>
      <c r="AB134" s="213" t="e">
        <v>#DIV/0!</v>
      </c>
      <c r="AC134" s="214"/>
      <c r="AD134" s="215"/>
      <c r="AE134" s="342" t="s">
        <v>276</v>
      </c>
      <c r="AF134" s="341"/>
    </row>
    <row r="135" spans="1:32">
      <c r="A135" s="307">
        <v>3</v>
      </c>
      <c r="B135" s="342"/>
      <c r="C135" s="342" t="s">
        <v>244</v>
      </c>
      <c r="D135" s="340" t="s">
        <v>389</v>
      </c>
      <c r="E135" s="342" t="s">
        <v>180</v>
      </c>
      <c r="F135" s="345" t="s">
        <v>169</v>
      </c>
      <c r="G135" s="308">
        <v>6968</v>
      </c>
      <c r="H135" s="309">
        <v>169</v>
      </c>
      <c r="I135" s="309">
        <v>1177592</v>
      </c>
      <c r="J135" s="211">
        <v>6968</v>
      </c>
      <c r="K135" s="212" t="str">
        <f>IF(OR(J135="",G135=J135),"","*")</f>
        <v/>
      </c>
      <c r="L135" s="338">
        <f>IF($A135&lt;=L$1,I135/I$4,"")</f>
        <v>1.0013537414965986E-2</v>
      </c>
      <c r="M135" s="343"/>
      <c r="N135" s="344" t="s">
        <v>390</v>
      </c>
      <c r="O135" s="310">
        <v>0</v>
      </c>
      <c r="P135" s="311">
        <v>0</v>
      </c>
      <c r="Q135" s="311">
        <v>0</v>
      </c>
      <c r="R135" s="211">
        <v>0</v>
      </c>
      <c r="S135" s="212"/>
      <c r="T135" s="213" t="e">
        <v>#DIV/0!</v>
      </c>
      <c r="U135" s="214"/>
      <c r="V135" s="215"/>
      <c r="W135" s="310">
        <v>0</v>
      </c>
      <c r="X135" s="311">
        <v>0</v>
      </c>
      <c r="Y135" s="311">
        <v>0</v>
      </c>
      <c r="Z135" s="211">
        <v>0</v>
      </c>
      <c r="AA135" s="212"/>
      <c r="AB135" s="213" t="e">
        <v>#DIV/0!</v>
      </c>
      <c r="AC135" s="214"/>
      <c r="AD135" s="215"/>
      <c r="AE135" s="342"/>
      <c r="AF135" s="341"/>
    </row>
    <row r="136" spans="1:32">
      <c r="A136" s="307">
        <v>4</v>
      </c>
      <c r="B136" s="342"/>
      <c r="C136" s="342" t="s">
        <v>187</v>
      </c>
      <c r="D136" s="340" t="s">
        <v>391</v>
      </c>
      <c r="E136" s="342"/>
      <c r="F136" s="345" t="s">
        <v>278</v>
      </c>
      <c r="G136" s="308">
        <v>6968</v>
      </c>
      <c r="H136" s="309">
        <v>154.5</v>
      </c>
      <c r="I136" s="309">
        <v>1076556</v>
      </c>
      <c r="J136" s="211"/>
      <c r="K136" s="212" t="str">
        <f>IF(OR(J136="",G136=J136),"","*")</f>
        <v/>
      </c>
      <c r="L136" s="338" t="str">
        <f>IF($A136&lt;=L$1,I136/I$4,"")</f>
        <v/>
      </c>
      <c r="M136" s="343"/>
      <c r="N136" s="344"/>
      <c r="O136" s="310">
        <v>0</v>
      </c>
      <c r="P136" s="311">
        <v>0</v>
      </c>
      <c r="Q136" s="311">
        <v>0</v>
      </c>
      <c r="R136" s="211">
        <v>0</v>
      </c>
      <c r="S136" s="212"/>
      <c r="T136" s="213" t="e">
        <v>#DIV/0!</v>
      </c>
      <c r="U136" s="214"/>
      <c r="V136" s="215"/>
      <c r="W136" s="310">
        <v>0</v>
      </c>
      <c r="X136" s="311">
        <v>0</v>
      </c>
      <c r="Y136" s="311">
        <v>0</v>
      </c>
      <c r="Z136" s="211">
        <v>0</v>
      </c>
      <c r="AA136" s="212"/>
      <c r="AB136" s="213" t="e">
        <v>#DIV/0!</v>
      </c>
      <c r="AC136" s="214"/>
      <c r="AD136" s="215"/>
      <c r="AE136" s="342"/>
      <c r="AF136" s="341" t="s">
        <v>392</v>
      </c>
    </row>
    <row r="137" spans="1:32">
      <c r="A137" s="307">
        <v>4</v>
      </c>
      <c r="B137" s="342"/>
      <c r="C137" s="342" t="s">
        <v>190</v>
      </c>
      <c r="D137" s="340" t="s">
        <v>393</v>
      </c>
      <c r="E137" s="342"/>
      <c r="F137" s="345" t="s">
        <v>258</v>
      </c>
      <c r="G137" s="308">
        <v>2</v>
      </c>
      <c r="H137" s="309">
        <v>50000</v>
      </c>
      <c r="I137" s="309">
        <v>100000</v>
      </c>
      <c r="J137" s="211"/>
      <c r="K137" s="212" t="str">
        <f>IF(OR(J137="",G137=J137),"","*")</f>
        <v/>
      </c>
      <c r="L137" s="338" t="str">
        <f>IF($A137&lt;=L$1,I137/I$4,"")</f>
        <v/>
      </c>
      <c r="M137" s="343"/>
      <c r="N137" s="344"/>
      <c r="O137" s="310">
        <v>0</v>
      </c>
      <c r="P137" s="311">
        <v>0</v>
      </c>
      <c r="Q137" s="311">
        <v>0</v>
      </c>
      <c r="R137" s="211">
        <v>0</v>
      </c>
      <c r="S137" s="212"/>
      <c r="T137" s="213" t="e">
        <v>#DIV/0!</v>
      </c>
      <c r="U137" s="214"/>
      <c r="V137" s="215"/>
      <c r="W137" s="310">
        <v>0</v>
      </c>
      <c r="X137" s="311">
        <v>0</v>
      </c>
      <c r="Y137" s="311">
        <v>0</v>
      </c>
      <c r="Z137" s="211">
        <v>0</v>
      </c>
      <c r="AA137" s="212"/>
      <c r="AB137" s="213" t="e">
        <v>#DIV/0!</v>
      </c>
      <c r="AC137" s="214"/>
      <c r="AD137" s="215"/>
      <c r="AE137" s="342" t="s">
        <v>394</v>
      </c>
      <c r="AF137" s="341" t="s">
        <v>314</v>
      </c>
    </row>
    <row r="138" spans="1:32">
      <c r="A138" s="307">
        <v>4</v>
      </c>
      <c r="B138" s="342"/>
      <c r="C138" s="342" t="s">
        <v>188</v>
      </c>
      <c r="D138" s="340" t="s">
        <v>249</v>
      </c>
      <c r="E138" s="342"/>
      <c r="F138" s="345" t="s">
        <v>250</v>
      </c>
      <c r="G138" s="308">
        <v>0</v>
      </c>
      <c r="H138" s="309">
        <v>30000</v>
      </c>
      <c r="I138" s="309">
        <v>0</v>
      </c>
      <c r="J138" s="211"/>
      <c r="K138" s="212" t="str">
        <f>IF(OR(J138="",G138=J138),"","*")</f>
        <v/>
      </c>
      <c r="L138" s="338" t="str">
        <f>IF($A138&lt;=L$1,I138/I$4,"")</f>
        <v/>
      </c>
      <c r="M138" s="343"/>
      <c r="N138" s="344"/>
      <c r="O138" s="310">
        <v>0</v>
      </c>
      <c r="P138" s="311">
        <v>0</v>
      </c>
      <c r="Q138" s="311">
        <v>0</v>
      </c>
      <c r="R138" s="211">
        <v>0</v>
      </c>
      <c r="S138" s="212"/>
      <c r="T138" s="213" t="e">
        <v>#DIV/0!</v>
      </c>
      <c r="U138" s="214"/>
      <c r="V138" s="215"/>
      <c r="W138" s="310">
        <v>0</v>
      </c>
      <c r="X138" s="311">
        <v>0</v>
      </c>
      <c r="Y138" s="311">
        <v>0</v>
      </c>
      <c r="Z138" s="211">
        <v>0</v>
      </c>
      <c r="AA138" s="212"/>
      <c r="AB138" s="213" t="e">
        <v>#DIV/0!</v>
      </c>
      <c r="AC138" s="214"/>
      <c r="AD138" s="215"/>
      <c r="AE138" s="342" t="s">
        <v>251</v>
      </c>
      <c r="AF138" s="341" t="s">
        <v>314</v>
      </c>
    </row>
    <row r="139" spans="1:32">
      <c r="A139" s="307">
        <v>4</v>
      </c>
      <c r="B139" s="342"/>
      <c r="C139" s="342" t="s">
        <v>188</v>
      </c>
      <c r="D139" s="340" t="s">
        <v>253</v>
      </c>
      <c r="E139" s="342"/>
      <c r="F139" s="345" t="s">
        <v>250</v>
      </c>
      <c r="G139" s="308">
        <v>0</v>
      </c>
      <c r="H139" s="309">
        <v>21000</v>
      </c>
      <c r="I139" s="309">
        <v>0</v>
      </c>
      <c r="J139" s="211"/>
      <c r="K139" s="212" t="str">
        <f>IF(OR(J139="",G139=J139),"","*")</f>
        <v/>
      </c>
      <c r="L139" s="338" t="str">
        <f>IF($A139&lt;=L$1,I139/I$4,"")</f>
        <v/>
      </c>
      <c r="M139" s="343"/>
      <c r="N139" s="344"/>
      <c r="O139" s="310">
        <v>0</v>
      </c>
      <c r="P139" s="311">
        <v>0</v>
      </c>
      <c r="Q139" s="311">
        <v>0</v>
      </c>
      <c r="R139" s="211">
        <v>0</v>
      </c>
      <c r="S139" s="212"/>
      <c r="T139" s="213" t="e">
        <v>#DIV/0!</v>
      </c>
      <c r="U139" s="214"/>
      <c r="V139" s="215"/>
      <c r="W139" s="310">
        <v>0</v>
      </c>
      <c r="X139" s="311">
        <v>0</v>
      </c>
      <c r="Y139" s="311">
        <v>0</v>
      </c>
      <c r="Z139" s="211">
        <v>0</v>
      </c>
      <c r="AA139" s="212"/>
      <c r="AB139" s="213" t="e">
        <v>#DIV/0!</v>
      </c>
      <c r="AC139" s="214"/>
      <c r="AD139" s="215"/>
      <c r="AE139" s="342" t="s">
        <v>254</v>
      </c>
      <c r="AF139" s="341" t="s">
        <v>314</v>
      </c>
    </row>
    <row r="140" spans="1:32">
      <c r="A140" s="307">
        <v>4</v>
      </c>
      <c r="B140" s="342"/>
      <c r="C140" s="342" t="s">
        <v>191</v>
      </c>
      <c r="D140" s="340" t="s">
        <v>269</v>
      </c>
      <c r="E140" s="342"/>
      <c r="F140" s="345" t="s">
        <v>258</v>
      </c>
      <c r="G140" s="308">
        <v>0</v>
      </c>
      <c r="H140" s="309">
        <v>5000</v>
      </c>
      <c r="I140" s="309">
        <v>0</v>
      </c>
      <c r="J140" s="211"/>
      <c r="K140" s="212" t="str">
        <f>IF(OR(J140="",G140=J140),"","*")</f>
        <v/>
      </c>
      <c r="L140" s="338" t="str">
        <f>IF($A140&lt;=L$1,I140/I$4,"")</f>
        <v/>
      </c>
      <c r="M140" s="343"/>
      <c r="N140" s="344"/>
      <c r="O140" s="310">
        <v>0</v>
      </c>
      <c r="P140" s="311">
        <v>0</v>
      </c>
      <c r="Q140" s="311">
        <v>0</v>
      </c>
      <c r="R140" s="211">
        <v>0</v>
      </c>
      <c r="S140" s="212"/>
      <c r="T140" s="213" t="e">
        <v>#DIV/0!</v>
      </c>
      <c r="U140" s="214"/>
      <c r="V140" s="215"/>
      <c r="W140" s="310">
        <v>0</v>
      </c>
      <c r="X140" s="311">
        <v>0</v>
      </c>
      <c r="Y140" s="311">
        <v>0</v>
      </c>
      <c r="Z140" s="211">
        <v>0</v>
      </c>
      <c r="AA140" s="212"/>
      <c r="AB140" s="213" t="e">
        <v>#DIV/0!</v>
      </c>
      <c r="AC140" s="214"/>
      <c r="AD140" s="215"/>
      <c r="AE140" s="342" t="s">
        <v>270</v>
      </c>
      <c r="AF140" s="341" t="s">
        <v>314</v>
      </c>
    </row>
    <row r="141" spans="1:32">
      <c r="A141" s="307">
        <v>4</v>
      </c>
      <c r="B141" s="342"/>
      <c r="C141" s="342" t="s">
        <v>187</v>
      </c>
      <c r="D141" s="340" t="s">
        <v>275</v>
      </c>
      <c r="E141" s="342"/>
      <c r="F141" s="345" t="s">
        <v>183</v>
      </c>
      <c r="G141" s="308">
        <v>1</v>
      </c>
      <c r="H141" s="309">
        <v>3444</v>
      </c>
      <c r="I141" s="309">
        <v>3444</v>
      </c>
      <c r="J141" s="211"/>
      <c r="K141" s="212" t="str">
        <f>IF(OR(J141="",G141=J141),"","*")</f>
        <v/>
      </c>
      <c r="L141" s="338" t="str">
        <f>IF($A141&lt;=L$1,I141/I$4,"")</f>
        <v/>
      </c>
      <c r="M141" s="343"/>
      <c r="N141" s="344"/>
      <c r="O141" s="310">
        <v>0</v>
      </c>
      <c r="P141" s="311">
        <v>0</v>
      </c>
      <c r="Q141" s="311">
        <v>0</v>
      </c>
      <c r="R141" s="211">
        <v>0</v>
      </c>
      <c r="S141" s="212"/>
      <c r="T141" s="213" t="e">
        <v>#DIV/0!</v>
      </c>
      <c r="U141" s="214"/>
      <c r="V141" s="215"/>
      <c r="W141" s="310">
        <v>0</v>
      </c>
      <c r="X141" s="311">
        <v>0</v>
      </c>
      <c r="Y141" s="311">
        <v>0</v>
      </c>
      <c r="Z141" s="211">
        <v>0</v>
      </c>
      <c r="AA141" s="212"/>
      <c r="AB141" s="213" t="e">
        <v>#DIV/0!</v>
      </c>
      <c r="AC141" s="214"/>
      <c r="AD141" s="215"/>
      <c r="AE141" s="342" t="s">
        <v>276</v>
      </c>
      <c r="AF141" s="341"/>
    </row>
    <row r="142" spans="1:32">
      <c r="A142" s="307">
        <v>3</v>
      </c>
      <c r="B142" s="342"/>
      <c r="C142" s="342" t="s">
        <v>244</v>
      </c>
      <c r="D142" s="340" t="s">
        <v>395</v>
      </c>
      <c r="E142" s="342" t="s">
        <v>181</v>
      </c>
      <c r="F142" s="345" t="s">
        <v>169</v>
      </c>
      <c r="G142" s="308">
        <v>6968</v>
      </c>
      <c r="H142" s="309">
        <v>6567</v>
      </c>
      <c r="I142" s="309">
        <v>45758856</v>
      </c>
      <c r="J142" s="211">
        <v>6968</v>
      </c>
      <c r="K142" s="212" t="str">
        <f>IF(OR(J142="",G142=J142),"","*")</f>
        <v/>
      </c>
      <c r="L142" s="338">
        <f>IF($A142&lt;=L$1,I142/I$4,"")</f>
        <v>0.38910591836734693</v>
      </c>
      <c r="M142" s="343"/>
      <c r="N142" s="344" t="s">
        <v>396</v>
      </c>
      <c r="O142" s="310">
        <v>0</v>
      </c>
      <c r="P142" s="311">
        <v>0</v>
      </c>
      <c r="Q142" s="311">
        <v>0</v>
      </c>
      <c r="R142" s="211">
        <v>0</v>
      </c>
      <c r="S142" s="212"/>
      <c r="T142" s="213" t="e">
        <v>#DIV/0!</v>
      </c>
      <c r="U142" s="214"/>
      <c r="V142" s="215"/>
      <c r="W142" s="310">
        <v>0</v>
      </c>
      <c r="X142" s="311">
        <v>0</v>
      </c>
      <c r="Y142" s="311">
        <v>0</v>
      </c>
      <c r="Z142" s="211">
        <v>0</v>
      </c>
      <c r="AA142" s="212"/>
      <c r="AB142" s="213" t="e">
        <v>#DIV/0!</v>
      </c>
      <c r="AC142" s="214"/>
      <c r="AD142" s="215"/>
      <c r="AE142" s="342"/>
      <c r="AF142" s="341"/>
    </row>
    <row r="143" spans="1:32">
      <c r="A143" s="307">
        <v>4</v>
      </c>
      <c r="B143" s="342"/>
      <c r="C143" s="342" t="s">
        <v>189</v>
      </c>
      <c r="D143" s="340" t="s">
        <v>397</v>
      </c>
      <c r="E143" s="342" t="s">
        <v>398</v>
      </c>
      <c r="F143" s="345" t="s">
        <v>169</v>
      </c>
      <c r="G143" s="308">
        <v>6968</v>
      </c>
      <c r="H143" s="309">
        <v>3968</v>
      </c>
      <c r="I143" s="309">
        <v>27649024</v>
      </c>
      <c r="J143" s="211"/>
      <c r="K143" s="212" t="str">
        <f>IF(OR(J143="",G143=J143),"","*")</f>
        <v/>
      </c>
      <c r="L143" s="338" t="str">
        <f>IF($A143&lt;=L$1,I143/I$4,"")</f>
        <v/>
      </c>
      <c r="M143" s="343"/>
      <c r="N143" s="344"/>
      <c r="O143" s="310">
        <v>0</v>
      </c>
      <c r="P143" s="311">
        <v>0</v>
      </c>
      <c r="Q143" s="311">
        <v>0</v>
      </c>
      <c r="R143" s="211">
        <v>0</v>
      </c>
      <c r="S143" s="212"/>
      <c r="T143" s="213" t="e">
        <v>#DIV/0!</v>
      </c>
      <c r="U143" s="214"/>
      <c r="V143" s="215"/>
      <c r="W143" s="310">
        <v>0</v>
      </c>
      <c r="X143" s="311">
        <v>0</v>
      </c>
      <c r="Y143" s="311">
        <v>0</v>
      </c>
      <c r="Z143" s="211">
        <v>0</v>
      </c>
      <c r="AA143" s="212"/>
      <c r="AB143" s="213" t="e">
        <v>#DIV/0!</v>
      </c>
      <c r="AC143" s="214"/>
      <c r="AD143" s="215"/>
      <c r="AE143" s="342"/>
      <c r="AF143" s="341"/>
    </row>
    <row r="144" spans="1:32">
      <c r="A144" s="307">
        <v>4</v>
      </c>
      <c r="B144" s="342"/>
      <c r="C144" s="342" t="s">
        <v>189</v>
      </c>
      <c r="D144" s="340" t="s">
        <v>399</v>
      </c>
      <c r="E144" s="342" t="s">
        <v>398</v>
      </c>
      <c r="F144" s="345" t="s">
        <v>169</v>
      </c>
      <c r="G144" s="308">
        <v>6968</v>
      </c>
      <c r="H144" s="309">
        <v>2599</v>
      </c>
      <c r="I144" s="309">
        <v>18109832</v>
      </c>
      <c r="J144" s="211"/>
      <c r="K144" s="212" t="str">
        <f>IF(OR(J144="",G144=J144),"","*")</f>
        <v/>
      </c>
      <c r="L144" s="338" t="str">
        <f>IF($A144&lt;=L$1,I144/I$4,"")</f>
        <v/>
      </c>
      <c r="M144" s="343"/>
      <c r="N144" s="344"/>
      <c r="O144" s="310">
        <v>0</v>
      </c>
      <c r="P144" s="311">
        <v>0</v>
      </c>
      <c r="Q144" s="311">
        <v>0</v>
      </c>
      <c r="R144" s="211">
        <v>0</v>
      </c>
      <c r="S144" s="212"/>
      <c r="T144" s="213" t="e">
        <v>#DIV/0!</v>
      </c>
      <c r="U144" s="214"/>
      <c r="V144" s="215"/>
      <c r="W144" s="310">
        <v>0</v>
      </c>
      <c r="X144" s="311">
        <v>0</v>
      </c>
      <c r="Y144" s="311">
        <v>0</v>
      </c>
      <c r="Z144" s="211">
        <v>0</v>
      </c>
      <c r="AA144" s="212"/>
      <c r="AB144" s="213" t="e">
        <v>#DIV/0!</v>
      </c>
      <c r="AC144" s="214"/>
      <c r="AD144" s="215"/>
      <c r="AE144" s="342"/>
      <c r="AF144" s="341"/>
    </row>
    <row r="145" spans="1:32">
      <c r="A145" s="307">
        <v>4</v>
      </c>
      <c r="B145" s="342"/>
      <c r="C145" s="342" t="s">
        <v>187</v>
      </c>
      <c r="D145" s="340" t="s">
        <v>275</v>
      </c>
      <c r="E145" s="342"/>
      <c r="F145" s="345" t="s">
        <v>183</v>
      </c>
      <c r="G145" s="308">
        <v>1</v>
      </c>
      <c r="H145" s="309">
        <v>1144</v>
      </c>
      <c r="I145" s="309">
        <v>1144</v>
      </c>
      <c r="J145" s="211"/>
      <c r="K145" s="212" t="str">
        <f>IF(OR(J145="",G145=J145),"","*")</f>
        <v/>
      </c>
      <c r="L145" s="338" t="str">
        <f>IF($A145&lt;=L$1,I145/I$4,"")</f>
        <v/>
      </c>
      <c r="M145" s="343"/>
      <c r="N145" s="344"/>
      <c r="O145" s="310">
        <v>0</v>
      </c>
      <c r="P145" s="311">
        <v>0</v>
      </c>
      <c r="Q145" s="311">
        <v>0</v>
      </c>
      <c r="R145" s="211">
        <v>0</v>
      </c>
      <c r="S145" s="212"/>
      <c r="T145" s="213" t="e">
        <v>#DIV/0!</v>
      </c>
      <c r="U145" s="214"/>
      <c r="V145" s="215"/>
      <c r="W145" s="310">
        <v>0</v>
      </c>
      <c r="X145" s="311">
        <v>0</v>
      </c>
      <c r="Y145" s="311">
        <v>0</v>
      </c>
      <c r="Z145" s="211">
        <v>0</v>
      </c>
      <c r="AA145" s="212"/>
      <c r="AB145" s="213" t="e">
        <v>#DIV/0!</v>
      </c>
      <c r="AC145" s="214"/>
      <c r="AD145" s="215"/>
      <c r="AE145" s="342"/>
      <c r="AF145" s="341"/>
    </row>
    <row r="146" spans="1:32">
      <c r="A146" s="307">
        <v>3</v>
      </c>
      <c r="B146" s="342"/>
      <c r="C146" s="342" t="s">
        <v>244</v>
      </c>
      <c r="D146" s="340" t="s">
        <v>400</v>
      </c>
      <c r="E146" s="342" t="s">
        <v>182</v>
      </c>
      <c r="F146" s="345" t="s">
        <v>183</v>
      </c>
      <c r="G146" s="308">
        <v>1</v>
      </c>
      <c r="H146" s="309">
        <v>500000</v>
      </c>
      <c r="I146" s="309">
        <v>500000</v>
      </c>
      <c r="J146" s="211">
        <v>1</v>
      </c>
      <c r="K146" s="212" t="str">
        <f>IF(OR(J146="",G146=J146),"","*")</f>
        <v/>
      </c>
      <c r="L146" s="338">
        <f>IF($A146&lt;=L$1,I146/I$4,"")</f>
        <v>4.2517006802721092E-3</v>
      </c>
      <c r="M146" s="343"/>
      <c r="N146" s="344" t="s">
        <v>401</v>
      </c>
      <c r="O146" s="310">
        <v>0</v>
      </c>
      <c r="P146" s="311">
        <v>0</v>
      </c>
      <c r="Q146" s="311">
        <v>0</v>
      </c>
      <c r="R146" s="211">
        <v>0</v>
      </c>
      <c r="S146" s="212"/>
      <c r="T146" s="213" t="e">
        <v>#DIV/0!</v>
      </c>
      <c r="U146" s="214"/>
      <c r="V146" s="215"/>
      <c r="W146" s="310">
        <v>0</v>
      </c>
      <c r="X146" s="311">
        <v>0</v>
      </c>
      <c r="Y146" s="311">
        <v>0</v>
      </c>
      <c r="Z146" s="211">
        <v>0</v>
      </c>
      <c r="AA146" s="212"/>
      <c r="AB146" s="213" t="e">
        <v>#DIV/0!</v>
      </c>
      <c r="AC146" s="214"/>
      <c r="AD146" s="215"/>
      <c r="AE146" s="342"/>
      <c r="AF146" s="341"/>
    </row>
    <row r="147" spans="1:32">
      <c r="A147" s="307">
        <v>4</v>
      </c>
      <c r="B147" s="342"/>
      <c r="C147" s="342" t="s">
        <v>189</v>
      </c>
      <c r="D147" s="340" t="s">
        <v>402</v>
      </c>
      <c r="E147" s="342" t="s">
        <v>398</v>
      </c>
      <c r="F147" s="345" t="s">
        <v>183</v>
      </c>
      <c r="G147" s="308">
        <v>1</v>
      </c>
      <c r="H147" s="309">
        <v>500000</v>
      </c>
      <c r="I147" s="309">
        <v>500000</v>
      </c>
      <c r="J147" s="211"/>
      <c r="K147" s="212" t="str">
        <f>IF(OR(J147="",G147=J147),"","*")</f>
        <v/>
      </c>
      <c r="L147" s="338" t="str">
        <f>IF($A147&lt;=L$1,I147/I$4,"")</f>
        <v/>
      </c>
      <c r="M147" s="343"/>
      <c r="N147" s="344"/>
      <c r="O147" s="310">
        <v>0</v>
      </c>
      <c r="P147" s="311">
        <v>0</v>
      </c>
      <c r="Q147" s="311">
        <v>0</v>
      </c>
      <c r="R147" s="211">
        <v>0</v>
      </c>
      <c r="S147" s="212"/>
      <c r="T147" s="213" t="e">
        <v>#DIV/0!</v>
      </c>
      <c r="U147" s="214"/>
      <c r="V147" s="215"/>
      <c r="W147" s="310">
        <v>0</v>
      </c>
      <c r="X147" s="311">
        <v>0</v>
      </c>
      <c r="Y147" s="311">
        <v>0</v>
      </c>
      <c r="Z147" s="211">
        <v>0</v>
      </c>
      <c r="AA147" s="212"/>
      <c r="AB147" s="213" t="e">
        <v>#DIV/0!</v>
      </c>
      <c r="AC147" s="214"/>
      <c r="AD147" s="215"/>
      <c r="AE147" s="342"/>
      <c r="AF147" s="341"/>
    </row>
    <row r="148" spans="1:32">
      <c r="A148" s="307">
        <v>3</v>
      </c>
      <c r="B148" s="342"/>
      <c r="C148" s="342" t="s">
        <v>244</v>
      </c>
      <c r="D148" s="340" t="s">
        <v>403</v>
      </c>
      <c r="E148" s="342" t="s">
        <v>179</v>
      </c>
      <c r="F148" s="345" t="s">
        <v>169</v>
      </c>
      <c r="G148" s="308">
        <v>0</v>
      </c>
      <c r="H148" s="309">
        <v>0</v>
      </c>
      <c r="I148" s="309">
        <v>0</v>
      </c>
      <c r="J148" s="211">
        <v>0</v>
      </c>
      <c r="K148" s="212" t="str">
        <f>IF(OR(J148="",G148=J148),"","*")</f>
        <v/>
      </c>
      <c r="L148" s="338">
        <f>IF($A148&lt;=L$1,I148/I$4,"")</f>
        <v>0</v>
      </c>
      <c r="M148" s="343"/>
      <c r="N148" s="344" t="s">
        <v>404</v>
      </c>
      <c r="O148" s="310">
        <v>0</v>
      </c>
      <c r="P148" s="311">
        <v>0</v>
      </c>
      <c r="Q148" s="311">
        <v>0</v>
      </c>
      <c r="R148" s="211">
        <v>0</v>
      </c>
      <c r="S148" s="212"/>
      <c r="T148" s="213" t="e">
        <v>#DIV/0!</v>
      </c>
      <c r="U148" s="214"/>
      <c r="V148" s="215"/>
      <c r="W148" s="310">
        <v>0</v>
      </c>
      <c r="X148" s="311">
        <v>0</v>
      </c>
      <c r="Y148" s="311">
        <v>0</v>
      </c>
      <c r="Z148" s="211">
        <v>0</v>
      </c>
      <c r="AA148" s="212"/>
      <c r="AB148" s="213" t="e">
        <v>#DIV/0!</v>
      </c>
      <c r="AC148" s="214"/>
      <c r="AD148" s="215"/>
      <c r="AE148" s="342"/>
      <c r="AF148" s="341"/>
    </row>
    <row r="149" spans="1:32">
      <c r="A149" s="307">
        <v>4</v>
      </c>
      <c r="B149" s="342"/>
      <c r="C149" s="342" t="s">
        <v>187</v>
      </c>
      <c r="D149" s="340" t="s">
        <v>290</v>
      </c>
      <c r="E149" s="342" t="s">
        <v>291</v>
      </c>
      <c r="F149" s="345" t="s">
        <v>292</v>
      </c>
      <c r="G149" s="308">
        <v>56</v>
      </c>
      <c r="H149" s="309">
        <v>500</v>
      </c>
      <c r="I149" s="309">
        <v>28000</v>
      </c>
      <c r="J149" s="211"/>
      <c r="K149" s="212" t="str">
        <f>IF(OR(J149="",G149=J149),"","*")</f>
        <v/>
      </c>
      <c r="L149" s="338" t="str">
        <f>IF($A149&lt;=L$1,I149/I$4,"")</f>
        <v/>
      </c>
      <c r="M149" s="343"/>
      <c r="N149" s="344"/>
      <c r="O149" s="310">
        <v>0</v>
      </c>
      <c r="P149" s="311">
        <v>0</v>
      </c>
      <c r="Q149" s="311">
        <v>0</v>
      </c>
      <c r="R149" s="211">
        <v>0</v>
      </c>
      <c r="S149" s="212"/>
      <c r="T149" s="213" t="e">
        <v>#DIV/0!</v>
      </c>
      <c r="U149" s="214"/>
      <c r="V149" s="215"/>
      <c r="W149" s="310">
        <v>0</v>
      </c>
      <c r="X149" s="311">
        <v>0</v>
      </c>
      <c r="Y149" s="311">
        <v>0</v>
      </c>
      <c r="Z149" s="211">
        <v>0</v>
      </c>
      <c r="AA149" s="212"/>
      <c r="AB149" s="213" t="e">
        <v>#DIV/0!</v>
      </c>
      <c r="AC149" s="214"/>
      <c r="AD149" s="215"/>
      <c r="AE149" s="342" t="s">
        <v>293</v>
      </c>
      <c r="AF149" s="341" t="s">
        <v>405</v>
      </c>
    </row>
    <row r="150" spans="1:32">
      <c r="A150" s="307">
        <v>4</v>
      </c>
      <c r="B150" s="342"/>
      <c r="C150" s="342" t="s">
        <v>188</v>
      </c>
      <c r="D150" s="340" t="s">
        <v>249</v>
      </c>
      <c r="E150" s="342"/>
      <c r="F150" s="345" t="s">
        <v>250</v>
      </c>
      <c r="G150" s="308">
        <v>1</v>
      </c>
      <c r="H150" s="309">
        <v>30000</v>
      </c>
      <c r="I150" s="309">
        <v>30000</v>
      </c>
      <c r="J150" s="211"/>
      <c r="K150" s="212" t="str">
        <f>IF(OR(J150="",G150=J150),"","*")</f>
        <v/>
      </c>
      <c r="L150" s="338" t="str">
        <f>IF($A150&lt;=L$1,I150/I$4,"")</f>
        <v/>
      </c>
      <c r="M150" s="343"/>
      <c r="N150" s="344"/>
      <c r="O150" s="310">
        <v>0</v>
      </c>
      <c r="P150" s="311">
        <v>0</v>
      </c>
      <c r="Q150" s="311">
        <v>0</v>
      </c>
      <c r="R150" s="211">
        <v>0</v>
      </c>
      <c r="S150" s="212"/>
      <c r="T150" s="213" t="e">
        <v>#DIV/0!</v>
      </c>
      <c r="U150" s="214"/>
      <c r="V150" s="215"/>
      <c r="W150" s="310">
        <v>0</v>
      </c>
      <c r="X150" s="311">
        <v>0</v>
      </c>
      <c r="Y150" s="311">
        <v>0</v>
      </c>
      <c r="Z150" s="211">
        <v>0</v>
      </c>
      <c r="AA150" s="212"/>
      <c r="AB150" s="213" t="e">
        <v>#DIV/0!</v>
      </c>
      <c r="AC150" s="214"/>
      <c r="AD150" s="215"/>
      <c r="AE150" s="342" t="s">
        <v>251</v>
      </c>
      <c r="AF150" s="341"/>
    </row>
    <row r="151" spans="1:32">
      <c r="A151" s="307">
        <v>4</v>
      </c>
      <c r="B151" s="342"/>
      <c r="C151" s="342" t="s">
        <v>188</v>
      </c>
      <c r="D151" s="340" t="s">
        <v>253</v>
      </c>
      <c r="E151" s="342"/>
      <c r="F151" s="345" t="s">
        <v>250</v>
      </c>
      <c r="G151" s="308">
        <v>5</v>
      </c>
      <c r="H151" s="309">
        <v>21000</v>
      </c>
      <c r="I151" s="309">
        <v>105000</v>
      </c>
      <c r="J151" s="211"/>
      <c r="K151" s="212" t="str">
        <f>IF(OR(J151="",G151=J151),"","*")</f>
        <v/>
      </c>
      <c r="L151" s="338" t="str">
        <f>IF($A151&lt;=L$1,I151/I$4,"")</f>
        <v/>
      </c>
      <c r="M151" s="343"/>
      <c r="N151" s="344"/>
      <c r="O151" s="310">
        <v>0</v>
      </c>
      <c r="P151" s="311">
        <v>0</v>
      </c>
      <c r="Q151" s="311">
        <v>0</v>
      </c>
      <c r="R151" s="211">
        <v>0</v>
      </c>
      <c r="S151" s="212"/>
      <c r="T151" s="213" t="e">
        <v>#DIV/0!</v>
      </c>
      <c r="U151" s="214"/>
      <c r="V151" s="215"/>
      <c r="W151" s="310">
        <v>0</v>
      </c>
      <c r="X151" s="311">
        <v>0</v>
      </c>
      <c r="Y151" s="311">
        <v>0</v>
      </c>
      <c r="Z151" s="211">
        <v>0</v>
      </c>
      <c r="AA151" s="212"/>
      <c r="AB151" s="213" t="e">
        <v>#DIV/0!</v>
      </c>
      <c r="AC151" s="214"/>
      <c r="AD151" s="215"/>
      <c r="AE151" s="342" t="s">
        <v>254</v>
      </c>
      <c r="AF151" s="341"/>
    </row>
    <row r="152" spans="1:32">
      <c r="A152" s="307">
        <v>4</v>
      </c>
      <c r="B152" s="342"/>
      <c r="C152" s="342" t="s">
        <v>190</v>
      </c>
      <c r="D152" s="340" t="s">
        <v>265</v>
      </c>
      <c r="E152" s="342"/>
      <c r="F152" s="345" t="s">
        <v>258</v>
      </c>
      <c r="G152" s="308">
        <v>1</v>
      </c>
      <c r="H152" s="309">
        <v>1000</v>
      </c>
      <c r="I152" s="309">
        <v>1000</v>
      </c>
      <c r="J152" s="211"/>
      <c r="K152" s="212" t="str">
        <f>IF(OR(J152="",G152=J152),"","*")</f>
        <v/>
      </c>
      <c r="L152" s="338" t="str">
        <f>IF($A152&lt;=L$1,I152/I$4,"")</f>
        <v/>
      </c>
      <c r="M152" s="343"/>
      <c r="N152" s="344"/>
      <c r="O152" s="310">
        <v>0</v>
      </c>
      <c r="P152" s="311">
        <v>0</v>
      </c>
      <c r="Q152" s="311">
        <v>0</v>
      </c>
      <c r="R152" s="211">
        <v>0</v>
      </c>
      <c r="S152" s="212"/>
      <c r="T152" s="213" t="e">
        <v>#DIV/0!</v>
      </c>
      <c r="U152" s="214"/>
      <c r="V152" s="215"/>
      <c r="W152" s="310">
        <v>0</v>
      </c>
      <c r="X152" s="311">
        <v>0</v>
      </c>
      <c r="Y152" s="311">
        <v>0</v>
      </c>
      <c r="Z152" s="211">
        <v>0</v>
      </c>
      <c r="AA152" s="212"/>
      <c r="AB152" s="213" t="e">
        <v>#DIV/0!</v>
      </c>
      <c r="AC152" s="214"/>
      <c r="AD152" s="215"/>
      <c r="AE152" s="342" t="s">
        <v>266</v>
      </c>
      <c r="AF152" s="341"/>
    </row>
    <row r="153" spans="1:32">
      <c r="A153" s="307">
        <v>4</v>
      </c>
      <c r="B153" s="342"/>
      <c r="C153" s="342" t="s">
        <v>190</v>
      </c>
      <c r="D153" s="340" t="s">
        <v>267</v>
      </c>
      <c r="E153" s="342"/>
      <c r="F153" s="345" t="s">
        <v>258</v>
      </c>
      <c r="G153" s="308">
        <v>1</v>
      </c>
      <c r="H153" s="309">
        <v>1000</v>
      </c>
      <c r="I153" s="309">
        <v>1000</v>
      </c>
      <c r="J153" s="211"/>
      <c r="K153" s="212" t="str">
        <f>IF(OR(J153="",G153=J153),"","*")</f>
        <v/>
      </c>
      <c r="L153" s="338" t="str">
        <f>IF($A153&lt;=L$1,I153/I$4,"")</f>
        <v/>
      </c>
      <c r="M153" s="343"/>
      <c r="N153" s="344"/>
      <c r="O153" s="310">
        <v>0</v>
      </c>
      <c r="P153" s="311">
        <v>0</v>
      </c>
      <c r="Q153" s="311">
        <v>0</v>
      </c>
      <c r="R153" s="211">
        <v>0</v>
      </c>
      <c r="S153" s="212"/>
      <c r="T153" s="213" t="e">
        <v>#DIV/0!</v>
      </c>
      <c r="U153" s="214"/>
      <c r="V153" s="215"/>
      <c r="W153" s="310">
        <v>0</v>
      </c>
      <c r="X153" s="311">
        <v>0</v>
      </c>
      <c r="Y153" s="311">
        <v>0</v>
      </c>
      <c r="Z153" s="211">
        <v>0</v>
      </c>
      <c r="AA153" s="212"/>
      <c r="AB153" s="213" t="e">
        <v>#DIV/0!</v>
      </c>
      <c r="AC153" s="214"/>
      <c r="AD153" s="215"/>
      <c r="AE153" s="342" t="s">
        <v>268</v>
      </c>
      <c r="AF153" s="341"/>
    </row>
    <row r="154" spans="1:32">
      <c r="A154" s="307">
        <v>4</v>
      </c>
      <c r="B154" s="342"/>
      <c r="C154" s="342" t="s">
        <v>190</v>
      </c>
      <c r="D154" s="340" t="s">
        <v>260</v>
      </c>
      <c r="E154" s="342"/>
      <c r="F154" s="345" t="s">
        <v>258</v>
      </c>
      <c r="G154" s="308">
        <v>1</v>
      </c>
      <c r="H154" s="309">
        <v>8000</v>
      </c>
      <c r="I154" s="309">
        <v>8000</v>
      </c>
      <c r="J154" s="211"/>
      <c r="K154" s="212" t="str">
        <f>IF(OR(J154="",G154=J154),"","*")</f>
        <v/>
      </c>
      <c r="L154" s="338" t="str">
        <f>IF($A154&lt;=L$1,I154/I$4,"")</f>
        <v/>
      </c>
      <c r="M154" s="343"/>
      <c r="N154" s="344"/>
      <c r="O154" s="310">
        <v>0</v>
      </c>
      <c r="P154" s="311">
        <v>0</v>
      </c>
      <c r="Q154" s="311">
        <v>0</v>
      </c>
      <c r="R154" s="211">
        <v>0</v>
      </c>
      <c r="S154" s="212"/>
      <c r="T154" s="213" t="e">
        <v>#DIV/0!</v>
      </c>
      <c r="U154" s="214"/>
      <c r="V154" s="215"/>
      <c r="W154" s="310">
        <v>0</v>
      </c>
      <c r="X154" s="311">
        <v>0</v>
      </c>
      <c r="Y154" s="311">
        <v>0</v>
      </c>
      <c r="Z154" s="211">
        <v>0</v>
      </c>
      <c r="AA154" s="212"/>
      <c r="AB154" s="213" t="e">
        <v>#DIV/0!</v>
      </c>
      <c r="AC154" s="214"/>
      <c r="AD154" s="215"/>
      <c r="AE154" s="342" t="s">
        <v>261</v>
      </c>
      <c r="AF154" s="341"/>
    </row>
    <row r="155" spans="1:32">
      <c r="A155" s="307">
        <v>4</v>
      </c>
      <c r="B155" s="342"/>
      <c r="C155" s="342" t="s">
        <v>187</v>
      </c>
      <c r="D155" s="340" t="s">
        <v>275</v>
      </c>
      <c r="E155" s="342"/>
      <c r="F155" s="345" t="s">
        <v>183</v>
      </c>
      <c r="G155" s="308">
        <v>1</v>
      </c>
      <c r="H155" s="309">
        <v>7000</v>
      </c>
      <c r="I155" s="309">
        <v>7000</v>
      </c>
      <c r="J155" s="211"/>
      <c r="K155" s="212" t="str">
        <f>IF(OR(J155="",G155=J155),"","*")</f>
        <v/>
      </c>
      <c r="L155" s="338" t="str">
        <f>IF($A155&lt;=L$1,I155/I$4,"")</f>
        <v/>
      </c>
      <c r="M155" s="343"/>
      <c r="N155" s="344"/>
      <c r="O155" s="310">
        <v>0</v>
      </c>
      <c r="P155" s="311">
        <v>0</v>
      </c>
      <c r="Q155" s="311">
        <v>0</v>
      </c>
      <c r="R155" s="211">
        <v>0</v>
      </c>
      <c r="S155" s="212"/>
      <c r="T155" s="213" t="e">
        <v>#DIV/0!</v>
      </c>
      <c r="U155" s="214"/>
      <c r="V155" s="215"/>
      <c r="W155" s="310">
        <v>0</v>
      </c>
      <c r="X155" s="311">
        <v>0</v>
      </c>
      <c r="Y155" s="311">
        <v>0</v>
      </c>
      <c r="Z155" s="211">
        <v>0</v>
      </c>
      <c r="AA155" s="212"/>
      <c r="AB155" s="213" t="e">
        <v>#DIV/0!</v>
      </c>
      <c r="AC155" s="214"/>
      <c r="AD155" s="215"/>
      <c r="AE155" s="342" t="s">
        <v>276</v>
      </c>
      <c r="AF155" s="341"/>
    </row>
    <row r="156" spans="1:32">
      <c r="A156" s="307">
        <v>3</v>
      </c>
      <c r="B156" s="342"/>
      <c r="C156" s="342" t="s">
        <v>244</v>
      </c>
      <c r="D156" s="340" t="s">
        <v>406</v>
      </c>
      <c r="E156" s="342" t="s">
        <v>184</v>
      </c>
      <c r="F156" s="345" t="s">
        <v>169</v>
      </c>
      <c r="G156" s="308">
        <v>2741</v>
      </c>
      <c r="H156" s="309">
        <v>302</v>
      </c>
      <c r="I156" s="309">
        <v>827782</v>
      </c>
      <c r="J156" s="211">
        <v>2741</v>
      </c>
      <c r="K156" s="212" t="str">
        <f>IF(OR(J156="",G156=J156),"","*")</f>
        <v/>
      </c>
      <c r="L156" s="338">
        <f>IF($A156&lt;=L$1,I156/I$4,"")</f>
        <v>7.0389625850340136E-3</v>
      </c>
      <c r="M156" s="343"/>
      <c r="N156" s="344" t="s">
        <v>407</v>
      </c>
      <c r="O156" s="310">
        <v>0</v>
      </c>
      <c r="P156" s="311">
        <v>0</v>
      </c>
      <c r="Q156" s="311">
        <v>0</v>
      </c>
      <c r="R156" s="211">
        <v>0</v>
      </c>
      <c r="S156" s="212"/>
      <c r="T156" s="213" t="e">
        <v>#DIV/0!</v>
      </c>
      <c r="U156" s="214"/>
      <c r="V156" s="215"/>
      <c r="W156" s="310">
        <v>0</v>
      </c>
      <c r="X156" s="311">
        <v>0</v>
      </c>
      <c r="Y156" s="311">
        <v>0</v>
      </c>
      <c r="Z156" s="211">
        <v>0</v>
      </c>
      <c r="AA156" s="212"/>
      <c r="AB156" s="213" t="e">
        <v>#DIV/0!</v>
      </c>
      <c r="AC156" s="214"/>
      <c r="AD156" s="215"/>
      <c r="AE156" s="342"/>
      <c r="AF156" s="341"/>
    </row>
    <row r="157" spans="1:32">
      <c r="A157" s="307">
        <v>4</v>
      </c>
      <c r="B157" s="342"/>
      <c r="C157" s="342" t="s">
        <v>189</v>
      </c>
      <c r="D157" s="340" t="s">
        <v>408</v>
      </c>
      <c r="E157" s="342" t="s">
        <v>398</v>
      </c>
      <c r="F157" s="345" t="s">
        <v>169</v>
      </c>
      <c r="G157" s="308">
        <v>2741</v>
      </c>
      <c r="H157" s="309">
        <v>300</v>
      </c>
      <c r="I157" s="309">
        <v>822300</v>
      </c>
      <c r="J157" s="211"/>
      <c r="K157" s="212" t="str">
        <f>IF(OR(J157="",G157=J157),"","*")</f>
        <v/>
      </c>
      <c r="L157" s="338" t="str">
        <f>IF($A157&lt;=L$1,I157/I$4,"")</f>
        <v/>
      </c>
      <c r="M157" s="343"/>
      <c r="N157" s="344"/>
      <c r="O157" s="310">
        <v>0</v>
      </c>
      <c r="P157" s="311">
        <v>0</v>
      </c>
      <c r="Q157" s="311">
        <v>0</v>
      </c>
      <c r="R157" s="211">
        <v>0</v>
      </c>
      <c r="S157" s="212"/>
      <c r="T157" s="213" t="e">
        <v>#DIV/0!</v>
      </c>
      <c r="U157" s="214"/>
      <c r="V157" s="215"/>
      <c r="W157" s="310">
        <v>0</v>
      </c>
      <c r="X157" s="311">
        <v>0</v>
      </c>
      <c r="Y157" s="311">
        <v>0</v>
      </c>
      <c r="Z157" s="211">
        <v>0</v>
      </c>
      <c r="AA157" s="212"/>
      <c r="AB157" s="213" t="e">
        <v>#DIV/0!</v>
      </c>
      <c r="AC157" s="214"/>
      <c r="AD157" s="215"/>
      <c r="AE157" s="342"/>
      <c r="AF157" s="341"/>
    </row>
    <row r="158" spans="1:32">
      <c r="A158" s="307">
        <v>4</v>
      </c>
      <c r="B158" s="342"/>
      <c r="C158" s="342" t="s">
        <v>187</v>
      </c>
      <c r="D158" s="340" t="s">
        <v>275</v>
      </c>
      <c r="E158" s="342"/>
      <c r="F158" s="345" t="s">
        <v>183</v>
      </c>
      <c r="G158" s="308">
        <v>1</v>
      </c>
      <c r="H158" s="309">
        <v>7700</v>
      </c>
      <c r="I158" s="309">
        <v>7700</v>
      </c>
      <c r="J158" s="211"/>
      <c r="K158" s="212" t="str">
        <f>IF(OR(J158="",G158=J158),"","*")</f>
        <v/>
      </c>
      <c r="L158" s="338" t="str">
        <f>IF($A158&lt;=L$1,I158/I$4,"")</f>
        <v/>
      </c>
      <c r="M158" s="343"/>
      <c r="N158" s="344"/>
      <c r="O158" s="310">
        <v>0</v>
      </c>
      <c r="P158" s="311">
        <v>0</v>
      </c>
      <c r="Q158" s="311">
        <v>0</v>
      </c>
      <c r="R158" s="211">
        <v>0</v>
      </c>
      <c r="S158" s="212"/>
      <c r="T158" s="213" t="e">
        <v>#DIV/0!</v>
      </c>
      <c r="U158" s="214"/>
      <c r="V158" s="215"/>
      <c r="W158" s="310">
        <v>0</v>
      </c>
      <c r="X158" s="311">
        <v>0</v>
      </c>
      <c r="Y158" s="311">
        <v>0</v>
      </c>
      <c r="Z158" s="211">
        <v>0</v>
      </c>
      <c r="AA158" s="212"/>
      <c r="AB158" s="213" t="e">
        <v>#DIV/0!</v>
      </c>
      <c r="AC158" s="214"/>
      <c r="AD158" s="215"/>
      <c r="AE158" s="342" t="s">
        <v>276</v>
      </c>
      <c r="AF158" s="341"/>
    </row>
    <row r="159" spans="1:32">
      <c r="A159" s="307">
        <v>2</v>
      </c>
      <c r="B159" s="342"/>
      <c r="C159" s="342" t="s">
        <v>244</v>
      </c>
      <c r="D159" s="340" t="s">
        <v>409</v>
      </c>
      <c r="E159" s="342"/>
      <c r="F159" s="345" t="s">
        <v>183</v>
      </c>
      <c r="G159" s="308">
        <v>1</v>
      </c>
      <c r="H159" s="309">
        <v>26208120</v>
      </c>
      <c r="I159" s="309">
        <v>26208120</v>
      </c>
      <c r="J159" s="211">
        <v>1</v>
      </c>
      <c r="K159" s="212" t="str">
        <f>IF(OR(J159="",G159=J159),"","*")</f>
        <v/>
      </c>
      <c r="L159" s="338">
        <f>IF($A159&lt;=L$1,I159/I$4,"")</f>
        <v>0.22285816326530614</v>
      </c>
      <c r="M159" s="343"/>
      <c r="N159" s="344" t="s">
        <v>410</v>
      </c>
      <c r="O159" s="310">
        <v>0</v>
      </c>
      <c r="P159" s="311">
        <v>0</v>
      </c>
      <c r="Q159" s="311">
        <v>0</v>
      </c>
      <c r="R159" s="211">
        <v>0</v>
      </c>
      <c r="S159" s="212"/>
      <c r="T159" s="213" t="e">
        <v>#DIV/0!</v>
      </c>
      <c r="U159" s="214"/>
      <c r="V159" s="215"/>
      <c r="W159" s="310">
        <v>0</v>
      </c>
      <c r="X159" s="311">
        <v>0</v>
      </c>
      <c r="Y159" s="311">
        <v>0</v>
      </c>
      <c r="Z159" s="211">
        <v>0</v>
      </c>
      <c r="AA159" s="212"/>
      <c r="AB159" s="213" t="e">
        <v>#DIV/0!</v>
      </c>
      <c r="AC159" s="214"/>
      <c r="AD159" s="215"/>
      <c r="AE159" s="342"/>
      <c r="AF159" s="341"/>
    </row>
    <row r="160" spans="1:32">
      <c r="A160" s="307">
        <v>3</v>
      </c>
      <c r="B160" s="342"/>
      <c r="C160" s="342" t="s">
        <v>244</v>
      </c>
      <c r="D160" s="340" t="s">
        <v>411</v>
      </c>
      <c r="E160" s="342" t="s">
        <v>185</v>
      </c>
      <c r="F160" s="345" t="s">
        <v>186</v>
      </c>
      <c r="G160" s="308">
        <v>40</v>
      </c>
      <c r="H160" s="309">
        <v>491750</v>
      </c>
      <c r="I160" s="309">
        <v>19670000</v>
      </c>
      <c r="J160" s="211">
        <v>40</v>
      </c>
      <c r="K160" s="212" t="str">
        <f>IF(OR(J160="",G160=J160),"","*")</f>
        <v/>
      </c>
      <c r="L160" s="338">
        <f>IF($A160&lt;=L$1,I160/I$4,"")</f>
        <v>0.16726190476190475</v>
      </c>
      <c r="M160" s="343"/>
      <c r="N160" s="344" t="s">
        <v>412</v>
      </c>
      <c r="O160" s="310">
        <v>0</v>
      </c>
      <c r="P160" s="311">
        <v>0</v>
      </c>
      <c r="Q160" s="311">
        <v>0</v>
      </c>
      <c r="R160" s="211">
        <v>0</v>
      </c>
      <c r="S160" s="212"/>
      <c r="T160" s="213" t="e">
        <v>#DIV/0!</v>
      </c>
      <c r="U160" s="214"/>
      <c r="V160" s="215"/>
      <c r="W160" s="310">
        <v>0</v>
      </c>
      <c r="X160" s="311">
        <v>0</v>
      </c>
      <c r="Y160" s="311">
        <v>0</v>
      </c>
      <c r="Z160" s="211">
        <v>0</v>
      </c>
      <c r="AA160" s="212"/>
      <c r="AB160" s="213" t="e">
        <v>#DIV/0!</v>
      </c>
      <c r="AC160" s="214"/>
      <c r="AD160" s="215"/>
      <c r="AE160" s="342"/>
      <c r="AF160" s="341"/>
    </row>
    <row r="161" spans="1:32">
      <c r="A161" s="307">
        <v>4</v>
      </c>
      <c r="B161" s="342"/>
      <c r="C161" s="342" t="s">
        <v>189</v>
      </c>
      <c r="D161" s="340" t="s">
        <v>413</v>
      </c>
      <c r="E161" s="342" t="s">
        <v>398</v>
      </c>
      <c r="F161" s="345" t="s">
        <v>183</v>
      </c>
      <c r="G161" s="308">
        <v>1</v>
      </c>
      <c r="H161" s="309">
        <v>19670000</v>
      </c>
      <c r="I161" s="309">
        <v>19670000</v>
      </c>
      <c r="J161" s="211"/>
      <c r="K161" s="212" t="str">
        <f>IF(OR(J161="",G161=J161),"","*")</f>
        <v/>
      </c>
      <c r="L161" s="338" t="str">
        <f>IF($A161&lt;=L$1,I161/I$4,"")</f>
        <v/>
      </c>
      <c r="M161" s="343"/>
      <c r="N161" s="344"/>
      <c r="O161" s="310">
        <v>0</v>
      </c>
      <c r="P161" s="311">
        <v>0</v>
      </c>
      <c r="Q161" s="311">
        <v>0</v>
      </c>
      <c r="R161" s="211">
        <v>0</v>
      </c>
      <c r="S161" s="212"/>
      <c r="T161" s="213" t="e">
        <v>#DIV/0!</v>
      </c>
      <c r="U161" s="214"/>
      <c r="V161" s="215"/>
      <c r="W161" s="310">
        <v>0</v>
      </c>
      <c r="X161" s="311">
        <v>0</v>
      </c>
      <c r="Y161" s="311">
        <v>0</v>
      </c>
      <c r="Z161" s="211">
        <v>0</v>
      </c>
      <c r="AA161" s="212"/>
      <c r="AB161" s="213" t="e">
        <v>#DIV/0!</v>
      </c>
      <c r="AC161" s="214"/>
      <c r="AD161" s="215"/>
      <c r="AE161" s="342"/>
      <c r="AF161" s="341"/>
    </row>
    <row r="162" spans="1:32">
      <c r="A162" s="307">
        <v>3</v>
      </c>
      <c r="B162" s="342"/>
      <c r="C162" s="342" t="s">
        <v>244</v>
      </c>
      <c r="D162" s="340" t="s">
        <v>414</v>
      </c>
      <c r="E162" s="342" t="s">
        <v>415</v>
      </c>
      <c r="F162" s="345" t="s">
        <v>169</v>
      </c>
      <c r="G162" s="308">
        <v>4127</v>
      </c>
      <c r="H162" s="309">
        <v>1560</v>
      </c>
      <c r="I162" s="309">
        <v>6438120</v>
      </c>
      <c r="J162" s="211">
        <v>4127</v>
      </c>
      <c r="K162" s="212" t="str">
        <f>IF(OR(J162="",G162=J162),"","*")</f>
        <v/>
      </c>
      <c r="L162" s="338">
        <f>IF($A162&lt;=L$1,I162/I$4,"")</f>
        <v>5.4745918367346942E-2</v>
      </c>
      <c r="M162" s="343"/>
      <c r="N162" s="344" t="s">
        <v>416</v>
      </c>
      <c r="O162" s="310">
        <v>0</v>
      </c>
      <c r="P162" s="311">
        <v>0</v>
      </c>
      <c r="Q162" s="311">
        <v>0</v>
      </c>
      <c r="R162" s="211">
        <v>0</v>
      </c>
      <c r="S162" s="212"/>
      <c r="T162" s="213" t="e">
        <v>#DIV/0!</v>
      </c>
      <c r="U162" s="214"/>
      <c r="V162" s="215"/>
      <c r="W162" s="310">
        <v>0</v>
      </c>
      <c r="X162" s="311">
        <v>0</v>
      </c>
      <c r="Y162" s="311">
        <v>0</v>
      </c>
      <c r="Z162" s="211">
        <v>0</v>
      </c>
      <c r="AA162" s="212"/>
      <c r="AB162" s="213" t="e">
        <v>#DIV/0!</v>
      </c>
      <c r="AC162" s="214"/>
      <c r="AD162" s="215"/>
      <c r="AE162" s="342"/>
      <c r="AF162" s="341" t="s">
        <v>417</v>
      </c>
    </row>
    <row r="163" spans="1:32">
      <c r="A163" s="307">
        <v>4</v>
      </c>
      <c r="B163" s="342"/>
      <c r="C163" s="342" t="s">
        <v>189</v>
      </c>
      <c r="D163" s="340" t="s">
        <v>418</v>
      </c>
      <c r="E163" s="342" t="s">
        <v>398</v>
      </c>
      <c r="F163" s="345" t="s">
        <v>183</v>
      </c>
      <c r="G163" s="308">
        <v>1</v>
      </c>
      <c r="H163" s="309">
        <v>6440000</v>
      </c>
      <c r="I163" s="309">
        <v>6440000</v>
      </c>
      <c r="J163" s="211"/>
      <c r="K163" s="212" t="str">
        <f>IF(OR(J163="",G163=J163),"","*")</f>
        <v/>
      </c>
      <c r="L163" s="338" t="str">
        <f>IF($A163&lt;=L$1,I163/I$4,"")</f>
        <v/>
      </c>
      <c r="M163" s="343"/>
      <c r="N163" s="344"/>
      <c r="O163" s="310">
        <v>0</v>
      </c>
      <c r="P163" s="311">
        <v>0</v>
      </c>
      <c r="Q163" s="311">
        <v>0</v>
      </c>
      <c r="R163" s="211">
        <v>0</v>
      </c>
      <c r="S163" s="212"/>
      <c r="T163" s="213" t="e">
        <v>#DIV/0!</v>
      </c>
      <c r="U163" s="214"/>
      <c r="V163" s="215"/>
      <c r="W163" s="310">
        <v>0</v>
      </c>
      <c r="X163" s="311">
        <v>0</v>
      </c>
      <c r="Y163" s="311">
        <v>0</v>
      </c>
      <c r="Z163" s="211">
        <v>0</v>
      </c>
      <c r="AA163" s="212"/>
      <c r="AB163" s="213" t="e">
        <v>#DIV/0!</v>
      </c>
      <c r="AC163" s="214"/>
      <c r="AD163" s="215"/>
      <c r="AE163" s="342"/>
      <c r="AF163" s="341"/>
    </row>
    <row r="164" spans="1:32">
      <c r="A164" s="307">
        <v>3</v>
      </c>
      <c r="B164" s="342"/>
      <c r="C164" s="342" t="s">
        <v>244</v>
      </c>
      <c r="D164" s="340" t="s">
        <v>419</v>
      </c>
      <c r="E164" s="342" t="s">
        <v>420</v>
      </c>
      <c r="F164" s="345" t="s">
        <v>171</v>
      </c>
      <c r="G164" s="308">
        <v>2</v>
      </c>
      <c r="H164" s="309">
        <v>50000</v>
      </c>
      <c r="I164" s="309">
        <v>100000</v>
      </c>
      <c r="J164" s="211">
        <v>2</v>
      </c>
      <c r="K164" s="212" t="str">
        <f>IF(OR(J164="",G164=J164),"","*")</f>
        <v/>
      </c>
      <c r="L164" s="338">
        <f>IF($A164&lt;=L$1,I164/I$4,"")</f>
        <v>8.5034013605442174E-4</v>
      </c>
      <c r="M164" s="343"/>
      <c r="N164" s="344" t="s">
        <v>421</v>
      </c>
      <c r="O164" s="310">
        <v>0</v>
      </c>
      <c r="P164" s="311">
        <v>0</v>
      </c>
      <c r="Q164" s="311">
        <v>0</v>
      </c>
      <c r="R164" s="211">
        <v>0</v>
      </c>
      <c r="S164" s="212"/>
      <c r="T164" s="213" t="e">
        <v>#DIV/0!</v>
      </c>
      <c r="U164" s="214"/>
      <c r="V164" s="215"/>
      <c r="W164" s="310">
        <v>0</v>
      </c>
      <c r="X164" s="311">
        <v>0</v>
      </c>
      <c r="Y164" s="311">
        <v>0</v>
      </c>
      <c r="Z164" s="211">
        <v>0</v>
      </c>
      <c r="AA164" s="212"/>
      <c r="AB164" s="213" t="e">
        <v>#DIV/0!</v>
      </c>
      <c r="AC164" s="214"/>
      <c r="AD164" s="215"/>
      <c r="AE164" s="342"/>
      <c r="AF164" s="341"/>
    </row>
    <row r="165" spans="1:32">
      <c r="A165" s="307">
        <v>4</v>
      </c>
      <c r="B165" s="342"/>
      <c r="C165" s="342" t="s">
        <v>189</v>
      </c>
      <c r="D165" s="340" t="s">
        <v>422</v>
      </c>
      <c r="E165" s="342"/>
      <c r="F165" s="345" t="s">
        <v>171</v>
      </c>
      <c r="G165" s="308">
        <v>2</v>
      </c>
      <c r="H165" s="309">
        <v>50000</v>
      </c>
      <c r="I165" s="309">
        <v>100000</v>
      </c>
      <c r="J165" s="211"/>
      <c r="K165" s="212" t="str">
        <f>IF(OR(J165="",G165=J165),"","*")</f>
        <v/>
      </c>
      <c r="L165" s="338" t="str">
        <f>IF($A165&lt;=L$1,I165/I$4,"")</f>
        <v/>
      </c>
      <c r="M165" s="343"/>
      <c r="N165" s="344"/>
      <c r="O165" s="310">
        <v>0</v>
      </c>
      <c r="P165" s="311">
        <v>0</v>
      </c>
      <c r="Q165" s="311">
        <v>0</v>
      </c>
      <c r="R165" s="211">
        <v>0</v>
      </c>
      <c r="S165" s="212"/>
      <c r="T165" s="213" t="e">
        <v>#DIV/0!</v>
      </c>
      <c r="U165" s="214"/>
      <c r="V165" s="215"/>
      <c r="W165" s="310">
        <v>0</v>
      </c>
      <c r="X165" s="311">
        <v>0</v>
      </c>
      <c r="Y165" s="311">
        <v>0</v>
      </c>
      <c r="Z165" s="211">
        <v>0</v>
      </c>
      <c r="AA165" s="212"/>
      <c r="AB165" s="213" t="e">
        <v>#DIV/0!</v>
      </c>
      <c r="AC165" s="214"/>
      <c r="AD165" s="215"/>
      <c r="AE165" s="342"/>
      <c r="AF165" s="341"/>
    </row>
    <row r="166" spans="1:32">
      <c r="A166" s="307">
        <v>2</v>
      </c>
      <c r="B166" s="342"/>
      <c r="C166" s="342" t="s">
        <v>244</v>
      </c>
      <c r="D166" s="340" t="s">
        <v>423</v>
      </c>
      <c r="E166" s="342"/>
      <c r="F166" s="345" t="s">
        <v>183</v>
      </c>
      <c r="G166" s="308">
        <v>1</v>
      </c>
      <c r="H166" s="309">
        <v>0</v>
      </c>
      <c r="I166" s="309">
        <v>0</v>
      </c>
      <c r="J166" s="211">
        <v>1</v>
      </c>
      <c r="K166" s="212" t="str">
        <f>IF(OR(J166="",G166=J166),"","*")</f>
        <v/>
      </c>
      <c r="L166" s="338">
        <f>IF($A166&lt;=L$1,I166/I$4,"")</f>
        <v>0</v>
      </c>
      <c r="M166" s="343"/>
      <c r="N166" s="344" t="s">
        <v>424</v>
      </c>
      <c r="O166" s="310">
        <v>0</v>
      </c>
      <c r="P166" s="311">
        <v>0</v>
      </c>
      <c r="Q166" s="311">
        <v>0</v>
      </c>
      <c r="R166" s="211">
        <v>0</v>
      </c>
      <c r="S166" s="212"/>
      <c r="T166" s="213" t="e">
        <v>#DIV/0!</v>
      </c>
      <c r="U166" s="214"/>
      <c r="V166" s="215"/>
      <c r="W166" s="310">
        <v>0</v>
      </c>
      <c r="X166" s="311">
        <v>0</v>
      </c>
      <c r="Y166" s="311">
        <v>0</v>
      </c>
      <c r="Z166" s="211">
        <v>0</v>
      </c>
      <c r="AA166" s="212"/>
      <c r="AB166" s="213" t="e">
        <v>#DIV/0!</v>
      </c>
      <c r="AC166" s="214"/>
      <c r="AD166" s="215"/>
      <c r="AE166" s="342"/>
      <c r="AF166" s="341"/>
    </row>
    <row r="167" spans="1:32">
      <c r="A167" s="307">
        <v>3</v>
      </c>
      <c r="B167" s="342"/>
      <c r="C167" s="342" t="s">
        <v>244</v>
      </c>
      <c r="D167" s="340" t="s">
        <v>425</v>
      </c>
      <c r="E167" s="342" t="s">
        <v>426</v>
      </c>
      <c r="F167" s="345" t="s">
        <v>174</v>
      </c>
      <c r="G167" s="308">
        <v>0</v>
      </c>
      <c r="H167" s="309">
        <v>0</v>
      </c>
      <c r="I167" s="309">
        <v>0</v>
      </c>
      <c r="J167" s="211">
        <v>0</v>
      </c>
      <c r="K167" s="212" t="str">
        <f>IF(OR(J167="",G167=J167),"","*")</f>
        <v/>
      </c>
      <c r="L167" s="338">
        <f>IF($A167&lt;=L$1,I167/I$4,"")</f>
        <v>0</v>
      </c>
      <c r="M167" s="343"/>
      <c r="N167" s="344" t="s">
        <v>427</v>
      </c>
      <c r="O167" s="310">
        <v>0</v>
      </c>
      <c r="P167" s="311">
        <v>0</v>
      </c>
      <c r="Q167" s="311">
        <v>0</v>
      </c>
      <c r="R167" s="211">
        <v>0</v>
      </c>
      <c r="S167" s="212"/>
      <c r="T167" s="213" t="e">
        <v>#DIV/0!</v>
      </c>
      <c r="U167" s="214"/>
      <c r="V167" s="215"/>
      <c r="W167" s="310">
        <v>0</v>
      </c>
      <c r="X167" s="311">
        <v>0</v>
      </c>
      <c r="Y167" s="311">
        <v>0</v>
      </c>
      <c r="Z167" s="211">
        <v>0</v>
      </c>
      <c r="AA167" s="212"/>
      <c r="AB167" s="213" t="e">
        <v>#DIV/0!</v>
      </c>
      <c r="AC167" s="214"/>
      <c r="AD167" s="215"/>
      <c r="AE167" s="342"/>
      <c r="AF167" s="341"/>
    </row>
    <row r="168" spans="1:32">
      <c r="A168" s="307">
        <v>4</v>
      </c>
      <c r="B168" s="342"/>
      <c r="C168" s="342" t="s">
        <v>187</v>
      </c>
      <c r="D168" s="340" t="s">
        <v>428</v>
      </c>
      <c r="E168" s="342" t="s">
        <v>429</v>
      </c>
      <c r="F168" s="345" t="s">
        <v>323</v>
      </c>
      <c r="G168" s="308">
        <v>664</v>
      </c>
      <c r="H168" s="309">
        <v>600</v>
      </c>
      <c r="I168" s="309">
        <v>398400</v>
      </c>
      <c r="J168" s="211"/>
      <c r="K168" s="212" t="str">
        <f>IF(OR(J168="",G168=J168),"","*")</f>
        <v/>
      </c>
      <c r="L168" s="338" t="str">
        <f>IF($A168&lt;=L$1,I168/I$4,"")</f>
        <v/>
      </c>
      <c r="M168" s="343"/>
      <c r="N168" s="344"/>
      <c r="O168" s="310">
        <v>0</v>
      </c>
      <c r="P168" s="311">
        <v>0</v>
      </c>
      <c r="Q168" s="311">
        <v>0</v>
      </c>
      <c r="R168" s="211">
        <v>0</v>
      </c>
      <c r="S168" s="212"/>
      <c r="T168" s="213" t="e">
        <v>#DIV/0!</v>
      </c>
      <c r="U168" s="214"/>
      <c r="V168" s="215"/>
      <c r="W168" s="310">
        <v>0</v>
      </c>
      <c r="X168" s="311">
        <v>0</v>
      </c>
      <c r="Y168" s="311">
        <v>0</v>
      </c>
      <c r="Z168" s="211">
        <v>0</v>
      </c>
      <c r="AA168" s="212"/>
      <c r="AB168" s="213" t="e">
        <v>#DIV/0!</v>
      </c>
      <c r="AC168" s="214"/>
      <c r="AD168" s="215"/>
      <c r="AE168" s="342"/>
      <c r="AF168" s="341"/>
    </row>
    <row r="169" spans="1:32">
      <c r="A169" s="307">
        <v>4</v>
      </c>
      <c r="B169" s="342"/>
      <c r="C169" s="342" t="s">
        <v>187</v>
      </c>
      <c r="D169" s="340" t="s">
        <v>290</v>
      </c>
      <c r="E169" s="342" t="s">
        <v>291</v>
      </c>
      <c r="F169" s="345" t="s">
        <v>292</v>
      </c>
      <c r="G169" s="308">
        <v>13</v>
      </c>
      <c r="H169" s="309">
        <v>500</v>
      </c>
      <c r="I169" s="309">
        <v>6500</v>
      </c>
      <c r="J169" s="211"/>
      <c r="K169" s="212" t="str">
        <f>IF(OR(J169="",G169=J169),"","*")</f>
        <v/>
      </c>
      <c r="L169" s="338" t="str">
        <f>IF($A169&lt;=L$1,I169/I$4,"")</f>
        <v/>
      </c>
      <c r="M169" s="343"/>
      <c r="N169" s="344"/>
      <c r="O169" s="310">
        <v>0</v>
      </c>
      <c r="P169" s="311">
        <v>0</v>
      </c>
      <c r="Q169" s="311">
        <v>0</v>
      </c>
      <c r="R169" s="211">
        <v>0</v>
      </c>
      <c r="S169" s="212"/>
      <c r="T169" s="213" t="e">
        <v>#DIV/0!</v>
      </c>
      <c r="U169" s="214"/>
      <c r="V169" s="215"/>
      <c r="W169" s="310">
        <v>0</v>
      </c>
      <c r="X169" s="311">
        <v>0</v>
      </c>
      <c r="Y169" s="311">
        <v>0</v>
      </c>
      <c r="Z169" s="211">
        <v>0</v>
      </c>
      <c r="AA169" s="212"/>
      <c r="AB169" s="213" t="e">
        <v>#DIV/0!</v>
      </c>
      <c r="AC169" s="214"/>
      <c r="AD169" s="215"/>
      <c r="AE169" s="342" t="s">
        <v>293</v>
      </c>
      <c r="AF169" s="341" t="s">
        <v>430</v>
      </c>
    </row>
    <row r="170" spans="1:32">
      <c r="A170" s="307">
        <v>4</v>
      </c>
      <c r="B170" s="342"/>
      <c r="C170" s="342" t="s">
        <v>187</v>
      </c>
      <c r="D170" s="340" t="s">
        <v>295</v>
      </c>
      <c r="E170" s="342"/>
      <c r="F170" s="345" t="s">
        <v>296</v>
      </c>
      <c r="G170" s="308">
        <v>7</v>
      </c>
      <c r="H170" s="309">
        <v>22300</v>
      </c>
      <c r="I170" s="309">
        <v>156100</v>
      </c>
      <c r="J170" s="211"/>
      <c r="K170" s="212" t="str">
        <f>IF(OR(J170="",G170=J170),"","*")</f>
        <v/>
      </c>
      <c r="L170" s="338" t="str">
        <f>IF($A170&lt;=L$1,I170/I$4,"")</f>
        <v/>
      </c>
      <c r="M170" s="343"/>
      <c r="N170" s="344"/>
      <c r="O170" s="310">
        <v>0</v>
      </c>
      <c r="P170" s="311">
        <v>0</v>
      </c>
      <c r="Q170" s="311">
        <v>0</v>
      </c>
      <c r="R170" s="211">
        <v>0</v>
      </c>
      <c r="S170" s="212"/>
      <c r="T170" s="213" t="e">
        <v>#DIV/0!</v>
      </c>
      <c r="U170" s="214"/>
      <c r="V170" s="215"/>
      <c r="W170" s="310">
        <v>0</v>
      </c>
      <c r="X170" s="311">
        <v>0</v>
      </c>
      <c r="Y170" s="311">
        <v>0</v>
      </c>
      <c r="Z170" s="211">
        <v>0</v>
      </c>
      <c r="AA170" s="212"/>
      <c r="AB170" s="213" t="e">
        <v>#DIV/0!</v>
      </c>
      <c r="AC170" s="214"/>
      <c r="AD170" s="215"/>
      <c r="AE170" s="342" t="s">
        <v>297</v>
      </c>
      <c r="AF170" s="341" t="s">
        <v>431</v>
      </c>
    </row>
    <row r="171" spans="1:32">
      <c r="A171" s="307">
        <v>4</v>
      </c>
      <c r="B171" s="342"/>
      <c r="C171" s="342" t="s">
        <v>187</v>
      </c>
      <c r="D171" s="340" t="s">
        <v>299</v>
      </c>
      <c r="E171" s="342"/>
      <c r="F171" s="345" t="s">
        <v>300</v>
      </c>
      <c r="G171" s="308">
        <v>3</v>
      </c>
      <c r="H171" s="309">
        <v>3000</v>
      </c>
      <c r="I171" s="309">
        <v>9000</v>
      </c>
      <c r="J171" s="211"/>
      <c r="K171" s="212" t="str">
        <f>IF(OR(J171="",G171=J171),"","*")</f>
        <v/>
      </c>
      <c r="L171" s="338" t="str">
        <f>IF($A171&lt;=L$1,I171/I$4,"")</f>
        <v/>
      </c>
      <c r="M171" s="343"/>
      <c r="N171" s="344"/>
      <c r="O171" s="310">
        <v>0</v>
      </c>
      <c r="P171" s="311">
        <v>0</v>
      </c>
      <c r="Q171" s="311">
        <v>0</v>
      </c>
      <c r="R171" s="211">
        <v>0</v>
      </c>
      <c r="S171" s="212"/>
      <c r="T171" s="213" t="e">
        <v>#DIV/0!</v>
      </c>
      <c r="U171" s="214"/>
      <c r="V171" s="215"/>
      <c r="W171" s="310">
        <v>0</v>
      </c>
      <c r="X171" s="311">
        <v>0</v>
      </c>
      <c r="Y171" s="311">
        <v>0</v>
      </c>
      <c r="Z171" s="211">
        <v>0</v>
      </c>
      <c r="AA171" s="212"/>
      <c r="AB171" s="213" t="e">
        <v>#DIV/0!</v>
      </c>
      <c r="AC171" s="214"/>
      <c r="AD171" s="215"/>
      <c r="AE171" s="342" t="s">
        <v>301</v>
      </c>
      <c r="AF171" s="341"/>
    </row>
    <row r="172" spans="1:32">
      <c r="A172" s="307">
        <v>4</v>
      </c>
      <c r="B172" s="342"/>
      <c r="C172" s="342" t="s">
        <v>187</v>
      </c>
      <c r="D172" s="340" t="s">
        <v>329</v>
      </c>
      <c r="E172" s="342"/>
      <c r="F172" s="345" t="s">
        <v>296</v>
      </c>
      <c r="G172" s="308">
        <v>0.5</v>
      </c>
      <c r="H172" s="309">
        <v>15500</v>
      </c>
      <c r="I172" s="309">
        <v>7750</v>
      </c>
      <c r="J172" s="211"/>
      <c r="K172" s="212" t="str">
        <f>IF(OR(J172="",G172=J172),"","*")</f>
        <v/>
      </c>
      <c r="L172" s="338" t="str">
        <f>IF($A172&lt;=L$1,I172/I$4,"")</f>
        <v/>
      </c>
      <c r="M172" s="343"/>
      <c r="N172" s="344"/>
      <c r="O172" s="310">
        <v>0</v>
      </c>
      <c r="P172" s="311">
        <v>0</v>
      </c>
      <c r="Q172" s="311">
        <v>0</v>
      </c>
      <c r="R172" s="211">
        <v>0</v>
      </c>
      <c r="S172" s="212"/>
      <c r="T172" s="213" t="e">
        <v>#DIV/0!</v>
      </c>
      <c r="U172" s="214"/>
      <c r="V172" s="215"/>
      <c r="W172" s="310">
        <v>0</v>
      </c>
      <c r="X172" s="311">
        <v>0</v>
      </c>
      <c r="Y172" s="311">
        <v>0</v>
      </c>
      <c r="Z172" s="211">
        <v>0</v>
      </c>
      <c r="AA172" s="212"/>
      <c r="AB172" s="213" t="e">
        <v>#DIV/0!</v>
      </c>
      <c r="AC172" s="214"/>
      <c r="AD172" s="215"/>
      <c r="AE172" s="342" t="s">
        <v>330</v>
      </c>
      <c r="AF172" s="341" t="s">
        <v>432</v>
      </c>
    </row>
    <row r="173" spans="1:32">
      <c r="A173" s="307">
        <v>4</v>
      </c>
      <c r="B173" s="342"/>
      <c r="C173" s="342" t="s">
        <v>188</v>
      </c>
      <c r="D173" s="340" t="s">
        <v>249</v>
      </c>
      <c r="E173" s="342"/>
      <c r="F173" s="345" t="s">
        <v>250</v>
      </c>
      <c r="G173" s="308">
        <v>8</v>
      </c>
      <c r="H173" s="309">
        <v>30000</v>
      </c>
      <c r="I173" s="309">
        <v>240000</v>
      </c>
      <c r="J173" s="211"/>
      <c r="K173" s="212" t="str">
        <f>IF(OR(J173="",G173=J173),"","*")</f>
        <v/>
      </c>
      <c r="L173" s="338" t="str">
        <f>IF($A173&lt;=L$1,I173/I$4,"")</f>
        <v/>
      </c>
      <c r="M173" s="343"/>
      <c r="N173" s="344"/>
      <c r="O173" s="310">
        <v>0</v>
      </c>
      <c r="P173" s="311">
        <v>0</v>
      </c>
      <c r="Q173" s="311">
        <v>0</v>
      </c>
      <c r="R173" s="211">
        <v>0</v>
      </c>
      <c r="S173" s="212"/>
      <c r="T173" s="213" t="e">
        <v>#DIV/0!</v>
      </c>
      <c r="U173" s="214"/>
      <c r="V173" s="215"/>
      <c r="W173" s="310">
        <v>0</v>
      </c>
      <c r="X173" s="311">
        <v>0</v>
      </c>
      <c r="Y173" s="311">
        <v>0</v>
      </c>
      <c r="Z173" s="211">
        <v>0</v>
      </c>
      <c r="AA173" s="212"/>
      <c r="AB173" s="213" t="e">
        <v>#DIV/0!</v>
      </c>
      <c r="AC173" s="214"/>
      <c r="AD173" s="215"/>
      <c r="AE173" s="342" t="s">
        <v>251</v>
      </c>
      <c r="AF173" s="341" t="s">
        <v>433</v>
      </c>
    </row>
    <row r="174" spans="1:32">
      <c r="A174" s="307">
        <v>4</v>
      </c>
      <c r="B174" s="342"/>
      <c r="C174" s="342" t="s">
        <v>188</v>
      </c>
      <c r="D174" s="340" t="s">
        <v>253</v>
      </c>
      <c r="E174" s="342"/>
      <c r="F174" s="345" t="s">
        <v>250</v>
      </c>
      <c r="G174" s="308">
        <v>32</v>
      </c>
      <c r="H174" s="309">
        <v>21000</v>
      </c>
      <c r="I174" s="309">
        <v>672000</v>
      </c>
      <c r="J174" s="211"/>
      <c r="K174" s="212" t="str">
        <f>IF(OR(J174="",G174=J174),"","*")</f>
        <v/>
      </c>
      <c r="L174" s="338" t="str">
        <f>IF($A174&lt;=L$1,I174/I$4,"")</f>
        <v/>
      </c>
      <c r="M174" s="343"/>
      <c r="N174" s="344"/>
      <c r="O174" s="310">
        <v>0</v>
      </c>
      <c r="P174" s="311">
        <v>0</v>
      </c>
      <c r="Q174" s="311">
        <v>0</v>
      </c>
      <c r="R174" s="211">
        <v>0</v>
      </c>
      <c r="S174" s="212"/>
      <c r="T174" s="213" t="e">
        <v>#DIV/0!</v>
      </c>
      <c r="U174" s="214"/>
      <c r="V174" s="215"/>
      <c r="W174" s="310">
        <v>0</v>
      </c>
      <c r="X174" s="311">
        <v>0</v>
      </c>
      <c r="Y174" s="311">
        <v>0</v>
      </c>
      <c r="Z174" s="211">
        <v>0</v>
      </c>
      <c r="AA174" s="212"/>
      <c r="AB174" s="213" t="e">
        <v>#DIV/0!</v>
      </c>
      <c r="AC174" s="214"/>
      <c r="AD174" s="215"/>
      <c r="AE174" s="342" t="s">
        <v>254</v>
      </c>
      <c r="AF174" s="341" t="s">
        <v>434</v>
      </c>
    </row>
    <row r="175" spans="1:32">
      <c r="A175" s="307">
        <v>4</v>
      </c>
      <c r="B175" s="342"/>
      <c r="C175" s="342" t="s">
        <v>190</v>
      </c>
      <c r="D175" s="340" t="s">
        <v>260</v>
      </c>
      <c r="E175" s="342"/>
      <c r="F175" s="345" t="s">
        <v>258</v>
      </c>
      <c r="G175" s="308">
        <v>8</v>
      </c>
      <c r="H175" s="309">
        <v>8000</v>
      </c>
      <c r="I175" s="309">
        <v>64000</v>
      </c>
      <c r="J175" s="211"/>
      <c r="K175" s="212" t="str">
        <f>IF(OR(J175="",G175=J175),"","*")</f>
        <v/>
      </c>
      <c r="L175" s="338" t="str">
        <f>IF($A175&lt;=L$1,I175/I$4,"")</f>
        <v/>
      </c>
      <c r="M175" s="343"/>
      <c r="N175" s="344"/>
      <c r="O175" s="310">
        <v>0</v>
      </c>
      <c r="P175" s="311">
        <v>0</v>
      </c>
      <c r="Q175" s="311">
        <v>0</v>
      </c>
      <c r="R175" s="211">
        <v>0</v>
      </c>
      <c r="S175" s="212"/>
      <c r="T175" s="213" t="e">
        <v>#DIV/0!</v>
      </c>
      <c r="U175" s="214"/>
      <c r="V175" s="215"/>
      <c r="W175" s="310">
        <v>0</v>
      </c>
      <c r="X175" s="311">
        <v>0</v>
      </c>
      <c r="Y175" s="311">
        <v>0</v>
      </c>
      <c r="Z175" s="211">
        <v>0</v>
      </c>
      <c r="AA175" s="212"/>
      <c r="AB175" s="213" t="e">
        <v>#DIV/0!</v>
      </c>
      <c r="AC175" s="214"/>
      <c r="AD175" s="215"/>
      <c r="AE175" s="342" t="s">
        <v>261</v>
      </c>
      <c r="AF175" s="341" t="s">
        <v>433</v>
      </c>
    </row>
    <row r="176" spans="1:32">
      <c r="A176" s="307">
        <v>4</v>
      </c>
      <c r="B176" s="342"/>
      <c r="C176" s="342" t="s">
        <v>190</v>
      </c>
      <c r="D176" s="340" t="s">
        <v>265</v>
      </c>
      <c r="E176" s="342"/>
      <c r="F176" s="345" t="s">
        <v>258</v>
      </c>
      <c r="G176" s="308">
        <v>8</v>
      </c>
      <c r="H176" s="309">
        <v>1000</v>
      </c>
      <c r="I176" s="309">
        <v>8000</v>
      </c>
      <c r="J176" s="211"/>
      <c r="K176" s="212" t="str">
        <f>IF(OR(J176="",G176=J176),"","*")</f>
        <v/>
      </c>
      <c r="L176" s="338" t="str">
        <f>IF($A176&lt;=L$1,I176/I$4,"")</f>
        <v/>
      </c>
      <c r="M176" s="343"/>
      <c r="N176" s="344"/>
      <c r="O176" s="310">
        <v>0</v>
      </c>
      <c r="P176" s="311">
        <v>0</v>
      </c>
      <c r="Q176" s="311">
        <v>0</v>
      </c>
      <c r="R176" s="211">
        <v>0</v>
      </c>
      <c r="S176" s="212"/>
      <c r="T176" s="213" t="e">
        <v>#DIV/0!</v>
      </c>
      <c r="U176" s="214"/>
      <c r="V176" s="215"/>
      <c r="W176" s="310">
        <v>0</v>
      </c>
      <c r="X176" s="311">
        <v>0</v>
      </c>
      <c r="Y176" s="311">
        <v>0</v>
      </c>
      <c r="Z176" s="211">
        <v>0</v>
      </c>
      <c r="AA176" s="212"/>
      <c r="AB176" s="213" t="e">
        <v>#DIV/0!</v>
      </c>
      <c r="AC176" s="214"/>
      <c r="AD176" s="215"/>
      <c r="AE176" s="342" t="s">
        <v>266</v>
      </c>
      <c r="AF176" s="341" t="s">
        <v>433</v>
      </c>
    </row>
    <row r="177" spans="1:32">
      <c r="A177" s="307">
        <v>4</v>
      </c>
      <c r="B177" s="342"/>
      <c r="C177" s="342" t="s">
        <v>190</v>
      </c>
      <c r="D177" s="340" t="s">
        <v>333</v>
      </c>
      <c r="E177" s="342" t="s">
        <v>334</v>
      </c>
      <c r="F177" s="345" t="s">
        <v>258</v>
      </c>
      <c r="G177" s="308">
        <v>8</v>
      </c>
      <c r="H177" s="309">
        <v>2000</v>
      </c>
      <c r="I177" s="309">
        <v>16000</v>
      </c>
      <c r="J177" s="211"/>
      <c r="K177" s="212" t="str">
        <f>IF(OR(J177="",G177=J177),"","*")</f>
        <v/>
      </c>
      <c r="L177" s="338" t="str">
        <f>IF($A177&lt;=L$1,I177/I$4,"")</f>
        <v/>
      </c>
      <c r="M177" s="343"/>
      <c r="N177" s="344"/>
      <c r="O177" s="310">
        <v>0</v>
      </c>
      <c r="P177" s="311">
        <v>0</v>
      </c>
      <c r="Q177" s="311">
        <v>0</v>
      </c>
      <c r="R177" s="211">
        <v>0</v>
      </c>
      <c r="S177" s="212"/>
      <c r="T177" s="213" t="e">
        <v>#DIV/0!</v>
      </c>
      <c r="U177" s="214"/>
      <c r="V177" s="215"/>
      <c r="W177" s="310">
        <v>0</v>
      </c>
      <c r="X177" s="311">
        <v>0</v>
      </c>
      <c r="Y177" s="311">
        <v>0</v>
      </c>
      <c r="Z177" s="211">
        <v>0</v>
      </c>
      <c r="AA177" s="212"/>
      <c r="AB177" s="213" t="e">
        <v>#DIV/0!</v>
      </c>
      <c r="AC177" s="214"/>
      <c r="AD177" s="215"/>
      <c r="AE177" s="342" t="s">
        <v>335</v>
      </c>
      <c r="AF177" s="341" t="s">
        <v>433</v>
      </c>
    </row>
    <row r="178" spans="1:32">
      <c r="A178" s="307">
        <v>4</v>
      </c>
      <c r="B178" s="342"/>
      <c r="C178" s="342" t="s">
        <v>190</v>
      </c>
      <c r="D178" s="340" t="s">
        <v>304</v>
      </c>
      <c r="E178" s="342"/>
      <c r="F178" s="345" t="s">
        <v>258</v>
      </c>
      <c r="G178" s="308">
        <v>8</v>
      </c>
      <c r="H178" s="309">
        <v>3000</v>
      </c>
      <c r="I178" s="309">
        <v>24000</v>
      </c>
      <c r="J178" s="211"/>
      <c r="K178" s="212" t="str">
        <f>IF(OR(J178="",G178=J178),"","*")</f>
        <v/>
      </c>
      <c r="L178" s="338" t="str">
        <f>IF($A178&lt;=L$1,I178/I$4,"")</f>
        <v/>
      </c>
      <c r="M178" s="343"/>
      <c r="N178" s="344"/>
      <c r="O178" s="310">
        <v>0</v>
      </c>
      <c r="P178" s="311">
        <v>0</v>
      </c>
      <c r="Q178" s="311">
        <v>0</v>
      </c>
      <c r="R178" s="211">
        <v>0</v>
      </c>
      <c r="S178" s="212"/>
      <c r="T178" s="213" t="e">
        <v>#DIV/0!</v>
      </c>
      <c r="U178" s="214"/>
      <c r="V178" s="215"/>
      <c r="W178" s="310">
        <v>0</v>
      </c>
      <c r="X178" s="311">
        <v>0</v>
      </c>
      <c r="Y178" s="311">
        <v>0</v>
      </c>
      <c r="Z178" s="211">
        <v>0</v>
      </c>
      <c r="AA178" s="212"/>
      <c r="AB178" s="213" t="e">
        <v>#DIV/0!</v>
      </c>
      <c r="AC178" s="214"/>
      <c r="AD178" s="215"/>
      <c r="AE178" s="342" t="s">
        <v>305</v>
      </c>
      <c r="AF178" s="341" t="s">
        <v>433</v>
      </c>
    </row>
    <row r="179" spans="1:32">
      <c r="A179" s="307">
        <v>4</v>
      </c>
      <c r="B179" s="342"/>
      <c r="C179" s="342" t="s">
        <v>191</v>
      </c>
      <c r="D179" s="340" t="s">
        <v>269</v>
      </c>
      <c r="E179" s="342"/>
      <c r="F179" s="345" t="s">
        <v>258</v>
      </c>
      <c r="G179" s="308">
        <v>16</v>
      </c>
      <c r="H179" s="309">
        <v>5000</v>
      </c>
      <c r="I179" s="309">
        <v>80000</v>
      </c>
      <c r="J179" s="211"/>
      <c r="K179" s="212" t="str">
        <f>IF(OR(J179="",G179=J179),"","*")</f>
        <v/>
      </c>
      <c r="L179" s="338" t="str">
        <f>IF($A179&lt;=L$1,I179/I$4,"")</f>
        <v/>
      </c>
      <c r="M179" s="343"/>
      <c r="N179" s="344"/>
      <c r="O179" s="310">
        <v>0</v>
      </c>
      <c r="P179" s="311">
        <v>0</v>
      </c>
      <c r="Q179" s="311">
        <v>0</v>
      </c>
      <c r="R179" s="211">
        <v>0</v>
      </c>
      <c r="S179" s="212"/>
      <c r="T179" s="213" t="e">
        <v>#DIV/0!</v>
      </c>
      <c r="U179" s="214"/>
      <c r="V179" s="215"/>
      <c r="W179" s="310">
        <v>0</v>
      </c>
      <c r="X179" s="311">
        <v>0</v>
      </c>
      <c r="Y179" s="311">
        <v>0</v>
      </c>
      <c r="Z179" s="211">
        <v>0</v>
      </c>
      <c r="AA179" s="212"/>
      <c r="AB179" s="213" t="e">
        <v>#DIV/0!</v>
      </c>
      <c r="AC179" s="214"/>
      <c r="AD179" s="215"/>
      <c r="AE179" s="342" t="s">
        <v>270</v>
      </c>
      <c r="AF179" s="341" t="s">
        <v>435</v>
      </c>
    </row>
    <row r="180" spans="1:32">
      <c r="A180" s="307">
        <v>4</v>
      </c>
      <c r="B180" s="342"/>
      <c r="C180" s="342" t="s">
        <v>191</v>
      </c>
      <c r="D180" s="340" t="s">
        <v>272</v>
      </c>
      <c r="E180" s="342" t="s">
        <v>273</v>
      </c>
      <c r="F180" s="345" t="s">
        <v>258</v>
      </c>
      <c r="G180" s="308">
        <v>8</v>
      </c>
      <c r="H180" s="309">
        <v>4000</v>
      </c>
      <c r="I180" s="309">
        <v>32000</v>
      </c>
      <c r="J180" s="211"/>
      <c r="K180" s="212" t="str">
        <f>IF(OR(J180="",G180=J180),"","*")</f>
        <v/>
      </c>
      <c r="L180" s="338" t="str">
        <f>IF($A180&lt;=L$1,I180/I$4,"")</f>
        <v/>
      </c>
      <c r="M180" s="343"/>
      <c r="N180" s="344"/>
      <c r="O180" s="310">
        <v>0</v>
      </c>
      <c r="P180" s="311">
        <v>0</v>
      </c>
      <c r="Q180" s="311">
        <v>0</v>
      </c>
      <c r="R180" s="211">
        <v>0</v>
      </c>
      <c r="S180" s="212"/>
      <c r="T180" s="213" t="e">
        <v>#DIV/0!</v>
      </c>
      <c r="U180" s="214"/>
      <c r="V180" s="215"/>
      <c r="W180" s="310">
        <v>0</v>
      </c>
      <c r="X180" s="311">
        <v>0</v>
      </c>
      <c r="Y180" s="311">
        <v>0</v>
      </c>
      <c r="Z180" s="211">
        <v>0</v>
      </c>
      <c r="AA180" s="212"/>
      <c r="AB180" s="213" t="e">
        <v>#DIV/0!</v>
      </c>
      <c r="AC180" s="214"/>
      <c r="AD180" s="215"/>
      <c r="AE180" s="342" t="s">
        <v>274</v>
      </c>
      <c r="AF180" s="341" t="s">
        <v>433</v>
      </c>
    </row>
    <row r="181" spans="1:32">
      <c r="A181" s="307">
        <v>4</v>
      </c>
      <c r="B181" s="342"/>
      <c r="C181" s="342" t="s">
        <v>187</v>
      </c>
      <c r="D181" s="340" t="s">
        <v>277</v>
      </c>
      <c r="E181" s="342"/>
      <c r="F181" s="345" t="s">
        <v>278</v>
      </c>
      <c r="G181" s="308">
        <v>400</v>
      </c>
      <c r="H181" s="309">
        <v>150</v>
      </c>
      <c r="I181" s="309">
        <v>60000</v>
      </c>
      <c r="J181" s="211"/>
      <c r="K181" s="212" t="str">
        <f>IF(OR(J181="",G181=J181),"","*")</f>
        <v/>
      </c>
      <c r="L181" s="338" t="str">
        <f>IF($A181&lt;=L$1,I181/I$4,"")</f>
        <v/>
      </c>
      <c r="M181" s="343"/>
      <c r="N181" s="344"/>
      <c r="O181" s="310">
        <v>0</v>
      </c>
      <c r="P181" s="311">
        <v>0</v>
      </c>
      <c r="Q181" s="311">
        <v>0</v>
      </c>
      <c r="R181" s="211">
        <v>0</v>
      </c>
      <c r="S181" s="212"/>
      <c r="T181" s="213" t="e">
        <v>#DIV/0!</v>
      </c>
      <c r="U181" s="214"/>
      <c r="V181" s="215"/>
      <c r="W181" s="310">
        <v>0</v>
      </c>
      <c r="X181" s="311">
        <v>0</v>
      </c>
      <c r="Y181" s="311">
        <v>0</v>
      </c>
      <c r="Z181" s="211">
        <v>0</v>
      </c>
      <c r="AA181" s="212"/>
      <c r="AB181" s="213" t="e">
        <v>#DIV/0!</v>
      </c>
      <c r="AC181" s="214"/>
      <c r="AD181" s="215"/>
      <c r="AE181" s="342" t="s">
        <v>279</v>
      </c>
      <c r="AF181" s="341"/>
    </row>
    <row r="182" spans="1:32">
      <c r="A182" s="307">
        <v>4</v>
      </c>
      <c r="B182" s="342"/>
      <c r="C182" s="342" t="s">
        <v>187</v>
      </c>
      <c r="D182" s="340" t="s">
        <v>275</v>
      </c>
      <c r="E182" s="342"/>
      <c r="F182" s="345" t="s">
        <v>183</v>
      </c>
      <c r="G182" s="308">
        <v>1</v>
      </c>
      <c r="H182" s="309">
        <v>6250</v>
      </c>
      <c r="I182" s="309">
        <v>6250</v>
      </c>
      <c r="J182" s="211"/>
      <c r="K182" s="212" t="str">
        <f>IF(OR(J182="",G182=J182),"","*")</f>
        <v/>
      </c>
      <c r="L182" s="338" t="str">
        <f>IF($A182&lt;=L$1,I182/I$4,"")</f>
        <v/>
      </c>
      <c r="M182" s="343"/>
      <c r="N182" s="344"/>
      <c r="O182" s="310">
        <v>0</v>
      </c>
      <c r="P182" s="311">
        <v>0</v>
      </c>
      <c r="Q182" s="311">
        <v>0</v>
      </c>
      <c r="R182" s="211">
        <v>0</v>
      </c>
      <c r="S182" s="212"/>
      <c r="T182" s="213" t="e">
        <v>#DIV/0!</v>
      </c>
      <c r="U182" s="214"/>
      <c r="V182" s="215"/>
      <c r="W182" s="310">
        <v>0</v>
      </c>
      <c r="X182" s="311">
        <v>0</v>
      </c>
      <c r="Y182" s="311">
        <v>0</v>
      </c>
      <c r="Z182" s="211">
        <v>0</v>
      </c>
      <c r="AA182" s="212"/>
      <c r="AB182" s="213" t="e">
        <v>#DIV/0!</v>
      </c>
      <c r="AC182" s="214"/>
      <c r="AD182" s="215"/>
      <c r="AE182" s="342" t="s">
        <v>276</v>
      </c>
      <c r="AF182" s="341"/>
    </row>
    <row r="183" spans="1:32">
      <c r="A183" s="307">
        <v>2</v>
      </c>
      <c r="B183" s="342"/>
      <c r="C183" s="342" t="s">
        <v>244</v>
      </c>
      <c r="D183" s="340" t="s">
        <v>436</v>
      </c>
      <c r="E183" s="342"/>
      <c r="F183" s="345" t="s">
        <v>183</v>
      </c>
      <c r="G183" s="308">
        <v>1</v>
      </c>
      <c r="H183" s="309">
        <v>2146310</v>
      </c>
      <c r="I183" s="309">
        <v>2146310</v>
      </c>
      <c r="J183" s="211">
        <v>1</v>
      </c>
      <c r="K183" s="212" t="str">
        <f>IF(OR(J183="",G183=J183),"","*")</f>
        <v/>
      </c>
      <c r="L183" s="338">
        <f>IF($A183&lt;=L$1,I183/I$4,"")</f>
        <v>1.8250935374149659E-2</v>
      </c>
      <c r="M183" s="343"/>
      <c r="N183" s="344" t="s">
        <v>437</v>
      </c>
      <c r="O183" s="310">
        <v>0</v>
      </c>
      <c r="P183" s="311">
        <v>0</v>
      </c>
      <c r="Q183" s="311">
        <v>0</v>
      </c>
      <c r="R183" s="211">
        <v>0</v>
      </c>
      <c r="S183" s="212"/>
      <c r="T183" s="213" t="e">
        <v>#DIV/0!</v>
      </c>
      <c r="U183" s="214"/>
      <c r="V183" s="215"/>
      <c r="W183" s="310">
        <v>0</v>
      </c>
      <c r="X183" s="311">
        <v>0</v>
      </c>
      <c r="Y183" s="311">
        <v>0</v>
      </c>
      <c r="Z183" s="211">
        <v>0</v>
      </c>
      <c r="AA183" s="212"/>
      <c r="AB183" s="213" t="e">
        <v>#DIV/0!</v>
      </c>
      <c r="AC183" s="214"/>
      <c r="AD183" s="215"/>
      <c r="AE183" s="342"/>
      <c r="AF183" s="341"/>
    </row>
    <row r="184" spans="1:32">
      <c r="A184" s="307">
        <v>3</v>
      </c>
      <c r="B184" s="342"/>
      <c r="C184" s="342" t="s">
        <v>194</v>
      </c>
      <c r="D184" s="340" t="s">
        <v>438</v>
      </c>
      <c r="E184" s="342" t="s">
        <v>439</v>
      </c>
      <c r="F184" s="345" t="s">
        <v>183</v>
      </c>
      <c r="G184" s="308">
        <v>1</v>
      </c>
      <c r="H184" s="309">
        <v>531000</v>
      </c>
      <c r="I184" s="309">
        <v>531000</v>
      </c>
      <c r="J184" s="211"/>
      <c r="K184" s="212" t="str">
        <f>IF(OR(J184="",G184=J184),"","*")</f>
        <v/>
      </c>
      <c r="L184" s="338">
        <f>IF($A184&lt;=L$1,I184/I$4,"")</f>
        <v>4.51530612244898E-3</v>
      </c>
      <c r="M184" s="343"/>
      <c r="N184" s="344"/>
      <c r="O184" s="310">
        <v>0</v>
      </c>
      <c r="P184" s="311">
        <v>0</v>
      </c>
      <c r="Q184" s="311">
        <v>0</v>
      </c>
      <c r="R184" s="211">
        <v>0</v>
      </c>
      <c r="S184" s="212"/>
      <c r="T184" s="213" t="e">
        <v>#DIV/0!</v>
      </c>
      <c r="U184" s="214"/>
      <c r="V184" s="215"/>
      <c r="W184" s="310">
        <v>0</v>
      </c>
      <c r="X184" s="311">
        <v>0</v>
      </c>
      <c r="Y184" s="311">
        <v>0</v>
      </c>
      <c r="Z184" s="211">
        <v>0</v>
      </c>
      <c r="AA184" s="212"/>
      <c r="AB184" s="213" t="e">
        <v>#DIV/0!</v>
      </c>
      <c r="AC184" s="214"/>
      <c r="AD184" s="215"/>
      <c r="AE184" s="342"/>
      <c r="AF184" s="341"/>
    </row>
    <row r="185" spans="1:32">
      <c r="A185" s="307">
        <v>3</v>
      </c>
      <c r="B185" s="342"/>
      <c r="C185" s="342" t="s">
        <v>194</v>
      </c>
      <c r="D185" s="340" t="s">
        <v>438</v>
      </c>
      <c r="E185" s="342" t="s">
        <v>440</v>
      </c>
      <c r="F185" s="345" t="s">
        <v>183</v>
      </c>
      <c r="G185" s="308">
        <v>1</v>
      </c>
      <c r="H185" s="309">
        <v>405000</v>
      </c>
      <c r="I185" s="309">
        <v>405000</v>
      </c>
      <c r="J185" s="211"/>
      <c r="K185" s="212" t="str">
        <f>IF(OR(J185="",G185=J185),"","*")</f>
        <v/>
      </c>
      <c r="L185" s="338">
        <f>IF($A185&lt;=L$1,I185/I$4,"")</f>
        <v>3.4438775510204083E-3</v>
      </c>
      <c r="M185" s="343"/>
      <c r="N185" s="344"/>
      <c r="O185" s="310">
        <v>0</v>
      </c>
      <c r="P185" s="311">
        <v>0</v>
      </c>
      <c r="Q185" s="311">
        <v>0</v>
      </c>
      <c r="R185" s="211">
        <v>0</v>
      </c>
      <c r="S185" s="212"/>
      <c r="T185" s="213" t="e">
        <v>#DIV/0!</v>
      </c>
      <c r="U185" s="214"/>
      <c r="V185" s="215"/>
      <c r="W185" s="310">
        <v>0</v>
      </c>
      <c r="X185" s="311">
        <v>0</v>
      </c>
      <c r="Y185" s="311">
        <v>0</v>
      </c>
      <c r="Z185" s="211">
        <v>0</v>
      </c>
      <c r="AA185" s="212"/>
      <c r="AB185" s="213" t="e">
        <v>#DIV/0!</v>
      </c>
      <c r="AC185" s="214"/>
      <c r="AD185" s="215"/>
      <c r="AE185" s="342"/>
      <c r="AF185" s="341"/>
    </row>
    <row r="186" spans="1:32">
      <c r="A186" s="307">
        <v>3</v>
      </c>
      <c r="B186" s="342"/>
      <c r="C186" s="342" t="s">
        <v>194</v>
      </c>
      <c r="D186" s="340" t="s">
        <v>438</v>
      </c>
      <c r="E186" s="342" t="s">
        <v>441</v>
      </c>
      <c r="F186" s="345" t="s">
        <v>183</v>
      </c>
      <c r="G186" s="308">
        <v>1</v>
      </c>
      <c r="H186" s="309">
        <v>750000</v>
      </c>
      <c r="I186" s="309">
        <v>750000</v>
      </c>
      <c r="J186" s="211"/>
      <c r="K186" s="212" t="str">
        <f>IF(OR(J186="",G186=J186),"","*")</f>
        <v/>
      </c>
      <c r="L186" s="338">
        <f>IF($A186&lt;=L$1,I186/I$4,"")</f>
        <v>6.3775510204081634E-3</v>
      </c>
      <c r="M186" s="343"/>
      <c r="N186" s="344"/>
      <c r="O186" s="310">
        <v>0</v>
      </c>
      <c r="P186" s="311">
        <v>0</v>
      </c>
      <c r="Q186" s="311">
        <v>0</v>
      </c>
      <c r="R186" s="211">
        <v>0</v>
      </c>
      <c r="S186" s="212"/>
      <c r="T186" s="213" t="e">
        <v>#DIV/0!</v>
      </c>
      <c r="U186" s="214"/>
      <c r="V186" s="215"/>
      <c r="W186" s="310">
        <v>0</v>
      </c>
      <c r="X186" s="311">
        <v>0</v>
      </c>
      <c r="Y186" s="311">
        <v>0</v>
      </c>
      <c r="Z186" s="211">
        <v>0</v>
      </c>
      <c r="AA186" s="212"/>
      <c r="AB186" s="213" t="e">
        <v>#DIV/0!</v>
      </c>
      <c r="AC186" s="214"/>
      <c r="AD186" s="215"/>
      <c r="AE186" s="342"/>
      <c r="AF186" s="341"/>
    </row>
    <row r="187" spans="1:32">
      <c r="A187" s="307">
        <v>3</v>
      </c>
      <c r="B187" s="342"/>
      <c r="C187" s="342" t="s">
        <v>194</v>
      </c>
      <c r="D187" s="340" t="s">
        <v>438</v>
      </c>
      <c r="E187" s="342" t="s">
        <v>442</v>
      </c>
      <c r="F187" s="345" t="s">
        <v>183</v>
      </c>
      <c r="G187" s="308">
        <v>1</v>
      </c>
      <c r="H187" s="309">
        <v>424310</v>
      </c>
      <c r="I187" s="309">
        <v>424310</v>
      </c>
      <c r="J187" s="211"/>
      <c r="K187" s="212" t="str">
        <f>IF(OR(J187="",G187=J187),"","*")</f>
        <v/>
      </c>
      <c r="L187" s="338">
        <f>IF($A187&lt;=L$1,I187/I$4,"")</f>
        <v>3.6080782312925171E-3</v>
      </c>
      <c r="M187" s="343"/>
      <c r="N187" s="344"/>
      <c r="O187" s="310">
        <v>0</v>
      </c>
      <c r="P187" s="311">
        <v>0</v>
      </c>
      <c r="Q187" s="311">
        <v>0</v>
      </c>
      <c r="R187" s="211">
        <v>0</v>
      </c>
      <c r="S187" s="212"/>
      <c r="T187" s="213" t="e">
        <v>#DIV/0!</v>
      </c>
      <c r="U187" s="214"/>
      <c r="V187" s="215"/>
      <c r="W187" s="310">
        <v>0</v>
      </c>
      <c r="X187" s="311">
        <v>0</v>
      </c>
      <c r="Y187" s="311">
        <v>0</v>
      </c>
      <c r="Z187" s="211">
        <v>0</v>
      </c>
      <c r="AA187" s="212"/>
      <c r="AB187" s="213" t="e">
        <v>#DIV/0!</v>
      </c>
      <c r="AC187" s="214"/>
      <c r="AD187" s="215"/>
      <c r="AE187" s="342"/>
      <c r="AF187" s="341"/>
    </row>
    <row r="188" spans="1:32">
      <c r="A188" s="307">
        <v>3</v>
      </c>
      <c r="B188" s="342"/>
      <c r="C188" s="342" t="s">
        <v>194</v>
      </c>
      <c r="D188" s="340" t="s">
        <v>438</v>
      </c>
      <c r="E188" s="342" t="s">
        <v>443</v>
      </c>
      <c r="F188" s="345" t="s">
        <v>183</v>
      </c>
      <c r="G188" s="308">
        <v>1</v>
      </c>
      <c r="H188" s="309">
        <v>36000</v>
      </c>
      <c r="I188" s="309">
        <v>36000</v>
      </c>
      <c r="J188" s="211"/>
      <c r="K188" s="212" t="str">
        <f>IF(OR(J188="",G188=J188),"","*")</f>
        <v/>
      </c>
      <c r="L188" s="338">
        <f>IF($A188&lt;=L$1,I188/I$4,"")</f>
        <v>3.0612244897959182E-4</v>
      </c>
      <c r="M188" s="343"/>
      <c r="N188" s="344"/>
      <c r="O188" s="310">
        <v>0</v>
      </c>
      <c r="P188" s="311">
        <v>0</v>
      </c>
      <c r="Q188" s="311">
        <v>0</v>
      </c>
      <c r="R188" s="211">
        <v>0</v>
      </c>
      <c r="S188" s="212"/>
      <c r="T188" s="213" t="e">
        <v>#DIV/0!</v>
      </c>
      <c r="U188" s="214"/>
      <c r="V188" s="215"/>
      <c r="W188" s="310">
        <v>0</v>
      </c>
      <c r="X188" s="311">
        <v>0</v>
      </c>
      <c r="Y188" s="311">
        <v>0</v>
      </c>
      <c r="Z188" s="211">
        <v>0</v>
      </c>
      <c r="AA188" s="212"/>
      <c r="AB188" s="213" t="e">
        <v>#DIV/0!</v>
      </c>
      <c r="AC188" s="214"/>
      <c r="AD188" s="215"/>
      <c r="AE188" s="342"/>
      <c r="AF188" s="341"/>
    </row>
    <row r="189" spans="1:32">
      <c r="A189" s="307">
        <v>2</v>
      </c>
      <c r="B189" s="342"/>
      <c r="C189" s="342" t="s">
        <v>244</v>
      </c>
      <c r="D189" s="340" t="s">
        <v>444</v>
      </c>
      <c r="E189" s="342"/>
      <c r="F189" s="345" t="s">
        <v>183</v>
      </c>
      <c r="G189" s="308">
        <v>1</v>
      </c>
      <c r="H189" s="309">
        <v>5242000</v>
      </c>
      <c r="I189" s="309">
        <v>5242000</v>
      </c>
      <c r="J189" s="211">
        <v>1</v>
      </c>
      <c r="K189" s="212" t="str">
        <f>IF(OR(J189="",G189=J189),"","*")</f>
        <v/>
      </c>
      <c r="L189" s="338">
        <f>IF($A189&lt;=L$1,I189/I$4,"")</f>
        <v>4.4574829931972787E-2</v>
      </c>
      <c r="M189" s="343"/>
      <c r="N189" s="344" t="s">
        <v>445</v>
      </c>
      <c r="O189" s="310">
        <v>0</v>
      </c>
      <c r="P189" s="311">
        <v>0</v>
      </c>
      <c r="Q189" s="311">
        <v>0</v>
      </c>
      <c r="R189" s="211">
        <v>0</v>
      </c>
      <c r="S189" s="212"/>
      <c r="T189" s="213" t="e">
        <v>#DIV/0!</v>
      </c>
      <c r="U189" s="214"/>
      <c r="V189" s="215"/>
      <c r="W189" s="310">
        <v>0</v>
      </c>
      <c r="X189" s="311">
        <v>0</v>
      </c>
      <c r="Y189" s="311">
        <v>0</v>
      </c>
      <c r="Z189" s="211">
        <v>0</v>
      </c>
      <c r="AA189" s="212"/>
      <c r="AB189" s="213" t="e">
        <v>#DIV/0!</v>
      </c>
      <c r="AC189" s="214"/>
      <c r="AD189" s="215"/>
      <c r="AE189" s="342"/>
      <c r="AF189" s="341"/>
    </row>
    <row r="190" spans="1:32">
      <c r="A190" s="307">
        <v>3</v>
      </c>
      <c r="B190" s="342"/>
      <c r="C190" s="342" t="s">
        <v>189</v>
      </c>
      <c r="D190" s="340" t="s">
        <v>446</v>
      </c>
      <c r="E190" s="342" t="s">
        <v>439</v>
      </c>
      <c r="F190" s="345" t="s">
        <v>183</v>
      </c>
      <c r="G190" s="308">
        <v>1</v>
      </c>
      <c r="H190" s="309">
        <v>670000</v>
      </c>
      <c r="I190" s="309">
        <v>670000</v>
      </c>
      <c r="J190" s="211"/>
      <c r="K190" s="212" t="str">
        <f>IF(OR(J190="",G190=J190),"","*")</f>
        <v/>
      </c>
      <c r="L190" s="338">
        <f>IF($A190&lt;=L$1,I190/I$4,"")</f>
        <v>5.6972789115646259E-3</v>
      </c>
      <c r="M190" s="343"/>
      <c r="N190" s="344"/>
      <c r="O190" s="310">
        <v>0</v>
      </c>
      <c r="P190" s="311">
        <v>0</v>
      </c>
      <c r="Q190" s="311">
        <v>0</v>
      </c>
      <c r="R190" s="211">
        <v>0</v>
      </c>
      <c r="S190" s="212"/>
      <c r="T190" s="213" t="e">
        <v>#DIV/0!</v>
      </c>
      <c r="U190" s="214"/>
      <c r="V190" s="215"/>
      <c r="W190" s="310">
        <v>0</v>
      </c>
      <c r="X190" s="311">
        <v>0</v>
      </c>
      <c r="Y190" s="311">
        <v>0</v>
      </c>
      <c r="Z190" s="211">
        <v>0</v>
      </c>
      <c r="AA190" s="212"/>
      <c r="AB190" s="213" t="e">
        <v>#DIV/0!</v>
      </c>
      <c r="AC190" s="214"/>
      <c r="AD190" s="215"/>
      <c r="AE190" s="342"/>
      <c r="AF190" s="341"/>
    </row>
    <row r="191" spans="1:32">
      <c r="A191" s="307">
        <v>3</v>
      </c>
      <c r="B191" s="342"/>
      <c r="C191" s="342" t="s">
        <v>189</v>
      </c>
      <c r="D191" s="340" t="s">
        <v>446</v>
      </c>
      <c r="E191" s="342" t="s">
        <v>440</v>
      </c>
      <c r="F191" s="345" t="s">
        <v>183</v>
      </c>
      <c r="G191" s="308">
        <v>1</v>
      </c>
      <c r="H191" s="309">
        <v>472000</v>
      </c>
      <c r="I191" s="309">
        <v>472000</v>
      </c>
      <c r="J191" s="211"/>
      <c r="K191" s="212" t="str">
        <f>IF(OR(J191="",G191=J191),"","*")</f>
        <v/>
      </c>
      <c r="L191" s="338">
        <f>IF($A191&lt;=L$1,I191/I$4,"")</f>
        <v>4.0136054421768706E-3</v>
      </c>
      <c r="M191" s="343"/>
      <c r="N191" s="344"/>
      <c r="O191" s="310">
        <v>0</v>
      </c>
      <c r="P191" s="311">
        <v>0</v>
      </c>
      <c r="Q191" s="311">
        <v>0</v>
      </c>
      <c r="R191" s="211">
        <v>0</v>
      </c>
      <c r="S191" s="212"/>
      <c r="T191" s="213" t="e">
        <v>#DIV/0!</v>
      </c>
      <c r="U191" s="214"/>
      <c r="V191" s="215"/>
      <c r="W191" s="310">
        <v>0</v>
      </c>
      <c r="X191" s="311">
        <v>0</v>
      </c>
      <c r="Y191" s="311">
        <v>0</v>
      </c>
      <c r="Z191" s="211">
        <v>0</v>
      </c>
      <c r="AA191" s="212"/>
      <c r="AB191" s="213" t="e">
        <v>#DIV/0!</v>
      </c>
      <c r="AC191" s="214"/>
      <c r="AD191" s="215"/>
      <c r="AE191" s="342"/>
      <c r="AF191" s="341"/>
    </row>
    <row r="192" spans="1:32">
      <c r="A192" s="307">
        <v>3</v>
      </c>
      <c r="B192" s="342"/>
      <c r="C192" s="342" t="s">
        <v>189</v>
      </c>
      <c r="D192" s="340" t="s">
        <v>446</v>
      </c>
      <c r="E192" s="342" t="s">
        <v>441</v>
      </c>
      <c r="F192" s="345" t="s">
        <v>183</v>
      </c>
      <c r="G192" s="308">
        <v>1</v>
      </c>
      <c r="H192" s="309">
        <v>4100000</v>
      </c>
      <c r="I192" s="309">
        <v>4100000</v>
      </c>
      <c r="J192" s="211"/>
      <c r="K192" s="212" t="str">
        <f>IF(OR(J192="",G192=J192),"","*")</f>
        <v/>
      </c>
      <c r="L192" s="338">
        <f>IF($A192&lt;=L$1,I192/I$4,"")</f>
        <v>3.486394557823129E-2</v>
      </c>
      <c r="M192" s="343"/>
      <c r="N192" s="344"/>
      <c r="O192" s="310">
        <v>0</v>
      </c>
      <c r="P192" s="311">
        <v>0</v>
      </c>
      <c r="Q192" s="311">
        <v>0</v>
      </c>
      <c r="R192" s="211">
        <v>0</v>
      </c>
      <c r="S192" s="212"/>
      <c r="T192" s="213" t="e">
        <v>#DIV/0!</v>
      </c>
      <c r="U192" s="214"/>
      <c r="V192" s="215"/>
      <c r="W192" s="310">
        <v>0</v>
      </c>
      <c r="X192" s="311">
        <v>0</v>
      </c>
      <c r="Y192" s="311">
        <v>0</v>
      </c>
      <c r="Z192" s="211">
        <v>0</v>
      </c>
      <c r="AA192" s="212"/>
      <c r="AB192" s="213" t="e">
        <v>#DIV/0!</v>
      </c>
      <c r="AC192" s="214"/>
      <c r="AD192" s="215"/>
      <c r="AE192" s="342"/>
      <c r="AF192" s="341"/>
    </row>
    <row r="193" spans="1:32">
      <c r="A193" s="307">
        <v>2</v>
      </c>
      <c r="B193" s="342"/>
      <c r="C193" s="342" t="s">
        <v>244</v>
      </c>
      <c r="D193" s="340" t="s">
        <v>447</v>
      </c>
      <c r="E193" s="342" t="s">
        <v>237</v>
      </c>
      <c r="F193" s="345" t="s">
        <v>183</v>
      </c>
      <c r="G193" s="308">
        <v>1</v>
      </c>
      <c r="H193" s="309">
        <v>2550000</v>
      </c>
      <c r="I193" s="309">
        <v>2550000</v>
      </c>
      <c r="J193" s="211">
        <v>1</v>
      </c>
      <c r="K193" s="212" t="str">
        <f>IF(OR(J193="",G193=J193),"","*")</f>
        <v/>
      </c>
      <c r="L193" s="338">
        <f>IF($A193&lt;=L$1,I193/I$4,"")</f>
        <v>2.1683673469387755E-2</v>
      </c>
      <c r="M193" s="343"/>
      <c r="N193" s="344" t="s">
        <v>448</v>
      </c>
      <c r="O193" s="310">
        <v>0</v>
      </c>
      <c r="P193" s="311">
        <v>0</v>
      </c>
      <c r="Q193" s="311">
        <v>0</v>
      </c>
      <c r="R193" s="211">
        <v>0</v>
      </c>
      <c r="S193" s="212"/>
      <c r="T193" s="213" t="e">
        <v>#DIV/0!</v>
      </c>
      <c r="U193" s="214"/>
      <c r="V193" s="215"/>
      <c r="W193" s="310">
        <v>0</v>
      </c>
      <c r="X193" s="311">
        <v>0</v>
      </c>
      <c r="Y193" s="311">
        <v>0</v>
      </c>
      <c r="Z193" s="211">
        <v>0</v>
      </c>
      <c r="AA193" s="212"/>
      <c r="AB193" s="213" t="e">
        <v>#DIV/0!</v>
      </c>
      <c r="AC193" s="214"/>
      <c r="AD193" s="215"/>
      <c r="AE193" s="342"/>
      <c r="AF193" s="341"/>
    </row>
    <row r="194" spans="1:32">
      <c r="A194" s="307">
        <v>3</v>
      </c>
      <c r="B194" s="342"/>
      <c r="C194" s="342" t="s">
        <v>188</v>
      </c>
      <c r="D194" s="340" t="s">
        <v>449</v>
      </c>
      <c r="E194" s="342"/>
      <c r="F194" s="345" t="s">
        <v>250</v>
      </c>
      <c r="G194" s="308">
        <v>0</v>
      </c>
      <c r="H194" s="309">
        <v>30000</v>
      </c>
      <c r="I194" s="309">
        <v>0</v>
      </c>
      <c r="J194" s="211"/>
      <c r="K194" s="212" t="str">
        <f>IF(OR(J194="",G194=J194),"","*")</f>
        <v/>
      </c>
      <c r="L194" s="338">
        <f>IF($A194&lt;=L$1,I194/I$4,"")</f>
        <v>0</v>
      </c>
      <c r="M194" s="343"/>
      <c r="N194" s="344"/>
      <c r="O194" s="310">
        <v>0</v>
      </c>
      <c r="P194" s="311">
        <v>0</v>
      </c>
      <c r="Q194" s="311">
        <v>0</v>
      </c>
      <c r="R194" s="211">
        <v>0</v>
      </c>
      <c r="S194" s="212"/>
      <c r="T194" s="213" t="e">
        <v>#DIV/0!</v>
      </c>
      <c r="U194" s="214"/>
      <c r="V194" s="215"/>
      <c r="W194" s="310">
        <v>0</v>
      </c>
      <c r="X194" s="311">
        <v>0</v>
      </c>
      <c r="Y194" s="311">
        <v>0</v>
      </c>
      <c r="Z194" s="211">
        <v>0</v>
      </c>
      <c r="AA194" s="212"/>
      <c r="AB194" s="213" t="e">
        <v>#DIV/0!</v>
      </c>
      <c r="AC194" s="214"/>
      <c r="AD194" s="215"/>
      <c r="AE194" s="342" t="s">
        <v>251</v>
      </c>
      <c r="AF194" s="341" t="s">
        <v>450</v>
      </c>
    </row>
    <row r="195" spans="1:32">
      <c r="A195" s="307">
        <v>3</v>
      </c>
      <c r="B195" s="342"/>
      <c r="C195" s="342" t="s">
        <v>188</v>
      </c>
      <c r="D195" s="340" t="s">
        <v>451</v>
      </c>
      <c r="E195" s="342"/>
      <c r="F195" s="345" t="s">
        <v>250</v>
      </c>
      <c r="G195" s="308">
        <v>0</v>
      </c>
      <c r="H195" s="309">
        <v>21000</v>
      </c>
      <c r="I195" s="309">
        <v>0</v>
      </c>
      <c r="J195" s="211"/>
      <c r="K195" s="212" t="str">
        <f>IF(OR(J195="",G195=J195),"","*")</f>
        <v/>
      </c>
      <c r="L195" s="338">
        <f>IF($A195&lt;=L$1,I195/I$4,"")</f>
        <v>0</v>
      </c>
      <c r="M195" s="343"/>
      <c r="N195" s="344"/>
      <c r="O195" s="310">
        <v>0</v>
      </c>
      <c r="P195" s="311">
        <v>0</v>
      </c>
      <c r="Q195" s="311">
        <v>0</v>
      </c>
      <c r="R195" s="211">
        <v>0</v>
      </c>
      <c r="S195" s="212"/>
      <c r="T195" s="213" t="e">
        <v>#DIV/0!</v>
      </c>
      <c r="U195" s="214"/>
      <c r="V195" s="215"/>
      <c r="W195" s="310">
        <v>0</v>
      </c>
      <c r="X195" s="311">
        <v>0</v>
      </c>
      <c r="Y195" s="311">
        <v>0</v>
      </c>
      <c r="Z195" s="211">
        <v>0</v>
      </c>
      <c r="AA195" s="212"/>
      <c r="AB195" s="213" t="e">
        <v>#DIV/0!</v>
      </c>
      <c r="AC195" s="214"/>
      <c r="AD195" s="215"/>
      <c r="AE195" s="342" t="s">
        <v>254</v>
      </c>
      <c r="AF195" s="341" t="s">
        <v>452</v>
      </c>
    </row>
    <row r="196" spans="1:32">
      <c r="A196" s="307">
        <v>3</v>
      </c>
      <c r="B196" s="342"/>
      <c r="C196" s="342" t="s">
        <v>188</v>
      </c>
      <c r="D196" s="340" t="s">
        <v>449</v>
      </c>
      <c r="E196" s="342"/>
      <c r="F196" s="345" t="s">
        <v>250</v>
      </c>
      <c r="G196" s="308">
        <v>7</v>
      </c>
      <c r="H196" s="309">
        <v>30000</v>
      </c>
      <c r="I196" s="309">
        <v>210000</v>
      </c>
      <c r="J196" s="211"/>
      <c r="K196" s="212" t="str">
        <f>IF(OR(J196="",G196=J196),"","*")</f>
        <v/>
      </c>
      <c r="L196" s="338">
        <f>IF($A196&lt;=L$1,I196/I$4,"")</f>
        <v>1.7857142857142857E-3</v>
      </c>
      <c r="M196" s="343"/>
      <c r="N196" s="344"/>
      <c r="O196" s="310">
        <v>0</v>
      </c>
      <c r="P196" s="311">
        <v>0</v>
      </c>
      <c r="Q196" s="311">
        <v>0</v>
      </c>
      <c r="R196" s="211">
        <v>0</v>
      </c>
      <c r="S196" s="212"/>
      <c r="T196" s="213" t="e">
        <v>#DIV/0!</v>
      </c>
      <c r="U196" s="214"/>
      <c r="V196" s="215"/>
      <c r="W196" s="310">
        <v>0</v>
      </c>
      <c r="X196" s="311">
        <v>0</v>
      </c>
      <c r="Y196" s="311">
        <v>0</v>
      </c>
      <c r="Z196" s="211">
        <v>0</v>
      </c>
      <c r="AA196" s="212"/>
      <c r="AB196" s="213" t="e">
        <v>#DIV/0!</v>
      </c>
      <c r="AC196" s="214"/>
      <c r="AD196" s="215"/>
      <c r="AE196" s="342" t="s">
        <v>251</v>
      </c>
      <c r="AF196" s="341" t="s">
        <v>453</v>
      </c>
    </row>
    <row r="197" spans="1:32">
      <c r="A197" s="307">
        <v>3</v>
      </c>
      <c r="B197" s="342"/>
      <c r="C197" s="342" t="s">
        <v>188</v>
      </c>
      <c r="D197" s="340" t="s">
        <v>451</v>
      </c>
      <c r="E197" s="342"/>
      <c r="F197" s="345" t="s">
        <v>250</v>
      </c>
      <c r="G197" s="308">
        <v>28</v>
      </c>
      <c r="H197" s="309">
        <v>21000</v>
      </c>
      <c r="I197" s="309">
        <v>588000</v>
      </c>
      <c r="J197" s="211"/>
      <c r="K197" s="212" t="str">
        <f>IF(OR(J197="",G197=J197),"","*")</f>
        <v/>
      </c>
      <c r="L197" s="338">
        <f>IF($A197&lt;=L$1,I197/I$4,"")</f>
        <v>5.0000000000000001E-3</v>
      </c>
      <c r="M197" s="343"/>
      <c r="N197" s="344"/>
      <c r="O197" s="310">
        <v>0</v>
      </c>
      <c r="P197" s="311">
        <v>0</v>
      </c>
      <c r="Q197" s="311">
        <v>0</v>
      </c>
      <c r="R197" s="211">
        <v>0</v>
      </c>
      <c r="S197" s="212"/>
      <c r="T197" s="213" t="e">
        <v>#DIV/0!</v>
      </c>
      <c r="U197" s="214"/>
      <c r="V197" s="215"/>
      <c r="W197" s="310">
        <v>0</v>
      </c>
      <c r="X197" s="311">
        <v>0</v>
      </c>
      <c r="Y197" s="311">
        <v>0</v>
      </c>
      <c r="Z197" s="211">
        <v>0</v>
      </c>
      <c r="AA197" s="212"/>
      <c r="AB197" s="213" t="e">
        <v>#DIV/0!</v>
      </c>
      <c r="AC197" s="214"/>
      <c r="AD197" s="215"/>
      <c r="AE197" s="342" t="s">
        <v>254</v>
      </c>
      <c r="AF197" s="341" t="s">
        <v>454</v>
      </c>
    </row>
    <row r="198" spans="1:32">
      <c r="A198" s="307">
        <v>3</v>
      </c>
      <c r="B198" s="342"/>
      <c r="C198" s="342" t="s">
        <v>190</v>
      </c>
      <c r="D198" s="340" t="s">
        <v>455</v>
      </c>
      <c r="E198" s="342"/>
      <c r="F198" s="345" t="s">
        <v>258</v>
      </c>
      <c r="G198" s="308">
        <v>7</v>
      </c>
      <c r="H198" s="309">
        <v>8000</v>
      </c>
      <c r="I198" s="309">
        <v>56000</v>
      </c>
      <c r="J198" s="211"/>
      <c r="K198" s="212" t="str">
        <f>IF(OR(J198="",G198=J198),"","*")</f>
        <v/>
      </c>
      <c r="L198" s="338">
        <f>IF($A198&lt;=L$1,I198/I$4,"")</f>
        <v>4.7619047619047619E-4</v>
      </c>
      <c r="M198" s="343"/>
      <c r="N198" s="344"/>
      <c r="O198" s="310">
        <v>0</v>
      </c>
      <c r="P198" s="311">
        <v>0</v>
      </c>
      <c r="Q198" s="311">
        <v>0</v>
      </c>
      <c r="R198" s="211">
        <v>0</v>
      </c>
      <c r="S198" s="212"/>
      <c r="T198" s="213" t="e">
        <v>#DIV/0!</v>
      </c>
      <c r="U198" s="214"/>
      <c r="V198" s="215"/>
      <c r="W198" s="310">
        <v>0</v>
      </c>
      <c r="X198" s="311">
        <v>0</v>
      </c>
      <c r="Y198" s="311">
        <v>0</v>
      </c>
      <c r="Z198" s="211">
        <v>0</v>
      </c>
      <c r="AA198" s="212"/>
      <c r="AB198" s="213" t="e">
        <v>#DIV/0!</v>
      </c>
      <c r="AC198" s="214"/>
      <c r="AD198" s="215"/>
      <c r="AE198" s="342" t="s">
        <v>261</v>
      </c>
      <c r="AF198" s="341" t="s">
        <v>456</v>
      </c>
    </row>
    <row r="199" spans="1:32">
      <c r="A199" s="307">
        <v>3</v>
      </c>
      <c r="B199" s="342"/>
      <c r="C199" s="342" t="s">
        <v>188</v>
      </c>
      <c r="D199" s="340" t="s">
        <v>449</v>
      </c>
      <c r="E199" s="342"/>
      <c r="F199" s="345" t="s">
        <v>250</v>
      </c>
      <c r="G199" s="308">
        <v>10</v>
      </c>
      <c r="H199" s="309">
        <v>30000</v>
      </c>
      <c r="I199" s="309">
        <v>300000</v>
      </c>
      <c r="J199" s="211"/>
      <c r="K199" s="212" t="str">
        <f>IF(OR(J199="",G199=J199),"","*")</f>
        <v/>
      </c>
      <c r="L199" s="338">
        <f>IF($A199&lt;=L$1,I199/I$4,"")</f>
        <v>2.5510204081632651E-3</v>
      </c>
      <c r="M199" s="343"/>
      <c r="N199" s="344"/>
      <c r="O199" s="310">
        <v>0</v>
      </c>
      <c r="P199" s="311">
        <v>0</v>
      </c>
      <c r="Q199" s="311">
        <v>0</v>
      </c>
      <c r="R199" s="211">
        <v>0</v>
      </c>
      <c r="S199" s="212"/>
      <c r="T199" s="213" t="e">
        <v>#DIV/0!</v>
      </c>
      <c r="U199" s="214"/>
      <c r="V199" s="215"/>
      <c r="W199" s="310">
        <v>0</v>
      </c>
      <c r="X199" s="311">
        <v>0</v>
      </c>
      <c r="Y199" s="311">
        <v>0</v>
      </c>
      <c r="Z199" s="211">
        <v>0</v>
      </c>
      <c r="AA199" s="212"/>
      <c r="AB199" s="213" t="e">
        <v>#DIV/0!</v>
      </c>
      <c r="AC199" s="214"/>
      <c r="AD199" s="215"/>
      <c r="AE199" s="342" t="s">
        <v>251</v>
      </c>
      <c r="AF199" s="341" t="s">
        <v>457</v>
      </c>
    </row>
    <row r="200" spans="1:32">
      <c r="A200" s="307">
        <v>3</v>
      </c>
      <c r="B200" s="342"/>
      <c r="C200" s="342" t="s">
        <v>188</v>
      </c>
      <c r="D200" s="340" t="s">
        <v>451</v>
      </c>
      <c r="E200" s="342"/>
      <c r="F200" s="345" t="s">
        <v>250</v>
      </c>
      <c r="G200" s="308">
        <v>60</v>
      </c>
      <c r="H200" s="309">
        <v>21000</v>
      </c>
      <c r="I200" s="309">
        <v>1260000</v>
      </c>
      <c r="J200" s="211"/>
      <c r="K200" s="212" t="str">
        <f>IF(OR(J200="",G200=J200),"","*")</f>
        <v/>
      </c>
      <c r="L200" s="338">
        <f>IF($A200&lt;=L$1,I200/I$4,"")</f>
        <v>1.0714285714285714E-2</v>
      </c>
      <c r="M200" s="343"/>
      <c r="N200" s="344"/>
      <c r="O200" s="310">
        <v>0</v>
      </c>
      <c r="P200" s="311">
        <v>0</v>
      </c>
      <c r="Q200" s="311">
        <v>0</v>
      </c>
      <c r="R200" s="211">
        <v>0</v>
      </c>
      <c r="S200" s="212"/>
      <c r="T200" s="213" t="e">
        <v>#DIV/0!</v>
      </c>
      <c r="U200" s="214"/>
      <c r="V200" s="215"/>
      <c r="W200" s="310">
        <v>0</v>
      </c>
      <c r="X200" s="311">
        <v>0</v>
      </c>
      <c r="Y200" s="311">
        <v>0</v>
      </c>
      <c r="Z200" s="211">
        <v>0</v>
      </c>
      <c r="AA200" s="212"/>
      <c r="AB200" s="213" t="e">
        <v>#DIV/0!</v>
      </c>
      <c r="AC200" s="214"/>
      <c r="AD200" s="215"/>
      <c r="AE200" s="342" t="s">
        <v>254</v>
      </c>
      <c r="AF200" s="341" t="s">
        <v>458</v>
      </c>
    </row>
    <row r="201" spans="1:32">
      <c r="A201" s="307">
        <v>3</v>
      </c>
      <c r="B201" s="342"/>
      <c r="C201" s="342" t="s">
        <v>190</v>
      </c>
      <c r="D201" s="340" t="s">
        <v>455</v>
      </c>
      <c r="E201" s="342"/>
      <c r="F201" s="345" t="s">
        <v>258</v>
      </c>
      <c r="G201" s="308">
        <v>10</v>
      </c>
      <c r="H201" s="309">
        <v>8000</v>
      </c>
      <c r="I201" s="309">
        <v>80000</v>
      </c>
      <c r="J201" s="211"/>
      <c r="K201" s="212" t="str">
        <f>IF(OR(J201="",G201=J201),"","*")</f>
        <v/>
      </c>
      <c r="L201" s="338">
        <f>IF($A201&lt;=L$1,I201/I$4,"")</f>
        <v>6.8027210884353737E-4</v>
      </c>
      <c r="M201" s="343"/>
      <c r="N201" s="344"/>
      <c r="O201" s="310">
        <v>0</v>
      </c>
      <c r="P201" s="311">
        <v>0</v>
      </c>
      <c r="Q201" s="311">
        <v>0</v>
      </c>
      <c r="R201" s="211">
        <v>0</v>
      </c>
      <c r="S201" s="212"/>
      <c r="T201" s="213" t="e">
        <v>#DIV/0!</v>
      </c>
      <c r="U201" s="214"/>
      <c r="V201" s="215"/>
      <c r="W201" s="310">
        <v>0</v>
      </c>
      <c r="X201" s="311">
        <v>0</v>
      </c>
      <c r="Y201" s="311">
        <v>0</v>
      </c>
      <c r="Z201" s="211">
        <v>0</v>
      </c>
      <c r="AA201" s="212"/>
      <c r="AB201" s="213" t="e">
        <v>#DIV/0!</v>
      </c>
      <c r="AC201" s="214"/>
      <c r="AD201" s="215"/>
      <c r="AE201" s="342" t="s">
        <v>261</v>
      </c>
      <c r="AF201" s="341" t="s">
        <v>459</v>
      </c>
    </row>
    <row r="202" spans="1:32">
      <c r="A202" s="307">
        <v>3</v>
      </c>
      <c r="B202" s="342"/>
      <c r="C202" s="342" t="s">
        <v>188</v>
      </c>
      <c r="D202" s="340" t="s">
        <v>449</v>
      </c>
      <c r="E202" s="342"/>
      <c r="F202" s="345" t="s">
        <v>250</v>
      </c>
      <c r="G202" s="308">
        <v>0</v>
      </c>
      <c r="H202" s="309">
        <v>30000</v>
      </c>
      <c r="I202" s="309">
        <v>0</v>
      </c>
      <c r="J202" s="211"/>
      <c r="K202" s="212" t="str">
        <f>IF(OR(J202="",G202=J202),"","*")</f>
        <v/>
      </c>
      <c r="L202" s="338">
        <f>IF($A202&lt;=L$1,I202/I$4,"")</f>
        <v>0</v>
      </c>
      <c r="M202" s="343"/>
      <c r="N202" s="344"/>
      <c r="O202" s="310">
        <v>0</v>
      </c>
      <c r="P202" s="311">
        <v>0</v>
      </c>
      <c r="Q202" s="311">
        <v>0</v>
      </c>
      <c r="R202" s="211">
        <v>0</v>
      </c>
      <c r="S202" s="212"/>
      <c r="T202" s="213" t="e">
        <v>#DIV/0!</v>
      </c>
      <c r="U202" s="214"/>
      <c r="V202" s="215"/>
      <c r="W202" s="310">
        <v>0</v>
      </c>
      <c r="X202" s="311">
        <v>0</v>
      </c>
      <c r="Y202" s="311">
        <v>0</v>
      </c>
      <c r="Z202" s="211">
        <v>0</v>
      </c>
      <c r="AA202" s="212"/>
      <c r="AB202" s="213" t="e">
        <v>#DIV/0!</v>
      </c>
      <c r="AC202" s="214"/>
      <c r="AD202" s="215"/>
      <c r="AE202" s="342" t="s">
        <v>251</v>
      </c>
      <c r="AF202" s="341" t="s">
        <v>460</v>
      </c>
    </row>
    <row r="203" spans="1:32">
      <c r="A203" s="307">
        <v>3</v>
      </c>
      <c r="B203" s="342"/>
      <c r="C203" s="342" t="s">
        <v>188</v>
      </c>
      <c r="D203" s="340" t="s">
        <v>451</v>
      </c>
      <c r="E203" s="342"/>
      <c r="F203" s="345" t="s">
        <v>250</v>
      </c>
      <c r="G203" s="308">
        <v>0</v>
      </c>
      <c r="H203" s="309">
        <v>21000</v>
      </c>
      <c r="I203" s="309">
        <v>0</v>
      </c>
      <c r="J203" s="211"/>
      <c r="K203" s="212" t="str">
        <f>IF(OR(J203="",G203=J203),"","*")</f>
        <v/>
      </c>
      <c r="L203" s="338">
        <f>IF($A203&lt;=L$1,I203/I$4,"")</f>
        <v>0</v>
      </c>
      <c r="M203" s="343"/>
      <c r="N203" s="344"/>
      <c r="O203" s="310">
        <v>0</v>
      </c>
      <c r="P203" s="311">
        <v>0</v>
      </c>
      <c r="Q203" s="311">
        <v>0</v>
      </c>
      <c r="R203" s="211">
        <v>0</v>
      </c>
      <c r="S203" s="212"/>
      <c r="T203" s="213" t="e">
        <v>#DIV/0!</v>
      </c>
      <c r="U203" s="214"/>
      <c r="V203" s="215"/>
      <c r="W203" s="310">
        <v>0</v>
      </c>
      <c r="X203" s="311">
        <v>0</v>
      </c>
      <c r="Y203" s="311">
        <v>0</v>
      </c>
      <c r="Z203" s="211">
        <v>0</v>
      </c>
      <c r="AA203" s="212"/>
      <c r="AB203" s="213" t="e">
        <v>#DIV/0!</v>
      </c>
      <c r="AC203" s="214"/>
      <c r="AD203" s="215"/>
      <c r="AE203" s="342" t="s">
        <v>254</v>
      </c>
      <c r="AF203" s="341" t="s">
        <v>461</v>
      </c>
    </row>
    <row r="204" spans="1:32">
      <c r="A204" s="307">
        <v>3</v>
      </c>
      <c r="B204" s="342"/>
      <c r="C204" s="342" t="s">
        <v>187</v>
      </c>
      <c r="D204" s="340" t="s">
        <v>462</v>
      </c>
      <c r="E204" s="342"/>
      <c r="F204" s="345" t="s">
        <v>183</v>
      </c>
      <c r="G204" s="308">
        <v>1</v>
      </c>
      <c r="H204" s="309">
        <v>56000</v>
      </c>
      <c r="I204" s="309">
        <v>56000</v>
      </c>
      <c r="J204" s="211"/>
      <c r="K204" s="212" t="str">
        <f>IF(OR(J204="",G204=J204),"","*")</f>
        <v/>
      </c>
      <c r="L204" s="338">
        <f>IF($A204&lt;=L$1,I204/I$4,"")</f>
        <v>4.7619047619047619E-4</v>
      </c>
      <c r="M204" s="343"/>
      <c r="N204" s="344"/>
      <c r="O204" s="310">
        <v>0</v>
      </c>
      <c r="P204" s="311">
        <v>0</v>
      </c>
      <c r="Q204" s="311">
        <v>0</v>
      </c>
      <c r="R204" s="211">
        <v>0</v>
      </c>
      <c r="S204" s="212"/>
      <c r="T204" s="213" t="e">
        <v>#DIV/0!</v>
      </c>
      <c r="U204" s="214"/>
      <c r="V204" s="215"/>
      <c r="W204" s="310">
        <v>0</v>
      </c>
      <c r="X204" s="311">
        <v>0</v>
      </c>
      <c r="Y204" s="311">
        <v>0</v>
      </c>
      <c r="Z204" s="211">
        <v>0</v>
      </c>
      <c r="AA204" s="212"/>
      <c r="AB204" s="213" t="e">
        <v>#DIV/0!</v>
      </c>
      <c r="AC204" s="214"/>
      <c r="AD204" s="215"/>
      <c r="AE204" s="342" t="s">
        <v>276</v>
      </c>
      <c r="AF204" s="341"/>
    </row>
    <row r="205" spans="1:32">
      <c r="A205" s="307">
        <v>2</v>
      </c>
      <c r="B205" s="342"/>
      <c r="C205" s="342" t="s">
        <v>244</v>
      </c>
      <c r="D205" s="340" t="s">
        <v>463</v>
      </c>
      <c r="E205" s="342"/>
      <c r="F205" s="345" t="s">
        <v>183</v>
      </c>
      <c r="G205" s="308">
        <v>1</v>
      </c>
      <c r="H205" s="309">
        <v>15282</v>
      </c>
      <c r="I205" s="309">
        <v>15282</v>
      </c>
      <c r="J205" s="211">
        <v>1</v>
      </c>
      <c r="K205" s="212" t="str">
        <f>IF(OR(J205="",G205=J205),"","*")</f>
        <v/>
      </c>
      <c r="L205" s="338">
        <f>IF($A205&lt;=L$1,I205/I$4,"")</f>
        <v>1.2994897959183675E-4</v>
      </c>
      <c r="M205" s="343"/>
      <c r="N205" s="344" t="s">
        <v>464</v>
      </c>
      <c r="O205" s="310">
        <v>0</v>
      </c>
      <c r="P205" s="311">
        <v>0</v>
      </c>
      <c r="Q205" s="311">
        <v>0</v>
      </c>
      <c r="R205" s="211">
        <v>0</v>
      </c>
      <c r="S205" s="212"/>
      <c r="T205" s="213" t="e">
        <v>#DIV/0!</v>
      </c>
      <c r="U205" s="214"/>
      <c r="V205" s="215"/>
      <c r="W205" s="310">
        <v>0</v>
      </c>
      <c r="X205" s="311">
        <v>0</v>
      </c>
      <c r="Y205" s="311">
        <v>0</v>
      </c>
      <c r="Z205" s="211">
        <v>0</v>
      </c>
      <c r="AA205" s="212"/>
      <c r="AB205" s="213" t="e">
        <v>#DIV/0!</v>
      </c>
      <c r="AC205" s="214"/>
      <c r="AD205" s="215"/>
      <c r="AE205" s="342"/>
      <c r="AF205" s="341"/>
    </row>
    <row r="206" spans="1:32">
      <c r="A206" s="307">
        <v>3</v>
      </c>
      <c r="B206" s="342"/>
      <c r="C206" s="342"/>
      <c r="D206" s="340" t="s">
        <v>465</v>
      </c>
      <c r="E206" s="342"/>
      <c r="F206" s="345" t="s">
        <v>183</v>
      </c>
      <c r="G206" s="308">
        <v>1</v>
      </c>
      <c r="H206" s="309">
        <v>15282</v>
      </c>
      <c r="I206" s="309">
        <v>15282</v>
      </c>
      <c r="J206" s="211"/>
      <c r="K206" s="212" t="str">
        <f>IF(OR(J206="",G206=J206),"","*")</f>
        <v/>
      </c>
      <c r="L206" s="338">
        <f>IF($A206&lt;=L$1,I206/I$4,"")</f>
        <v>1.2994897959183675E-4</v>
      </c>
      <c r="M206" s="343"/>
      <c r="N206" s="344"/>
      <c r="O206" s="310">
        <v>0</v>
      </c>
      <c r="P206" s="311">
        <v>0</v>
      </c>
      <c r="Q206" s="311">
        <v>0</v>
      </c>
      <c r="R206" s="211">
        <v>0</v>
      </c>
      <c r="S206" s="212"/>
      <c r="T206" s="213" t="e">
        <v>#DIV/0!</v>
      </c>
      <c r="U206" s="214"/>
      <c r="V206" s="215"/>
      <c r="W206" s="310">
        <v>0</v>
      </c>
      <c r="X206" s="311">
        <v>0</v>
      </c>
      <c r="Y206" s="311">
        <v>0</v>
      </c>
      <c r="Z206" s="211">
        <v>0</v>
      </c>
      <c r="AA206" s="212"/>
      <c r="AB206" s="213" t="e">
        <v>#DIV/0!</v>
      </c>
      <c r="AC206" s="214"/>
      <c r="AD206" s="215"/>
      <c r="AE206" s="342"/>
      <c r="AF206" s="341"/>
    </row>
    <row r="207" spans="1:32">
      <c r="A207" s="217"/>
      <c r="B207" s="217"/>
      <c r="C207" s="312"/>
      <c r="D207" s="217"/>
      <c r="E207" s="217"/>
      <c r="F207" s="218"/>
      <c r="G207" s="217"/>
      <c r="H207" s="217"/>
      <c r="I207" s="217"/>
      <c r="J207" s="217"/>
      <c r="K207" s="218"/>
      <c r="L207" s="217"/>
      <c r="M207" s="217"/>
      <c r="N207" s="217"/>
      <c r="O207" s="217"/>
      <c r="P207" s="217"/>
      <c r="Q207" s="217"/>
      <c r="R207" s="217"/>
      <c r="S207" s="218"/>
      <c r="T207" s="217"/>
      <c r="U207" s="217"/>
      <c r="V207" s="217"/>
      <c r="W207" s="217"/>
      <c r="X207" s="217"/>
      <c r="Y207" s="217"/>
      <c r="Z207" s="217"/>
      <c r="AA207" s="218"/>
      <c r="AB207" s="217"/>
      <c r="AC207" s="217"/>
      <c r="AD207" s="217"/>
      <c r="AE207" s="217"/>
      <c r="AF207" s="313"/>
    </row>
  </sheetData>
  <autoFilter ref="A3:AE3" xr:uid="{00000000-0009-0000-0000-000006000000}"/>
  <mergeCells count="4">
    <mergeCell ref="G2:N2"/>
    <mergeCell ref="O2:V2"/>
    <mergeCell ref="W2:AD2"/>
    <mergeCell ref="AF2:AF3"/>
  </mergeCells>
  <phoneticPr fontId="4"/>
  <conditionalFormatting sqref="A4:AD206 AF4:AF206">
    <cfRule type="expression" dxfId="29" priority="46" stopIfTrue="1">
      <formula>$A4&lt;=1</formula>
    </cfRule>
    <cfRule type="expression" dxfId="28" priority="47" stopIfTrue="1">
      <formula>$A4=2</formula>
    </cfRule>
    <cfRule type="expression" dxfId="27" priority="48" stopIfTrue="1">
      <formula>$A4=3</formula>
    </cfRule>
    <cfRule type="expression" dxfId="26" priority="49" stopIfTrue="1">
      <formula>$A4=4</formula>
    </cfRule>
    <cfRule type="expression" dxfId="25" priority="50" stopIfTrue="1">
      <formula>$A4=5</formula>
    </cfRule>
  </conditionalFormatting>
  <conditionalFormatting sqref="AE4:AE206">
    <cfRule type="expression" dxfId="24" priority="16" stopIfTrue="1">
      <formula>$A4&lt;=1</formula>
    </cfRule>
    <cfRule type="expression" dxfId="23" priority="17" stopIfTrue="1">
      <formula>$A4=2</formula>
    </cfRule>
    <cfRule type="expression" dxfId="22" priority="18" stopIfTrue="1">
      <formula>$A4=3</formula>
    </cfRule>
    <cfRule type="expression" dxfId="21" priority="19" stopIfTrue="1">
      <formula>$A4=4</formula>
    </cfRule>
    <cfRule type="expression" dxfId="20" priority="2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7">
    <pageSetUpPr fitToPage="1"/>
  </sheetPr>
  <dimension ref="A1:H40"/>
  <sheetViews>
    <sheetView zoomScaleNormal="100" workbookViewId="0"/>
  </sheetViews>
  <sheetFormatPr defaultColWidth="8.25" defaultRowHeight="13.5"/>
  <cols>
    <col min="1" max="1" width="3.375" style="73" customWidth="1"/>
    <col min="2" max="2" width="0.875" style="73" customWidth="1"/>
    <col min="3" max="3" width="41.875" style="73" customWidth="1"/>
    <col min="4" max="4" width="18.875" style="73" customWidth="1"/>
    <col min="5" max="5" width="0.875" style="73" customWidth="1"/>
    <col min="6" max="6" width="41.875" style="73" customWidth="1"/>
    <col min="7" max="7" width="18.875" style="73" customWidth="1"/>
    <col min="8" max="8" width="3.375" style="73" customWidth="1"/>
    <col min="9" max="16384" width="8.25" style="73"/>
  </cols>
  <sheetData>
    <row r="1" spans="1:8" ht="21" customHeight="1">
      <c r="B1" s="541" t="s">
        <v>71</v>
      </c>
      <c r="C1" s="541"/>
      <c r="D1" s="541"/>
      <c r="E1" s="541"/>
      <c r="F1" s="541"/>
      <c r="G1" s="541"/>
      <c r="H1" s="237"/>
    </row>
    <row r="2" spans="1:8" ht="14.25" customHeight="1" thickBot="1">
      <c r="A2" s="69"/>
      <c r="B2" s="69"/>
      <c r="C2" s="69"/>
      <c r="D2" s="69"/>
      <c r="E2" s="69"/>
      <c r="F2" s="69"/>
      <c r="G2" s="72"/>
      <c r="H2" s="69"/>
    </row>
    <row r="3" spans="1:8" ht="20.25" customHeight="1">
      <c r="A3" s="69"/>
      <c r="B3" s="534" t="s">
        <v>72</v>
      </c>
      <c r="C3" s="542"/>
      <c r="D3" s="116" t="s">
        <v>73</v>
      </c>
      <c r="E3" s="543" t="s">
        <v>74</v>
      </c>
      <c r="F3" s="544"/>
      <c r="G3" s="117" t="s">
        <v>73</v>
      </c>
      <c r="H3" s="69"/>
    </row>
    <row r="4" spans="1:8" ht="27" customHeight="1">
      <c r="A4" s="69"/>
      <c r="B4" s="118"/>
      <c r="C4" s="119" t="s">
        <v>467</v>
      </c>
      <c r="D4" s="315">
        <v>778000</v>
      </c>
      <c r="E4" s="120"/>
      <c r="F4" s="119" t="s">
        <v>468</v>
      </c>
      <c r="G4" s="316">
        <v>7170000</v>
      </c>
      <c r="H4" s="69"/>
    </row>
    <row r="5" spans="1:8" ht="27" customHeight="1">
      <c r="A5" s="69"/>
      <c r="B5" s="118"/>
      <c r="C5" s="119" t="s">
        <v>469</v>
      </c>
      <c r="D5" s="315">
        <v>190000</v>
      </c>
      <c r="E5" s="120"/>
      <c r="F5" s="119" t="s">
        <v>470</v>
      </c>
      <c r="G5" s="316">
        <v>42000</v>
      </c>
      <c r="H5" s="69"/>
    </row>
    <row r="6" spans="1:8" ht="27" customHeight="1">
      <c r="A6" s="69"/>
      <c r="B6" s="118"/>
      <c r="C6" s="119" t="s">
        <v>471</v>
      </c>
      <c r="D6" s="315">
        <v>4894000</v>
      </c>
      <c r="E6" s="120"/>
      <c r="F6" s="119" t="s">
        <v>472</v>
      </c>
      <c r="G6" s="316"/>
      <c r="H6" s="69"/>
    </row>
    <row r="7" spans="1:8" ht="27" customHeight="1">
      <c r="A7" s="69"/>
      <c r="B7" s="118"/>
      <c r="C7" s="119" t="s">
        <v>473</v>
      </c>
      <c r="D7" s="315">
        <v>1700000</v>
      </c>
      <c r="E7" s="120"/>
      <c r="F7" s="119" t="s">
        <v>474</v>
      </c>
      <c r="G7" s="316">
        <v>394290</v>
      </c>
      <c r="H7" s="69"/>
    </row>
    <row r="8" spans="1:8" ht="27" customHeight="1">
      <c r="A8" s="69"/>
      <c r="B8" s="118"/>
      <c r="C8" s="119" t="s">
        <v>475</v>
      </c>
      <c r="D8" s="315">
        <v>1303400</v>
      </c>
      <c r="E8" s="120"/>
      <c r="F8" s="119"/>
      <c r="G8" s="316"/>
      <c r="H8" s="69"/>
    </row>
    <row r="9" spans="1:8" ht="27" customHeight="1">
      <c r="A9" s="69"/>
      <c r="B9" s="118"/>
      <c r="C9" s="119"/>
      <c r="D9" s="315"/>
      <c r="E9" s="120"/>
      <c r="F9" s="119" t="s">
        <v>239</v>
      </c>
      <c r="G9" s="316">
        <v>7606290</v>
      </c>
      <c r="H9" s="69"/>
    </row>
    <row r="10" spans="1:8" ht="27" customHeight="1">
      <c r="A10" s="69"/>
      <c r="B10" s="118"/>
      <c r="C10" s="119" t="s">
        <v>239</v>
      </c>
      <c r="D10" s="315">
        <v>8865400</v>
      </c>
      <c r="E10" s="120"/>
      <c r="F10" s="119"/>
      <c r="G10" s="316"/>
      <c r="H10" s="69"/>
    </row>
    <row r="11" spans="1:8" ht="27" customHeight="1">
      <c r="A11" s="69"/>
      <c r="B11" s="118"/>
      <c r="C11" s="119"/>
      <c r="D11" s="315"/>
      <c r="E11" s="120"/>
      <c r="F11" s="119"/>
      <c r="G11" s="316"/>
      <c r="H11" s="69"/>
    </row>
    <row r="12" spans="1:8" ht="27" customHeight="1">
      <c r="A12" s="69"/>
      <c r="B12" s="118"/>
      <c r="C12" s="119"/>
      <c r="D12" s="315"/>
      <c r="E12" s="120"/>
      <c r="F12" s="119"/>
      <c r="G12" s="316"/>
      <c r="H12" s="69"/>
    </row>
    <row r="13" spans="1:8" ht="27" customHeight="1">
      <c r="A13" s="69"/>
      <c r="B13" s="118"/>
      <c r="C13" s="119"/>
      <c r="D13" s="315"/>
      <c r="E13" s="120"/>
      <c r="F13" s="119"/>
      <c r="G13" s="316"/>
      <c r="H13" s="69"/>
    </row>
    <row r="14" spans="1:8" ht="27" customHeight="1">
      <c r="A14" s="69"/>
      <c r="B14" s="118"/>
      <c r="C14" s="119"/>
      <c r="D14" s="315"/>
      <c r="E14" s="120"/>
      <c r="F14" s="119"/>
      <c r="G14" s="316"/>
      <c r="H14" s="69"/>
    </row>
    <row r="15" spans="1:8" ht="27" customHeight="1">
      <c r="A15" s="69"/>
      <c r="B15" s="118"/>
      <c r="C15" s="119"/>
      <c r="D15" s="315"/>
      <c r="E15" s="120"/>
      <c r="F15" s="119"/>
      <c r="G15" s="316"/>
      <c r="H15" s="69"/>
    </row>
    <row r="16" spans="1:8" ht="27" customHeight="1">
      <c r="A16" s="69"/>
      <c r="B16" s="118"/>
      <c r="C16" s="119"/>
      <c r="D16" s="315"/>
      <c r="E16" s="120"/>
      <c r="F16" s="119"/>
      <c r="G16" s="316"/>
      <c r="H16" s="69"/>
    </row>
    <row r="17" spans="1:8" ht="27" customHeight="1">
      <c r="A17" s="69"/>
      <c r="B17" s="118"/>
      <c r="C17" s="119"/>
      <c r="D17" s="315"/>
      <c r="E17" s="120"/>
      <c r="F17" s="119"/>
      <c r="G17" s="316"/>
      <c r="H17" s="69"/>
    </row>
    <row r="18" spans="1:8" ht="27" customHeight="1">
      <c r="A18" s="69"/>
      <c r="B18" s="118"/>
      <c r="C18" s="119"/>
      <c r="D18" s="315"/>
      <c r="E18" s="120"/>
      <c r="F18" s="119"/>
      <c r="G18" s="316"/>
      <c r="H18" s="69"/>
    </row>
    <row r="19" spans="1:8" ht="27" customHeight="1" thickBot="1">
      <c r="A19" s="69"/>
      <c r="B19" s="121"/>
      <c r="C19" s="122"/>
      <c r="D19" s="317"/>
      <c r="E19" s="123"/>
      <c r="F19" s="122"/>
      <c r="G19" s="318"/>
      <c r="H19" s="69"/>
    </row>
    <row r="20" spans="1:8">
      <c r="F20" s="174"/>
      <c r="G20" s="174"/>
    </row>
    <row r="21" spans="1:8" ht="21" customHeight="1"/>
    <row r="22" spans="1:8" ht="14.25" customHeight="1"/>
    <row r="23" spans="1:8" ht="20.25" customHeight="1"/>
    <row r="24" spans="1:8" ht="27" customHeight="1"/>
    <row r="25" spans="1:8" ht="27" customHeight="1"/>
    <row r="26" spans="1:8" ht="27" customHeight="1"/>
    <row r="27" spans="1:8" ht="27" customHeight="1"/>
    <row r="28" spans="1:8" ht="27" customHeight="1"/>
    <row r="29" spans="1:8" ht="27" customHeight="1"/>
    <row r="30" spans="1:8" ht="27" customHeight="1"/>
    <row r="31" spans="1:8" ht="27" customHeight="1"/>
    <row r="32" spans="1:8" ht="27" customHeight="1"/>
    <row r="33" ht="27" customHeight="1"/>
    <row r="34" ht="27" customHeight="1"/>
    <row r="35" ht="27" customHeight="1"/>
    <row r="36" ht="27" customHeight="1"/>
    <row r="37" ht="27" customHeight="1"/>
    <row r="38" ht="27" customHeight="1"/>
    <row r="39" ht="27" customHeight="1"/>
    <row r="40" ht="13.5" customHeight="1"/>
  </sheetData>
  <mergeCells count="3">
    <mergeCell ref="B1:G1"/>
    <mergeCell ref="B3:C3"/>
    <mergeCell ref="E3:F3"/>
  </mergeCells>
  <phoneticPr fontId="4"/>
  <pageMargins left="0.70866141732283472" right="0.43307086614173229" top="0.62992125984251968" bottom="0.47244094488188981" header="0.31496062992125984" footer="0.31496062992125984"/>
  <pageSetup paperSize="9" scale="95" fitToHeight="0" orientation="landscape" useFirstPageNumber="1" r:id="rId1"/>
  <headerFooter>
    <oddFooter>&amp;C&amp;"ＭＳ 明朝,標準"&amp;P ページ</oddFooter>
  </headerFooter>
  <rowBreaks count="1" manualBreakCount="1">
    <brk id="20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9">
    <pageSetUpPr fitToPage="1"/>
  </sheetPr>
  <dimension ref="A1:O46"/>
  <sheetViews>
    <sheetView zoomScaleNormal="100" zoomScaleSheetLayoutView="100" workbookViewId="0"/>
  </sheetViews>
  <sheetFormatPr defaultColWidth="8.25" defaultRowHeight="13.5"/>
  <cols>
    <col min="1" max="1" width="2.125" style="73" customWidth="1"/>
    <col min="2" max="2" width="31.625" style="73" customWidth="1"/>
    <col min="3" max="3" width="5.875" style="73" customWidth="1"/>
    <col min="4" max="4" width="10.625" style="73" customWidth="1"/>
    <col min="5" max="5" width="12.625" style="73" customWidth="1"/>
    <col min="6" max="6" width="15.125" style="135" customWidth="1"/>
    <col min="7" max="14" width="10" style="135" customWidth="1"/>
    <col min="15" max="15" width="2.125" style="73" customWidth="1"/>
    <col min="16" max="16384" width="8.25" style="73"/>
  </cols>
  <sheetData>
    <row r="1" spans="1:15" s="319" customFormat="1" ht="27" customHeight="1" thickBot="1">
      <c r="A1" s="124"/>
      <c r="B1" s="125"/>
      <c r="C1" s="545" t="s">
        <v>75</v>
      </c>
      <c r="D1" s="545"/>
      <c r="E1" s="545"/>
      <c r="F1" s="545"/>
      <c r="G1" s="545"/>
      <c r="H1" s="545"/>
      <c r="I1" s="126"/>
      <c r="J1" s="126"/>
      <c r="K1" s="126"/>
      <c r="L1" s="126"/>
      <c r="M1" s="508"/>
      <c r="N1" s="508"/>
      <c r="O1" s="255"/>
    </row>
    <row r="2" spans="1:15" ht="18" customHeight="1">
      <c r="A2" s="69"/>
      <c r="B2" s="546" t="s">
        <v>76</v>
      </c>
      <c r="C2" s="548" t="s">
        <v>77</v>
      </c>
      <c r="D2" s="550" t="s">
        <v>78</v>
      </c>
      <c r="E2" s="548" t="s">
        <v>79</v>
      </c>
      <c r="F2" s="552" t="s">
        <v>80</v>
      </c>
      <c r="G2" s="554" t="s">
        <v>81</v>
      </c>
      <c r="H2" s="555"/>
      <c r="I2" s="555"/>
      <c r="J2" s="555"/>
      <c r="K2" s="555"/>
      <c r="L2" s="555"/>
      <c r="M2" s="555"/>
      <c r="N2" s="556"/>
      <c r="O2" s="69"/>
    </row>
    <row r="3" spans="1:15" ht="19.5" customHeight="1">
      <c r="A3" s="69"/>
      <c r="B3" s="547"/>
      <c r="C3" s="549"/>
      <c r="D3" s="551"/>
      <c r="E3" s="549"/>
      <c r="F3" s="553"/>
      <c r="G3" s="127" t="s">
        <v>187</v>
      </c>
      <c r="H3" s="128" t="s">
        <v>188</v>
      </c>
      <c r="I3" s="128" t="s">
        <v>189</v>
      </c>
      <c r="J3" s="128" t="s">
        <v>190</v>
      </c>
      <c r="K3" s="128" t="s">
        <v>191</v>
      </c>
      <c r="L3" s="128" t="s">
        <v>192</v>
      </c>
      <c r="M3" s="128" t="s">
        <v>193</v>
      </c>
      <c r="N3" s="129" t="s">
        <v>194</v>
      </c>
      <c r="O3" s="69"/>
    </row>
    <row r="4" spans="1:15" ht="30" customHeight="1">
      <c r="A4" s="69"/>
      <c r="B4" s="130" t="s">
        <v>467</v>
      </c>
      <c r="C4" s="131" t="s">
        <v>183</v>
      </c>
      <c r="D4" s="320">
        <v>1</v>
      </c>
      <c r="E4" s="321">
        <v>778000</v>
      </c>
      <c r="F4" s="322">
        <v>778000</v>
      </c>
      <c r="G4" s="323"/>
      <c r="H4" s="324"/>
      <c r="I4" s="324"/>
      <c r="J4" s="324"/>
      <c r="K4" s="324">
        <v>778000</v>
      </c>
      <c r="L4" s="324"/>
      <c r="M4" s="324"/>
      <c r="N4" s="325"/>
      <c r="O4" s="69"/>
    </row>
    <row r="5" spans="1:15" ht="30" customHeight="1">
      <c r="A5" s="69"/>
      <c r="B5" s="130" t="s">
        <v>469</v>
      </c>
      <c r="C5" s="131" t="s">
        <v>183</v>
      </c>
      <c r="D5" s="326">
        <v>1</v>
      </c>
      <c r="E5" s="321">
        <v>190000</v>
      </c>
      <c r="F5" s="322">
        <v>190000</v>
      </c>
      <c r="G5" s="323"/>
      <c r="H5" s="324"/>
      <c r="I5" s="324"/>
      <c r="J5" s="324"/>
      <c r="K5" s="324"/>
      <c r="L5" s="324">
        <v>190000</v>
      </c>
      <c r="M5" s="324"/>
      <c r="N5" s="325"/>
      <c r="O5" s="69"/>
    </row>
    <row r="6" spans="1:15" ht="30" customHeight="1">
      <c r="A6" s="69"/>
      <c r="B6" s="130" t="s">
        <v>471</v>
      </c>
      <c r="C6" s="131" t="s">
        <v>183</v>
      </c>
      <c r="D6" s="326">
        <v>1</v>
      </c>
      <c r="E6" s="321">
        <v>4894000</v>
      </c>
      <c r="F6" s="322">
        <v>4894000</v>
      </c>
      <c r="G6" s="323"/>
      <c r="H6" s="324"/>
      <c r="I6" s="324">
        <v>890000</v>
      </c>
      <c r="J6" s="324">
        <v>2744000</v>
      </c>
      <c r="K6" s="324">
        <v>1260000</v>
      </c>
      <c r="L6" s="324"/>
      <c r="M6" s="324"/>
      <c r="N6" s="325"/>
      <c r="O6" s="69"/>
    </row>
    <row r="7" spans="1:15" ht="30" customHeight="1">
      <c r="A7" s="69"/>
      <c r="B7" s="130" t="s">
        <v>473</v>
      </c>
      <c r="C7" s="131" t="s">
        <v>183</v>
      </c>
      <c r="D7" s="326">
        <v>1</v>
      </c>
      <c r="E7" s="321">
        <v>1700000</v>
      </c>
      <c r="F7" s="322">
        <v>1700000</v>
      </c>
      <c r="G7" s="323">
        <v>150000</v>
      </c>
      <c r="H7" s="324"/>
      <c r="I7" s="324">
        <v>1300000</v>
      </c>
      <c r="J7" s="324"/>
      <c r="K7" s="324"/>
      <c r="L7" s="324">
        <v>250000</v>
      </c>
      <c r="M7" s="324"/>
      <c r="N7" s="325"/>
      <c r="O7" s="69"/>
    </row>
    <row r="8" spans="1:15" ht="30" customHeight="1">
      <c r="A8" s="69"/>
      <c r="B8" s="130" t="s">
        <v>475</v>
      </c>
      <c r="C8" s="131" t="s">
        <v>183</v>
      </c>
      <c r="D8" s="326">
        <v>1</v>
      </c>
      <c r="E8" s="321">
        <v>1303400</v>
      </c>
      <c r="F8" s="322">
        <v>1303400</v>
      </c>
      <c r="G8" s="323"/>
      <c r="H8" s="324"/>
      <c r="I8" s="324"/>
      <c r="J8" s="324">
        <v>1253400</v>
      </c>
      <c r="K8" s="324"/>
      <c r="L8" s="324">
        <v>50000</v>
      </c>
      <c r="M8" s="324"/>
      <c r="N8" s="325"/>
      <c r="O8" s="69"/>
    </row>
    <row r="9" spans="1:15" ht="30" customHeight="1">
      <c r="A9" s="69"/>
      <c r="B9" s="130"/>
      <c r="C9" s="131"/>
      <c r="D9" s="326"/>
      <c r="E9" s="321"/>
      <c r="F9" s="322"/>
      <c r="G9" s="323"/>
      <c r="H9" s="324"/>
      <c r="I9" s="324"/>
      <c r="J9" s="324"/>
      <c r="K9" s="324"/>
      <c r="L9" s="324"/>
      <c r="M9" s="324"/>
      <c r="N9" s="325"/>
      <c r="O9" s="69"/>
    </row>
    <row r="10" spans="1:15" ht="30" customHeight="1">
      <c r="A10" s="69"/>
      <c r="B10" s="130" t="s">
        <v>239</v>
      </c>
      <c r="C10" s="131"/>
      <c r="D10" s="326"/>
      <c r="E10" s="321"/>
      <c r="F10" s="322">
        <v>8865400</v>
      </c>
      <c r="G10" s="323">
        <v>150000</v>
      </c>
      <c r="H10" s="324"/>
      <c r="I10" s="324">
        <v>2190000</v>
      </c>
      <c r="J10" s="324">
        <v>3997400</v>
      </c>
      <c r="K10" s="324">
        <v>2038000</v>
      </c>
      <c r="L10" s="324">
        <v>490000</v>
      </c>
      <c r="M10" s="324"/>
      <c r="N10" s="325"/>
      <c r="O10" s="69"/>
    </row>
    <row r="11" spans="1:15" ht="30" customHeight="1">
      <c r="A11" s="69"/>
      <c r="B11" s="130"/>
      <c r="C11" s="131"/>
      <c r="D11" s="326"/>
      <c r="E11" s="321"/>
      <c r="F11" s="322"/>
      <c r="G11" s="323"/>
      <c r="H11" s="324"/>
      <c r="I11" s="324"/>
      <c r="J11" s="324"/>
      <c r="K11" s="324"/>
      <c r="L11" s="324"/>
      <c r="M11" s="324"/>
      <c r="N11" s="325"/>
      <c r="O11" s="69"/>
    </row>
    <row r="12" spans="1:15" ht="30" customHeight="1">
      <c r="A12" s="69"/>
      <c r="B12" s="130"/>
      <c r="C12" s="131"/>
      <c r="D12" s="326"/>
      <c r="E12" s="321"/>
      <c r="F12" s="322"/>
      <c r="G12" s="323"/>
      <c r="H12" s="324"/>
      <c r="I12" s="324"/>
      <c r="J12" s="324"/>
      <c r="K12" s="324"/>
      <c r="L12" s="324"/>
      <c r="M12" s="324"/>
      <c r="N12" s="325"/>
      <c r="O12" s="69"/>
    </row>
    <row r="13" spans="1:15" ht="30" customHeight="1">
      <c r="A13" s="69"/>
      <c r="B13" s="130"/>
      <c r="C13" s="131"/>
      <c r="D13" s="326"/>
      <c r="E13" s="321"/>
      <c r="F13" s="322"/>
      <c r="G13" s="323"/>
      <c r="H13" s="324"/>
      <c r="I13" s="324"/>
      <c r="J13" s="324"/>
      <c r="K13" s="324"/>
      <c r="L13" s="324"/>
      <c r="M13" s="324"/>
      <c r="N13" s="325"/>
      <c r="O13" s="69"/>
    </row>
    <row r="14" spans="1:15" ht="30" customHeight="1">
      <c r="A14" s="69"/>
      <c r="B14" s="130"/>
      <c r="C14" s="131"/>
      <c r="D14" s="326"/>
      <c r="E14" s="321"/>
      <c r="F14" s="322"/>
      <c r="G14" s="323"/>
      <c r="H14" s="324"/>
      <c r="I14" s="324"/>
      <c r="J14" s="324"/>
      <c r="K14" s="324"/>
      <c r="L14" s="324"/>
      <c r="M14" s="324"/>
      <c r="N14" s="325"/>
      <c r="O14" s="69"/>
    </row>
    <row r="15" spans="1:15" ht="30" customHeight="1">
      <c r="A15" s="69"/>
      <c r="B15" s="130"/>
      <c r="C15" s="131"/>
      <c r="D15" s="326"/>
      <c r="E15" s="321"/>
      <c r="F15" s="322"/>
      <c r="G15" s="323"/>
      <c r="H15" s="324"/>
      <c r="I15" s="324"/>
      <c r="J15" s="324"/>
      <c r="K15" s="324"/>
      <c r="L15" s="324"/>
      <c r="M15" s="324"/>
      <c r="N15" s="325"/>
      <c r="O15" s="69"/>
    </row>
    <row r="16" spans="1:15" ht="30" customHeight="1">
      <c r="A16" s="69"/>
      <c r="B16" s="130"/>
      <c r="C16" s="131"/>
      <c r="D16" s="326"/>
      <c r="E16" s="321"/>
      <c r="F16" s="322"/>
      <c r="G16" s="323"/>
      <c r="H16" s="324"/>
      <c r="I16" s="324"/>
      <c r="J16" s="324"/>
      <c r="K16" s="324"/>
      <c r="L16" s="324"/>
      <c r="M16" s="324"/>
      <c r="N16" s="325"/>
      <c r="O16" s="69"/>
    </row>
    <row r="17" spans="1:15" ht="30" customHeight="1">
      <c r="A17" s="69"/>
      <c r="B17" s="130"/>
      <c r="C17" s="131"/>
      <c r="D17" s="326"/>
      <c r="E17" s="321"/>
      <c r="F17" s="322"/>
      <c r="G17" s="323"/>
      <c r="H17" s="324"/>
      <c r="I17" s="324"/>
      <c r="J17" s="324"/>
      <c r="K17" s="324"/>
      <c r="L17" s="324"/>
      <c r="M17" s="324"/>
      <c r="N17" s="325"/>
      <c r="O17" s="69"/>
    </row>
    <row r="18" spans="1:15" ht="30" customHeight="1">
      <c r="A18" s="69"/>
      <c r="B18" s="130"/>
      <c r="C18" s="131"/>
      <c r="D18" s="326"/>
      <c r="E18" s="321"/>
      <c r="F18" s="322"/>
      <c r="G18" s="323"/>
      <c r="H18" s="324"/>
      <c r="I18" s="324"/>
      <c r="J18" s="324"/>
      <c r="K18" s="324"/>
      <c r="L18" s="324"/>
      <c r="M18" s="324"/>
      <c r="N18" s="325"/>
      <c r="O18" s="69"/>
    </row>
    <row r="19" spans="1:15" ht="30" customHeight="1">
      <c r="A19" s="69"/>
      <c r="B19" s="130"/>
      <c r="C19" s="131"/>
      <c r="D19" s="326"/>
      <c r="E19" s="321"/>
      <c r="F19" s="322"/>
      <c r="G19" s="323"/>
      <c r="H19" s="324"/>
      <c r="I19" s="324"/>
      <c r="J19" s="324"/>
      <c r="K19" s="324"/>
      <c r="L19" s="324"/>
      <c r="M19" s="324"/>
      <c r="N19" s="325"/>
      <c r="O19" s="69"/>
    </row>
    <row r="20" spans="1:15" ht="30" customHeight="1">
      <c r="A20" s="69"/>
      <c r="B20" s="130"/>
      <c r="C20" s="131"/>
      <c r="D20" s="326"/>
      <c r="E20" s="321"/>
      <c r="F20" s="322"/>
      <c r="G20" s="323"/>
      <c r="H20" s="324"/>
      <c r="I20" s="324"/>
      <c r="J20" s="324"/>
      <c r="K20" s="324"/>
      <c r="L20" s="324"/>
      <c r="M20" s="324"/>
      <c r="N20" s="325"/>
      <c r="O20" s="69"/>
    </row>
    <row r="21" spans="1:15" ht="30" customHeight="1">
      <c r="A21" s="69"/>
      <c r="B21" s="130"/>
      <c r="C21" s="131"/>
      <c r="D21" s="326"/>
      <c r="E21" s="321"/>
      <c r="F21" s="322"/>
      <c r="G21" s="323"/>
      <c r="H21" s="324"/>
      <c r="I21" s="324"/>
      <c r="J21" s="324"/>
      <c r="K21" s="324"/>
      <c r="L21" s="324"/>
      <c r="M21" s="324"/>
      <c r="N21" s="325"/>
      <c r="O21" s="69"/>
    </row>
    <row r="22" spans="1:15" ht="30" customHeight="1" thickBot="1">
      <c r="A22" s="69"/>
      <c r="B22" s="132"/>
      <c r="C22" s="133"/>
      <c r="D22" s="327"/>
      <c r="E22" s="328"/>
      <c r="F22" s="329"/>
      <c r="G22" s="330"/>
      <c r="H22" s="331"/>
      <c r="I22" s="331"/>
      <c r="J22" s="331"/>
      <c r="K22" s="331"/>
      <c r="L22" s="331"/>
      <c r="M22" s="331"/>
      <c r="N22" s="332"/>
      <c r="O22" s="69"/>
    </row>
    <row r="23" spans="1:15" s="103" customFormat="1" ht="18" customHeight="1">
      <c r="A23" s="101"/>
      <c r="B23" s="101"/>
      <c r="C23" s="101"/>
      <c r="D23" s="101"/>
      <c r="E23" s="101"/>
      <c r="F23" s="134"/>
      <c r="G23" s="134"/>
      <c r="H23" s="134"/>
      <c r="I23" s="134"/>
      <c r="J23" s="134"/>
      <c r="K23" s="134"/>
      <c r="L23" s="134"/>
      <c r="M23" s="102"/>
      <c r="N23" s="102"/>
      <c r="O23" s="101"/>
    </row>
    <row r="24" spans="1:15" ht="27" customHeight="1"/>
    <row r="25" spans="1:15" ht="18" customHeight="1"/>
    <row r="26" spans="1:15" ht="19.5" customHeight="1"/>
    <row r="27" spans="1:15" ht="30" customHeight="1"/>
    <row r="28" spans="1:15" ht="30" customHeight="1"/>
    <row r="29" spans="1:15" ht="30" customHeight="1"/>
    <row r="30" spans="1:15" ht="30" customHeight="1"/>
    <row r="31" spans="1:15" ht="30" customHeight="1"/>
    <row r="32" spans="1:15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18" customHeight="1"/>
  </sheetData>
  <mergeCells count="8">
    <mergeCell ref="C1:H1"/>
    <mergeCell ref="M1:N1"/>
    <mergeCell ref="B2:B3"/>
    <mergeCell ref="C2:C3"/>
    <mergeCell ref="D2:D3"/>
    <mergeCell ref="E2:E3"/>
    <mergeCell ref="F2:F3"/>
    <mergeCell ref="G2:N2"/>
  </mergeCells>
  <phoneticPr fontId="4"/>
  <pageMargins left="0.70866141732283472" right="0.43307086614173229" top="0.62992125984251968" bottom="0.47244094488188981" header="0.31496062992125984" footer="0.31496062992125984"/>
  <pageSetup paperSize="9" scale="77" fitToHeight="0" orientation="landscape" useFirstPageNumber="1" r:id="rId1"/>
  <headerFooter>
    <oddFooter>&amp;C&amp;"ＭＳ 明朝,標準"&amp;Pページ</oddFooter>
  </headerFooter>
  <rowBreaks count="1" manualBreakCount="1">
    <brk id="23" max="16383" man="1"/>
  </rowBreak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20">
    <pageSetUpPr fitToPage="1"/>
  </sheetPr>
  <dimension ref="A1:AF48"/>
  <sheetViews>
    <sheetView zoomScaleNormal="100" zoomScaleSheetLayoutView="85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23-263☆（仮称）みんなのスタジアム2.0新設工事</v>
      </c>
      <c r="G1" s="306"/>
      <c r="H1" s="190" t="s">
        <v>131</v>
      </c>
      <c r="I1" s="333">
        <v>147600000</v>
      </c>
      <c r="J1" s="339">
        <f>I4/I$1</f>
        <v>0.7967479674796748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142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148</v>
      </c>
      <c r="E4" s="342"/>
      <c r="F4" s="345" t="s">
        <v>183</v>
      </c>
      <c r="G4" s="308">
        <v>1</v>
      </c>
      <c r="H4" s="309">
        <v>117600000</v>
      </c>
      <c r="I4" s="309">
        <v>117600000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476</v>
      </c>
      <c r="P4" s="347" t="s">
        <v>476</v>
      </c>
      <c r="Q4" s="347" t="s">
        <v>476</v>
      </c>
      <c r="R4" s="348" t="s">
        <v>476</v>
      </c>
      <c r="S4" s="349"/>
      <c r="T4" s="343" t="s">
        <v>477</v>
      </c>
      <c r="U4" s="343"/>
      <c r="V4" s="344"/>
      <c r="W4" s="346" t="s">
        <v>476</v>
      </c>
      <c r="X4" s="347" t="s">
        <v>476</v>
      </c>
      <c r="Y4" s="347" t="s">
        <v>476</v>
      </c>
      <c r="Z4" s="348" t="s">
        <v>476</v>
      </c>
      <c r="AA4" s="349"/>
      <c r="AB4" s="343" t="s">
        <v>477</v>
      </c>
      <c r="AC4" s="343"/>
      <c r="AD4" s="344"/>
      <c r="AE4" s="342"/>
      <c r="AF4" s="341"/>
    </row>
    <row r="5" spans="1:32">
      <c r="A5" s="307">
        <v>1</v>
      </c>
      <c r="B5" s="342"/>
      <c r="C5" s="342" t="s">
        <v>242</v>
      </c>
      <c r="D5" s="340" t="s">
        <v>478</v>
      </c>
      <c r="E5" s="342"/>
      <c r="F5" s="345" t="s">
        <v>183</v>
      </c>
      <c r="G5" s="308">
        <v>1</v>
      </c>
      <c r="H5" s="309">
        <v>8865400</v>
      </c>
      <c r="I5" s="309">
        <v>8865400</v>
      </c>
      <c r="J5" s="211"/>
      <c r="K5" s="212" t="str">
        <f>IF(OR(J5="",G5=J5),"","*")</f>
        <v/>
      </c>
      <c r="L5" s="338">
        <f>IF($A5&lt;=L$1,I5/I$4,"")</f>
        <v>7.5386054421768711E-2</v>
      </c>
      <c r="M5" s="343"/>
      <c r="N5" s="344"/>
      <c r="O5" s="346" t="s">
        <v>476</v>
      </c>
      <c r="P5" s="347" t="s">
        <v>476</v>
      </c>
      <c r="Q5" s="347" t="s">
        <v>476</v>
      </c>
      <c r="R5" s="348" t="s">
        <v>476</v>
      </c>
      <c r="S5" s="349"/>
      <c r="T5" s="343" t="s">
        <v>477</v>
      </c>
      <c r="U5" s="343"/>
      <c r="V5" s="344"/>
      <c r="W5" s="346" t="s">
        <v>476</v>
      </c>
      <c r="X5" s="347" t="s">
        <v>476</v>
      </c>
      <c r="Y5" s="347" t="s">
        <v>476</v>
      </c>
      <c r="Z5" s="348" t="s">
        <v>476</v>
      </c>
      <c r="AA5" s="349"/>
      <c r="AB5" s="343" t="s">
        <v>477</v>
      </c>
      <c r="AC5" s="343"/>
      <c r="AD5" s="344"/>
      <c r="AE5" s="342"/>
      <c r="AF5" s="341"/>
    </row>
    <row r="6" spans="1:32">
      <c r="A6" s="307">
        <v>2</v>
      </c>
      <c r="B6" s="342"/>
      <c r="C6" s="342" t="s">
        <v>244</v>
      </c>
      <c r="D6" s="340" t="s">
        <v>479</v>
      </c>
      <c r="E6" s="342"/>
      <c r="F6" s="345" t="s">
        <v>183</v>
      </c>
      <c r="G6" s="308">
        <v>1</v>
      </c>
      <c r="H6" s="309">
        <v>778000</v>
      </c>
      <c r="I6" s="309">
        <v>778000</v>
      </c>
      <c r="J6" s="211">
        <v>1</v>
      </c>
      <c r="K6" s="212" t="str">
        <f>IF(OR(J6="",G6=J6),"","*")</f>
        <v/>
      </c>
      <c r="L6" s="338">
        <f>IF($A6&lt;=L$1,I6/I$4,"")</f>
        <v>6.6156462585034012E-3</v>
      </c>
      <c r="M6" s="343"/>
      <c r="N6" s="344" t="s">
        <v>480</v>
      </c>
      <c r="O6" s="346" t="s">
        <v>476</v>
      </c>
      <c r="P6" s="347" t="s">
        <v>476</v>
      </c>
      <c r="Q6" s="347" t="s">
        <v>476</v>
      </c>
      <c r="R6" s="348" t="s">
        <v>476</v>
      </c>
      <c r="S6" s="349"/>
      <c r="T6" s="343" t="s">
        <v>477</v>
      </c>
      <c r="U6" s="343"/>
      <c r="V6" s="344"/>
      <c r="W6" s="346" t="s">
        <v>476</v>
      </c>
      <c r="X6" s="347" t="s">
        <v>476</v>
      </c>
      <c r="Y6" s="347" t="s">
        <v>476</v>
      </c>
      <c r="Z6" s="348" t="s">
        <v>476</v>
      </c>
      <c r="AA6" s="349"/>
      <c r="AB6" s="343" t="s">
        <v>477</v>
      </c>
      <c r="AC6" s="343"/>
      <c r="AD6" s="344"/>
      <c r="AE6" s="342"/>
      <c r="AF6" s="341"/>
    </row>
    <row r="7" spans="1:32">
      <c r="A7" s="307">
        <v>3</v>
      </c>
      <c r="B7" s="342"/>
      <c r="C7" s="342" t="s">
        <v>191</v>
      </c>
      <c r="D7" s="340" t="s">
        <v>481</v>
      </c>
      <c r="E7" s="342" t="s">
        <v>482</v>
      </c>
      <c r="F7" s="345" t="s">
        <v>300</v>
      </c>
      <c r="G7" s="308">
        <v>2</v>
      </c>
      <c r="H7" s="309">
        <v>30000</v>
      </c>
      <c r="I7" s="309">
        <v>60000</v>
      </c>
      <c r="J7" s="211"/>
      <c r="K7" s="212" t="str">
        <f>IF(OR(J7="",G7=J7),"","*")</f>
        <v/>
      </c>
      <c r="L7" s="338">
        <f>IF($A7&lt;=L$1,I7/I$4,"")</f>
        <v>5.1020408163265311E-4</v>
      </c>
      <c r="M7" s="343"/>
      <c r="N7" s="344"/>
      <c r="O7" s="346" t="s">
        <v>476</v>
      </c>
      <c r="P7" s="347" t="s">
        <v>476</v>
      </c>
      <c r="Q7" s="347" t="s">
        <v>476</v>
      </c>
      <c r="R7" s="348" t="s">
        <v>476</v>
      </c>
      <c r="S7" s="349"/>
      <c r="T7" s="343" t="s">
        <v>477</v>
      </c>
      <c r="U7" s="343"/>
      <c r="V7" s="344"/>
      <c r="W7" s="346" t="s">
        <v>476</v>
      </c>
      <c r="X7" s="347" t="s">
        <v>476</v>
      </c>
      <c r="Y7" s="347" t="s">
        <v>476</v>
      </c>
      <c r="Z7" s="348" t="s">
        <v>476</v>
      </c>
      <c r="AA7" s="349"/>
      <c r="AB7" s="343" t="s">
        <v>477</v>
      </c>
      <c r="AC7" s="343"/>
      <c r="AD7" s="344"/>
      <c r="AE7" s="342" t="s">
        <v>483</v>
      </c>
      <c r="AF7" s="341"/>
    </row>
    <row r="8" spans="1:32">
      <c r="A8" s="307">
        <v>3</v>
      </c>
      <c r="B8" s="342"/>
      <c r="C8" s="342" t="s">
        <v>191</v>
      </c>
      <c r="D8" s="340" t="s">
        <v>484</v>
      </c>
      <c r="E8" s="342"/>
      <c r="F8" s="345" t="s">
        <v>300</v>
      </c>
      <c r="G8" s="308">
        <v>6</v>
      </c>
      <c r="H8" s="309">
        <v>15000</v>
      </c>
      <c r="I8" s="309">
        <v>90000</v>
      </c>
      <c r="J8" s="211"/>
      <c r="K8" s="212" t="str">
        <f>IF(OR(J8="",G8=J8),"","*")</f>
        <v/>
      </c>
      <c r="L8" s="338">
        <f>IF($A8&lt;=L$1,I8/I$4,"")</f>
        <v>7.6530612244897955E-4</v>
      </c>
      <c r="M8" s="343"/>
      <c r="N8" s="344"/>
      <c r="O8" s="346" t="s">
        <v>476</v>
      </c>
      <c r="P8" s="347" t="s">
        <v>476</v>
      </c>
      <c r="Q8" s="347" t="s">
        <v>476</v>
      </c>
      <c r="R8" s="348" t="s">
        <v>476</v>
      </c>
      <c r="S8" s="349"/>
      <c r="T8" s="343" t="s">
        <v>477</v>
      </c>
      <c r="U8" s="343"/>
      <c r="V8" s="344"/>
      <c r="W8" s="346" t="s">
        <v>476</v>
      </c>
      <c r="X8" s="347" t="s">
        <v>476</v>
      </c>
      <c r="Y8" s="347" t="s">
        <v>476</v>
      </c>
      <c r="Z8" s="348" t="s">
        <v>476</v>
      </c>
      <c r="AA8" s="349"/>
      <c r="AB8" s="343" t="s">
        <v>477</v>
      </c>
      <c r="AC8" s="343"/>
      <c r="AD8" s="344"/>
      <c r="AE8" s="342" t="s">
        <v>485</v>
      </c>
      <c r="AF8" s="341"/>
    </row>
    <row r="9" spans="1:32">
      <c r="A9" s="307">
        <v>3</v>
      </c>
      <c r="B9" s="342"/>
      <c r="C9" s="342" t="s">
        <v>191</v>
      </c>
      <c r="D9" s="340" t="s">
        <v>486</v>
      </c>
      <c r="E9" s="342"/>
      <c r="F9" s="345" t="s">
        <v>300</v>
      </c>
      <c r="G9" s="308">
        <v>6</v>
      </c>
      <c r="H9" s="309">
        <v>30000</v>
      </c>
      <c r="I9" s="309">
        <v>180000</v>
      </c>
      <c r="J9" s="211"/>
      <c r="K9" s="212" t="str">
        <f>IF(OR(J9="",G9=J9),"","*")</f>
        <v/>
      </c>
      <c r="L9" s="338">
        <f>IF($A9&lt;=L$1,I9/I$4,"")</f>
        <v>1.5306122448979591E-3</v>
      </c>
      <c r="M9" s="343"/>
      <c r="N9" s="344"/>
      <c r="O9" s="346" t="s">
        <v>476</v>
      </c>
      <c r="P9" s="347" t="s">
        <v>476</v>
      </c>
      <c r="Q9" s="347" t="s">
        <v>476</v>
      </c>
      <c r="R9" s="348" t="s">
        <v>476</v>
      </c>
      <c r="S9" s="349"/>
      <c r="T9" s="343" t="s">
        <v>477</v>
      </c>
      <c r="U9" s="343"/>
      <c r="V9" s="344"/>
      <c r="W9" s="346" t="s">
        <v>476</v>
      </c>
      <c r="X9" s="347" t="s">
        <v>476</v>
      </c>
      <c r="Y9" s="347" t="s">
        <v>476</v>
      </c>
      <c r="Z9" s="348" t="s">
        <v>476</v>
      </c>
      <c r="AA9" s="349"/>
      <c r="AB9" s="343" t="s">
        <v>477</v>
      </c>
      <c r="AC9" s="343"/>
      <c r="AD9" s="344"/>
      <c r="AE9" s="342" t="s">
        <v>487</v>
      </c>
      <c r="AF9" s="341"/>
    </row>
    <row r="10" spans="1:32">
      <c r="A10" s="307">
        <v>3</v>
      </c>
      <c r="B10" s="342"/>
      <c r="C10" s="342" t="s">
        <v>191</v>
      </c>
      <c r="D10" s="340" t="s">
        <v>481</v>
      </c>
      <c r="E10" s="342" t="s">
        <v>488</v>
      </c>
      <c r="F10" s="345" t="s">
        <v>300</v>
      </c>
      <c r="G10" s="308">
        <v>2</v>
      </c>
      <c r="H10" s="309">
        <v>65000</v>
      </c>
      <c r="I10" s="309">
        <v>130000</v>
      </c>
      <c r="J10" s="211"/>
      <c r="K10" s="212" t="str">
        <f>IF(OR(J10="",G10=J10),"","*")</f>
        <v/>
      </c>
      <c r="L10" s="338">
        <f>IF($A10&lt;=L$1,I10/I$4,"")</f>
        <v>1.1054421768707484E-3</v>
      </c>
      <c r="M10" s="343"/>
      <c r="N10" s="344"/>
      <c r="O10" s="346" t="s">
        <v>476</v>
      </c>
      <c r="P10" s="347" t="s">
        <v>476</v>
      </c>
      <c r="Q10" s="347" t="s">
        <v>476</v>
      </c>
      <c r="R10" s="348" t="s">
        <v>476</v>
      </c>
      <c r="S10" s="349"/>
      <c r="T10" s="343" t="s">
        <v>477</v>
      </c>
      <c r="U10" s="343"/>
      <c r="V10" s="344"/>
      <c r="W10" s="346" t="s">
        <v>476</v>
      </c>
      <c r="X10" s="347" t="s">
        <v>476</v>
      </c>
      <c r="Y10" s="347" t="s">
        <v>476</v>
      </c>
      <c r="Z10" s="348" t="s">
        <v>476</v>
      </c>
      <c r="AA10" s="349"/>
      <c r="AB10" s="343" t="s">
        <v>477</v>
      </c>
      <c r="AC10" s="343"/>
      <c r="AD10" s="344"/>
      <c r="AE10" s="342" t="s">
        <v>483</v>
      </c>
      <c r="AF10" s="341"/>
    </row>
    <row r="11" spans="1:32">
      <c r="A11" s="307">
        <v>3</v>
      </c>
      <c r="B11" s="342"/>
      <c r="C11" s="342" t="s">
        <v>191</v>
      </c>
      <c r="D11" s="340" t="s">
        <v>489</v>
      </c>
      <c r="E11" s="342"/>
      <c r="F11" s="345" t="s">
        <v>183</v>
      </c>
      <c r="G11" s="308">
        <v>1</v>
      </c>
      <c r="H11" s="309">
        <v>150000</v>
      </c>
      <c r="I11" s="309">
        <v>150000</v>
      </c>
      <c r="J11" s="211"/>
      <c r="K11" s="212" t="str">
        <f>IF(OR(J11="",G11=J11),"","*")</f>
        <v/>
      </c>
      <c r="L11" s="338">
        <f>IF($A11&lt;=L$1,I11/I$4,"")</f>
        <v>1.2755102040816326E-3</v>
      </c>
      <c r="M11" s="343"/>
      <c r="N11" s="344"/>
      <c r="O11" s="346" t="s">
        <v>476</v>
      </c>
      <c r="P11" s="347" t="s">
        <v>476</v>
      </c>
      <c r="Q11" s="347" t="s">
        <v>476</v>
      </c>
      <c r="R11" s="348" t="s">
        <v>476</v>
      </c>
      <c r="S11" s="349"/>
      <c r="T11" s="343" t="s">
        <v>477</v>
      </c>
      <c r="U11" s="343"/>
      <c r="V11" s="344"/>
      <c r="W11" s="346" t="s">
        <v>476</v>
      </c>
      <c r="X11" s="347" t="s">
        <v>476</v>
      </c>
      <c r="Y11" s="347" t="s">
        <v>476</v>
      </c>
      <c r="Z11" s="348" t="s">
        <v>476</v>
      </c>
      <c r="AA11" s="349"/>
      <c r="AB11" s="343" t="s">
        <v>477</v>
      </c>
      <c r="AC11" s="343"/>
      <c r="AD11" s="344"/>
      <c r="AE11" s="342" t="s">
        <v>490</v>
      </c>
      <c r="AF11" s="341"/>
    </row>
    <row r="12" spans="1:32">
      <c r="A12" s="307">
        <v>3</v>
      </c>
      <c r="B12" s="342"/>
      <c r="C12" s="342" t="s">
        <v>191</v>
      </c>
      <c r="D12" s="340" t="s">
        <v>484</v>
      </c>
      <c r="E12" s="342" t="s">
        <v>439</v>
      </c>
      <c r="F12" s="345" t="s">
        <v>300</v>
      </c>
      <c r="G12" s="308">
        <v>2</v>
      </c>
      <c r="H12" s="309">
        <v>10000</v>
      </c>
      <c r="I12" s="309">
        <v>20000</v>
      </c>
      <c r="J12" s="211"/>
      <c r="K12" s="212" t="str">
        <f>IF(OR(J12="",G12=J12),"","*")</f>
        <v/>
      </c>
      <c r="L12" s="338">
        <f>IF($A12&lt;=L$1,I12/I$4,"")</f>
        <v>1.7006802721088434E-4</v>
      </c>
      <c r="M12" s="343"/>
      <c r="N12" s="344"/>
      <c r="O12" s="346" t="s">
        <v>476</v>
      </c>
      <c r="P12" s="347" t="s">
        <v>476</v>
      </c>
      <c r="Q12" s="347" t="s">
        <v>476</v>
      </c>
      <c r="R12" s="348" t="s">
        <v>476</v>
      </c>
      <c r="S12" s="349"/>
      <c r="T12" s="343" t="s">
        <v>477</v>
      </c>
      <c r="U12" s="343"/>
      <c r="V12" s="344"/>
      <c r="W12" s="346" t="s">
        <v>476</v>
      </c>
      <c r="X12" s="347" t="s">
        <v>476</v>
      </c>
      <c r="Y12" s="347" t="s">
        <v>476</v>
      </c>
      <c r="Z12" s="348" t="s">
        <v>476</v>
      </c>
      <c r="AA12" s="349"/>
      <c r="AB12" s="343" t="s">
        <v>477</v>
      </c>
      <c r="AC12" s="343"/>
      <c r="AD12" s="344"/>
      <c r="AE12" s="342" t="s">
        <v>485</v>
      </c>
      <c r="AF12" s="341"/>
    </row>
    <row r="13" spans="1:32">
      <c r="A13" s="307">
        <v>3</v>
      </c>
      <c r="B13" s="342"/>
      <c r="C13" s="342" t="s">
        <v>191</v>
      </c>
      <c r="D13" s="340" t="s">
        <v>486</v>
      </c>
      <c r="E13" s="342" t="s">
        <v>439</v>
      </c>
      <c r="F13" s="345" t="s">
        <v>300</v>
      </c>
      <c r="G13" s="308">
        <v>2</v>
      </c>
      <c r="H13" s="309">
        <v>18000</v>
      </c>
      <c r="I13" s="309">
        <v>36000</v>
      </c>
      <c r="J13" s="211"/>
      <c r="K13" s="212" t="str">
        <f>IF(OR(J13="",G13=J13),"","*")</f>
        <v/>
      </c>
      <c r="L13" s="338">
        <f>IF($A13&lt;=L$1,I13/I$4,"")</f>
        <v>3.0612244897959182E-4</v>
      </c>
      <c r="M13" s="343"/>
      <c r="N13" s="344"/>
      <c r="O13" s="346" t="s">
        <v>476</v>
      </c>
      <c r="P13" s="347" t="s">
        <v>476</v>
      </c>
      <c r="Q13" s="347" t="s">
        <v>476</v>
      </c>
      <c r="R13" s="348" t="s">
        <v>476</v>
      </c>
      <c r="S13" s="349"/>
      <c r="T13" s="343" t="s">
        <v>477</v>
      </c>
      <c r="U13" s="343"/>
      <c r="V13" s="344"/>
      <c r="W13" s="346" t="s">
        <v>476</v>
      </c>
      <c r="X13" s="347" t="s">
        <v>476</v>
      </c>
      <c r="Y13" s="347" t="s">
        <v>476</v>
      </c>
      <c r="Z13" s="348" t="s">
        <v>476</v>
      </c>
      <c r="AA13" s="349"/>
      <c r="AB13" s="343" t="s">
        <v>477</v>
      </c>
      <c r="AC13" s="343"/>
      <c r="AD13" s="344"/>
      <c r="AE13" s="342" t="s">
        <v>487</v>
      </c>
      <c r="AF13" s="341"/>
    </row>
    <row r="14" spans="1:32">
      <c r="A14" s="307">
        <v>3</v>
      </c>
      <c r="B14" s="342"/>
      <c r="C14" s="342" t="s">
        <v>191</v>
      </c>
      <c r="D14" s="340" t="s">
        <v>484</v>
      </c>
      <c r="E14" s="342" t="s">
        <v>491</v>
      </c>
      <c r="F14" s="345" t="s">
        <v>300</v>
      </c>
      <c r="G14" s="308">
        <v>4</v>
      </c>
      <c r="H14" s="309">
        <v>10000</v>
      </c>
      <c r="I14" s="309">
        <v>40000</v>
      </c>
      <c r="J14" s="211"/>
      <c r="K14" s="212" t="str">
        <f>IF(OR(J14="",G14=J14),"","*")</f>
        <v/>
      </c>
      <c r="L14" s="338">
        <f>IF($A14&lt;=L$1,I14/I$4,"")</f>
        <v>3.4013605442176868E-4</v>
      </c>
      <c r="M14" s="343"/>
      <c r="N14" s="344"/>
      <c r="O14" s="346" t="s">
        <v>476</v>
      </c>
      <c r="P14" s="347" t="s">
        <v>476</v>
      </c>
      <c r="Q14" s="347" t="s">
        <v>476</v>
      </c>
      <c r="R14" s="348" t="s">
        <v>476</v>
      </c>
      <c r="S14" s="349"/>
      <c r="T14" s="343" t="s">
        <v>477</v>
      </c>
      <c r="U14" s="343"/>
      <c r="V14" s="344"/>
      <c r="W14" s="346" t="s">
        <v>476</v>
      </c>
      <c r="X14" s="347" t="s">
        <v>476</v>
      </c>
      <c r="Y14" s="347" t="s">
        <v>476</v>
      </c>
      <c r="Z14" s="348" t="s">
        <v>476</v>
      </c>
      <c r="AA14" s="349"/>
      <c r="AB14" s="343" t="s">
        <v>477</v>
      </c>
      <c r="AC14" s="343"/>
      <c r="AD14" s="344"/>
      <c r="AE14" s="342" t="s">
        <v>485</v>
      </c>
      <c r="AF14" s="341"/>
    </row>
    <row r="15" spans="1:32">
      <c r="A15" s="307">
        <v>3</v>
      </c>
      <c r="B15" s="342"/>
      <c r="C15" s="342" t="s">
        <v>191</v>
      </c>
      <c r="D15" s="340" t="s">
        <v>486</v>
      </c>
      <c r="E15" s="342" t="s">
        <v>491</v>
      </c>
      <c r="F15" s="345" t="s">
        <v>300</v>
      </c>
      <c r="G15" s="308">
        <v>4</v>
      </c>
      <c r="H15" s="309">
        <v>18000</v>
      </c>
      <c r="I15" s="309">
        <v>72000</v>
      </c>
      <c r="J15" s="211"/>
      <c r="K15" s="212" t="str">
        <f>IF(OR(J15="",G15=J15),"","*")</f>
        <v/>
      </c>
      <c r="L15" s="338">
        <f>IF($A15&lt;=L$1,I15/I$4,"")</f>
        <v>6.1224489795918364E-4</v>
      </c>
      <c r="M15" s="343"/>
      <c r="N15" s="344"/>
      <c r="O15" s="346" t="s">
        <v>476</v>
      </c>
      <c r="P15" s="347" t="s">
        <v>476</v>
      </c>
      <c r="Q15" s="347" t="s">
        <v>476</v>
      </c>
      <c r="R15" s="348" t="s">
        <v>476</v>
      </c>
      <c r="S15" s="349"/>
      <c r="T15" s="343" t="s">
        <v>477</v>
      </c>
      <c r="U15" s="343"/>
      <c r="V15" s="344"/>
      <c r="W15" s="346" t="s">
        <v>476</v>
      </c>
      <c r="X15" s="347" t="s">
        <v>476</v>
      </c>
      <c r="Y15" s="347" t="s">
        <v>476</v>
      </c>
      <c r="Z15" s="348" t="s">
        <v>476</v>
      </c>
      <c r="AA15" s="349"/>
      <c r="AB15" s="343" t="s">
        <v>477</v>
      </c>
      <c r="AC15" s="343"/>
      <c r="AD15" s="344"/>
      <c r="AE15" s="342" t="s">
        <v>487</v>
      </c>
      <c r="AF15" s="341"/>
    </row>
    <row r="16" spans="1:32">
      <c r="A16" s="307">
        <v>2</v>
      </c>
      <c r="B16" s="342"/>
      <c r="C16" s="342" t="s">
        <v>244</v>
      </c>
      <c r="D16" s="340" t="s">
        <v>492</v>
      </c>
      <c r="E16" s="342" t="s">
        <v>493</v>
      </c>
      <c r="F16" s="345" t="s">
        <v>183</v>
      </c>
      <c r="G16" s="308">
        <v>1</v>
      </c>
      <c r="H16" s="309">
        <v>190000</v>
      </c>
      <c r="I16" s="309">
        <v>190000</v>
      </c>
      <c r="J16" s="211">
        <v>1</v>
      </c>
      <c r="K16" s="212" t="str">
        <f>IF(OR(J16="",G16=J16),"","*")</f>
        <v/>
      </c>
      <c r="L16" s="338">
        <f>IF($A16&lt;=L$1,I16/I$4,"")</f>
        <v>1.6156462585034013E-3</v>
      </c>
      <c r="M16" s="343"/>
      <c r="N16" s="344" t="s">
        <v>494</v>
      </c>
      <c r="O16" s="346" t="s">
        <v>476</v>
      </c>
      <c r="P16" s="347" t="s">
        <v>476</v>
      </c>
      <c r="Q16" s="347" t="s">
        <v>476</v>
      </c>
      <c r="R16" s="348" t="s">
        <v>476</v>
      </c>
      <c r="S16" s="349"/>
      <c r="T16" s="343" t="s">
        <v>477</v>
      </c>
      <c r="U16" s="343"/>
      <c r="V16" s="344"/>
      <c r="W16" s="346" t="s">
        <v>476</v>
      </c>
      <c r="X16" s="347" t="s">
        <v>476</v>
      </c>
      <c r="Y16" s="347" t="s">
        <v>476</v>
      </c>
      <c r="Z16" s="348" t="s">
        <v>476</v>
      </c>
      <c r="AA16" s="349"/>
      <c r="AB16" s="343" t="s">
        <v>477</v>
      </c>
      <c r="AC16" s="343"/>
      <c r="AD16" s="344"/>
      <c r="AE16" s="342"/>
      <c r="AF16" s="341"/>
    </row>
    <row r="17" spans="1:32">
      <c r="A17" s="307">
        <v>3</v>
      </c>
      <c r="B17" s="342"/>
      <c r="C17" s="342" t="s">
        <v>192</v>
      </c>
      <c r="D17" s="340" t="s">
        <v>495</v>
      </c>
      <c r="E17" s="342"/>
      <c r="F17" s="345" t="s">
        <v>183</v>
      </c>
      <c r="G17" s="308">
        <v>10</v>
      </c>
      <c r="H17" s="309">
        <v>15000</v>
      </c>
      <c r="I17" s="309">
        <v>150000</v>
      </c>
      <c r="J17" s="211"/>
      <c r="K17" s="212" t="str">
        <f>IF(OR(J17="",G17=J17),"","*")</f>
        <v/>
      </c>
      <c r="L17" s="338">
        <f>IF($A17&lt;=L$1,I17/I$4,"")</f>
        <v>1.2755102040816326E-3</v>
      </c>
      <c r="M17" s="343"/>
      <c r="N17" s="344"/>
      <c r="O17" s="346" t="s">
        <v>476</v>
      </c>
      <c r="P17" s="347" t="s">
        <v>476</v>
      </c>
      <c r="Q17" s="347" t="s">
        <v>476</v>
      </c>
      <c r="R17" s="348" t="s">
        <v>476</v>
      </c>
      <c r="S17" s="349"/>
      <c r="T17" s="343" t="s">
        <v>477</v>
      </c>
      <c r="U17" s="343"/>
      <c r="V17" s="344"/>
      <c r="W17" s="346" t="s">
        <v>476</v>
      </c>
      <c r="X17" s="347" t="s">
        <v>476</v>
      </c>
      <c r="Y17" s="347" t="s">
        <v>476</v>
      </c>
      <c r="Z17" s="348" t="s">
        <v>476</v>
      </c>
      <c r="AA17" s="349"/>
      <c r="AB17" s="343" t="s">
        <v>477</v>
      </c>
      <c r="AC17" s="343"/>
      <c r="AD17" s="344"/>
      <c r="AE17" s="342"/>
      <c r="AF17" s="341"/>
    </row>
    <row r="18" spans="1:32">
      <c r="A18" s="307">
        <v>3</v>
      </c>
      <c r="B18" s="342"/>
      <c r="C18" s="342" t="s">
        <v>192</v>
      </c>
      <c r="D18" s="340" t="s">
        <v>496</v>
      </c>
      <c r="E18" s="342"/>
      <c r="F18" s="345" t="s">
        <v>183</v>
      </c>
      <c r="G18" s="308">
        <v>1</v>
      </c>
      <c r="H18" s="309">
        <v>40000</v>
      </c>
      <c r="I18" s="309">
        <v>40000</v>
      </c>
      <c r="J18" s="211"/>
      <c r="K18" s="212" t="str">
        <f>IF(OR(J18="",G18=J18),"","*")</f>
        <v/>
      </c>
      <c r="L18" s="338">
        <f>IF($A18&lt;=L$1,I18/I$4,"")</f>
        <v>3.4013605442176868E-4</v>
      </c>
      <c r="M18" s="343"/>
      <c r="N18" s="344"/>
      <c r="O18" s="346" t="s">
        <v>476</v>
      </c>
      <c r="P18" s="347" t="s">
        <v>476</v>
      </c>
      <c r="Q18" s="347" t="s">
        <v>476</v>
      </c>
      <c r="R18" s="348" t="s">
        <v>476</v>
      </c>
      <c r="S18" s="349"/>
      <c r="T18" s="343" t="s">
        <v>477</v>
      </c>
      <c r="U18" s="343"/>
      <c r="V18" s="344"/>
      <c r="W18" s="346" t="s">
        <v>476</v>
      </c>
      <c r="X18" s="347" t="s">
        <v>476</v>
      </c>
      <c r="Y18" s="347" t="s">
        <v>476</v>
      </c>
      <c r="Z18" s="348" t="s">
        <v>476</v>
      </c>
      <c r="AA18" s="349"/>
      <c r="AB18" s="343" t="s">
        <v>477</v>
      </c>
      <c r="AC18" s="343"/>
      <c r="AD18" s="344"/>
      <c r="AE18" s="342"/>
      <c r="AF18" s="341"/>
    </row>
    <row r="19" spans="1:32">
      <c r="A19" s="307">
        <v>2</v>
      </c>
      <c r="B19" s="342"/>
      <c r="C19" s="342" t="s">
        <v>244</v>
      </c>
      <c r="D19" s="340" t="s">
        <v>497</v>
      </c>
      <c r="E19" s="342" t="s">
        <v>498</v>
      </c>
      <c r="F19" s="345" t="s">
        <v>183</v>
      </c>
      <c r="G19" s="308">
        <v>1</v>
      </c>
      <c r="H19" s="309">
        <v>4894000</v>
      </c>
      <c r="I19" s="309">
        <v>4894000</v>
      </c>
      <c r="J19" s="211">
        <v>1</v>
      </c>
      <c r="K19" s="212" t="str">
        <f>IF(OR(J19="",G19=J19),"","*")</f>
        <v/>
      </c>
      <c r="L19" s="338">
        <f>IF($A19&lt;=L$1,I19/I$4,"")</f>
        <v>4.1615646258503398E-2</v>
      </c>
      <c r="M19" s="343"/>
      <c r="N19" s="344" t="s">
        <v>499</v>
      </c>
      <c r="O19" s="346" t="s">
        <v>476</v>
      </c>
      <c r="P19" s="347" t="s">
        <v>476</v>
      </c>
      <c r="Q19" s="347" t="s">
        <v>476</v>
      </c>
      <c r="R19" s="348" t="s">
        <v>476</v>
      </c>
      <c r="S19" s="349"/>
      <c r="T19" s="343" t="s">
        <v>477</v>
      </c>
      <c r="U19" s="343"/>
      <c r="V19" s="344"/>
      <c r="W19" s="346" t="s">
        <v>476</v>
      </c>
      <c r="X19" s="347" t="s">
        <v>476</v>
      </c>
      <c r="Y19" s="347" t="s">
        <v>476</v>
      </c>
      <c r="Z19" s="348" t="s">
        <v>476</v>
      </c>
      <c r="AA19" s="349"/>
      <c r="AB19" s="343" t="s">
        <v>477</v>
      </c>
      <c r="AC19" s="343"/>
      <c r="AD19" s="344"/>
      <c r="AE19" s="342"/>
      <c r="AF19" s="341"/>
    </row>
    <row r="20" spans="1:32">
      <c r="A20" s="307">
        <v>3</v>
      </c>
      <c r="B20" s="342"/>
      <c r="C20" s="342" t="s">
        <v>190</v>
      </c>
      <c r="D20" s="340" t="s">
        <v>500</v>
      </c>
      <c r="E20" s="342" t="s">
        <v>501</v>
      </c>
      <c r="F20" s="345" t="s">
        <v>502</v>
      </c>
      <c r="G20" s="308">
        <v>6</v>
      </c>
      <c r="H20" s="309">
        <v>30000</v>
      </c>
      <c r="I20" s="309">
        <v>180000</v>
      </c>
      <c r="J20" s="211"/>
      <c r="K20" s="212" t="str">
        <f>IF(OR(J20="",G20=J20),"","*")</f>
        <v/>
      </c>
      <c r="L20" s="338">
        <f>IF($A20&lt;=L$1,I20/I$4,"")</f>
        <v>1.5306122448979591E-3</v>
      </c>
      <c r="M20" s="343"/>
      <c r="N20" s="344"/>
      <c r="O20" s="346" t="s">
        <v>476</v>
      </c>
      <c r="P20" s="347" t="s">
        <v>476</v>
      </c>
      <c r="Q20" s="347" t="s">
        <v>476</v>
      </c>
      <c r="R20" s="348" t="s">
        <v>476</v>
      </c>
      <c r="S20" s="349"/>
      <c r="T20" s="343" t="s">
        <v>477</v>
      </c>
      <c r="U20" s="343"/>
      <c r="V20" s="344"/>
      <c r="W20" s="346" t="s">
        <v>476</v>
      </c>
      <c r="X20" s="347" t="s">
        <v>476</v>
      </c>
      <c r="Y20" s="347" t="s">
        <v>476</v>
      </c>
      <c r="Z20" s="348" t="s">
        <v>476</v>
      </c>
      <c r="AA20" s="349"/>
      <c r="AB20" s="343" t="s">
        <v>477</v>
      </c>
      <c r="AC20" s="343"/>
      <c r="AD20" s="344"/>
      <c r="AE20" s="342"/>
      <c r="AF20" s="341"/>
    </row>
    <row r="21" spans="1:32">
      <c r="A21" s="307">
        <v>3</v>
      </c>
      <c r="B21" s="342"/>
      <c r="C21" s="342" t="s">
        <v>190</v>
      </c>
      <c r="D21" s="340" t="s">
        <v>503</v>
      </c>
      <c r="E21" s="342"/>
      <c r="F21" s="345" t="s">
        <v>183</v>
      </c>
      <c r="G21" s="308">
        <v>1</v>
      </c>
      <c r="H21" s="309">
        <v>32000</v>
      </c>
      <c r="I21" s="309">
        <v>32000</v>
      </c>
      <c r="J21" s="211"/>
      <c r="K21" s="212" t="str">
        <f>IF(OR(J21="",G21=J21),"","*")</f>
        <v/>
      </c>
      <c r="L21" s="338">
        <f>IF($A21&lt;=L$1,I21/I$4,"")</f>
        <v>2.7210884353741496E-4</v>
      </c>
      <c r="M21" s="343"/>
      <c r="N21" s="344"/>
      <c r="O21" s="346" t="s">
        <v>476</v>
      </c>
      <c r="P21" s="347" t="s">
        <v>476</v>
      </c>
      <c r="Q21" s="347" t="s">
        <v>476</v>
      </c>
      <c r="R21" s="348" t="s">
        <v>476</v>
      </c>
      <c r="S21" s="349"/>
      <c r="T21" s="343" t="s">
        <v>477</v>
      </c>
      <c r="U21" s="343"/>
      <c r="V21" s="344"/>
      <c r="W21" s="346" t="s">
        <v>476</v>
      </c>
      <c r="X21" s="347" t="s">
        <v>476</v>
      </c>
      <c r="Y21" s="347" t="s">
        <v>476</v>
      </c>
      <c r="Z21" s="348" t="s">
        <v>476</v>
      </c>
      <c r="AA21" s="349"/>
      <c r="AB21" s="343" t="s">
        <v>477</v>
      </c>
      <c r="AC21" s="343"/>
      <c r="AD21" s="344"/>
      <c r="AE21" s="342"/>
      <c r="AF21" s="341"/>
    </row>
    <row r="22" spans="1:32">
      <c r="A22" s="307">
        <v>3</v>
      </c>
      <c r="B22" s="342"/>
      <c r="C22" s="342" t="s">
        <v>191</v>
      </c>
      <c r="D22" s="340" t="s">
        <v>504</v>
      </c>
      <c r="E22" s="342"/>
      <c r="F22" s="345" t="s">
        <v>300</v>
      </c>
      <c r="G22" s="308">
        <v>4</v>
      </c>
      <c r="H22" s="309">
        <v>30000</v>
      </c>
      <c r="I22" s="309">
        <v>120000</v>
      </c>
      <c r="J22" s="211"/>
      <c r="K22" s="212" t="str">
        <f>IF(OR(J22="",G22=J22),"","*")</f>
        <v/>
      </c>
      <c r="L22" s="338">
        <f>IF($A22&lt;=L$1,I22/I$4,"")</f>
        <v>1.0204081632653062E-3</v>
      </c>
      <c r="M22" s="343"/>
      <c r="N22" s="344"/>
      <c r="O22" s="346" t="s">
        <v>476</v>
      </c>
      <c r="P22" s="347" t="s">
        <v>476</v>
      </c>
      <c r="Q22" s="347" t="s">
        <v>476</v>
      </c>
      <c r="R22" s="348" t="s">
        <v>476</v>
      </c>
      <c r="S22" s="349"/>
      <c r="T22" s="343" t="s">
        <v>477</v>
      </c>
      <c r="U22" s="343"/>
      <c r="V22" s="344"/>
      <c r="W22" s="346" t="s">
        <v>476</v>
      </c>
      <c r="X22" s="347" t="s">
        <v>476</v>
      </c>
      <c r="Y22" s="347" t="s">
        <v>476</v>
      </c>
      <c r="Z22" s="348" t="s">
        <v>476</v>
      </c>
      <c r="AA22" s="349"/>
      <c r="AB22" s="343" t="s">
        <v>477</v>
      </c>
      <c r="AC22" s="343"/>
      <c r="AD22" s="344"/>
      <c r="AE22" s="342"/>
      <c r="AF22" s="341"/>
    </row>
    <row r="23" spans="1:32">
      <c r="A23" s="307">
        <v>3</v>
      </c>
      <c r="B23" s="342"/>
      <c r="C23" s="342" t="s">
        <v>190</v>
      </c>
      <c r="D23" s="340" t="s">
        <v>505</v>
      </c>
      <c r="E23" s="342"/>
      <c r="F23" s="345" t="s">
        <v>502</v>
      </c>
      <c r="G23" s="308">
        <v>6</v>
      </c>
      <c r="H23" s="309">
        <v>7000</v>
      </c>
      <c r="I23" s="309">
        <v>42000</v>
      </c>
      <c r="J23" s="211"/>
      <c r="K23" s="212" t="str">
        <f>IF(OR(J23="",G23=J23),"","*")</f>
        <v/>
      </c>
      <c r="L23" s="338">
        <f>IF($A23&lt;=L$1,I23/I$4,"")</f>
        <v>3.5714285714285714E-4</v>
      </c>
      <c r="M23" s="343"/>
      <c r="N23" s="344"/>
      <c r="O23" s="346" t="s">
        <v>476</v>
      </c>
      <c r="P23" s="347" t="s">
        <v>476</v>
      </c>
      <c r="Q23" s="347" t="s">
        <v>476</v>
      </c>
      <c r="R23" s="348" t="s">
        <v>476</v>
      </c>
      <c r="S23" s="349"/>
      <c r="T23" s="343" t="s">
        <v>477</v>
      </c>
      <c r="U23" s="343"/>
      <c r="V23" s="344"/>
      <c r="W23" s="346" t="s">
        <v>476</v>
      </c>
      <c r="X23" s="347" t="s">
        <v>476</v>
      </c>
      <c r="Y23" s="347" t="s">
        <v>476</v>
      </c>
      <c r="Z23" s="348" t="s">
        <v>476</v>
      </c>
      <c r="AA23" s="349"/>
      <c r="AB23" s="343" t="s">
        <v>477</v>
      </c>
      <c r="AC23" s="343"/>
      <c r="AD23" s="344"/>
      <c r="AE23" s="342"/>
      <c r="AF23" s="341"/>
    </row>
    <row r="24" spans="1:32">
      <c r="A24" s="307">
        <v>3</v>
      </c>
      <c r="B24" s="342"/>
      <c r="C24" s="342" t="s">
        <v>190</v>
      </c>
      <c r="D24" s="340" t="s">
        <v>506</v>
      </c>
      <c r="E24" s="342"/>
      <c r="F24" s="345" t="s">
        <v>502</v>
      </c>
      <c r="G24" s="308">
        <v>0</v>
      </c>
      <c r="H24" s="309">
        <v>50000</v>
      </c>
      <c r="I24" s="309">
        <v>0</v>
      </c>
      <c r="J24" s="211"/>
      <c r="K24" s="212" t="str">
        <f>IF(OR(J24="",G24=J24),"","*")</f>
        <v/>
      </c>
      <c r="L24" s="338">
        <f>IF($A24&lt;=L$1,I24/I$4,"")</f>
        <v>0</v>
      </c>
      <c r="M24" s="343"/>
      <c r="N24" s="344"/>
      <c r="O24" s="346" t="s">
        <v>476</v>
      </c>
      <c r="P24" s="347" t="s">
        <v>476</v>
      </c>
      <c r="Q24" s="347" t="s">
        <v>476</v>
      </c>
      <c r="R24" s="348" t="s">
        <v>476</v>
      </c>
      <c r="S24" s="349"/>
      <c r="T24" s="343" t="s">
        <v>477</v>
      </c>
      <c r="U24" s="343"/>
      <c r="V24" s="344"/>
      <c r="W24" s="346" t="s">
        <v>476</v>
      </c>
      <c r="X24" s="347" t="s">
        <v>476</v>
      </c>
      <c r="Y24" s="347" t="s">
        <v>476</v>
      </c>
      <c r="Z24" s="348" t="s">
        <v>476</v>
      </c>
      <c r="AA24" s="349"/>
      <c r="AB24" s="343" t="s">
        <v>477</v>
      </c>
      <c r="AC24" s="343"/>
      <c r="AD24" s="344"/>
      <c r="AE24" s="342"/>
      <c r="AF24" s="341"/>
    </row>
    <row r="25" spans="1:32">
      <c r="A25" s="307">
        <v>3</v>
      </c>
      <c r="B25" s="342"/>
      <c r="C25" s="342" t="s">
        <v>190</v>
      </c>
      <c r="D25" s="340" t="s">
        <v>507</v>
      </c>
      <c r="E25" s="342" t="s">
        <v>508</v>
      </c>
      <c r="F25" s="345" t="s">
        <v>502</v>
      </c>
      <c r="G25" s="308">
        <v>6</v>
      </c>
      <c r="H25" s="309">
        <v>30000</v>
      </c>
      <c r="I25" s="309">
        <v>180000</v>
      </c>
      <c r="J25" s="211"/>
      <c r="K25" s="212" t="str">
        <f>IF(OR(J25="",G25=J25),"","*")</f>
        <v/>
      </c>
      <c r="L25" s="338">
        <f>IF($A25&lt;=L$1,I25/I$4,"")</f>
        <v>1.5306122448979591E-3</v>
      </c>
      <c r="M25" s="343"/>
      <c r="N25" s="344"/>
      <c r="O25" s="346" t="s">
        <v>476</v>
      </c>
      <c r="P25" s="347" t="s">
        <v>476</v>
      </c>
      <c r="Q25" s="347" t="s">
        <v>476</v>
      </c>
      <c r="R25" s="348" t="s">
        <v>476</v>
      </c>
      <c r="S25" s="349"/>
      <c r="T25" s="343" t="s">
        <v>477</v>
      </c>
      <c r="U25" s="343"/>
      <c r="V25" s="344"/>
      <c r="W25" s="346" t="s">
        <v>476</v>
      </c>
      <c r="X25" s="347" t="s">
        <v>476</v>
      </c>
      <c r="Y25" s="347" t="s">
        <v>476</v>
      </c>
      <c r="Z25" s="348" t="s">
        <v>476</v>
      </c>
      <c r="AA25" s="349"/>
      <c r="AB25" s="343" t="s">
        <v>477</v>
      </c>
      <c r="AC25" s="343"/>
      <c r="AD25" s="344"/>
      <c r="AE25" s="342"/>
      <c r="AF25" s="341"/>
    </row>
    <row r="26" spans="1:32">
      <c r="A26" s="307">
        <v>3</v>
      </c>
      <c r="B26" s="342"/>
      <c r="C26" s="342" t="s">
        <v>189</v>
      </c>
      <c r="D26" s="340" t="s">
        <v>509</v>
      </c>
      <c r="E26" s="342" t="s">
        <v>510</v>
      </c>
      <c r="F26" s="345" t="s">
        <v>183</v>
      </c>
      <c r="G26" s="308">
        <v>1</v>
      </c>
      <c r="H26" s="309">
        <v>540000</v>
      </c>
      <c r="I26" s="309">
        <v>540000</v>
      </c>
      <c r="J26" s="211"/>
      <c r="K26" s="212" t="str">
        <f>IF(OR(J26="",G26=J26),"","*")</f>
        <v/>
      </c>
      <c r="L26" s="338">
        <f>IF($A26&lt;=L$1,I26/I$4,"")</f>
        <v>4.591836734693878E-3</v>
      </c>
      <c r="M26" s="343"/>
      <c r="N26" s="344"/>
      <c r="O26" s="346" t="s">
        <v>476</v>
      </c>
      <c r="P26" s="347" t="s">
        <v>476</v>
      </c>
      <c r="Q26" s="347" t="s">
        <v>476</v>
      </c>
      <c r="R26" s="348" t="s">
        <v>476</v>
      </c>
      <c r="S26" s="349"/>
      <c r="T26" s="343" t="s">
        <v>477</v>
      </c>
      <c r="U26" s="343"/>
      <c r="V26" s="344"/>
      <c r="W26" s="346" t="s">
        <v>476</v>
      </c>
      <c r="X26" s="347" t="s">
        <v>476</v>
      </c>
      <c r="Y26" s="347" t="s">
        <v>476</v>
      </c>
      <c r="Z26" s="348" t="s">
        <v>476</v>
      </c>
      <c r="AA26" s="349"/>
      <c r="AB26" s="343" t="s">
        <v>477</v>
      </c>
      <c r="AC26" s="343"/>
      <c r="AD26" s="344"/>
      <c r="AE26" s="342"/>
      <c r="AF26" s="341"/>
    </row>
    <row r="27" spans="1:32">
      <c r="A27" s="307">
        <v>3</v>
      </c>
      <c r="B27" s="342"/>
      <c r="C27" s="342" t="s">
        <v>189</v>
      </c>
      <c r="D27" s="340" t="s">
        <v>511</v>
      </c>
      <c r="E27" s="342" t="s">
        <v>512</v>
      </c>
      <c r="F27" s="345" t="s">
        <v>183</v>
      </c>
      <c r="G27" s="308">
        <v>1</v>
      </c>
      <c r="H27" s="309">
        <v>350000</v>
      </c>
      <c r="I27" s="309">
        <v>350000</v>
      </c>
      <c r="J27" s="211"/>
      <c r="K27" s="212" t="str">
        <f>IF(OR(J27="",G27=J27),"","*")</f>
        <v/>
      </c>
      <c r="L27" s="338">
        <f>IF($A27&lt;=L$1,I27/I$4,"")</f>
        <v>2.976190476190476E-3</v>
      </c>
      <c r="M27" s="343"/>
      <c r="N27" s="344"/>
      <c r="O27" s="346" t="s">
        <v>476</v>
      </c>
      <c r="P27" s="347" t="s">
        <v>476</v>
      </c>
      <c r="Q27" s="347" t="s">
        <v>476</v>
      </c>
      <c r="R27" s="348" t="s">
        <v>476</v>
      </c>
      <c r="S27" s="349"/>
      <c r="T27" s="343" t="s">
        <v>477</v>
      </c>
      <c r="U27" s="343"/>
      <c r="V27" s="344"/>
      <c r="W27" s="346" t="s">
        <v>476</v>
      </c>
      <c r="X27" s="347" t="s">
        <v>476</v>
      </c>
      <c r="Y27" s="347" t="s">
        <v>476</v>
      </c>
      <c r="Z27" s="348" t="s">
        <v>476</v>
      </c>
      <c r="AA27" s="349"/>
      <c r="AB27" s="343" t="s">
        <v>477</v>
      </c>
      <c r="AC27" s="343"/>
      <c r="AD27" s="344"/>
      <c r="AE27" s="342"/>
      <c r="AF27" s="341"/>
    </row>
    <row r="28" spans="1:32">
      <c r="A28" s="307">
        <v>3</v>
      </c>
      <c r="B28" s="342"/>
      <c r="C28" s="342" t="s">
        <v>190</v>
      </c>
      <c r="D28" s="340" t="s">
        <v>513</v>
      </c>
      <c r="E28" s="342" t="s">
        <v>514</v>
      </c>
      <c r="F28" s="345" t="s">
        <v>515</v>
      </c>
      <c r="G28" s="308">
        <v>9000</v>
      </c>
      <c r="H28" s="309">
        <v>50</v>
      </c>
      <c r="I28" s="309">
        <v>450000</v>
      </c>
      <c r="J28" s="211"/>
      <c r="K28" s="212" t="str">
        <f>IF(OR(J28="",G28=J28),"","*")</f>
        <v/>
      </c>
      <c r="L28" s="338">
        <f>IF($A28&lt;=L$1,I28/I$4,"")</f>
        <v>3.8265306122448979E-3</v>
      </c>
      <c r="M28" s="343"/>
      <c r="N28" s="344"/>
      <c r="O28" s="346" t="s">
        <v>476</v>
      </c>
      <c r="P28" s="347" t="s">
        <v>476</v>
      </c>
      <c r="Q28" s="347" t="s">
        <v>476</v>
      </c>
      <c r="R28" s="348" t="s">
        <v>476</v>
      </c>
      <c r="S28" s="349"/>
      <c r="T28" s="343" t="s">
        <v>477</v>
      </c>
      <c r="U28" s="343"/>
      <c r="V28" s="344"/>
      <c r="W28" s="346" t="s">
        <v>476</v>
      </c>
      <c r="X28" s="347" t="s">
        <v>476</v>
      </c>
      <c r="Y28" s="347" t="s">
        <v>476</v>
      </c>
      <c r="Z28" s="348" t="s">
        <v>476</v>
      </c>
      <c r="AA28" s="349"/>
      <c r="AB28" s="343" t="s">
        <v>477</v>
      </c>
      <c r="AC28" s="343"/>
      <c r="AD28" s="344"/>
      <c r="AE28" s="342"/>
      <c r="AF28" s="341" t="s">
        <v>516</v>
      </c>
    </row>
    <row r="29" spans="1:32">
      <c r="A29" s="307">
        <v>3</v>
      </c>
      <c r="B29" s="342"/>
      <c r="C29" s="342" t="s">
        <v>191</v>
      </c>
      <c r="D29" s="340" t="s">
        <v>517</v>
      </c>
      <c r="E29" s="342" t="s">
        <v>518</v>
      </c>
      <c r="F29" s="345" t="s">
        <v>258</v>
      </c>
      <c r="G29" s="308">
        <v>12</v>
      </c>
      <c r="H29" s="309">
        <v>95000</v>
      </c>
      <c r="I29" s="309">
        <v>1140000</v>
      </c>
      <c r="J29" s="211"/>
      <c r="K29" s="212" t="str">
        <f>IF(OR(J29="",G29=J29),"","*")</f>
        <v/>
      </c>
      <c r="L29" s="338">
        <f>IF($A29&lt;=L$1,I29/I$4,"")</f>
        <v>9.6938775510204082E-3</v>
      </c>
      <c r="M29" s="343"/>
      <c r="N29" s="344"/>
      <c r="O29" s="346" t="s">
        <v>476</v>
      </c>
      <c r="P29" s="347" t="s">
        <v>476</v>
      </c>
      <c r="Q29" s="347" t="s">
        <v>476</v>
      </c>
      <c r="R29" s="348" t="s">
        <v>476</v>
      </c>
      <c r="S29" s="349"/>
      <c r="T29" s="343" t="s">
        <v>477</v>
      </c>
      <c r="U29" s="343"/>
      <c r="V29" s="344"/>
      <c r="W29" s="346" t="s">
        <v>476</v>
      </c>
      <c r="X29" s="347" t="s">
        <v>476</v>
      </c>
      <c r="Y29" s="347" t="s">
        <v>476</v>
      </c>
      <c r="Z29" s="348" t="s">
        <v>476</v>
      </c>
      <c r="AA29" s="349"/>
      <c r="AB29" s="343" t="s">
        <v>477</v>
      </c>
      <c r="AC29" s="343"/>
      <c r="AD29" s="344"/>
      <c r="AE29" s="342"/>
      <c r="AF29" s="341"/>
    </row>
    <row r="30" spans="1:32">
      <c r="A30" s="307">
        <v>3</v>
      </c>
      <c r="B30" s="342"/>
      <c r="C30" s="342" t="s">
        <v>190</v>
      </c>
      <c r="D30" s="340" t="s">
        <v>519</v>
      </c>
      <c r="E30" s="342"/>
      <c r="F30" s="345" t="s">
        <v>502</v>
      </c>
      <c r="G30" s="308">
        <v>6</v>
      </c>
      <c r="H30" s="309">
        <v>120000</v>
      </c>
      <c r="I30" s="309">
        <v>720000</v>
      </c>
      <c r="J30" s="211"/>
      <c r="K30" s="212" t="str">
        <f>IF(OR(J30="",G30=J30),"","*")</f>
        <v/>
      </c>
      <c r="L30" s="338">
        <f>IF($A30&lt;=L$1,I30/I$4,"")</f>
        <v>6.1224489795918364E-3</v>
      </c>
      <c r="M30" s="343"/>
      <c r="N30" s="344"/>
      <c r="O30" s="346" t="s">
        <v>476</v>
      </c>
      <c r="P30" s="347" t="s">
        <v>476</v>
      </c>
      <c r="Q30" s="347" t="s">
        <v>476</v>
      </c>
      <c r="R30" s="348" t="s">
        <v>476</v>
      </c>
      <c r="S30" s="349"/>
      <c r="T30" s="343" t="s">
        <v>477</v>
      </c>
      <c r="U30" s="343"/>
      <c r="V30" s="344"/>
      <c r="W30" s="346" t="s">
        <v>476</v>
      </c>
      <c r="X30" s="347" t="s">
        <v>476</v>
      </c>
      <c r="Y30" s="347" t="s">
        <v>476</v>
      </c>
      <c r="Z30" s="348" t="s">
        <v>476</v>
      </c>
      <c r="AA30" s="349"/>
      <c r="AB30" s="343" t="s">
        <v>477</v>
      </c>
      <c r="AC30" s="343"/>
      <c r="AD30" s="344"/>
      <c r="AE30" s="342" t="s">
        <v>520</v>
      </c>
      <c r="AF30" s="341" t="s">
        <v>521</v>
      </c>
    </row>
    <row r="31" spans="1:32">
      <c r="A31" s="307">
        <v>3</v>
      </c>
      <c r="B31" s="342"/>
      <c r="C31" s="342" t="s">
        <v>190</v>
      </c>
      <c r="D31" s="340" t="s">
        <v>522</v>
      </c>
      <c r="E31" s="342"/>
      <c r="F31" s="345" t="s">
        <v>502</v>
      </c>
      <c r="G31" s="308">
        <v>6</v>
      </c>
      <c r="H31" s="309">
        <v>60000</v>
      </c>
      <c r="I31" s="309">
        <v>360000</v>
      </c>
      <c r="J31" s="211"/>
      <c r="K31" s="212" t="str">
        <f>IF(OR(J31="",G31=J31),"","*")</f>
        <v/>
      </c>
      <c r="L31" s="338">
        <f>IF($A31&lt;=L$1,I31/I$4,"")</f>
        <v>3.0612244897959182E-3</v>
      </c>
      <c r="M31" s="343"/>
      <c r="N31" s="344"/>
      <c r="O31" s="346" t="s">
        <v>476</v>
      </c>
      <c r="P31" s="347" t="s">
        <v>476</v>
      </c>
      <c r="Q31" s="347" t="s">
        <v>476</v>
      </c>
      <c r="R31" s="348" t="s">
        <v>476</v>
      </c>
      <c r="S31" s="349"/>
      <c r="T31" s="343" t="s">
        <v>477</v>
      </c>
      <c r="U31" s="343"/>
      <c r="V31" s="344"/>
      <c r="W31" s="346" t="s">
        <v>476</v>
      </c>
      <c r="X31" s="347" t="s">
        <v>476</v>
      </c>
      <c r="Y31" s="347" t="s">
        <v>476</v>
      </c>
      <c r="Z31" s="348" t="s">
        <v>476</v>
      </c>
      <c r="AA31" s="349"/>
      <c r="AB31" s="343" t="s">
        <v>477</v>
      </c>
      <c r="AC31" s="343"/>
      <c r="AD31" s="344"/>
      <c r="AE31" s="342" t="s">
        <v>523</v>
      </c>
      <c r="AF31" s="341" t="s">
        <v>524</v>
      </c>
    </row>
    <row r="32" spans="1:32">
      <c r="A32" s="307">
        <v>3</v>
      </c>
      <c r="B32" s="342"/>
      <c r="C32" s="342" t="s">
        <v>190</v>
      </c>
      <c r="D32" s="340" t="s">
        <v>525</v>
      </c>
      <c r="E32" s="342" t="s">
        <v>263</v>
      </c>
      <c r="F32" s="345" t="s">
        <v>502</v>
      </c>
      <c r="G32" s="308">
        <v>6</v>
      </c>
      <c r="H32" s="309">
        <v>80000</v>
      </c>
      <c r="I32" s="309">
        <v>480000</v>
      </c>
      <c r="J32" s="211"/>
      <c r="K32" s="212" t="str">
        <f>IF(OR(J32="",G32=J32),"","*")</f>
        <v/>
      </c>
      <c r="L32" s="338">
        <f>IF($A32&lt;=L$1,I32/I$4,"")</f>
        <v>4.0816326530612249E-3</v>
      </c>
      <c r="M32" s="343"/>
      <c r="N32" s="344"/>
      <c r="O32" s="346" t="s">
        <v>476</v>
      </c>
      <c r="P32" s="347" t="s">
        <v>476</v>
      </c>
      <c r="Q32" s="347" t="s">
        <v>476</v>
      </c>
      <c r="R32" s="348" t="s">
        <v>476</v>
      </c>
      <c r="S32" s="349"/>
      <c r="T32" s="343" t="s">
        <v>477</v>
      </c>
      <c r="U32" s="343"/>
      <c r="V32" s="344"/>
      <c r="W32" s="346" t="s">
        <v>476</v>
      </c>
      <c r="X32" s="347" t="s">
        <v>476</v>
      </c>
      <c r="Y32" s="347" t="s">
        <v>476</v>
      </c>
      <c r="Z32" s="348" t="s">
        <v>476</v>
      </c>
      <c r="AA32" s="349"/>
      <c r="AB32" s="343" t="s">
        <v>477</v>
      </c>
      <c r="AC32" s="343"/>
      <c r="AD32" s="344"/>
      <c r="AE32" s="342" t="s">
        <v>264</v>
      </c>
      <c r="AF32" s="341" t="s">
        <v>526</v>
      </c>
    </row>
    <row r="33" spans="1:32">
      <c r="A33" s="307">
        <v>3</v>
      </c>
      <c r="B33" s="342"/>
      <c r="C33" s="342" t="s">
        <v>190</v>
      </c>
      <c r="D33" s="340" t="s">
        <v>527</v>
      </c>
      <c r="E33" s="342" t="s">
        <v>528</v>
      </c>
      <c r="F33" s="345" t="s">
        <v>502</v>
      </c>
      <c r="G33" s="308">
        <v>6</v>
      </c>
      <c r="H33" s="309">
        <v>50000</v>
      </c>
      <c r="I33" s="309">
        <v>300000</v>
      </c>
      <c r="J33" s="211"/>
      <c r="K33" s="212" t="str">
        <f>IF(OR(J33="",G33=J33),"","*")</f>
        <v/>
      </c>
      <c r="L33" s="338">
        <f>IF($A33&lt;=L$1,I33/I$4,"")</f>
        <v>2.5510204081632651E-3</v>
      </c>
      <c r="M33" s="343"/>
      <c r="N33" s="344"/>
      <c r="O33" s="346" t="s">
        <v>476</v>
      </c>
      <c r="P33" s="347" t="s">
        <v>476</v>
      </c>
      <c r="Q33" s="347" t="s">
        <v>476</v>
      </c>
      <c r="R33" s="348" t="s">
        <v>476</v>
      </c>
      <c r="S33" s="349"/>
      <c r="T33" s="343" t="s">
        <v>477</v>
      </c>
      <c r="U33" s="343"/>
      <c r="V33" s="344"/>
      <c r="W33" s="346" t="s">
        <v>476</v>
      </c>
      <c r="X33" s="347" t="s">
        <v>476</v>
      </c>
      <c r="Y33" s="347" t="s">
        <v>476</v>
      </c>
      <c r="Z33" s="348" t="s">
        <v>476</v>
      </c>
      <c r="AA33" s="349"/>
      <c r="AB33" s="343" t="s">
        <v>477</v>
      </c>
      <c r="AC33" s="343"/>
      <c r="AD33" s="344"/>
      <c r="AE33" s="342" t="s">
        <v>529</v>
      </c>
      <c r="AF33" s="341" t="s">
        <v>530</v>
      </c>
    </row>
    <row r="34" spans="1:32">
      <c r="A34" s="307">
        <v>3</v>
      </c>
      <c r="B34" s="342"/>
      <c r="C34" s="342" t="s">
        <v>191</v>
      </c>
      <c r="D34" s="340" t="s">
        <v>531</v>
      </c>
      <c r="E34" s="342"/>
      <c r="F34" s="345" t="s">
        <v>300</v>
      </c>
      <c r="G34" s="308">
        <v>0</v>
      </c>
      <c r="H34" s="309">
        <v>28000</v>
      </c>
      <c r="I34" s="309">
        <v>0</v>
      </c>
      <c r="J34" s="211"/>
      <c r="K34" s="212" t="str">
        <f>IF(OR(J34="",G34=J34),"","*")</f>
        <v/>
      </c>
      <c r="L34" s="338">
        <f>IF($A34&lt;=L$1,I34/I$4,"")</f>
        <v>0</v>
      </c>
      <c r="M34" s="343"/>
      <c r="N34" s="344"/>
      <c r="O34" s="346" t="s">
        <v>476</v>
      </c>
      <c r="P34" s="347" t="s">
        <v>476</v>
      </c>
      <c r="Q34" s="347" t="s">
        <v>476</v>
      </c>
      <c r="R34" s="348" t="s">
        <v>476</v>
      </c>
      <c r="S34" s="349"/>
      <c r="T34" s="343" t="s">
        <v>477</v>
      </c>
      <c r="U34" s="343"/>
      <c r="V34" s="344"/>
      <c r="W34" s="346" t="s">
        <v>476</v>
      </c>
      <c r="X34" s="347" t="s">
        <v>476</v>
      </c>
      <c r="Y34" s="347" t="s">
        <v>476</v>
      </c>
      <c r="Z34" s="348" t="s">
        <v>476</v>
      </c>
      <c r="AA34" s="349"/>
      <c r="AB34" s="343" t="s">
        <v>477</v>
      </c>
      <c r="AC34" s="343"/>
      <c r="AD34" s="344"/>
      <c r="AE34" s="342"/>
      <c r="AF34" s="341"/>
    </row>
    <row r="35" spans="1:32">
      <c r="A35" s="307">
        <v>3</v>
      </c>
      <c r="B35" s="342"/>
      <c r="C35" s="342" t="s">
        <v>191</v>
      </c>
      <c r="D35" s="340" t="s">
        <v>532</v>
      </c>
      <c r="E35" s="342"/>
      <c r="F35" s="345" t="s">
        <v>533</v>
      </c>
      <c r="G35" s="308">
        <v>0</v>
      </c>
      <c r="H35" s="309">
        <v>20000</v>
      </c>
      <c r="I35" s="309">
        <v>0</v>
      </c>
      <c r="J35" s="211"/>
      <c r="K35" s="212" t="str">
        <f>IF(OR(J35="",G35=J35),"","*")</f>
        <v/>
      </c>
      <c r="L35" s="338">
        <f>IF($A35&lt;=L$1,I35/I$4,"")</f>
        <v>0</v>
      </c>
      <c r="M35" s="343"/>
      <c r="N35" s="344"/>
      <c r="O35" s="346" t="s">
        <v>476</v>
      </c>
      <c r="P35" s="347" t="s">
        <v>476</v>
      </c>
      <c r="Q35" s="347" t="s">
        <v>476</v>
      </c>
      <c r="R35" s="348" t="s">
        <v>476</v>
      </c>
      <c r="S35" s="349"/>
      <c r="T35" s="343" t="s">
        <v>477</v>
      </c>
      <c r="U35" s="343"/>
      <c r="V35" s="344"/>
      <c r="W35" s="346" t="s">
        <v>476</v>
      </c>
      <c r="X35" s="347" t="s">
        <v>476</v>
      </c>
      <c r="Y35" s="347" t="s">
        <v>476</v>
      </c>
      <c r="Z35" s="348" t="s">
        <v>476</v>
      </c>
      <c r="AA35" s="349"/>
      <c r="AB35" s="343" t="s">
        <v>477</v>
      </c>
      <c r="AC35" s="343"/>
      <c r="AD35" s="344"/>
      <c r="AE35" s="342"/>
      <c r="AF35" s="341"/>
    </row>
    <row r="36" spans="1:32">
      <c r="A36" s="307">
        <v>3</v>
      </c>
      <c r="B36" s="342"/>
      <c r="C36" s="342" t="s">
        <v>191</v>
      </c>
      <c r="D36" s="340" t="s">
        <v>532</v>
      </c>
      <c r="E36" s="342"/>
      <c r="F36" s="345" t="s">
        <v>533</v>
      </c>
      <c r="G36" s="308">
        <v>0</v>
      </c>
      <c r="H36" s="309">
        <v>25000</v>
      </c>
      <c r="I36" s="309">
        <v>0</v>
      </c>
      <c r="J36" s="211"/>
      <c r="K36" s="212" t="str">
        <f>IF(OR(J36="",G36=J36),"","*")</f>
        <v/>
      </c>
      <c r="L36" s="338">
        <f>IF($A36&lt;=L$1,I36/I$4,"")</f>
        <v>0</v>
      </c>
      <c r="M36" s="343"/>
      <c r="N36" s="344"/>
      <c r="O36" s="346" t="s">
        <v>476</v>
      </c>
      <c r="P36" s="347" t="s">
        <v>476</v>
      </c>
      <c r="Q36" s="347" t="s">
        <v>476</v>
      </c>
      <c r="R36" s="348" t="s">
        <v>476</v>
      </c>
      <c r="S36" s="349"/>
      <c r="T36" s="343" t="s">
        <v>477</v>
      </c>
      <c r="U36" s="343"/>
      <c r="V36" s="344"/>
      <c r="W36" s="346" t="s">
        <v>476</v>
      </c>
      <c r="X36" s="347" t="s">
        <v>476</v>
      </c>
      <c r="Y36" s="347" t="s">
        <v>476</v>
      </c>
      <c r="Z36" s="348" t="s">
        <v>476</v>
      </c>
      <c r="AA36" s="349"/>
      <c r="AB36" s="343" t="s">
        <v>477</v>
      </c>
      <c r="AC36" s="343"/>
      <c r="AD36" s="344"/>
      <c r="AE36" s="342"/>
      <c r="AF36" s="341"/>
    </row>
    <row r="37" spans="1:32">
      <c r="A37" s="307">
        <v>2</v>
      </c>
      <c r="B37" s="342"/>
      <c r="C37" s="342" t="s">
        <v>244</v>
      </c>
      <c r="D37" s="340" t="s">
        <v>534</v>
      </c>
      <c r="E37" s="342" t="s">
        <v>535</v>
      </c>
      <c r="F37" s="345" t="s">
        <v>183</v>
      </c>
      <c r="G37" s="308">
        <v>1</v>
      </c>
      <c r="H37" s="309">
        <v>1700000</v>
      </c>
      <c r="I37" s="309">
        <v>1700000</v>
      </c>
      <c r="J37" s="211">
        <v>1</v>
      </c>
      <c r="K37" s="212" t="str">
        <f>IF(OR(J37="",G37=J37),"","*")</f>
        <v/>
      </c>
      <c r="L37" s="338">
        <f>IF($A37&lt;=L$1,I37/I$4,"")</f>
        <v>1.4455782312925171E-2</v>
      </c>
      <c r="M37" s="343"/>
      <c r="N37" s="344" t="s">
        <v>536</v>
      </c>
      <c r="O37" s="346" t="s">
        <v>476</v>
      </c>
      <c r="P37" s="347" t="s">
        <v>476</v>
      </c>
      <c r="Q37" s="347" t="s">
        <v>476</v>
      </c>
      <c r="R37" s="348" t="s">
        <v>476</v>
      </c>
      <c r="S37" s="349"/>
      <c r="T37" s="343" t="s">
        <v>477</v>
      </c>
      <c r="U37" s="343"/>
      <c r="V37" s="344"/>
      <c r="W37" s="346" t="s">
        <v>476</v>
      </c>
      <c r="X37" s="347" t="s">
        <v>476</v>
      </c>
      <c r="Y37" s="347" t="s">
        <v>476</v>
      </c>
      <c r="Z37" s="348" t="s">
        <v>476</v>
      </c>
      <c r="AA37" s="349"/>
      <c r="AB37" s="343" t="s">
        <v>477</v>
      </c>
      <c r="AC37" s="343"/>
      <c r="AD37" s="344"/>
      <c r="AE37" s="342"/>
      <c r="AF37" s="341"/>
    </row>
    <row r="38" spans="1:32">
      <c r="A38" s="307">
        <v>3</v>
      </c>
      <c r="B38" s="342"/>
      <c r="C38" s="342" t="s">
        <v>189</v>
      </c>
      <c r="D38" s="340" t="s">
        <v>537</v>
      </c>
      <c r="E38" s="342"/>
      <c r="F38" s="345" t="s">
        <v>250</v>
      </c>
      <c r="G38" s="308">
        <v>65</v>
      </c>
      <c r="H38" s="309">
        <v>20000</v>
      </c>
      <c r="I38" s="309">
        <v>1300000</v>
      </c>
      <c r="J38" s="211"/>
      <c r="K38" s="212" t="str">
        <f>IF(OR(J38="",G38=J38),"","*")</f>
        <v/>
      </c>
      <c r="L38" s="338">
        <f>IF($A38&lt;=L$1,I38/I$4,"")</f>
        <v>1.1054421768707483E-2</v>
      </c>
      <c r="M38" s="343"/>
      <c r="N38" s="344"/>
      <c r="O38" s="346" t="s">
        <v>476</v>
      </c>
      <c r="P38" s="347" t="s">
        <v>476</v>
      </c>
      <c r="Q38" s="347" t="s">
        <v>476</v>
      </c>
      <c r="R38" s="348" t="s">
        <v>476</v>
      </c>
      <c r="S38" s="349"/>
      <c r="T38" s="343" t="s">
        <v>477</v>
      </c>
      <c r="U38" s="343"/>
      <c r="V38" s="344"/>
      <c r="W38" s="346" t="s">
        <v>476</v>
      </c>
      <c r="X38" s="347" t="s">
        <v>476</v>
      </c>
      <c r="Y38" s="347" t="s">
        <v>476</v>
      </c>
      <c r="Z38" s="348" t="s">
        <v>476</v>
      </c>
      <c r="AA38" s="349"/>
      <c r="AB38" s="343" t="s">
        <v>477</v>
      </c>
      <c r="AC38" s="343"/>
      <c r="AD38" s="344"/>
      <c r="AE38" s="342" t="s">
        <v>538</v>
      </c>
      <c r="AF38" s="341"/>
    </row>
    <row r="39" spans="1:32">
      <c r="A39" s="307">
        <v>3</v>
      </c>
      <c r="B39" s="342"/>
      <c r="C39" s="342" t="s">
        <v>187</v>
      </c>
      <c r="D39" s="340" t="s">
        <v>539</v>
      </c>
      <c r="E39" s="342" t="s">
        <v>540</v>
      </c>
      <c r="F39" s="345" t="s">
        <v>502</v>
      </c>
      <c r="G39" s="308">
        <v>6</v>
      </c>
      <c r="H39" s="309">
        <v>25000</v>
      </c>
      <c r="I39" s="309">
        <v>150000</v>
      </c>
      <c r="J39" s="211"/>
      <c r="K39" s="212" t="str">
        <f>IF(OR(J39="",G39=J39),"","*")</f>
        <v/>
      </c>
      <c r="L39" s="338">
        <f>IF($A39&lt;=L$1,I39/I$4,"")</f>
        <v>1.2755102040816326E-3</v>
      </c>
      <c r="M39" s="343"/>
      <c r="N39" s="344"/>
      <c r="O39" s="346" t="s">
        <v>476</v>
      </c>
      <c r="P39" s="347" t="s">
        <v>476</v>
      </c>
      <c r="Q39" s="347" t="s">
        <v>476</v>
      </c>
      <c r="R39" s="348" t="s">
        <v>476</v>
      </c>
      <c r="S39" s="349"/>
      <c r="T39" s="343" t="s">
        <v>477</v>
      </c>
      <c r="U39" s="343"/>
      <c r="V39" s="344"/>
      <c r="W39" s="346" t="s">
        <v>476</v>
      </c>
      <c r="X39" s="347" t="s">
        <v>476</v>
      </c>
      <c r="Y39" s="347" t="s">
        <v>476</v>
      </c>
      <c r="Z39" s="348" t="s">
        <v>476</v>
      </c>
      <c r="AA39" s="349"/>
      <c r="AB39" s="343" t="s">
        <v>477</v>
      </c>
      <c r="AC39" s="343"/>
      <c r="AD39" s="344"/>
      <c r="AE39" s="342"/>
      <c r="AF39" s="341"/>
    </row>
    <row r="40" spans="1:32">
      <c r="A40" s="307">
        <v>3</v>
      </c>
      <c r="B40" s="342"/>
      <c r="C40" s="342" t="s">
        <v>192</v>
      </c>
      <c r="D40" s="340" t="s">
        <v>541</v>
      </c>
      <c r="E40" s="342"/>
      <c r="F40" s="345" t="s">
        <v>183</v>
      </c>
      <c r="G40" s="308">
        <v>1</v>
      </c>
      <c r="H40" s="309">
        <v>250000</v>
      </c>
      <c r="I40" s="309">
        <v>250000</v>
      </c>
      <c r="J40" s="211"/>
      <c r="K40" s="212" t="str">
        <f>IF(OR(J40="",G40=J40),"","*")</f>
        <v/>
      </c>
      <c r="L40" s="338">
        <f>IF($A40&lt;=L$1,I40/I$4,"")</f>
        <v>2.1258503401360546E-3</v>
      </c>
      <c r="M40" s="343"/>
      <c r="N40" s="344"/>
      <c r="O40" s="346" t="s">
        <v>476</v>
      </c>
      <c r="P40" s="347" t="s">
        <v>476</v>
      </c>
      <c r="Q40" s="347" t="s">
        <v>476</v>
      </c>
      <c r="R40" s="348" t="s">
        <v>476</v>
      </c>
      <c r="S40" s="349"/>
      <c r="T40" s="343" t="s">
        <v>477</v>
      </c>
      <c r="U40" s="343"/>
      <c r="V40" s="344"/>
      <c r="W40" s="346" t="s">
        <v>476</v>
      </c>
      <c r="X40" s="347" t="s">
        <v>476</v>
      </c>
      <c r="Y40" s="347" t="s">
        <v>476</v>
      </c>
      <c r="Z40" s="348" t="s">
        <v>476</v>
      </c>
      <c r="AA40" s="349"/>
      <c r="AB40" s="343" t="s">
        <v>477</v>
      </c>
      <c r="AC40" s="343"/>
      <c r="AD40" s="344"/>
      <c r="AE40" s="342"/>
      <c r="AF40" s="341"/>
    </row>
    <row r="41" spans="1:32">
      <c r="A41" s="307">
        <v>2</v>
      </c>
      <c r="B41" s="342"/>
      <c r="C41" s="342" t="s">
        <v>244</v>
      </c>
      <c r="D41" s="340" t="s">
        <v>542</v>
      </c>
      <c r="E41" s="342" t="s">
        <v>543</v>
      </c>
      <c r="F41" s="345" t="s">
        <v>183</v>
      </c>
      <c r="G41" s="308">
        <v>1</v>
      </c>
      <c r="H41" s="309">
        <v>1303400</v>
      </c>
      <c r="I41" s="309">
        <v>1303400</v>
      </c>
      <c r="J41" s="211">
        <v>1</v>
      </c>
      <c r="K41" s="212" t="str">
        <f>IF(OR(J41="",G41=J41),"","*")</f>
        <v/>
      </c>
      <c r="L41" s="338">
        <f>IF($A41&lt;=L$1,I41/I$4,"")</f>
        <v>1.1083333333333334E-2</v>
      </c>
      <c r="M41" s="343"/>
      <c r="N41" s="344" t="s">
        <v>544</v>
      </c>
      <c r="O41" s="346" t="s">
        <v>476</v>
      </c>
      <c r="P41" s="347" t="s">
        <v>476</v>
      </c>
      <c r="Q41" s="347" t="s">
        <v>476</v>
      </c>
      <c r="R41" s="348" t="s">
        <v>476</v>
      </c>
      <c r="S41" s="349"/>
      <c r="T41" s="343" t="s">
        <v>477</v>
      </c>
      <c r="U41" s="343"/>
      <c r="V41" s="344"/>
      <c r="W41" s="346" t="s">
        <v>476</v>
      </c>
      <c r="X41" s="347" t="s">
        <v>476</v>
      </c>
      <c r="Y41" s="347" t="s">
        <v>476</v>
      </c>
      <c r="Z41" s="348" t="s">
        <v>476</v>
      </c>
      <c r="AA41" s="349"/>
      <c r="AB41" s="343" t="s">
        <v>477</v>
      </c>
      <c r="AC41" s="343"/>
      <c r="AD41" s="344"/>
      <c r="AE41" s="342"/>
      <c r="AF41" s="341"/>
    </row>
    <row r="42" spans="1:32">
      <c r="A42" s="307">
        <v>3</v>
      </c>
      <c r="B42" s="342"/>
      <c r="C42" s="342" t="s">
        <v>190</v>
      </c>
      <c r="D42" s="340" t="s">
        <v>545</v>
      </c>
      <c r="E42" s="342" t="s">
        <v>546</v>
      </c>
      <c r="F42" s="345" t="s">
        <v>502</v>
      </c>
      <c r="G42" s="308">
        <v>1</v>
      </c>
      <c r="H42" s="309">
        <v>400000</v>
      </c>
      <c r="I42" s="309">
        <v>400000</v>
      </c>
      <c r="J42" s="211"/>
      <c r="K42" s="212" t="str">
        <f>IF(OR(J42="",G42=J42),"","*")</f>
        <v/>
      </c>
      <c r="L42" s="338">
        <f>IF($A42&lt;=L$1,I42/I$4,"")</f>
        <v>3.4013605442176869E-3</v>
      </c>
      <c r="M42" s="343"/>
      <c r="N42" s="344"/>
      <c r="O42" s="346" t="s">
        <v>476</v>
      </c>
      <c r="P42" s="347" t="s">
        <v>476</v>
      </c>
      <c r="Q42" s="347" t="s">
        <v>476</v>
      </c>
      <c r="R42" s="348" t="s">
        <v>476</v>
      </c>
      <c r="S42" s="349"/>
      <c r="T42" s="343" t="s">
        <v>477</v>
      </c>
      <c r="U42" s="343"/>
      <c r="V42" s="344"/>
      <c r="W42" s="346" t="s">
        <v>476</v>
      </c>
      <c r="X42" s="347" t="s">
        <v>476</v>
      </c>
      <c r="Y42" s="347" t="s">
        <v>476</v>
      </c>
      <c r="Z42" s="348" t="s">
        <v>476</v>
      </c>
      <c r="AA42" s="349"/>
      <c r="AB42" s="343" t="s">
        <v>477</v>
      </c>
      <c r="AC42" s="343"/>
      <c r="AD42" s="344"/>
      <c r="AE42" s="342"/>
      <c r="AF42" s="341"/>
    </row>
    <row r="43" spans="1:32">
      <c r="A43" s="307">
        <v>3</v>
      </c>
      <c r="B43" s="342"/>
      <c r="C43" s="342" t="s">
        <v>190</v>
      </c>
      <c r="D43" s="340" t="s">
        <v>547</v>
      </c>
      <c r="E43" s="342"/>
      <c r="F43" s="345" t="s">
        <v>502</v>
      </c>
      <c r="G43" s="308">
        <v>2</v>
      </c>
      <c r="H43" s="309">
        <v>260000</v>
      </c>
      <c r="I43" s="309">
        <v>520000</v>
      </c>
      <c r="J43" s="211"/>
      <c r="K43" s="212" t="str">
        <f>IF(OR(J43="",G43=J43),"","*")</f>
        <v/>
      </c>
      <c r="L43" s="338">
        <f>IF($A43&lt;=L$1,I43/I$4,"")</f>
        <v>4.4217687074829936E-3</v>
      </c>
      <c r="M43" s="343"/>
      <c r="N43" s="344"/>
      <c r="O43" s="346" t="s">
        <v>476</v>
      </c>
      <c r="P43" s="347" t="s">
        <v>476</v>
      </c>
      <c r="Q43" s="347" t="s">
        <v>476</v>
      </c>
      <c r="R43" s="348" t="s">
        <v>476</v>
      </c>
      <c r="S43" s="349"/>
      <c r="T43" s="343" t="s">
        <v>477</v>
      </c>
      <c r="U43" s="343"/>
      <c r="V43" s="344"/>
      <c r="W43" s="346" t="s">
        <v>476</v>
      </c>
      <c r="X43" s="347" t="s">
        <v>476</v>
      </c>
      <c r="Y43" s="347" t="s">
        <v>476</v>
      </c>
      <c r="Z43" s="348" t="s">
        <v>476</v>
      </c>
      <c r="AA43" s="349"/>
      <c r="AB43" s="343" t="s">
        <v>477</v>
      </c>
      <c r="AC43" s="343"/>
      <c r="AD43" s="344"/>
      <c r="AE43" s="342"/>
      <c r="AF43" s="341"/>
    </row>
    <row r="44" spans="1:32">
      <c r="A44" s="307">
        <v>3</v>
      </c>
      <c r="B44" s="342"/>
      <c r="C44" s="342" t="s">
        <v>192</v>
      </c>
      <c r="D44" s="340" t="s">
        <v>548</v>
      </c>
      <c r="E44" s="342"/>
      <c r="F44" s="345" t="s">
        <v>183</v>
      </c>
      <c r="G44" s="308">
        <v>1</v>
      </c>
      <c r="H44" s="309">
        <v>50000</v>
      </c>
      <c r="I44" s="309">
        <v>50000</v>
      </c>
      <c r="J44" s="211"/>
      <c r="K44" s="212" t="str">
        <f>IF(OR(J44="",G44=J44),"","*")</f>
        <v/>
      </c>
      <c r="L44" s="338">
        <f>IF($A44&lt;=L$1,I44/I$4,"")</f>
        <v>4.2517006802721087E-4</v>
      </c>
      <c r="M44" s="343"/>
      <c r="N44" s="344"/>
      <c r="O44" s="346" t="s">
        <v>476</v>
      </c>
      <c r="P44" s="347" t="s">
        <v>476</v>
      </c>
      <c r="Q44" s="347" t="s">
        <v>476</v>
      </c>
      <c r="R44" s="348" t="s">
        <v>476</v>
      </c>
      <c r="S44" s="349"/>
      <c r="T44" s="343" t="s">
        <v>477</v>
      </c>
      <c r="U44" s="343"/>
      <c r="V44" s="344"/>
      <c r="W44" s="346" t="s">
        <v>476</v>
      </c>
      <c r="X44" s="347" t="s">
        <v>476</v>
      </c>
      <c r="Y44" s="347" t="s">
        <v>476</v>
      </c>
      <c r="Z44" s="348" t="s">
        <v>476</v>
      </c>
      <c r="AA44" s="349"/>
      <c r="AB44" s="343" t="s">
        <v>477</v>
      </c>
      <c r="AC44" s="343"/>
      <c r="AD44" s="344"/>
      <c r="AE44" s="342"/>
      <c r="AF44" s="341"/>
    </row>
    <row r="45" spans="1:32">
      <c r="A45" s="307">
        <v>3</v>
      </c>
      <c r="B45" s="342"/>
      <c r="C45" s="342" t="s">
        <v>190</v>
      </c>
      <c r="D45" s="340" t="s">
        <v>549</v>
      </c>
      <c r="E45" s="342"/>
      <c r="F45" s="345" t="s">
        <v>502</v>
      </c>
      <c r="G45" s="308">
        <v>6</v>
      </c>
      <c r="H45" s="309">
        <v>3900</v>
      </c>
      <c r="I45" s="309">
        <v>23400</v>
      </c>
      <c r="J45" s="211"/>
      <c r="K45" s="212" t="str">
        <f>IF(OR(J45="",G45=J45),"","*")</f>
        <v/>
      </c>
      <c r="L45" s="338">
        <f>IF($A45&lt;=L$1,I45/I$4,"")</f>
        <v>1.9897959183673468E-4</v>
      </c>
      <c r="M45" s="343"/>
      <c r="N45" s="344"/>
      <c r="O45" s="346" t="s">
        <v>476</v>
      </c>
      <c r="P45" s="347" t="s">
        <v>476</v>
      </c>
      <c r="Q45" s="347" t="s">
        <v>476</v>
      </c>
      <c r="R45" s="348" t="s">
        <v>476</v>
      </c>
      <c r="S45" s="349"/>
      <c r="T45" s="343" t="s">
        <v>477</v>
      </c>
      <c r="U45" s="343"/>
      <c r="V45" s="344"/>
      <c r="W45" s="346" t="s">
        <v>476</v>
      </c>
      <c r="X45" s="347" t="s">
        <v>476</v>
      </c>
      <c r="Y45" s="347" t="s">
        <v>476</v>
      </c>
      <c r="Z45" s="348" t="s">
        <v>476</v>
      </c>
      <c r="AA45" s="349"/>
      <c r="AB45" s="343" t="s">
        <v>477</v>
      </c>
      <c r="AC45" s="343"/>
      <c r="AD45" s="344"/>
      <c r="AE45" s="342"/>
      <c r="AF45" s="341"/>
    </row>
    <row r="46" spans="1:32">
      <c r="A46" s="307">
        <v>3</v>
      </c>
      <c r="B46" s="342"/>
      <c r="C46" s="342" t="s">
        <v>190</v>
      </c>
      <c r="D46" s="340" t="s">
        <v>550</v>
      </c>
      <c r="E46" s="342" t="s">
        <v>551</v>
      </c>
      <c r="F46" s="345" t="s">
        <v>502</v>
      </c>
      <c r="G46" s="308">
        <v>6</v>
      </c>
      <c r="H46" s="309">
        <v>48000</v>
      </c>
      <c r="I46" s="309">
        <v>288000</v>
      </c>
      <c r="J46" s="211"/>
      <c r="K46" s="212" t="str">
        <f>IF(OR(J46="",G46=J46),"","*")</f>
        <v/>
      </c>
      <c r="L46" s="338">
        <f>IF($A46&lt;=L$1,I46/I$4,"")</f>
        <v>2.4489795918367346E-3</v>
      </c>
      <c r="M46" s="343"/>
      <c r="N46" s="344"/>
      <c r="O46" s="346" t="s">
        <v>476</v>
      </c>
      <c r="P46" s="347" t="s">
        <v>476</v>
      </c>
      <c r="Q46" s="347" t="s">
        <v>476</v>
      </c>
      <c r="R46" s="348" t="s">
        <v>476</v>
      </c>
      <c r="S46" s="349"/>
      <c r="T46" s="343" t="s">
        <v>477</v>
      </c>
      <c r="U46" s="343"/>
      <c r="V46" s="344"/>
      <c r="W46" s="346" t="s">
        <v>476</v>
      </c>
      <c r="X46" s="347" t="s">
        <v>476</v>
      </c>
      <c r="Y46" s="347" t="s">
        <v>476</v>
      </c>
      <c r="Z46" s="348" t="s">
        <v>476</v>
      </c>
      <c r="AA46" s="349"/>
      <c r="AB46" s="343" t="s">
        <v>477</v>
      </c>
      <c r="AC46" s="343"/>
      <c r="AD46" s="344"/>
      <c r="AE46" s="342"/>
      <c r="AF46" s="341"/>
    </row>
    <row r="47" spans="1:32">
      <c r="A47" s="307">
        <v>3</v>
      </c>
      <c r="B47" s="342"/>
      <c r="C47" s="342" t="s">
        <v>190</v>
      </c>
      <c r="D47" s="340" t="s">
        <v>550</v>
      </c>
      <c r="E47" s="342" t="s">
        <v>552</v>
      </c>
      <c r="F47" s="345" t="s">
        <v>183</v>
      </c>
      <c r="G47" s="308">
        <v>1</v>
      </c>
      <c r="H47" s="309">
        <v>22000</v>
      </c>
      <c r="I47" s="309">
        <v>22000</v>
      </c>
      <c r="J47" s="211"/>
      <c r="K47" s="212" t="str">
        <f>IF(OR(J47="",G47=J47),"","*")</f>
        <v/>
      </c>
      <c r="L47" s="338">
        <f>IF($A47&lt;=L$1,I47/I$4,"")</f>
        <v>1.870748299319728E-4</v>
      </c>
      <c r="M47" s="343"/>
      <c r="N47" s="344"/>
      <c r="O47" s="346" t="s">
        <v>476</v>
      </c>
      <c r="P47" s="347" t="s">
        <v>476</v>
      </c>
      <c r="Q47" s="347" t="s">
        <v>476</v>
      </c>
      <c r="R47" s="348" t="s">
        <v>476</v>
      </c>
      <c r="S47" s="349"/>
      <c r="T47" s="343" t="s">
        <v>477</v>
      </c>
      <c r="U47" s="343"/>
      <c r="V47" s="344"/>
      <c r="W47" s="346" t="s">
        <v>476</v>
      </c>
      <c r="X47" s="347" t="s">
        <v>476</v>
      </c>
      <c r="Y47" s="347" t="s">
        <v>476</v>
      </c>
      <c r="Z47" s="348" t="s">
        <v>476</v>
      </c>
      <c r="AA47" s="349"/>
      <c r="AB47" s="343" t="s">
        <v>477</v>
      </c>
      <c r="AC47" s="343"/>
      <c r="AD47" s="344"/>
      <c r="AE47" s="342"/>
      <c r="AF47" s="341"/>
    </row>
    <row r="48" spans="1:32">
      <c r="A48" s="217"/>
      <c r="B48" s="217"/>
      <c r="C48" s="312"/>
      <c r="D48" s="217"/>
      <c r="E48" s="217"/>
      <c r="F48" s="218"/>
      <c r="G48" s="217"/>
      <c r="H48" s="217"/>
      <c r="I48" s="217"/>
      <c r="J48" s="217"/>
      <c r="K48" s="218"/>
      <c r="L48" s="217"/>
      <c r="M48" s="217"/>
      <c r="N48" s="217"/>
      <c r="O48" s="217"/>
      <c r="P48" s="217"/>
      <c r="Q48" s="217"/>
      <c r="R48" s="217"/>
      <c r="S48" s="218"/>
      <c r="T48" s="217"/>
      <c r="U48" s="217"/>
      <c r="V48" s="217"/>
      <c r="W48" s="217"/>
      <c r="X48" s="217"/>
      <c r="Y48" s="217"/>
      <c r="Z48" s="217"/>
      <c r="AA48" s="218"/>
      <c r="AB48" s="217"/>
      <c r="AC48" s="217"/>
      <c r="AD48" s="217"/>
      <c r="AE48" s="217"/>
      <c r="AF48" s="313"/>
    </row>
  </sheetData>
  <autoFilter ref="A3:AE3" xr:uid="{00000000-0009-0000-0000-000009000000}"/>
  <mergeCells count="4">
    <mergeCell ref="G2:N2"/>
    <mergeCell ref="O2:V2"/>
    <mergeCell ref="W2:AD2"/>
    <mergeCell ref="AF2:AF3"/>
  </mergeCells>
  <phoneticPr fontId="4"/>
  <conditionalFormatting sqref="A4:AD47 AF4:AF47">
    <cfRule type="expression" dxfId="19" priority="16" stopIfTrue="1">
      <formula>$A4&lt;=1</formula>
    </cfRule>
    <cfRule type="expression" dxfId="18" priority="17" stopIfTrue="1">
      <formula>$A4=2</formula>
    </cfRule>
    <cfRule type="expression" dxfId="17" priority="18" stopIfTrue="1">
      <formula>$A4=3</formula>
    </cfRule>
    <cfRule type="expression" dxfId="16" priority="19" stopIfTrue="1">
      <formula>$A4=4</formula>
    </cfRule>
    <cfRule type="expression" dxfId="15" priority="20" stopIfTrue="1">
      <formula>$A4=5</formula>
    </cfRule>
  </conditionalFormatting>
  <conditionalFormatting sqref="AE4:AE47">
    <cfRule type="expression" dxfId="14" priority="6" stopIfTrue="1">
      <formula>$A4&lt;=1</formula>
    </cfRule>
    <cfRule type="expression" dxfId="13" priority="7" stopIfTrue="1">
      <formula>$A4=2</formula>
    </cfRule>
    <cfRule type="expression" dxfId="12" priority="8" stopIfTrue="1">
      <formula>$A4=3</formula>
    </cfRule>
    <cfRule type="expression" dxfId="11" priority="9" stopIfTrue="1">
      <formula>$A4=4</formula>
    </cfRule>
    <cfRule type="expression" dxfId="1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明朝,標準"&amp;Pページ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1"/>
  <dimension ref="A1:I62"/>
  <sheetViews>
    <sheetView zoomScaleNormal="100" workbookViewId="0"/>
  </sheetViews>
  <sheetFormatPr defaultColWidth="8.25" defaultRowHeight="13.5"/>
  <cols>
    <col min="1" max="1" width="2.375" style="73" customWidth="1"/>
    <col min="2" max="2" width="32.625" style="73" customWidth="1"/>
    <col min="3" max="3" width="30.625" style="73" customWidth="1"/>
    <col min="4" max="4" width="5.875" style="73" customWidth="1"/>
    <col min="5" max="5" width="10.625" style="73" customWidth="1"/>
    <col min="6" max="6" width="12.625" style="141" customWidth="1"/>
    <col min="7" max="7" width="15.125" style="73" customWidth="1"/>
    <col min="8" max="8" width="14.375" style="73" customWidth="1"/>
    <col min="9" max="9" width="2.125" style="73" customWidth="1"/>
    <col min="10" max="16384" width="8.25" style="73"/>
  </cols>
  <sheetData>
    <row r="1" spans="1:9" s="319" customFormat="1" ht="23.1" customHeight="1" thickBot="1">
      <c r="A1" s="124"/>
      <c r="B1" s="125"/>
      <c r="C1" s="545" t="s">
        <v>82</v>
      </c>
      <c r="D1" s="545"/>
      <c r="E1" s="545"/>
      <c r="F1" s="545"/>
      <c r="G1" s="136"/>
      <c r="H1" s="368"/>
      <c r="I1" s="234"/>
    </row>
    <row r="2" spans="1:9" ht="19.5" customHeight="1">
      <c r="A2" s="69"/>
      <c r="B2" s="238" t="s">
        <v>83</v>
      </c>
      <c r="C2" s="240" t="s">
        <v>84</v>
      </c>
      <c r="D2" s="240" t="s">
        <v>85</v>
      </c>
      <c r="E2" s="239" t="s">
        <v>86</v>
      </c>
      <c r="F2" s="239" t="s">
        <v>79</v>
      </c>
      <c r="G2" s="241" t="s">
        <v>80</v>
      </c>
      <c r="H2" s="137" t="s">
        <v>87</v>
      </c>
      <c r="I2" s="69"/>
    </row>
    <row r="3" spans="1:9" ht="15.75" customHeight="1">
      <c r="A3" s="69"/>
      <c r="B3" s="559" t="s">
        <v>468</v>
      </c>
      <c r="C3" s="561"/>
      <c r="D3" s="563" t="s">
        <v>183</v>
      </c>
      <c r="E3" s="565">
        <v>1</v>
      </c>
      <c r="F3" s="521">
        <v>7170000</v>
      </c>
      <c r="G3" s="557">
        <v>7170000</v>
      </c>
      <c r="H3" s="138" t="s">
        <v>553</v>
      </c>
      <c r="I3" s="69"/>
    </row>
    <row r="4" spans="1:9" ht="15.75" customHeight="1">
      <c r="A4" s="69"/>
      <c r="B4" s="560"/>
      <c r="C4" s="562"/>
      <c r="D4" s="564"/>
      <c r="E4" s="566"/>
      <c r="F4" s="567"/>
      <c r="G4" s="568"/>
      <c r="H4" s="139" t="s">
        <v>205</v>
      </c>
      <c r="I4" s="69"/>
    </row>
    <row r="5" spans="1:9" ht="15.75" customHeight="1">
      <c r="A5" s="69"/>
      <c r="B5" s="559" t="s">
        <v>470</v>
      </c>
      <c r="C5" s="561" t="s">
        <v>554</v>
      </c>
      <c r="D5" s="563" t="s">
        <v>183</v>
      </c>
      <c r="E5" s="565">
        <v>1</v>
      </c>
      <c r="F5" s="521">
        <v>42000</v>
      </c>
      <c r="G5" s="557">
        <v>42000</v>
      </c>
      <c r="H5" s="138" t="s">
        <v>555</v>
      </c>
      <c r="I5" s="69"/>
    </row>
    <row r="6" spans="1:9" ht="15.75" customHeight="1">
      <c r="A6" s="69"/>
      <c r="B6" s="560"/>
      <c r="C6" s="562"/>
      <c r="D6" s="564"/>
      <c r="E6" s="566"/>
      <c r="F6" s="567"/>
      <c r="G6" s="568"/>
      <c r="H6" s="139" t="s">
        <v>205</v>
      </c>
      <c r="I6" s="69"/>
    </row>
    <row r="7" spans="1:9" ht="15.75" customHeight="1">
      <c r="A7" s="69"/>
      <c r="B7" s="559" t="s">
        <v>472</v>
      </c>
      <c r="C7" s="561" t="s">
        <v>556</v>
      </c>
      <c r="D7" s="563" t="s">
        <v>183</v>
      </c>
      <c r="E7" s="565">
        <v>1</v>
      </c>
      <c r="F7" s="521"/>
      <c r="G7" s="557"/>
      <c r="H7" s="138" t="s">
        <v>557</v>
      </c>
      <c r="I7" s="69"/>
    </row>
    <row r="8" spans="1:9" ht="15.75" customHeight="1">
      <c r="A8" s="69"/>
      <c r="B8" s="560"/>
      <c r="C8" s="562"/>
      <c r="D8" s="564"/>
      <c r="E8" s="566"/>
      <c r="F8" s="567"/>
      <c r="G8" s="568"/>
      <c r="H8" s="139" t="s">
        <v>205</v>
      </c>
      <c r="I8" s="69"/>
    </row>
    <row r="9" spans="1:9" ht="15.75" customHeight="1">
      <c r="A9" s="69"/>
      <c r="B9" s="559" t="s">
        <v>474</v>
      </c>
      <c r="C9" s="561" t="s">
        <v>558</v>
      </c>
      <c r="D9" s="563" t="s">
        <v>183</v>
      </c>
      <c r="E9" s="565">
        <v>1</v>
      </c>
      <c r="F9" s="521">
        <v>394290</v>
      </c>
      <c r="G9" s="557">
        <v>394290</v>
      </c>
      <c r="H9" s="138" t="s">
        <v>559</v>
      </c>
      <c r="I9" s="69"/>
    </row>
    <row r="10" spans="1:9" ht="15.75" customHeight="1">
      <c r="A10" s="69"/>
      <c r="B10" s="560"/>
      <c r="C10" s="562"/>
      <c r="D10" s="564"/>
      <c r="E10" s="566"/>
      <c r="F10" s="567"/>
      <c r="G10" s="568"/>
      <c r="H10" s="139" t="s">
        <v>205</v>
      </c>
      <c r="I10" s="69"/>
    </row>
    <row r="11" spans="1:9" ht="15.75" customHeight="1">
      <c r="A11" s="69"/>
      <c r="B11" s="559"/>
      <c r="C11" s="561"/>
      <c r="D11" s="563"/>
      <c r="E11" s="565"/>
      <c r="F11" s="521"/>
      <c r="G11" s="557"/>
      <c r="H11" s="138"/>
      <c r="I11" s="69"/>
    </row>
    <row r="12" spans="1:9" ht="15.75" customHeight="1">
      <c r="A12" s="69"/>
      <c r="B12" s="560"/>
      <c r="C12" s="562"/>
      <c r="D12" s="564"/>
      <c r="E12" s="566"/>
      <c r="F12" s="567"/>
      <c r="G12" s="568"/>
      <c r="H12" s="139"/>
      <c r="I12" s="69"/>
    </row>
    <row r="13" spans="1:9" ht="15.75" customHeight="1">
      <c r="A13" s="69"/>
      <c r="B13" s="559" t="s">
        <v>239</v>
      </c>
      <c r="C13" s="561"/>
      <c r="D13" s="563"/>
      <c r="E13" s="565"/>
      <c r="F13" s="521"/>
      <c r="G13" s="557">
        <v>7606290</v>
      </c>
      <c r="H13" s="138"/>
      <c r="I13" s="69"/>
    </row>
    <row r="14" spans="1:9" ht="15.75" customHeight="1">
      <c r="A14" s="69"/>
      <c r="B14" s="560"/>
      <c r="C14" s="562"/>
      <c r="D14" s="564"/>
      <c r="E14" s="566"/>
      <c r="F14" s="567"/>
      <c r="G14" s="568"/>
      <c r="H14" s="139"/>
      <c r="I14" s="69"/>
    </row>
    <row r="15" spans="1:9" ht="15.75" customHeight="1">
      <c r="A15" s="69"/>
      <c r="B15" s="559"/>
      <c r="C15" s="561"/>
      <c r="D15" s="563"/>
      <c r="E15" s="565"/>
      <c r="F15" s="521"/>
      <c r="G15" s="557"/>
      <c r="H15" s="138"/>
      <c r="I15" s="69"/>
    </row>
    <row r="16" spans="1:9" ht="15.75" customHeight="1">
      <c r="A16" s="69"/>
      <c r="B16" s="560"/>
      <c r="C16" s="562"/>
      <c r="D16" s="564"/>
      <c r="E16" s="566"/>
      <c r="F16" s="567"/>
      <c r="G16" s="568"/>
      <c r="H16" s="139"/>
      <c r="I16" s="69"/>
    </row>
    <row r="17" spans="1:9" ht="15.75" customHeight="1">
      <c r="A17" s="69"/>
      <c r="B17" s="559"/>
      <c r="C17" s="561"/>
      <c r="D17" s="563"/>
      <c r="E17" s="565"/>
      <c r="F17" s="521"/>
      <c r="G17" s="557"/>
      <c r="H17" s="138"/>
      <c r="I17" s="69"/>
    </row>
    <row r="18" spans="1:9" ht="15.75" customHeight="1">
      <c r="A18" s="69"/>
      <c r="B18" s="560"/>
      <c r="C18" s="562"/>
      <c r="D18" s="564"/>
      <c r="E18" s="566"/>
      <c r="F18" s="567"/>
      <c r="G18" s="568"/>
      <c r="H18" s="139"/>
      <c r="I18" s="69"/>
    </row>
    <row r="19" spans="1:9" ht="15.75" customHeight="1">
      <c r="A19" s="69"/>
      <c r="B19" s="559"/>
      <c r="C19" s="561"/>
      <c r="D19" s="563"/>
      <c r="E19" s="565"/>
      <c r="F19" s="521"/>
      <c r="G19" s="557"/>
      <c r="H19" s="138"/>
      <c r="I19" s="69"/>
    </row>
    <row r="20" spans="1:9" ht="15.75" customHeight="1">
      <c r="A20" s="69"/>
      <c r="B20" s="560"/>
      <c r="C20" s="562"/>
      <c r="D20" s="564"/>
      <c r="E20" s="566"/>
      <c r="F20" s="567"/>
      <c r="G20" s="568"/>
      <c r="H20" s="139"/>
      <c r="I20" s="69"/>
    </row>
    <row r="21" spans="1:9" ht="15.75" customHeight="1">
      <c r="A21" s="69"/>
      <c r="B21" s="559"/>
      <c r="C21" s="561"/>
      <c r="D21" s="563"/>
      <c r="E21" s="565"/>
      <c r="F21" s="521"/>
      <c r="G21" s="557"/>
      <c r="H21" s="138"/>
      <c r="I21" s="69"/>
    </row>
    <row r="22" spans="1:9" ht="15.75" customHeight="1">
      <c r="A22" s="69"/>
      <c r="B22" s="560"/>
      <c r="C22" s="562"/>
      <c r="D22" s="564"/>
      <c r="E22" s="566"/>
      <c r="F22" s="567"/>
      <c r="G22" s="568"/>
      <c r="H22" s="139"/>
      <c r="I22" s="69"/>
    </row>
    <row r="23" spans="1:9" ht="15.75" customHeight="1">
      <c r="A23" s="69"/>
      <c r="B23" s="559"/>
      <c r="C23" s="561"/>
      <c r="D23" s="563"/>
      <c r="E23" s="565"/>
      <c r="F23" s="521"/>
      <c r="G23" s="557"/>
      <c r="H23" s="138"/>
      <c r="I23" s="69"/>
    </row>
    <row r="24" spans="1:9" ht="15.75" customHeight="1">
      <c r="A24" s="69"/>
      <c r="B24" s="560"/>
      <c r="C24" s="562"/>
      <c r="D24" s="564"/>
      <c r="E24" s="566"/>
      <c r="F24" s="567"/>
      <c r="G24" s="568"/>
      <c r="H24" s="139"/>
      <c r="I24" s="69"/>
    </row>
    <row r="25" spans="1:9" ht="15.75" customHeight="1">
      <c r="A25" s="69"/>
      <c r="B25" s="559"/>
      <c r="C25" s="561"/>
      <c r="D25" s="563"/>
      <c r="E25" s="565"/>
      <c r="F25" s="521"/>
      <c r="G25" s="557"/>
      <c r="H25" s="138"/>
      <c r="I25" s="69"/>
    </row>
    <row r="26" spans="1:9" ht="15.75" customHeight="1">
      <c r="A26" s="69"/>
      <c r="B26" s="560"/>
      <c r="C26" s="562"/>
      <c r="D26" s="564"/>
      <c r="E26" s="566"/>
      <c r="F26" s="567"/>
      <c r="G26" s="568"/>
      <c r="H26" s="139"/>
      <c r="I26" s="69"/>
    </row>
    <row r="27" spans="1:9" ht="15.75" customHeight="1">
      <c r="A27" s="69"/>
      <c r="B27" s="559"/>
      <c r="C27" s="561"/>
      <c r="D27" s="563"/>
      <c r="E27" s="565"/>
      <c r="F27" s="521"/>
      <c r="G27" s="557"/>
      <c r="H27" s="138"/>
      <c r="I27" s="69"/>
    </row>
    <row r="28" spans="1:9" ht="15.75" customHeight="1">
      <c r="A28" s="69"/>
      <c r="B28" s="560"/>
      <c r="C28" s="562"/>
      <c r="D28" s="564"/>
      <c r="E28" s="566"/>
      <c r="F28" s="567"/>
      <c r="G28" s="568"/>
      <c r="H28" s="139"/>
      <c r="I28" s="69"/>
    </row>
    <row r="29" spans="1:9" ht="15.75" customHeight="1">
      <c r="A29" s="69"/>
      <c r="B29" s="559"/>
      <c r="C29" s="561"/>
      <c r="D29" s="563"/>
      <c r="E29" s="565"/>
      <c r="F29" s="521"/>
      <c r="G29" s="557"/>
      <c r="H29" s="138"/>
      <c r="I29" s="69"/>
    </row>
    <row r="30" spans="1:9" ht="15.75" customHeight="1" thickBot="1">
      <c r="A30" s="69"/>
      <c r="B30" s="569"/>
      <c r="C30" s="570"/>
      <c r="D30" s="571"/>
      <c r="E30" s="572"/>
      <c r="F30" s="573"/>
      <c r="G30" s="558"/>
      <c r="H30" s="140"/>
      <c r="I30" s="69"/>
    </row>
    <row r="31" spans="1:9" s="103" customFormat="1" ht="18" customHeight="1">
      <c r="A31" s="362"/>
      <c r="B31" s="362"/>
      <c r="C31" s="362"/>
      <c r="D31" s="362"/>
      <c r="E31" s="362"/>
      <c r="F31" s="362"/>
      <c r="G31" s="369"/>
      <c r="H31" s="369"/>
      <c r="I31" s="362"/>
    </row>
    <row r="32" spans="1:9" ht="23.1" customHeight="1"/>
    <row r="33" ht="19.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8" customHeight="1"/>
  </sheetData>
  <mergeCells count="85">
    <mergeCell ref="G27:G28"/>
    <mergeCell ref="B29:B30"/>
    <mergeCell ref="C29:C30"/>
    <mergeCell ref="D29:D30"/>
    <mergeCell ref="E29:E30"/>
    <mergeCell ref="F29:F30"/>
    <mergeCell ref="G29:G30"/>
    <mergeCell ref="B27:B28"/>
    <mergeCell ref="C27:C28"/>
    <mergeCell ref="D27:D28"/>
    <mergeCell ref="E27:E28"/>
    <mergeCell ref="F27:F28"/>
    <mergeCell ref="G23:G24"/>
    <mergeCell ref="B25:B26"/>
    <mergeCell ref="C25:C26"/>
    <mergeCell ref="D25:D26"/>
    <mergeCell ref="E25:E26"/>
    <mergeCell ref="F25:F26"/>
    <mergeCell ref="G25:G26"/>
    <mergeCell ref="B23:B24"/>
    <mergeCell ref="C23:C24"/>
    <mergeCell ref="D23:D24"/>
    <mergeCell ref="E23:E24"/>
    <mergeCell ref="F23:F24"/>
    <mergeCell ref="G19:G20"/>
    <mergeCell ref="B21:B22"/>
    <mergeCell ref="C21:C22"/>
    <mergeCell ref="D21:D22"/>
    <mergeCell ref="E21:E22"/>
    <mergeCell ref="F21:F22"/>
    <mergeCell ref="G21:G22"/>
    <mergeCell ref="B19:B20"/>
    <mergeCell ref="C19:C20"/>
    <mergeCell ref="D19:D20"/>
    <mergeCell ref="E19:E20"/>
    <mergeCell ref="F19:F20"/>
    <mergeCell ref="G15:G16"/>
    <mergeCell ref="B17:B18"/>
    <mergeCell ref="C17:C18"/>
    <mergeCell ref="D17:D18"/>
    <mergeCell ref="E17:E18"/>
    <mergeCell ref="F17:F18"/>
    <mergeCell ref="G17:G18"/>
    <mergeCell ref="B15:B16"/>
    <mergeCell ref="C15:C16"/>
    <mergeCell ref="D15:D16"/>
    <mergeCell ref="E15:E16"/>
    <mergeCell ref="F15:F16"/>
    <mergeCell ref="G11:G12"/>
    <mergeCell ref="B13:B14"/>
    <mergeCell ref="C13:C14"/>
    <mergeCell ref="D13:D14"/>
    <mergeCell ref="E13:E14"/>
    <mergeCell ref="F13:F14"/>
    <mergeCell ref="G13:G14"/>
    <mergeCell ref="B11:B12"/>
    <mergeCell ref="C11:C12"/>
    <mergeCell ref="D11:D12"/>
    <mergeCell ref="E11:E12"/>
    <mergeCell ref="F11:F12"/>
    <mergeCell ref="G7:G8"/>
    <mergeCell ref="B9:B10"/>
    <mergeCell ref="C9:C10"/>
    <mergeCell ref="D9:D10"/>
    <mergeCell ref="E9:E10"/>
    <mergeCell ref="F9:F10"/>
    <mergeCell ref="G9:G10"/>
    <mergeCell ref="B7:B8"/>
    <mergeCell ref="C7:C8"/>
    <mergeCell ref="D7:D8"/>
    <mergeCell ref="E7:E8"/>
    <mergeCell ref="F7:F8"/>
    <mergeCell ref="G3:G4"/>
    <mergeCell ref="B5:B6"/>
    <mergeCell ref="C5:C6"/>
    <mergeCell ref="D5:D6"/>
    <mergeCell ref="E5:E6"/>
    <mergeCell ref="F5:F6"/>
    <mergeCell ref="G5:G6"/>
    <mergeCell ref="C1:F1"/>
    <mergeCell ref="B3:B4"/>
    <mergeCell ref="C3:C4"/>
    <mergeCell ref="D3:D4"/>
    <mergeCell ref="E3:E4"/>
    <mergeCell ref="F3:F4"/>
  </mergeCells>
  <phoneticPr fontId="4"/>
  <pageMargins left="0.70866141732283472" right="0.43307086614173229" top="0.62992125984251968" bottom="0.47244094488188981" header="0.31496062992125984" footer="0.31496062992125984"/>
  <pageSetup paperSize="9" scale="96" fitToHeight="0" orientation="landscape" useFirstPageNumber="1" r:id="rId1"/>
  <headerFooter>
    <oddFooter>&amp;C&amp;"ＭＳ 明朝,標準"&amp;Pページ</oddFooter>
  </headerFooter>
  <rowBreaks count="1" manualBreakCount="1">
    <brk id="31" max="16383" man="1"/>
  </rowBreak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3">
    <pageSetUpPr fitToPage="1"/>
  </sheetPr>
  <dimension ref="A1:AF16"/>
  <sheetViews>
    <sheetView zoomScaleNormal="100" workbookViewId="0">
      <pane xSplit="4" ySplit="4" topLeftCell="E5" activePane="bottomRight" state="frozen"/>
      <selection pane="topRight"/>
      <selection pane="bottomLeft"/>
      <selection pane="bottomRight"/>
    </sheetView>
  </sheetViews>
  <sheetFormatPr defaultColWidth="8.25" defaultRowHeight="13.5"/>
  <cols>
    <col min="1" max="1" width="3.625" style="216" customWidth="1"/>
    <col min="2" max="2" width="11.625" style="216" customWidth="1"/>
    <col min="3" max="3" width="6.375" style="305" customWidth="1"/>
    <col min="4" max="4" width="32.625" style="216" customWidth="1"/>
    <col min="5" max="5" width="22.375" style="216" customWidth="1"/>
    <col min="6" max="6" width="4.875" style="189" customWidth="1"/>
    <col min="7" max="7" width="7.875" style="216" customWidth="1"/>
    <col min="8" max="8" width="10.375" style="216" customWidth="1"/>
    <col min="9" max="9" width="11.375" style="216" customWidth="1"/>
    <col min="10" max="10" width="6.5" style="216" customWidth="1"/>
    <col min="11" max="11" width="1.625" style="189" customWidth="1"/>
    <col min="12" max="14" width="6.5" style="216" customWidth="1"/>
    <col min="15" max="15" width="7.875" style="216" hidden="1" customWidth="1"/>
    <col min="16" max="16" width="10.375" style="216" hidden="1" customWidth="1"/>
    <col min="17" max="17" width="11.375" style="216" hidden="1" customWidth="1"/>
    <col min="18" max="18" width="6.5" style="216" hidden="1" customWidth="1"/>
    <col min="19" max="19" width="1.625" style="189" hidden="1" customWidth="1"/>
    <col min="20" max="22" width="6.5" style="216" hidden="1" customWidth="1"/>
    <col min="23" max="23" width="7.875" style="216" hidden="1" customWidth="1"/>
    <col min="24" max="24" width="10.375" style="216" hidden="1" customWidth="1"/>
    <col min="25" max="25" width="11.375" style="216" hidden="1" customWidth="1"/>
    <col min="26" max="26" width="6.5" style="216" hidden="1" customWidth="1"/>
    <col min="27" max="27" width="1.625" style="189" hidden="1" customWidth="1"/>
    <col min="28" max="30" width="6.5" style="216" hidden="1" customWidth="1"/>
    <col min="31" max="31" width="5.25" style="216" customWidth="1"/>
    <col min="32" max="32" width="28.75" style="314" customWidth="1"/>
    <col min="33" max="33" width="1.875" style="216" customWidth="1"/>
    <col min="34" max="16384" width="8.25" style="216"/>
  </cols>
  <sheetData>
    <row r="1" spans="1:32" ht="22.5" customHeight="1" thickBot="1">
      <c r="A1" s="303"/>
      <c r="B1" s="304"/>
      <c r="D1" s="350" t="str">
        <f>IF(実行予算書鑑!I10="","",実行予算書鑑!I10)</f>
        <v>23-263☆（仮称）みんなのスタジアム2.0新設工事</v>
      </c>
      <c r="G1" s="306"/>
      <c r="H1" s="190" t="s">
        <v>131</v>
      </c>
      <c r="I1" s="333">
        <v>147600000</v>
      </c>
      <c r="J1" s="339">
        <f>I4/I$1</f>
        <v>0.7967479674796748</v>
      </c>
      <c r="K1" s="193"/>
      <c r="L1" s="194">
        <v>3</v>
      </c>
      <c r="M1" s="195"/>
      <c r="N1" s="195"/>
      <c r="O1" s="306"/>
      <c r="P1" s="190" t="s">
        <v>57</v>
      </c>
      <c r="Q1" s="191"/>
      <c r="R1" s="196" t="e">
        <f>Q4/Q$1</f>
        <v>#DIV/0!</v>
      </c>
      <c r="S1" s="193"/>
      <c r="T1" s="194">
        <v>3</v>
      </c>
      <c r="U1" s="195"/>
      <c r="V1" s="195"/>
      <c r="X1" s="190" t="s">
        <v>57</v>
      </c>
      <c r="Y1" s="191"/>
      <c r="Z1" s="192" t="e">
        <f>Y4/Y$1</f>
        <v>#DIV/0!</v>
      </c>
      <c r="AA1" s="193"/>
      <c r="AB1" s="194">
        <v>3</v>
      </c>
      <c r="AC1" s="195"/>
      <c r="AD1" s="195"/>
      <c r="AE1" s="304"/>
      <c r="AF1" s="197"/>
    </row>
    <row r="2" spans="1:32" s="201" customFormat="1" ht="22.5" customHeight="1">
      <c r="A2" s="198" t="s">
        <v>97</v>
      </c>
      <c r="B2" s="198" t="s">
        <v>143</v>
      </c>
      <c r="C2" s="200" t="s">
        <v>99</v>
      </c>
      <c r="D2" s="200" t="s">
        <v>100</v>
      </c>
      <c r="E2" s="200" t="s">
        <v>84</v>
      </c>
      <c r="F2" s="200" t="s">
        <v>77</v>
      </c>
      <c r="G2" s="536" t="s">
        <v>466</v>
      </c>
      <c r="H2" s="537"/>
      <c r="I2" s="537"/>
      <c r="J2" s="537"/>
      <c r="K2" s="537"/>
      <c r="L2" s="537"/>
      <c r="M2" s="537"/>
      <c r="N2" s="538"/>
      <c r="O2" s="536" t="s">
        <v>101</v>
      </c>
      <c r="P2" s="537"/>
      <c r="Q2" s="537"/>
      <c r="R2" s="537"/>
      <c r="S2" s="537"/>
      <c r="T2" s="537"/>
      <c r="U2" s="537"/>
      <c r="V2" s="538"/>
      <c r="W2" s="536" t="s">
        <v>102</v>
      </c>
      <c r="X2" s="537"/>
      <c r="Y2" s="537"/>
      <c r="Z2" s="537"/>
      <c r="AA2" s="537"/>
      <c r="AB2" s="537"/>
      <c r="AC2" s="537"/>
      <c r="AD2" s="538"/>
      <c r="AE2" s="199" t="s">
        <v>98</v>
      </c>
      <c r="AF2" s="539" t="s">
        <v>95</v>
      </c>
    </row>
    <row r="3" spans="1:32" s="189" customFormat="1" ht="16.5" customHeight="1">
      <c r="A3" s="202"/>
      <c r="B3" s="202"/>
      <c r="C3" s="203"/>
      <c r="D3" s="203"/>
      <c r="E3" s="203"/>
      <c r="F3" s="203"/>
      <c r="G3" s="204" t="s">
        <v>91</v>
      </c>
      <c r="H3" s="205" t="s">
        <v>92</v>
      </c>
      <c r="I3" s="205" t="s">
        <v>73</v>
      </c>
      <c r="J3" s="206" t="s">
        <v>103</v>
      </c>
      <c r="K3" s="207"/>
      <c r="L3" s="208" t="s">
        <v>104</v>
      </c>
      <c r="M3" s="208" t="s">
        <v>105</v>
      </c>
      <c r="N3" s="209" t="s">
        <v>93</v>
      </c>
      <c r="O3" s="204" t="s">
        <v>91</v>
      </c>
      <c r="P3" s="205" t="s">
        <v>92</v>
      </c>
      <c r="Q3" s="205" t="s">
        <v>73</v>
      </c>
      <c r="R3" s="206" t="s">
        <v>103</v>
      </c>
      <c r="S3" s="210"/>
      <c r="T3" s="208" t="s">
        <v>104</v>
      </c>
      <c r="U3" s="208" t="s">
        <v>105</v>
      </c>
      <c r="V3" s="209" t="s">
        <v>93</v>
      </c>
      <c r="W3" s="204" t="s">
        <v>91</v>
      </c>
      <c r="X3" s="205" t="s">
        <v>92</v>
      </c>
      <c r="Y3" s="205" t="s">
        <v>73</v>
      </c>
      <c r="Z3" s="206" t="s">
        <v>103</v>
      </c>
      <c r="AA3" s="207"/>
      <c r="AB3" s="208" t="s">
        <v>104</v>
      </c>
      <c r="AC3" s="208" t="s">
        <v>105</v>
      </c>
      <c r="AD3" s="209" t="s">
        <v>93</v>
      </c>
      <c r="AE3" s="202"/>
      <c r="AF3" s="540"/>
    </row>
    <row r="4" spans="1:32">
      <c r="A4" s="307">
        <v>0</v>
      </c>
      <c r="B4" s="342"/>
      <c r="C4" s="342" t="s">
        <v>241</v>
      </c>
      <c r="D4" s="340" t="s">
        <v>148</v>
      </c>
      <c r="E4" s="342"/>
      <c r="F4" s="345" t="s">
        <v>183</v>
      </c>
      <c r="G4" s="308">
        <v>1</v>
      </c>
      <c r="H4" s="309">
        <v>117600000</v>
      </c>
      <c r="I4" s="309">
        <v>117600000</v>
      </c>
      <c r="J4" s="211">
        <v>1</v>
      </c>
      <c r="K4" s="212" t="str">
        <f>IF(OR(J4="",G4=J4),"","*")</f>
        <v/>
      </c>
      <c r="L4" s="338">
        <f>IF($A4&lt;=L$1,I4/I$4,"")</f>
        <v>1</v>
      </c>
      <c r="M4" s="343"/>
      <c r="N4" s="344"/>
      <c r="O4" s="346" t="s">
        <v>476</v>
      </c>
      <c r="P4" s="347" t="s">
        <v>476</v>
      </c>
      <c r="Q4" s="347" t="s">
        <v>476</v>
      </c>
      <c r="R4" s="348" t="s">
        <v>476</v>
      </c>
      <c r="S4" s="349"/>
      <c r="T4" s="343" t="s">
        <v>477</v>
      </c>
      <c r="U4" s="343"/>
      <c r="V4" s="344"/>
      <c r="W4" s="346" t="s">
        <v>476</v>
      </c>
      <c r="X4" s="347" t="s">
        <v>476</v>
      </c>
      <c r="Y4" s="347" t="s">
        <v>476</v>
      </c>
      <c r="Z4" s="348" t="s">
        <v>476</v>
      </c>
      <c r="AA4" s="349"/>
      <c r="AB4" s="343" t="s">
        <v>477</v>
      </c>
      <c r="AC4" s="343"/>
      <c r="AD4" s="344"/>
      <c r="AE4" s="342"/>
      <c r="AF4" s="341" t="s">
        <v>117</v>
      </c>
    </row>
    <row r="5" spans="1:32">
      <c r="A5" s="307">
        <v>1</v>
      </c>
      <c r="B5" s="342"/>
      <c r="C5" s="342" t="s">
        <v>242</v>
      </c>
      <c r="D5" s="340" t="s">
        <v>560</v>
      </c>
      <c r="E5" s="342"/>
      <c r="F5" s="345" t="s">
        <v>183</v>
      </c>
      <c r="G5" s="308">
        <v>1</v>
      </c>
      <c r="H5" s="309">
        <v>7606290</v>
      </c>
      <c r="I5" s="309">
        <v>7606290</v>
      </c>
      <c r="J5" s="211"/>
      <c r="K5" s="212" t="str">
        <f>IF(OR(J5="",G5=J5),"","*")</f>
        <v/>
      </c>
      <c r="L5" s="338">
        <f>IF($A5&lt;=L$1,I5/I$4,"")</f>
        <v>6.4679336734693879E-2</v>
      </c>
      <c r="M5" s="343"/>
      <c r="N5" s="344"/>
      <c r="O5" s="346" t="s">
        <v>476</v>
      </c>
      <c r="P5" s="347" t="s">
        <v>476</v>
      </c>
      <c r="Q5" s="347" t="s">
        <v>476</v>
      </c>
      <c r="R5" s="348" t="s">
        <v>476</v>
      </c>
      <c r="S5" s="349"/>
      <c r="T5" s="343" t="s">
        <v>477</v>
      </c>
      <c r="U5" s="343"/>
      <c r="V5" s="344"/>
      <c r="W5" s="346" t="s">
        <v>476</v>
      </c>
      <c r="X5" s="347" t="s">
        <v>476</v>
      </c>
      <c r="Y5" s="347" t="s">
        <v>476</v>
      </c>
      <c r="Z5" s="348" t="s">
        <v>476</v>
      </c>
      <c r="AA5" s="349"/>
      <c r="AB5" s="343" t="s">
        <v>477</v>
      </c>
      <c r="AC5" s="343"/>
      <c r="AD5" s="344"/>
      <c r="AE5" s="342"/>
      <c r="AF5" s="341" t="s">
        <v>117</v>
      </c>
    </row>
    <row r="6" spans="1:32">
      <c r="A6" s="307">
        <v>2</v>
      </c>
      <c r="B6" s="342"/>
      <c r="C6" s="342" t="s">
        <v>244</v>
      </c>
      <c r="D6" s="340" t="s">
        <v>561</v>
      </c>
      <c r="E6" s="342"/>
      <c r="F6" s="345" t="s">
        <v>183</v>
      </c>
      <c r="G6" s="308">
        <v>1</v>
      </c>
      <c r="H6" s="309">
        <v>7170000</v>
      </c>
      <c r="I6" s="309">
        <v>7170000</v>
      </c>
      <c r="J6" s="211">
        <v>1</v>
      </c>
      <c r="K6" s="212" t="str">
        <f>IF(OR(J6="",G6=J6),"","*")</f>
        <v/>
      </c>
      <c r="L6" s="338">
        <f>IF($A6&lt;=L$1,I6/I$4,"")</f>
        <v>6.0969387755102043E-2</v>
      </c>
      <c r="M6" s="343"/>
      <c r="N6" s="344" t="s">
        <v>562</v>
      </c>
      <c r="O6" s="346" t="s">
        <v>476</v>
      </c>
      <c r="P6" s="347" t="s">
        <v>476</v>
      </c>
      <c r="Q6" s="347" t="s">
        <v>476</v>
      </c>
      <c r="R6" s="348" t="s">
        <v>476</v>
      </c>
      <c r="S6" s="349"/>
      <c r="T6" s="343" t="s">
        <v>477</v>
      </c>
      <c r="U6" s="343"/>
      <c r="V6" s="344"/>
      <c r="W6" s="346" t="s">
        <v>476</v>
      </c>
      <c r="X6" s="347" t="s">
        <v>476</v>
      </c>
      <c r="Y6" s="347" t="s">
        <v>476</v>
      </c>
      <c r="Z6" s="348" t="s">
        <v>476</v>
      </c>
      <c r="AA6" s="349"/>
      <c r="AB6" s="343" t="s">
        <v>477</v>
      </c>
      <c r="AC6" s="343"/>
      <c r="AD6" s="344"/>
      <c r="AE6" s="342"/>
      <c r="AF6" s="341" t="s">
        <v>117</v>
      </c>
    </row>
    <row r="7" spans="1:32">
      <c r="A7" s="307">
        <v>3</v>
      </c>
      <c r="B7" s="342"/>
      <c r="C7" s="342" t="s">
        <v>193</v>
      </c>
      <c r="D7" s="340" t="s">
        <v>563</v>
      </c>
      <c r="E7" s="342"/>
      <c r="F7" s="345" t="s">
        <v>564</v>
      </c>
      <c r="G7" s="308">
        <v>6</v>
      </c>
      <c r="H7" s="309">
        <v>740000</v>
      </c>
      <c r="I7" s="309">
        <v>4440000</v>
      </c>
      <c r="J7" s="211"/>
      <c r="K7" s="212" t="str">
        <f>IF(OR(J7="",G7=J7),"","*")</f>
        <v/>
      </c>
      <c r="L7" s="338">
        <f>IF($A7&lt;=L$1,I7/I$4,"")</f>
        <v>3.7755102040816328E-2</v>
      </c>
      <c r="M7" s="343"/>
      <c r="N7" s="344"/>
      <c r="O7" s="346" t="s">
        <v>476</v>
      </c>
      <c r="P7" s="347" t="s">
        <v>476</v>
      </c>
      <c r="Q7" s="347" t="s">
        <v>476</v>
      </c>
      <c r="R7" s="348" t="s">
        <v>476</v>
      </c>
      <c r="S7" s="349"/>
      <c r="T7" s="343" t="s">
        <v>477</v>
      </c>
      <c r="U7" s="343"/>
      <c r="V7" s="344"/>
      <c r="W7" s="346" t="s">
        <v>476</v>
      </c>
      <c r="X7" s="347" t="s">
        <v>476</v>
      </c>
      <c r="Y7" s="347" t="s">
        <v>476</v>
      </c>
      <c r="Z7" s="348" t="s">
        <v>476</v>
      </c>
      <c r="AA7" s="349"/>
      <c r="AB7" s="343" t="s">
        <v>477</v>
      </c>
      <c r="AC7" s="343"/>
      <c r="AD7" s="344"/>
      <c r="AE7" s="342" t="s">
        <v>565</v>
      </c>
      <c r="AF7" s="341" t="s">
        <v>117</v>
      </c>
    </row>
    <row r="8" spans="1:32">
      <c r="A8" s="307">
        <v>3</v>
      </c>
      <c r="B8" s="342"/>
      <c r="C8" s="342" t="s">
        <v>193</v>
      </c>
      <c r="D8" s="340" t="s">
        <v>566</v>
      </c>
      <c r="E8" s="342"/>
      <c r="F8" s="345" t="s">
        <v>564</v>
      </c>
      <c r="G8" s="308">
        <v>1</v>
      </c>
      <c r="H8" s="309">
        <v>650000</v>
      </c>
      <c r="I8" s="309">
        <v>650000</v>
      </c>
      <c r="J8" s="211"/>
      <c r="K8" s="212" t="str">
        <f>IF(OR(J8="",G8=J8),"","*")</f>
        <v/>
      </c>
      <c r="L8" s="338">
        <f>IF($A8&lt;=L$1,I8/I$4,"")</f>
        <v>5.5272108843537416E-3</v>
      </c>
      <c r="M8" s="343"/>
      <c r="N8" s="344"/>
      <c r="O8" s="346" t="s">
        <v>476</v>
      </c>
      <c r="P8" s="347" t="s">
        <v>476</v>
      </c>
      <c r="Q8" s="347" t="s">
        <v>476</v>
      </c>
      <c r="R8" s="348" t="s">
        <v>476</v>
      </c>
      <c r="S8" s="349"/>
      <c r="T8" s="343" t="s">
        <v>477</v>
      </c>
      <c r="U8" s="343"/>
      <c r="V8" s="344"/>
      <c r="W8" s="346" t="s">
        <v>476</v>
      </c>
      <c r="X8" s="347" t="s">
        <v>476</v>
      </c>
      <c r="Y8" s="347" t="s">
        <v>476</v>
      </c>
      <c r="Z8" s="348" t="s">
        <v>476</v>
      </c>
      <c r="AA8" s="349"/>
      <c r="AB8" s="343" t="s">
        <v>477</v>
      </c>
      <c r="AC8" s="343"/>
      <c r="AD8" s="344"/>
      <c r="AE8" s="342" t="s">
        <v>567</v>
      </c>
      <c r="AF8" s="341" t="s">
        <v>117</v>
      </c>
    </row>
    <row r="9" spans="1:32">
      <c r="A9" s="307">
        <v>3</v>
      </c>
      <c r="B9" s="342"/>
      <c r="C9" s="342" t="s">
        <v>193</v>
      </c>
      <c r="D9" s="340" t="s">
        <v>568</v>
      </c>
      <c r="E9" s="342"/>
      <c r="F9" s="345" t="s">
        <v>564</v>
      </c>
      <c r="G9" s="308">
        <v>4</v>
      </c>
      <c r="H9" s="309">
        <v>520000</v>
      </c>
      <c r="I9" s="309">
        <v>2080000</v>
      </c>
      <c r="J9" s="211"/>
      <c r="K9" s="212" t="str">
        <f>IF(OR(J9="",G9=J9),"","*")</f>
        <v/>
      </c>
      <c r="L9" s="338">
        <f>IF($A9&lt;=L$1,I9/I$4,"")</f>
        <v>1.7687074829931974E-2</v>
      </c>
      <c r="M9" s="343"/>
      <c r="N9" s="344"/>
      <c r="O9" s="346" t="s">
        <v>476</v>
      </c>
      <c r="P9" s="347" t="s">
        <v>476</v>
      </c>
      <c r="Q9" s="347" t="s">
        <v>476</v>
      </c>
      <c r="R9" s="348" t="s">
        <v>476</v>
      </c>
      <c r="S9" s="349"/>
      <c r="T9" s="343" t="s">
        <v>477</v>
      </c>
      <c r="U9" s="343"/>
      <c r="V9" s="344"/>
      <c r="W9" s="346" t="s">
        <v>476</v>
      </c>
      <c r="X9" s="347" t="s">
        <v>476</v>
      </c>
      <c r="Y9" s="347" t="s">
        <v>476</v>
      </c>
      <c r="Z9" s="348" t="s">
        <v>476</v>
      </c>
      <c r="AA9" s="349"/>
      <c r="AB9" s="343" t="s">
        <v>477</v>
      </c>
      <c r="AC9" s="343"/>
      <c r="AD9" s="344"/>
      <c r="AE9" s="342" t="s">
        <v>569</v>
      </c>
      <c r="AF9" s="341" t="s">
        <v>117</v>
      </c>
    </row>
    <row r="10" spans="1:32">
      <c r="A10" s="307">
        <v>2</v>
      </c>
      <c r="B10" s="342"/>
      <c r="C10" s="342" t="s">
        <v>244</v>
      </c>
      <c r="D10" s="340" t="s">
        <v>570</v>
      </c>
      <c r="E10" s="342" t="s">
        <v>554</v>
      </c>
      <c r="F10" s="345" t="s">
        <v>183</v>
      </c>
      <c r="G10" s="308">
        <v>1</v>
      </c>
      <c r="H10" s="309">
        <v>42000</v>
      </c>
      <c r="I10" s="309">
        <v>42000</v>
      </c>
      <c r="J10" s="211">
        <v>1</v>
      </c>
      <c r="K10" s="212" t="str">
        <f>IF(OR(J10="",G10=J10),"","*")</f>
        <v/>
      </c>
      <c r="L10" s="338">
        <f>IF($A10&lt;=L$1,I10/I$4,"")</f>
        <v>3.5714285714285714E-4</v>
      </c>
      <c r="M10" s="343"/>
      <c r="N10" s="344" t="s">
        <v>571</v>
      </c>
      <c r="O10" s="346" t="s">
        <v>476</v>
      </c>
      <c r="P10" s="347" t="s">
        <v>476</v>
      </c>
      <c r="Q10" s="347" t="s">
        <v>476</v>
      </c>
      <c r="R10" s="348" t="s">
        <v>476</v>
      </c>
      <c r="S10" s="349"/>
      <c r="T10" s="343" t="s">
        <v>477</v>
      </c>
      <c r="U10" s="343"/>
      <c r="V10" s="344"/>
      <c r="W10" s="346" t="s">
        <v>476</v>
      </c>
      <c r="X10" s="347" t="s">
        <v>476</v>
      </c>
      <c r="Y10" s="347" t="s">
        <v>476</v>
      </c>
      <c r="Z10" s="348" t="s">
        <v>476</v>
      </c>
      <c r="AA10" s="349"/>
      <c r="AB10" s="343" t="s">
        <v>477</v>
      </c>
      <c r="AC10" s="343"/>
      <c r="AD10" s="344"/>
      <c r="AE10" s="342"/>
      <c r="AF10" s="341" t="s">
        <v>117</v>
      </c>
    </row>
    <row r="11" spans="1:32">
      <c r="A11" s="307">
        <v>3</v>
      </c>
      <c r="B11" s="342"/>
      <c r="C11" s="342" t="s">
        <v>187</v>
      </c>
      <c r="D11" s="340" t="s">
        <v>572</v>
      </c>
      <c r="E11" s="342"/>
      <c r="F11" s="345" t="s">
        <v>502</v>
      </c>
      <c r="G11" s="308">
        <v>6</v>
      </c>
      <c r="H11" s="309">
        <v>7000</v>
      </c>
      <c r="I11" s="309">
        <v>42000</v>
      </c>
      <c r="J11" s="211"/>
      <c r="K11" s="212" t="str">
        <f>IF(OR(J11="",G11=J11),"","*")</f>
        <v/>
      </c>
      <c r="L11" s="338">
        <f>IF($A11&lt;=L$1,I11/I$4,"")</f>
        <v>3.5714285714285714E-4</v>
      </c>
      <c r="M11" s="343"/>
      <c r="N11" s="344"/>
      <c r="O11" s="346" t="s">
        <v>476</v>
      </c>
      <c r="P11" s="347" t="s">
        <v>476</v>
      </c>
      <c r="Q11" s="347" t="s">
        <v>476</v>
      </c>
      <c r="R11" s="348" t="s">
        <v>476</v>
      </c>
      <c r="S11" s="349"/>
      <c r="T11" s="343" t="s">
        <v>477</v>
      </c>
      <c r="U11" s="343"/>
      <c r="V11" s="344"/>
      <c r="W11" s="346" t="s">
        <v>476</v>
      </c>
      <c r="X11" s="347" t="s">
        <v>476</v>
      </c>
      <c r="Y11" s="347" t="s">
        <v>476</v>
      </c>
      <c r="Z11" s="348" t="s">
        <v>476</v>
      </c>
      <c r="AA11" s="349"/>
      <c r="AB11" s="343" t="s">
        <v>477</v>
      </c>
      <c r="AC11" s="343"/>
      <c r="AD11" s="344"/>
      <c r="AE11" s="342"/>
      <c r="AF11" s="341" t="s">
        <v>117</v>
      </c>
    </row>
    <row r="12" spans="1:32">
      <c r="A12" s="307">
        <v>2</v>
      </c>
      <c r="B12" s="342"/>
      <c r="C12" s="342" t="s">
        <v>244</v>
      </c>
      <c r="D12" s="340" t="s">
        <v>573</v>
      </c>
      <c r="E12" s="342" t="s">
        <v>556</v>
      </c>
      <c r="F12" s="345" t="s">
        <v>183</v>
      </c>
      <c r="G12" s="308">
        <v>1</v>
      </c>
      <c r="H12" s="309">
        <v>0</v>
      </c>
      <c r="I12" s="309">
        <v>0</v>
      </c>
      <c r="J12" s="211">
        <v>1</v>
      </c>
      <c r="K12" s="212" t="str">
        <f>IF(OR(J12="",G12=J12),"","*")</f>
        <v/>
      </c>
      <c r="L12" s="338">
        <f>IF($A12&lt;=L$1,I12/I$4,"")</f>
        <v>0</v>
      </c>
      <c r="M12" s="343"/>
      <c r="N12" s="344" t="s">
        <v>574</v>
      </c>
      <c r="O12" s="346" t="s">
        <v>476</v>
      </c>
      <c r="P12" s="347" t="s">
        <v>476</v>
      </c>
      <c r="Q12" s="347" t="s">
        <v>476</v>
      </c>
      <c r="R12" s="348" t="s">
        <v>476</v>
      </c>
      <c r="S12" s="349"/>
      <c r="T12" s="343" t="s">
        <v>477</v>
      </c>
      <c r="U12" s="343"/>
      <c r="V12" s="344"/>
      <c r="W12" s="346" t="s">
        <v>476</v>
      </c>
      <c r="X12" s="347" t="s">
        <v>476</v>
      </c>
      <c r="Y12" s="347" t="s">
        <v>476</v>
      </c>
      <c r="Z12" s="348" t="s">
        <v>476</v>
      </c>
      <c r="AA12" s="349"/>
      <c r="AB12" s="343" t="s">
        <v>477</v>
      </c>
      <c r="AC12" s="343"/>
      <c r="AD12" s="344"/>
      <c r="AE12" s="342"/>
      <c r="AF12" s="341" t="s">
        <v>117</v>
      </c>
    </row>
    <row r="13" spans="1:32">
      <c r="A13" s="307">
        <v>2</v>
      </c>
      <c r="B13" s="342"/>
      <c r="C13" s="342" t="s">
        <v>244</v>
      </c>
      <c r="D13" s="340" t="s">
        <v>575</v>
      </c>
      <c r="E13" s="342" t="s">
        <v>558</v>
      </c>
      <c r="F13" s="345" t="s">
        <v>183</v>
      </c>
      <c r="G13" s="308">
        <v>1</v>
      </c>
      <c r="H13" s="309">
        <v>394290</v>
      </c>
      <c r="I13" s="309">
        <v>394290</v>
      </c>
      <c r="J13" s="211">
        <v>1</v>
      </c>
      <c r="K13" s="212" t="str">
        <f>IF(OR(J13="",G13=J13),"","*")</f>
        <v/>
      </c>
      <c r="L13" s="338">
        <f>IF($A13&lt;=L$1,I13/I$4,"")</f>
        <v>3.3528061224489796E-3</v>
      </c>
      <c r="M13" s="343"/>
      <c r="N13" s="344" t="s">
        <v>576</v>
      </c>
      <c r="O13" s="346" t="s">
        <v>476</v>
      </c>
      <c r="P13" s="347" t="s">
        <v>476</v>
      </c>
      <c r="Q13" s="347" t="s">
        <v>476</v>
      </c>
      <c r="R13" s="348" t="s">
        <v>476</v>
      </c>
      <c r="S13" s="349"/>
      <c r="T13" s="343" t="s">
        <v>477</v>
      </c>
      <c r="U13" s="343"/>
      <c r="V13" s="344"/>
      <c r="W13" s="346" t="s">
        <v>476</v>
      </c>
      <c r="X13" s="347" t="s">
        <v>476</v>
      </c>
      <c r="Y13" s="347" t="s">
        <v>476</v>
      </c>
      <c r="Z13" s="348" t="s">
        <v>476</v>
      </c>
      <c r="AA13" s="349"/>
      <c r="AB13" s="343" t="s">
        <v>477</v>
      </c>
      <c r="AC13" s="343"/>
      <c r="AD13" s="344"/>
      <c r="AE13" s="342"/>
      <c r="AF13" s="341" t="s">
        <v>117</v>
      </c>
    </row>
    <row r="14" spans="1:32">
      <c r="A14" s="307">
        <v>3</v>
      </c>
      <c r="B14" s="342"/>
      <c r="C14" s="342" t="s">
        <v>187</v>
      </c>
      <c r="D14" s="340" t="s">
        <v>462</v>
      </c>
      <c r="E14" s="342" t="s">
        <v>577</v>
      </c>
      <c r="F14" s="345" t="s">
        <v>183</v>
      </c>
      <c r="G14" s="308">
        <v>1</v>
      </c>
      <c r="H14" s="309">
        <v>144290</v>
      </c>
      <c r="I14" s="309">
        <v>144290</v>
      </c>
      <c r="J14" s="211"/>
      <c r="K14" s="212" t="str">
        <f>IF(OR(J14="",G14=J14),"","*")</f>
        <v/>
      </c>
      <c r="L14" s="338">
        <f>IF($A14&lt;=L$1,I14/I$4,"")</f>
        <v>1.2269557823129252E-3</v>
      </c>
      <c r="M14" s="343"/>
      <c r="N14" s="344"/>
      <c r="O14" s="346" t="s">
        <v>476</v>
      </c>
      <c r="P14" s="347" t="s">
        <v>476</v>
      </c>
      <c r="Q14" s="347" t="s">
        <v>476</v>
      </c>
      <c r="R14" s="348" t="s">
        <v>476</v>
      </c>
      <c r="S14" s="349"/>
      <c r="T14" s="343" t="s">
        <v>477</v>
      </c>
      <c r="U14" s="343"/>
      <c r="V14" s="344"/>
      <c r="W14" s="346" t="s">
        <v>476</v>
      </c>
      <c r="X14" s="347" t="s">
        <v>476</v>
      </c>
      <c r="Y14" s="347" t="s">
        <v>476</v>
      </c>
      <c r="Z14" s="348" t="s">
        <v>476</v>
      </c>
      <c r="AA14" s="349"/>
      <c r="AB14" s="343" t="s">
        <v>477</v>
      </c>
      <c r="AC14" s="343"/>
      <c r="AD14" s="344"/>
      <c r="AE14" s="342" t="s">
        <v>276</v>
      </c>
      <c r="AF14" s="341" t="s">
        <v>117</v>
      </c>
    </row>
    <row r="15" spans="1:32">
      <c r="A15" s="307">
        <v>3</v>
      </c>
      <c r="B15" s="342"/>
      <c r="C15" s="342" t="s">
        <v>187</v>
      </c>
      <c r="D15" s="340" t="s">
        <v>578</v>
      </c>
      <c r="E15" s="342"/>
      <c r="F15" s="345" t="s">
        <v>183</v>
      </c>
      <c r="G15" s="308">
        <v>1</v>
      </c>
      <c r="H15" s="309">
        <v>250000</v>
      </c>
      <c r="I15" s="309">
        <v>250000</v>
      </c>
      <c r="J15" s="211"/>
      <c r="K15" s="212" t="str">
        <f>IF(OR(J15="",G15=J15),"","*")</f>
        <v/>
      </c>
      <c r="L15" s="338">
        <f>IF($A15&lt;=L$1,I15/I$4,"")</f>
        <v>2.1258503401360546E-3</v>
      </c>
      <c r="M15" s="343"/>
      <c r="N15" s="344"/>
      <c r="O15" s="346" t="s">
        <v>476</v>
      </c>
      <c r="P15" s="347" t="s">
        <v>476</v>
      </c>
      <c r="Q15" s="347" t="s">
        <v>476</v>
      </c>
      <c r="R15" s="348" t="s">
        <v>476</v>
      </c>
      <c r="S15" s="349"/>
      <c r="T15" s="343" t="s">
        <v>477</v>
      </c>
      <c r="U15" s="343"/>
      <c r="V15" s="344"/>
      <c r="W15" s="346" t="s">
        <v>476</v>
      </c>
      <c r="X15" s="347" t="s">
        <v>476</v>
      </c>
      <c r="Y15" s="347" t="s">
        <v>476</v>
      </c>
      <c r="Z15" s="348" t="s">
        <v>476</v>
      </c>
      <c r="AA15" s="349"/>
      <c r="AB15" s="343" t="s">
        <v>477</v>
      </c>
      <c r="AC15" s="343"/>
      <c r="AD15" s="344"/>
      <c r="AE15" s="342"/>
      <c r="AF15" s="341" t="s">
        <v>117</v>
      </c>
    </row>
    <row r="16" spans="1:32">
      <c r="A16" s="217"/>
      <c r="B16" s="217"/>
      <c r="C16" s="312"/>
      <c r="D16" s="217"/>
      <c r="E16" s="217"/>
      <c r="F16" s="218"/>
      <c r="G16" s="217"/>
      <c r="H16" s="217"/>
      <c r="I16" s="217"/>
      <c r="J16" s="217"/>
      <c r="K16" s="218"/>
      <c r="L16" s="217"/>
      <c r="M16" s="217"/>
      <c r="N16" s="217"/>
      <c r="O16" s="217"/>
      <c r="P16" s="217"/>
      <c r="Q16" s="217"/>
      <c r="R16" s="217"/>
      <c r="S16" s="218"/>
      <c r="T16" s="217"/>
      <c r="U16" s="217"/>
      <c r="V16" s="217"/>
      <c r="W16" s="217"/>
      <c r="X16" s="217"/>
      <c r="Y16" s="217"/>
      <c r="Z16" s="217"/>
      <c r="AA16" s="218"/>
      <c r="AB16" s="217"/>
      <c r="AC16" s="217"/>
      <c r="AD16" s="217"/>
      <c r="AE16" s="217"/>
      <c r="AF16" s="313"/>
    </row>
  </sheetData>
  <autoFilter ref="A3:AE3" xr:uid="{00000000-0009-0000-0000-00000B000000}"/>
  <mergeCells count="4">
    <mergeCell ref="G2:N2"/>
    <mergeCell ref="O2:V2"/>
    <mergeCell ref="W2:AD2"/>
    <mergeCell ref="AF2:AF3"/>
  </mergeCells>
  <phoneticPr fontId="4"/>
  <conditionalFormatting sqref="A4:AD15 AF4:AF15">
    <cfRule type="expression" dxfId="9" priority="16" stopIfTrue="1">
      <formula>$A4&lt;=1</formula>
    </cfRule>
    <cfRule type="expression" dxfId="8" priority="17" stopIfTrue="1">
      <formula>$A4=2</formula>
    </cfRule>
    <cfRule type="expression" dxfId="7" priority="18" stopIfTrue="1">
      <formula>$A4=3</formula>
    </cfRule>
    <cfRule type="expression" dxfId="6" priority="19" stopIfTrue="1">
      <formula>$A4=4</formula>
    </cfRule>
    <cfRule type="expression" dxfId="5" priority="20" stopIfTrue="1">
      <formula>$A4=5</formula>
    </cfRule>
  </conditionalFormatting>
  <conditionalFormatting sqref="AE4:AE15">
    <cfRule type="expression" dxfId="4" priority="6" stopIfTrue="1">
      <formula>$A4&lt;=1</formula>
    </cfRule>
    <cfRule type="expression" dxfId="3" priority="7" stopIfTrue="1">
      <formula>$A4=2</formula>
    </cfRule>
    <cfRule type="expression" dxfId="2" priority="8" stopIfTrue="1">
      <formula>$A4=3</formula>
    </cfRule>
    <cfRule type="expression" dxfId="1" priority="9" stopIfTrue="1">
      <formula>$A4=4</formula>
    </cfRule>
    <cfRule type="expression" dxfId="0" priority="10" stopIfTrue="1">
      <formula>$A4=5</formula>
    </cfRule>
  </conditionalFormatting>
  <pageMargins left="0.70866141732283472" right="0.43307086614173229" top="0.62992125984251968" bottom="0.47244094488188981" header="0.31496062992125984" footer="0.31496062992125984"/>
  <pageSetup paperSize="9" scale="71" fitToHeight="0" orientation="landscape" useFirstPageNumber="1" r:id="rId1"/>
  <headerFooter>
    <oddFooter>&amp;C&amp;"ＭＳ 明朝,標準"&amp;P ページ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2"/>
  <dimension ref="A1:K147"/>
  <sheetViews>
    <sheetView zoomScaleNormal="100" zoomScaleSheetLayoutView="85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88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579</v>
      </c>
      <c r="C3" s="146" t="s">
        <v>580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581</v>
      </c>
      <c r="K4" s="69"/>
    </row>
    <row r="5" spans="1:11" ht="18" customHeight="1">
      <c r="A5" s="69"/>
      <c r="B5" s="574" t="s">
        <v>582</v>
      </c>
      <c r="C5" s="575"/>
      <c r="D5" s="153" t="s">
        <v>85</v>
      </c>
      <c r="E5" s="153" t="s">
        <v>583</v>
      </c>
      <c r="F5" s="153" t="s">
        <v>584</v>
      </c>
      <c r="G5" s="153" t="s">
        <v>585</v>
      </c>
      <c r="H5" s="154" t="s">
        <v>586</v>
      </c>
      <c r="I5" s="153" t="s">
        <v>587</v>
      </c>
      <c r="J5" s="155" t="s">
        <v>588</v>
      </c>
      <c r="K5" s="69"/>
    </row>
    <row r="6" spans="1:11" ht="10.5" customHeight="1">
      <c r="A6" s="69"/>
      <c r="B6" s="156" t="s">
        <v>589</v>
      </c>
      <c r="C6" s="157"/>
      <c r="D6" s="576" t="s">
        <v>590</v>
      </c>
      <c r="E6" s="578">
        <v>135</v>
      </c>
      <c r="F6" s="580">
        <v>11900</v>
      </c>
      <c r="G6" s="582">
        <v>1606500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591</v>
      </c>
      <c r="C7" s="160"/>
      <c r="D7" s="577"/>
      <c r="E7" s="579"/>
      <c r="F7" s="581"/>
      <c r="G7" s="583"/>
      <c r="H7" s="356"/>
      <c r="I7" s="356" t="s">
        <v>592</v>
      </c>
      <c r="J7" s="161"/>
      <c r="K7" s="69" t="s">
        <v>96</v>
      </c>
    </row>
    <row r="8" spans="1:11" ht="10.5" customHeight="1">
      <c r="A8" s="69"/>
      <c r="B8" s="156" t="s">
        <v>593</v>
      </c>
      <c r="C8" s="157"/>
      <c r="D8" s="576" t="s">
        <v>590</v>
      </c>
      <c r="E8" s="578">
        <v>120</v>
      </c>
      <c r="F8" s="580">
        <v>5950</v>
      </c>
      <c r="G8" s="582">
        <v>714000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594</v>
      </c>
      <c r="C9" s="160"/>
      <c r="D9" s="577"/>
      <c r="E9" s="579"/>
      <c r="F9" s="581"/>
      <c r="G9" s="583"/>
      <c r="H9" s="356"/>
      <c r="I9" s="356" t="s">
        <v>592</v>
      </c>
      <c r="J9" s="162"/>
      <c r="K9" s="69" t="s">
        <v>96</v>
      </c>
    </row>
    <row r="10" spans="1:11" ht="10.5" customHeight="1">
      <c r="A10" s="69"/>
      <c r="B10" s="156" t="s">
        <v>595</v>
      </c>
      <c r="C10" s="157"/>
      <c r="D10" s="576" t="s">
        <v>596</v>
      </c>
      <c r="E10" s="578">
        <v>2419.3000000000002</v>
      </c>
      <c r="F10" s="580">
        <v>500</v>
      </c>
      <c r="G10" s="582">
        <v>1209650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597</v>
      </c>
      <c r="C11" s="160"/>
      <c r="D11" s="577"/>
      <c r="E11" s="579"/>
      <c r="F11" s="581"/>
      <c r="G11" s="583"/>
      <c r="H11" s="356"/>
      <c r="I11" s="356" t="s">
        <v>592</v>
      </c>
      <c r="J11" s="161"/>
      <c r="K11" s="69" t="s">
        <v>96</v>
      </c>
    </row>
    <row r="12" spans="1:11" ht="10.5" customHeight="1">
      <c r="A12" s="69"/>
      <c r="B12" s="156" t="s">
        <v>598</v>
      </c>
      <c r="C12" s="157"/>
      <c r="D12" s="576" t="s">
        <v>599</v>
      </c>
      <c r="E12" s="584">
        <v>29</v>
      </c>
      <c r="F12" s="580">
        <v>55000</v>
      </c>
      <c r="G12" s="582">
        <v>1595000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600</v>
      </c>
      <c r="C13" s="160"/>
      <c r="D13" s="577"/>
      <c r="E13" s="585"/>
      <c r="F13" s="581"/>
      <c r="G13" s="583"/>
      <c r="H13" s="356"/>
      <c r="I13" s="356" t="s">
        <v>592</v>
      </c>
      <c r="J13" s="161"/>
      <c r="K13" s="69" t="s">
        <v>96</v>
      </c>
    </row>
    <row r="14" spans="1:11" ht="10.5" customHeight="1">
      <c r="A14" s="69"/>
      <c r="B14" s="156" t="s">
        <v>601</v>
      </c>
      <c r="C14" s="157"/>
      <c r="D14" s="576" t="s">
        <v>602</v>
      </c>
      <c r="E14" s="584">
        <v>4</v>
      </c>
      <c r="F14" s="580">
        <v>42000</v>
      </c>
      <c r="G14" s="582">
        <v>168000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603</v>
      </c>
      <c r="C15" s="160"/>
      <c r="D15" s="577"/>
      <c r="E15" s="585"/>
      <c r="F15" s="581"/>
      <c r="G15" s="583"/>
      <c r="H15" s="356"/>
      <c r="I15" s="356" t="s">
        <v>592</v>
      </c>
      <c r="J15" s="161"/>
      <c r="K15" s="69" t="s">
        <v>96</v>
      </c>
    </row>
    <row r="16" spans="1:11" ht="10.5" customHeight="1">
      <c r="A16" s="69"/>
      <c r="B16" s="156" t="s">
        <v>604</v>
      </c>
      <c r="C16" s="157"/>
      <c r="D16" s="576" t="s">
        <v>605</v>
      </c>
      <c r="E16" s="584">
        <v>1</v>
      </c>
      <c r="F16" s="580">
        <v>100000</v>
      </c>
      <c r="G16" s="582">
        <v>100000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592</v>
      </c>
      <c r="J17" s="161"/>
      <c r="K17" s="69" t="s">
        <v>96</v>
      </c>
    </row>
    <row r="18" spans="1:11" ht="10.5" customHeight="1">
      <c r="A18" s="69"/>
      <c r="B18" s="156" t="s">
        <v>606</v>
      </c>
      <c r="C18" s="157"/>
      <c r="D18" s="576" t="s">
        <v>607</v>
      </c>
      <c r="E18" s="584">
        <v>6968</v>
      </c>
      <c r="F18" s="580">
        <v>154.5</v>
      </c>
      <c r="G18" s="582">
        <v>1076556</v>
      </c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 t="s">
        <v>592</v>
      </c>
      <c r="J19" s="161"/>
      <c r="K19" s="69" t="s">
        <v>96</v>
      </c>
    </row>
    <row r="20" spans="1:11" ht="10.5" customHeight="1">
      <c r="A20" s="69"/>
      <c r="B20" s="156" t="s">
        <v>608</v>
      </c>
      <c r="C20" s="157"/>
      <c r="D20" s="576" t="s">
        <v>605</v>
      </c>
      <c r="E20" s="584">
        <v>1</v>
      </c>
      <c r="F20" s="580">
        <v>250000</v>
      </c>
      <c r="G20" s="582">
        <v>250000</v>
      </c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 t="s">
        <v>592</v>
      </c>
      <c r="J21" s="161"/>
      <c r="K21" s="69" t="s">
        <v>96</v>
      </c>
    </row>
    <row r="22" spans="1:11" ht="10.5" customHeight="1">
      <c r="A22" s="69"/>
      <c r="B22" s="156" t="s">
        <v>609</v>
      </c>
      <c r="C22" s="157"/>
      <c r="D22" s="576" t="s">
        <v>610</v>
      </c>
      <c r="E22" s="584">
        <v>4</v>
      </c>
      <c r="F22" s="580">
        <v>5390</v>
      </c>
      <c r="G22" s="582">
        <v>21560</v>
      </c>
      <c r="H22" s="355"/>
      <c r="I22" s="355"/>
      <c r="J22" s="158"/>
      <c r="K22" s="69" t="s">
        <v>96</v>
      </c>
    </row>
    <row r="23" spans="1:11" ht="10.5" customHeight="1">
      <c r="A23" s="69"/>
      <c r="B23" s="159" t="s">
        <v>611</v>
      </c>
      <c r="C23" s="160"/>
      <c r="D23" s="577"/>
      <c r="E23" s="585"/>
      <c r="F23" s="581"/>
      <c r="G23" s="583"/>
      <c r="H23" s="356"/>
      <c r="I23" s="356" t="s">
        <v>592</v>
      </c>
      <c r="J23" s="161"/>
      <c r="K23" s="69" t="s">
        <v>96</v>
      </c>
    </row>
    <row r="24" spans="1:11" ht="10.5" customHeight="1">
      <c r="A24" s="69"/>
      <c r="B24" s="156" t="s">
        <v>612</v>
      </c>
      <c r="C24" s="157"/>
      <c r="D24" s="576" t="s">
        <v>613</v>
      </c>
      <c r="E24" s="578">
        <v>15</v>
      </c>
      <c r="F24" s="580">
        <v>8500</v>
      </c>
      <c r="G24" s="582">
        <v>127500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614</v>
      </c>
      <c r="C25" s="160"/>
      <c r="D25" s="577"/>
      <c r="E25" s="579"/>
      <c r="F25" s="581"/>
      <c r="G25" s="583"/>
      <c r="H25" s="356"/>
      <c r="I25" s="356" t="s">
        <v>592</v>
      </c>
      <c r="J25" s="161"/>
      <c r="K25" s="69" t="s">
        <v>96</v>
      </c>
    </row>
    <row r="26" spans="1:11" ht="10.5" customHeight="1">
      <c r="A26" s="69"/>
      <c r="B26" s="156" t="s">
        <v>615</v>
      </c>
      <c r="C26" s="157"/>
      <c r="D26" s="576" t="s">
        <v>605</v>
      </c>
      <c r="E26" s="584">
        <v>1</v>
      </c>
      <c r="F26" s="580">
        <v>15000</v>
      </c>
      <c r="G26" s="582">
        <v>15000</v>
      </c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 t="s">
        <v>592</v>
      </c>
      <c r="J27" s="161"/>
      <c r="K27" s="69" t="s">
        <v>96</v>
      </c>
    </row>
    <row r="28" spans="1:11" ht="10.5" customHeight="1">
      <c r="A28" s="69"/>
      <c r="B28" s="156" t="s">
        <v>616</v>
      </c>
      <c r="C28" s="157"/>
      <c r="D28" s="576" t="s">
        <v>610</v>
      </c>
      <c r="E28" s="584">
        <v>1</v>
      </c>
      <c r="F28" s="580">
        <v>5390</v>
      </c>
      <c r="G28" s="582">
        <v>5390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617</v>
      </c>
      <c r="C29" s="160"/>
      <c r="D29" s="577"/>
      <c r="E29" s="585"/>
      <c r="F29" s="581"/>
      <c r="G29" s="583"/>
      <c r="H29" s="356"/>
      <c r="I29" s="356" t="s">
        <v>592</v>
      </c>
      <c r="J29" s="161"/>
      <c r="K29" s="69" t="s">
        <v>96</v>
      </c>
    </row>
    <row r="30" spans="1:11" ht="10.5" customHeight="1">
      <c r="A30" s="69"/>
      <c r="B30" s="156" t="s">
        <v>618</v>
      </c>
      <c r="C30" s="157"/>
      <c r="D30" s="576" t="s">
        <v>610</v>
      </c>
      <c r="E30" s="584">
        <v>1</v>
      </c>
      <c r="F30" s="580">
        <v>2800</v>
      </c>
      <c r="G30" s="582">
        <v>2800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619</v>
      </c>
      <c r="C31" s="160"/>
      <c r="D31" s="577"/>
      <c r="E31" s="585"/>
      <c r="F31" s="581"/>
      <c r="G31" s="583"/>
      <c r="H31" s="356"/>
      <c r="I31" s="356" t="s">
        <v>592</v>
      </c>
      <c r="J31" s="161"/>
      <c r="K31" s="69" t="s">
        <v>96</v>
      </c>
    </row>
    <row r="32" spans="1:11" ht="10.5" customHeight="1">
      <c r="A32" s="69"/>
      <c r="B32" s="156" t="s">
        <v>620</v>
      </c>
      <c r="C32" s="157"/>
      <c r="D32" s="576" t="s">
        <v>610</v>
      </c>
      <c r="E32" s="584">
        <v>2</v>
      </c>
      <c r="F32" s="580">
        <v>2800</v>
      </c>
      <c r="G32" s="582">
        <v>5600</v>
      </c>
      <c r="H32" s="355"/>
      <c r="I32" s="355"/>
      <c r="J32" s="158"/>
      <c r="K32" s="69" t="s">
        <v>96</v>
      </c>
    </row>
    <row r="33" spans="1:11" ht="10.5" customHeight="1">
      <c r="A33" s="69"/>
      <c r="B33" s="159" t="s">
        <v>621</v>
      </c>
      <c r="C33" s="160"/>
      <c r="D33" s="577"/>
      <c r="E33" s="585"/>
      <c r="F33" s="581"/>
      <c r="G33" s="583"/>
      <c r="H33" s="356"/>
      <c r="I33" s="356" t="s">
        <v>592</v>
      </c>
      <c r="J33" s="161"/>
      <c r="K33" s="69" t="s">
        <v>96</v>
      </c>
    </row>
    <row r="34" spans="1:11" ht="10.5" customHeight="1">
      <c r="A34" s="69"/>
      <c r="B34" s="156" t="s">
        <v>622</v>
      </c>
      <c r="C34" s="157"/>
      <c r="D34" s="576" t="s">
        <v>610</v>
      </c>
      <c r="E34" s="584">
        <v>1</v>
      </c>
      <c r="F34" s="580">
        <v>2800</v>
      </c>
      <c r="G34" s="582">
        <v>2800</v>
      </c>
      <c r="H34" s="355"/>
      <c r="I34" s="355"/>
      <c r="J34" s="158"/>
      <c r="K34" s="69" t="s">
        <v>96</v>
      </c>
    </row>
    <row r="35" spans="1:11" ht="10.5" customHeight="1">
      <c r="A35" s="69"/>
      <c r="B35" s="159" t="s">
        <v>623</v>
      </c>
      <c r="C35" s="160"/>
      <c r="D35" s="577"/>
      <c r="E35" s="585"/>
      <c r="F35" s="581"/>
      <c r="G35" s="583"/>
      <c r="H35" s="356"/>
      <c r="I35" s="356" t="s">
        <v>592</v>
      </c>
      <c r="J35" s="161"/>
      <c r="K35" s="69" t="s">
        <v>96</v>
      </c>
    </row>
    <row r="36" spans="1:11" ht="10.5" customHeight="1">
      <c r="A36" s="69"/>
      <c r="B36" s="156" t="s">
        <v>624</v>
      </c>
      <c r="C36" s="157"/>
      <c r="D36" s="576" t="s">
        <v>607</v>
      </c>
      <c r="E36" s="584">
        <v>1890</v>
      </c>
      <c r="F36" s="580">
        <v>150</v>
      </c>
      <c r="G36" s="582">
        <v>283500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592</v>
      </c>
      <c r="J37" s="161"/>
      <c r="K37" s="69" t="s">
        <v>96</v>
      </c>
    </row>
    <row r="38" spans="1:11" ht="10.5" customHeight="1">
      <c r="A38" s="69"/>
      <c r="B38" s="156" t="s">
        <v>625</v>
      </c>
      <c r="C38" s="157"/>
      <c r="D38" s="576" t="s">
        <v>626</v>
      </c>
      <c r="E38" s="584">
        <v>10</v>
      </c>
      <c r="F38" s="580">
        <v>39620</v>
      </c>
      <c r="G38" s="582">
        <v>396200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627</v>
      </c>
      <c r="C39" s="160"/>
      <c r="D39" s="577"/>
      <c r="E39" s="585"/>
      <c r="F39" s="581"/>
      <c r="G39" s="583"/>
      <c r="H39" s="356"/>
      <c r="I39" s="356" t="s">
        <v>592</v>
      </c>
      <c r="J39" s="161"/>
      <c r="K39" s="69" t="s">
        <v>96</v>
      </c>
    </row>
    <row r="40" spans="1:11" ht="10.5" customHeight="1">
      <c r="A40" s="69"/>
      <c r="B40" s="156" t="s">
        <v>628</v>
      </c>
      <c r="C40" s="157"/>
      <c r="D40" s="576" t="s">
        <v>605</v>
      </c>
      <c r="E40" s="584">
        <v>1</v>
      </c>
      <c r="F40" s="580">
        <v>56000</v>
      </c>
      <c r="G40" s="582">
        <v>56000</v>
      </c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 t="s">
        <v>592</v>
      </c>
      <c r="J41" s="161"/>
      <c r="K41" s="69" t="s">
        <v>96</v>
      </c>
    </row>
    <row r="42" spans="1:11" ht="10.5" customHeight="1">
      <c r="A42" s="69"/>
      <c r="B42" s="156" t="s">
        <v>628</v>
      </c>
      <c r="C42" s="157"/>
      <c r="D42" s="576" t="s">
        <v>605</v>
      </c>
      <c r="E42" s="584">
        <v>1</v>
      </c>
      <c r="F42" s="580">
        <v>9240</v>
      </c>
      <c r="G42" s="582">
        <v>9240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592</v>
      </c>
      <c r="J43" s="161"/>
      <c r="K43" s="69" t="s">
        <v>96</v>
      </c>
    </row>
    <row r="44" spans="1:11" ht="10.5" customHeight="1">
      <c r="A44" s="69"/>
      <c r="B44" s="156" t="s">
        <v>628</v>
      </c>
      <c r="C44" s="157"/>
      <c r="D44" s="576" t="s">
        <v>605</v>
      </c>
      <c r="E44" s="584">
        <v>1</v>
      </c>
      <c r="F44" s="580">
        <v>9000</v>
      </c>
      <c r="G44" s="582">
        <v>9000</v>
      </c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 t="s">
        <v>592</v>
      </c>
      <c r="J45" s="161"/>
      <c r="K45" s="69" t="s">
        <v>96</v>
      </c>
    </row>
    <row r="46" spans="1:11" ht="10.5" customHeight="1">
      <c r="A46" s="69"/>
      <c r="B46" s="156" t="s">
        <v>628</v>
      </c>
      <c r="C46" s="157"/>
      <c r="D46" s="586" t="s">
        <v>605</v>
      </c>
      <c r="E46" s="588">
        <v>1</v>
      </c>
      <c r="F46" s="590">
        <v>7700</v>
      </c>
      <c r="G46" s="592">
        <v>7700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 t="s">
        <v>592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629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579</v>
      </c>
      <c r="C52" s="146" t="s">
        <v>580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581</v>
      </c>
      <c r="K53" s="69"/>
    </row>
    <row r="54" spans="1:11" ht="18" customHeight="1">
      <c r="A54" s="69"/>
      <c r="B54" s="574" t="s">
        <v>582</v>
      </c>
      <c r="C54" s="575"/>
      <c r="D54" s="153" t="s">
        <v>85</v>
      </c>
      <c r="E54" s="153" t="s">
        <v>583</v>
      </c>
      <c r="F54" s="153" t="s">
        <v>584</v>
      </c>
      <c r="G54" s="153" t="s">
        <v>585</v>
      </c>
      <c r="H54" s="154" t="s">
        <v>586</v>
      </c>
      <c r="I54" s="153" t="s">
        <v>587</v>
      </c>
      <c r="J54" s="155" t="s">
        <v>588</v>
      </c>
      <c r="K54" s="69"/>
    </row>
    <row r="55" spans="1:11" ht="10.5" customHeight="1">
      <c r="A55" s="69"/>
      <c r="B55" s="156" t="s">
        <v>628</v>
      </c>
      <c r="C55" s="157"/>
      <c r="D55" s="576" t="s">
        <v>605</v>
      </c>
      <c r="E55" s="578">
        <v>1</v>
      </c>
      <c r="F55" s="580">
        <v>6000</v>
      </c>
      <c r="G55" s="582">
        <v>6000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592</v>
      </c>
      <c r="J56" s="161"/>
      <c r="K56" s="69" t="s">
        <v>96</v>
      </c>
    </row>
    <row r="57" spans="1:11" ht="10.5" customHeight="1">
      <c r="A57" s="69"/>
      <c r="B57" s="156" t="s">
        <v>628</v>
      </c>
      <c r="C57" s="157"/>
      <c r="D57" s="576" t="s">
        <v>605</v>
      </c>
      <c r="E57" s="578">
        <v>1</v>
      </c>
      <c r="F57" s="580">
        <v>5000</v>
      </c>
      <c r="G57" s="582">
        <v>5000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592</v>
      </c>
      <c r="J58" s="162"/>
      <c r="K58" s="69" t="s">
        <v>96</v>
      </c>
    </row>
    <row r="59" spans="1:11" ht="10.5" customHeight="1">
      <c r="A59" s="69"/>
      <c r="B59" s="156" t="s">
        <v>628</v>
      </c>
      <c r="C59" s="157"/>
      <c r="D59" s="576" t="s">
        <v>605</v>
      </c>
      <c r="E59" s="578">
        <v>1</v>
      </c>
      <c r="F59" s="580">
        <v>3600</v>
      </c>
      <c r="G59" s="582">
        <v>3600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592</v>
      </c>
      <c r="J60" s="161"/>
      <c r="K60" s="69" t="s">
        <v>96</v>
      </c>
    </row>
    <row r="61" spans="1:11" ht="10.5" customHeight="1">
      <c r="A61" s="69"/>
      <c r="B61" s="156" t="s">
        <v>628</v>
      </c>
      <c r="C61" s="157"/>
      <c r="D61" s="576" t="s">
        <v>605</v>
      </c>
      <c r="E61" s="584">
        <v>1</v>
      </c>
      <c r="F61" s="580">
        <v>3444</v>
      </c>
      <c r="G61" s="582">
        <v>3444</v>
      </c>
      <c r="H61" s="355"/>
      <c r="I61" s="355"/>
      <c r="J61" s="158"/>
      <c r="K61" s="69" t="s">
        <v>96</v>
      </c>
    </row>
    <row r="62" spans="1:11" ht="10.5" customHeight="1">
      <c r="A62" s="69"/>
      <c r="B62" s="159"/>
      <c r="C62" s="160"/>
      <c r="D62" s="577"/>
      <c r="E62" s="585"/>
      <c r="F62" s="581"/>
      <c r="G62" s="583"/>
      <c r="H62" s="356"/>
      <c r="I62" s="356" t="s">
        <v>592</v>
      </c>
      <c r="J62" s="161"/>
      <c r="K62" s="69" t="s">
        <v>96</v>
      </c>
    </row>
    <row r="63" spans="1:11" ht="10.5" customHeight="1">
      <c r="A63" s="69"/>
      <c r="B63" s="156" t="s">
        <v>628</v>
      </c>
      <c r="C63" s="157"/>
      <c r="D63" s="576" t="s">
        <v>605</v>
      </c>
      <c r="E63" s="584">
        <v>1</v>
      </c>
      <c r="F63" s="580">
        <v>2750</v>
      </c>
      <c r="G63" s="582">
        <v>2750</v>
      </c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 t="s">
        <v>592</v>
      </c>
      <c r="J64" s="161"/>
      <c r="K64" s="69" t="s">
        <v>96</v>
      </c>
    </row>
    <row r="65" spans="1:11" ht="10.5" customHeight="1">
      <c r="A65" s="69"/>
      <c r="B65" s="156" t="s">
        <v>628</v>
      </c>
      <c r="C65" s="157"/>
      <c r="D65" s="576" t="s">
        <v>605</v>
      </c>
      <c r="E65" s="584">
        <v>1</v>
      </c>
      <c r="F65" s="580">
        <v>2160</v>
      </c>
      <c r="G65" s="582">
        <v>2160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 t="s">
        <v>592</v>
      </c>
      <c r="J66" s="161"/>
      <c r="K66" s="69" t="s">
        <v>96</v>
      </c>
    </row>
    <row r="67" spans="1:11" ht="10.5" customHeight="1">
      <c r="A67" s="69"/>
      <c r="B67" s="156" t="s">
        <v>628</v>
      </c>
      <c r="C67" s="157"/>
      <c r="D67" s="576" t="s">
        <v>605</v>
      </c>
      <c r="E67" s="584">
        <v>1</v>
      </c>
      <c r="F67" s="580">
        <v>1850</v>
      </c>
      <c r="G67" s="582">
        <v>1850</v>
      </c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 t="s">
        <v>592</v>
      </c>
      <c r="J68" s="161"/>
      <c r="K68" s="69" t="s">
        <v>96</v>
      </c>
    </row>
    <row r="69" spans="1:11" ht="10.5" customHeight="1">
      <c r="A69" s="69"/>
      <c r="B69" s="156" t="s">
        <v>628</v>
      </c>
      <c r="C69" s="157"/>
      <c r="D69" s="576" t="s">
        <v>605</v>
      </c>
      <c r="E69" s="584">
        <v>1</v>
      </c>
      <c r="F69" s="580">
        <v>1144</v>
      </c>
      <c r="G69" s="582">
        <v>1144</v>
      </c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 t="s">
        <v>592</v>
      </c>
      <c r="J70" s="161"/>
      <c r="K70" s="69" t="s">
        <v>96</v>
      </c>
    </row>
    <row r="71" spans="1:11" ht="10.5" customHeight="1">
      <c r="A71" s="69"/>
      <c r="B71" s="156" t="s">
        <v>628</v>
      </c>
      <c r="C71" s="157"/>
      <c r="D71" s="576" t="s">
        <v>605</v>
      </c>
      <c r="E71" s="584">
        <v>1</v>
      </c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 t="s">
        <v>592</v>
      </c>
      <c r="J72" s="161"/>
      <c r="K72" s="69" t="s">
        <v>96</v>
      </c>
    </row>
    <row r="73" spans="1:11" ht="10.5" customHeight="1">
      <c r="A73" s="69"/>
      <c r="B73" s="156" t="s">
        <v>628</v>
      </c>
      <c r="C73" s="157"/>
      <c r="D73" s="576" t="s">
        <v>605</v>
      </c>
      <c r="E73" s="578"/>
      <c r="F73" s="580">
        <v>7000</v>
      </c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 t="s">
        <v>592</v>
      </c>
      <c r="J74" s="161"/>
      <c r="K74" s="69" t="s">
        <v>96</v>
      </c>
    </row>
    <row r="75" spans="1:11" ht="10.5" customHeight="1">
      <c r="A75" s="69"/>
      <c r="B75" s="156" t="s">
        <v>628</v>
      </c>
      <c r="C75" s="157"/>
      <c r="D75" s="576" t="s">
        <v>605</v>
      </c>
      <c r="E75" s="584"/>
      <c r="F75" s="580">
        <v>6250</v>
      </c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 t="s">
        <v>592</v>
      </c>
      <c r="J76" s="161"/>
      <c r="K76" s="69" t="s">
        <v>96</v>
      </c>
    </row>
    <row r="77" spans="1:11" ht="10.5" customHeight="1">
      <c r="A77" s="69"/>
      <c r="B77" s="156" t="s">
        <v>628</v>
      </c>
      <c r="C77" s="157"/>
      <c r="D77" s="576" t="s">
        <v>605</v>
      </c>
      <c r="E77" s="584">
        <v>1</v>
      </c>
      <c r="F77" s="580">
        <v>144290</v>
      </c>
      <c r="G77" s="582">
        <v>144290</v>
      </c>
      <c r="H77" s="355"/>
      <c r="I77" s="355"/>
      <c r="J77" s="158"/>
      <c r="K77" s="69" t="s">
        <v>96</v>
      </c>
    </row>
    <row r="78" spans="1:11" ht="10.5" customHeight="1">
      <c r="A78" s="69"/>
      <c r="B78" s="159" t="s">
        <v>630</v>
      </c>
      <c r="C78" s="160"/>
      <c r="D78" s="577"/>
      <c r="E78" s="585"/>
      <c r="F78" s="581"/>
      <c r="G78" s="583"/>
      <c r="H78" s="356"/>
      <c r="I78" s="356" t="s">
        <v>592</v>
      </c>
      <c r="J78" s="161"/>
      <c r="K78" s="69" t="s">
        <v>96</v>
      </c>
    </row>
    <row r="79" spans="1:11" ht="10.5" customHeight="1">
      <c r="A79" s="69"/>
      <c r="B79" s="156" t="s">
        <v>631</v>
      </c>
      <c r="C79" s="157"/>
      <c r="D79" s="576" t="s">
        <v>632</v>
      </c>
      <c r="E79" s="584">
        <v>6</v>
      </c>
      <c r="F79" s="580">
        <v>7000</v>
      </c>
      <c r="G79" s="582">
        <v>42000</v>
      </c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 t="s">
        <v>592</v>
      </c>
      <c r="J80" s="161"/>
      <c r="K80" s="69" t="s">
        <v>96</v>
      </c>
    </row>
    <row r="81" spans="1:11" ht="10.5" customHeight="1">
      <c r="A81" s="69"/>
      <c r="B81" s="156" t="s">
        <v>633</v>
      </c>
      <c r="C81" s="157"/>
      <c r="D81" s="576" t="s">
        <v>634</v>
      </c>
      <c r="E81" s="584">
        <v>4.5</v>
      </c>
      <c r="F81" s="580">
        <v>15500</v>
      </c>
      <c r="G81" s="582">
        <v>69750</v>
      </c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 t="s">
        <v>592</v>
      </c>
      <c r="J82" s="161"/>
      <c r="K82" s="69" t="s">
        <v>96</v>
      </c>
    </row>
    <row r="83" spans="1:11" ht="10.5" customHeight="1">
      <c r="A83" s="69"/>
      <c r="B83" s="156" t="s">
        <v>635</v>
      </c>
      <c r="C83" s="157"/>
      <c r="D83" s="576" t="s">
        <v>634</v>
      </c>
      <c r="E83" s="584">
        <v>2</v>
      </c>
      <c r="F83" s="580">
        <v>22300</v>
      </c>
      <c r="G83" s="582">
        <v>44600</v>
      </c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 t="s">
        <v>592</v>
      </c>
      <c r="J84" s="161"/>
      <c r="K84" s="69" t="s">
        <v>96</v>
      </c>
    </row>
    <row r="85" spans="1:11" ht="10.5" customHeight="1">
      <c r="A85" s="69"/>
      <c r="B85" s="156" t="s">
        <v>636</v>
      </c>
      <c r="C85" s="157"/>
      <c r="D85" s="576" t="s">
        <v>637</v>
      </c>
      <c r="E85" s="584">
        <v>4</v>
      </c>
      <c r="F85" s="580">
        <v>3000</v>
      </c>
      <c r="G85" s="582">
        <v>12000</v>
      </c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 t="s">
        <v>592</v>
      </c>
      <c r="J86" s="161"/>
      <c r="K86" s="69" t="s">
        <v>96</v>
      </c>
    </row>
    <row r="87" spans="1:11" ht="10.5" customHeight="1">
      <c r="A87" s="69"/>
      <c r="B87" s="156" t="s">
        <v>638</v>
      </c>
      <c r="C87" s="157"/>
      <c r="D87" s="576" t="s">
        <v>610</v>
      </c>
      <c r="E87" s="584"/>
      <c r="F87" s="580">
        <v>600</v>
      </c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 t="s">
        <v>639</v>
      </c>
      <c r="C88" s="160"/>
      <c r="D88" s="577"/>
      <c r="E88" s="585"/>
      <c r="F88" s="581"/>
      <c r="G88" s="583"/>
      <c r="H88" s="356"/>
      <c r="I88" s="356" t="s">
        <v>592</v>
      </c>
      <c r="J88" s="161"/>
      <c r="K88" s="69" t="s">
        <v>96</v>
      </c>
    </row>
    <row r="89" spans="1:11" ht="10.5" customHeight="1">
      <c r="A89" s="69"/>
      <c r="B89" s="156" t="s">
        <v>640</v>
      </c>
      <c r="C89" s="157"/>
      <c r="D89" s="576" t="s">
        <v>610</v>
      </c>
      <c r="E89" s="584">
        <v>92</v>
      </c>
      <c r="F89" s="580">
        <v>11440</v>
      </c>
      <c r="G89" s="582">
        <v>1052480</v>
      </c>
      <c r="H89" s="355"/>
      <c r="I89" s="355"/>
      <c r="J89" s="158"/>
      <c r="K89" s="69" t="s">
        <v>96</v>
      </c>
    </row>
    <row r="90" spans="1:11" ht="10.5" customHeight="1">
      <c r="A90" s="69"/>
      <c r="B90" s="159" t="s">
        <v>641</v>
      </c>
      <c r="C90" s="160"/>
      <c r="D90" s="577"/>
      <c r="E90" s="585"/>
      <c r="F90" s="581"/>
      <c r="G90" s="583"/>
      <c r="H90" s="356"/>
      <c r="I90" s="356" t="s">
        <v>592</v>
      </c>
      <c r="J90" s="161"/>
      <c r="K90" s="69" t="s">
        <v>96</v>
      </c>
    </row>
    <row r="91" spans="1:11" ht="10.5" customHeight="1">
      <c r="A91" s="69"/>
      <c r="B91" s="156" t="s">
        <v>642</v>
      </c>
      <c r="C91" s="157"/>
      <c r="D91" s="576" t="s">
        <v>610</v>
      </c>
      <c r="E91" s="584">
        <v>3</v>
      </c>
      <c r="F91" s="580">
        <v>9170</v>
      </c>
      <c r="G91" s="582">
        <v>27510</v>
      </c>
      <c r="H91" s="355"/>
      <c r="I91" s="355"/>
      <c r="J91" s="158"/>
      <c r="K91" s="69" t="s">
        <v>96</v>
      </c>
    </row>
    <row r="92" spans="1:11" ht="10.5" customHeight="1">
      <c r="A92" s="69"/>
      <c r="B92" s="159" t="s">
        <v>643</v>
      </c>
      <c r="C92" s="160"/>
      <c r="D92" s="577"/>
      <c r="E92" s="585"/>
      <c r="F92" s="581"/>
      <c r="G92" s="583"/>
      <c r="H92" s="356"/>
      <c r="I92" s="356" t="s">
        <v>592</v>
      </c>
      <c r="J92" s="161"/>
      <c r="K92" s="69" t="s">
        <v>96</v>
      </c>
    </row>
    <row r="93" spans="1:11" ht="10.5" customHeight="1">
      <c r="A93" s="69"/>
      <c r="B93" s="156" t="s">
        <v>644</v>
      </c>
      <c r="C93" s="157"/>
      <c r="D93" s="576" t="s">
        <v>602</v>
      </c>
      <c r="E93" s="584">
        <v>187</v>
      </c>
      <c r="F93" s="580">
        <v>15180</v>
      </c>
      <c r="G93" s="582">
        <v>2838660</v>
      </c>
      <c r="H93" s="355"/>
      <c r="I93" s="355"/>
      <c r="J93" s="158"/>
      <c r="K93" s="69" t="s">
        <v>96</v>
      </c>
    </row>
    <row r="94" spans="1:11" ht="10.5" customHeight="1">
      <c r="A94" s="69"/>
      <c r="B94" s="159" t="s">
        <v>645</v>
      </c>
      <c r="C94" s="160"/>
      <c r="D94" s="577"/>
      <c r="E94" s="585"/>
      <c r="F94" s="581"/>
      <c r="G94" s="583"/>
      <c r="H94" s="356"/>
      <c r="I94" s="356" t="s">
        <v>592</v>
      </c>
      <c r="J94" s="161"/>
      <c r="K94" s="69" t="s">
        <v>96</v>
      </c>
    </row>
    <row r="95" spans="1:11" ht="10.5" customHeight="1">
      <c r="A95" s="69"/>
      <c r="B95" s="156" t="s">
        <v>646</v>
      </c>
      <c r="C95" s="157"/>
      <c r="D95" s="586" t="s">
        <v>647</v>
      </c>
      <c r="E95" s="588">
        <v>10</v>
      </c>
      <c r="F95" s="590">
        <v>17550</v>
      </c>
      <c r="G95" s="592">
        <v>175500</v>
      </c>
      <c r="H95" s="355"/>
      <c r="I95" s="355"/>
      <c r="J95" s="162"/>
      <c r="K95" s="69" t="s">
        <v>96</v>
      </c>
    </row>
    <row r="96" spans="1:11" ht="10.5" customHeight="1" thickBot="1">
      <c r="A96" s="69"/>
      <c r="B96" s="163" t="s">
        <v>648</v>
      </c>
      <c r="C96" s="164"/>
      <c r="D96" s="587"/>
      <c r="E96" s="589"/>
      <c r="F96" s="591"/>
      <c r="G96" s="593"/>
      <c r="H96" s="357"/>
      <c r="I96" s="357" t="s">
        <v>592</v>
      </c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  <row r="99" spans="1:11" ht="26.1" customHeight="1" thickBot="1">
      <c r="B99" s="142"/>
      <c r="C99" s="142"/>
      <c r="D99" s="533" t="s">
        <v>629</v>
      </c>
      <c r="E99" s="533"/>
      <c r="F99" s="533"/>
      <c r="G99" s="533"/>
      <c r="H99" s="69"/>
      <c r="I99" s="69"/>
      <c r="J99" s="69"/>
      <c r="K99" s="69"/>
    </row>
    <row r="100" spans="1:11" ht="13.5" customHeight="1">
      <c r="A100" s="143"/>
      <c r="B100" s="143"/>
      <c r="C100" s="143"/>
      <c r="D100" s="143"/>
      <c r="E100" s="143"/>
      <c r="F100" s="143"/>
      <c r="G100" s="143"/>
      <c r="H100" s="143"/>
      <c r="I100" s="143"/>
      <c r="J100" s="143"/>
      <c r="K100" s="143"/>
    </row>
    <row r="101" spans="1:11" ht="21" customHeight="1">
      <c r="A101" s="144"/>
      <c r="B101" s="145" t="s">
        <v>579</v>
      </c>
      <c r="C101" s="146" t="s">
        <v>580</v>
      </c>
      <c r="D101" s="147"/>
      <c r="E101" s="148"/>
      <c r="F101" s="149"/>
      <c r="G101" s="149"/>
      <c r="H101" s="149"/>
      <c r="I101" s="149"/>
      <c r="J101" s="150"/>
      <c r="K101" s="144"/>
    </row>
    <row r="102" spans="1:11" ht="12.75" customHeight="1" thickBot="1">
      <c r="A102" s="69"/>
      <c r="B102" s="151"/>
      <c r="C102" s="151"/>
      <c r="D102" s="151"/>
      <c r="E102" s="151"/>
      <c r="F102" s="151"/>
      <c r="G102" s="151"/>
      <c r="H102" s="151"/>
      <c r="I102" s="151"/>
      <c r="J102" s="152" t="s">
        <v>581</v>
      </c>
      <c r="K102" s="69"/>
    </row>
    <row r="103" spans="1:11" ht="18" customHeight="1">
      <c r="A103" s="69"/>
      <c r="B103" s="574" t="s">
        <v>582</v>
      </c>
      <c r="C103" s="575"/>
      <c r="D103" s="153" t="s">
        <v>85</v>
      </c>
      <c r="E103" s="153" t="s">
        <v>583</v>
      </c>
      <c r="F103" s="153" t="s">
        <v>584</v>
      </c>
      <c r="G103" s="153" t="s">
        <v>585</v>
      </c>
      <c r="H103" s="154" t="s">
        <v>586</v>
      </c>
      <c r="I103" s="153" t="s">
        <v>587</v>
      </c>
      <c r="J103" s="155" t="s">
        <v>588</v>
      </c>
      <c r="K103" s="69"/>
    </row>
    <row r="104" spans="1:11" ht="10.5" customHeight="1">
      <c r="A104" s="69"/>
      <c r="B104" s="156" t="s">
        <v>649</v>
      </c>
      <c r="C104" s="157"/>
      <c r="D104" s="576" t="s">
        <v>632</v>
      </c>
      <c r="E104" s="578">
        <v>6</v>
      </c>
      <c r="F104" s="580">
        <v>25000</v>
      </c>
      <c r="G104" s="582">
        <v>150000</v>
      </c>
      <c r="H104" s="355"/>
      <c r="I104" s="355"/>
      <c r="J104" s="158"/>
      <c r="K104" s="69" t="s">
        <v>96</v>
      </c>
    </row>
    <row r="105" spans="1:11" ht="10.5" customHeight="1">
      <c r="A105" s="69"/>
      <c r="B105" s="159" t="s">
        <v>650</v>
      </c>
      <c r="C105" s="160"/>
      <c r="D105" s="577"/>
      <c r="E105" s="579"/>
      <c r="F105" s="581"/>
      <c r="G105" s="583"/>
      <c r="H105" s="356"/>
      <c r="I105" s="356" t="s">
        <v>592</v>
      </c>
      <c r="J105" s="161"/>
      <c r="K105" s="69" t="s">
        <v>96</v>
      </c>
    </row>
    <row r="106" spans="1:11" ht="10.5" customHeight="1">
      <c r="A106" s="69"/>
      <c r="B106" s="156" t="s">
        <v>651</v>
      </c>
      <c r="C106" s="157"/>
      <c r="D106" s="576" t="s">
        <v>634</v>
      </c>
      <c r="E106" s="578">
        <v>7</v>
      </c>
      <c r="F106" s="580">
        <v>4500</v>
      </c>
      <c r="G106" s="582">
        <v>31500</v>
      </c>
      <c r="H106" s="355"/>
      <c r="I106" s="355"/>
      <c r="J106" s="162"/>
      <c r="K106" s="69" t="s">
        <v>96</v>
      </c>
    </row>
    <row r="107" spans="1:11" ht="10.5" customHeight="1">
      <c r="A107" s="69"/>
      <c r="B107" s="159"/>
      <c r="C107" s="160"/>
      <c r="D107" s="577"/>
      <c r="E107" s="579"/>
      <c r="F107" s="581"/>
      <c r="G107" s="583"/>
      <c r="H107" s="356"/>
      <c r="I107" s="356" t="s">
        <v>592</v>
      </c>
      <c r="J107" s="162"/>
      <c r="K107" s="69" t="s">
        <v>96</v>
      </c>
    </row>
    <row r="108" spans="1:11" ht="10.5" customHeight="1">
      <c r="A108" s="69"/>
      <c r="B108" s="156" t="s">
        <v>652</v>
      </c>
      <c r="C108" s="157"/>
      <c r="D108" s="576" t="s">
        <v>653</v>
      </c>
      <c r="E108" s="578">
        <v>2</v>
      </c>
      <c r="F108" s="580">
        <v>3200</v>
      </c>
      <c r="G108" s="582">
        <v>6400</v>
      </c>
      <c r="H108" s="355"/>
      <c r="I108" s="355"/>
      <c r="J108" s="158"/>
      <c r="K108" s="69" t="s">
        <v>96</v>
      </c>
    </row>
    <row r="109" spans="1:11" ht="10.5" customHeight="1">
      <c r="A109" s="69"/>
      <c r="B109" s="159" t="s">
        <v>654</v>
      </c>
      <c r="C109" s="160"/>
      <c r="D109" s="577"/>
      <c r="E109" s="579"/>
      <c r="F109" s="581"/>
      <c r="G109" s="583"/>
      <c r="H109" s="356"/>
      <c r="I109" s="356" t="s">
        <v>592</v>
      </c>
      <c r="J109" s="161"/>
      <c r="K109" s="69" t="s">
        <v>96</v>
      </c>
    </row>
    <row r="110" spans="1:11" ht="10.5" customHeight="1">
      <c r="A110" s="69"/>
      <c r="B110" s="156"/>
      <c r="C110" s="157"/>
      <c r="D110" s="576"/>
      <c r="E110" s="584"/>
      <c r="F110" s="580"/>
      <c r="G110" s="582"/>
      <c r="H110" s="355"/>
      <c r="I110" s="355"/>
      <c r="J110" s="158"/>
      <c r="K110" s="69" t="s">
        <v>96</v>
      </c>
    </row>
    <row r="111" spans="1:11" ht="10.5" customHeight="1">
      <c r="A111" s="69"/>
      <c r="B111" s="159"/>
      <c r="C111" s="160"/>
      <c r="D111" s="577"/>
      <c r="E111" s="585"/>
      <c r="F111" s="581"/>
      <c r="G111" s="583"/>
      <c r="H111" s="356"/>
      <c r="I111" s="356"/>
      <c r="J111" s="161"/>
      <c r="K111" s="69" t="s">
        <v>96</v>
      </c>
    </row>
    <row r="112" spans="1:11" ht="10.5" customHeight="1">
      <c r="A112" s="69"/>
      <c r="B112" s="156" t="s">
        <v>655</v>
      </c>
      <c r="C112" s="157"/>
      <c r="D112" s="576"/>
      <c r="E112" s="584"/>
      <c r="F112" s="580"/>
      <c r="G112" s="582">
        <v>12282634</v>
      </c>
      <c r="H112" s="355"/>
      <c r="I112" s="355"/>
      <c r="J112" s="158"/>
      <c r="K112" s="69" t="s">
        <v>96</v>
      </c>
    </row>
    <row r="113" spans="1:11" ht="10.5" customHeight="1">
      <c r="A113" s="69"/>
      <c r="B113" s="159"/>
      <c r="C113" s="160"/>
      <c r="D113" s="577"/>
      <c r="E113" s="585"/>
      <c r="F113" s="581"/>
      <c r="G113" s="583"/>
      <c r="H113" s="356"/>
      <c r="I113" s="356"/>
      <c r="J113" s="161"/>
      <c r="K113" s="69" t="s">
        <v>96</v>
      </c>
    </row>
    <row r="114" spans="1:11" ht="10.5" customHeight="1">
      <c r="A114" s="69"/>
      <c r="B114" s="156"/>
      <c r="C114" s="157"/>
      <c r="D114" s="576"/>
      <c r="E114" s="584"/>
      <c r="F114" s="580"/>
      <c r="G114" s="582"/>
      <c r="H114" s="355"/>
      <c r="I114" s="355"/>
      <c r="J114" s="158"/>
      <c r="K114" s="69" t="s">
        <v>96</v>
      </c>
    </row>
    <row r="115" spans="1:11" ht="10.5" customHeight="1">
      <c r="A115" s="69"/>
      <c r="B115" s="159"/>
      <c r="C115" s="160"/>
      <c r="D115" s="577"/>
      <c r="E115" s="585"/>
      <c r="F115" s="581"/>
      <c r="G115" s="583"/>
      <c r="H115" s="356"/>
      <c r="I115" s="356"/>
      <c r="J115" s="161"/>
      <c r="K115" s="69" t="s">
        <v>96</v>
      </c>
    </row>
    <row r="116" spans="1:11" ht="10.5" customHeight="1">
      <c r="A116" s="69"/>
      <c r="B116" s="156"/>
      <c r="C116" s="157"/>
      <c r="D116" s="576"/>
      <c r="E116" s="584"/>
      <c r="F116" s="580"/>
      <c r="G116" s="582"/>
      <c r="H116" s="355"/>
      <c r="I116" s="355"/>
      <c r="J116" s="158"/>
      <c r="K116" s="69" t="s">
        <v>96</v>
      </c>
    </row>
    <row r="117" spans="1:11" ht="10.5" customHeight="1">
      <c r="A117" s="69"/>
      <c r="B117" s="159"/>
      <c r="C117" s="160"/>
      <c r="D117" s="577"/>
      <c r="E117" s="585"/>
      <c r="F117" s="581"/>
      <c r="G117" s="583"/>
      <c r="H117" s="356"/>
      <c r="I117" s="356"/>
      <c r="J117" s="161"/>
      <c r="K117" s="69" t="s">
        <v>96</v>
      </c>
    </row>
    <row r="118" spans="1:11" ht="10.5" customHeight="1">
      <c r="A118" s="69"/>
      <c r="B118" s="156"/>
      <c r="C118" s="157"/>
      <c r="D118" s="576"/>
      <c r="E118" s="584"/>
      <c r="F118" s="580"/>
      <c r="G118" s="582"/>
      <c r="H118" s="355"/>
      <c r="I118" s="355"/>
      <c r="J118" s="158"/>
      <c r="K118" s="69" t="s">
        <v>96</v>
      </c>
    </row>
    <row r="119" spans="1:11" ht="10.5" customHeight="1">
      <c r="A119" s="69"/>
      <c r="B119" s="159"/>
      <c r="C119" s="160"/>
      <c r="D119" s="577"/>
      <c r="E119" s="585"/>
      <c r="F119" s="581"/>
      <c r="G119" s="583"/>
      <c r="H119" s="356"/>
      <c r="I119" s="356"/>
      <c r="J119" s="161"/>
      <c r="K119" s="69" t="s">
        <v>96</v>
      </c>
    </row>
    <row r="120" spans="1:11" ht="10.5" customHeight="1">
      <c r="A120" s="69"/>
      <c r="B120" s="156"/>
      <c r="C120" s="157"/>
      <c r="D120" s="576"/>
      <c r="E120" s="584"/>
      <c r="F120" s="580"/>
      <c r="G120" s="582"/>
      <c r="H120" s="355"/>
      <c r="I120" s="355"/>
      <c r="J120" s="158"/>
      <c r="K120" s="69" t="s">
        <v>96</v>
      </c>
    </row>
    <row r="121" spans="1:11" ht="10.5" customHeight="1">
      <c r="A121" s="69"/>
      <c r="B121" s="159"/>
      <c r="C121" s="160"/>
      <c r="D121" s="577"/>
      <c r="E121" s="585"/>
      <c r="F121" s="581"/>
      <c r="G121" s="583"/>
      <c r="H121" s="356"/>
      <c r="I121" s="356"/>
      <c r="J121" s="161"/>
      <c r="K121" s="69" t="s">
        <v>96</v>
      </c>
    </row>
    <row r="122" spans="1:11" ht="10.5" customHeight="1">
      <c r="A122" s="69"/>
      <c r="B122" s="156"/>
      <c r="C122" s="157"/>
      <c r="D122" s="576"/>
      <c r="E122" s="578"/>
      <c r="F122" s="580"/>
      <c r="G122" s="582"/>
      <c r="H122" s="355"/>
      <c r="I122" s="355"/>
      <c r="J122" s="158"/>
      <c r="K122" s="69" t="s">
        <v>96</v>
      </c>
    </row>
    <row r="123" spans="1:11" ht="10.5" customHeight="1">
      <c r="A123" s="69"/>
      <c r="B123" s="159"/>
      <c r="C123" s="160"/>
      <c r="D123" s="577"/>
      <c r="E123" s="579"/>
      <c r="F123" s="581"/>
      <c r="G123" s="583"/>
      <c r="H123" s="356"/>
      <c r="I123" s="356"/>
      <c r="J123" s="161"/>
      <c r="K123" s="69" t="s">
        <v>96</v>
      </c>
    </row>
    <row r="124" spans="1:11" ht="10.5" customHeight="1">
      <c r="A124" s="69"/>
      <c r="B124" s="156"/>
      <c r="C124" s="157"/>
      <c r="D124" s="576"/>
      <c r="E124" s="584"/>
      <c r="F124" s="580"/>
      <c r="G124" s="582"/>
      <c r="H124" s="355"/>
      <c r="I124" s="355"/>
      <c r="J124" s="158"/>
      <c r="K124" s="69" t="s">
        <v>96</v>
      </c>
    </row>
    <row r="125" spans="1:11" ht="10.5" customHeight="1">
      <c r="A125" s="69"/>
      <c r="B125" s="159"/>
      <c r="C125" s="160"/>
      <c r="D125" s="577"/>
      <c r="E125" s="585"/>
      <c r="F125" s="581"/>
      <c r="G125" s="583"/>
      <c r="H125" s="356"/>
      <c r="I125" s="356"/>
      <c r="J125" s="161"/>
      <c r="K125" s="69" t="s">
        <v>96</v>
      </c>
    </row>
    <row r="126" spans="1:11" ht="10.5" customHeight="1">
      <c r="A126" s="69"/>
      <c r="B126" s="156"/>
      <c r="C126" s="157"/>
      <c r="D126" s="576"/>
      <c r="E126" s="584"/>
      <c r="F126" s="580"/>
      <c r="G126" s="582"/>
      <c r="H126" s="355"/>
      <c r="I126" s="355"/>
      <c r="J126" s="158"/>
      <c r="K126" s="69" t="s">
        <v>96</v>
      </c>
    </row>
    <row r="127" spans="1:11" ht="10.5" customHeight="1">
      <c r="A127" s="69"/>
      <c r="B127" s="159"/>
      <c r="C127" s="160"/>
      <c r="D127" s="577"/>
      <c r="E127" s="585"/>
      <c r="F127" s="581"/>
      <c r="G127" s="583"/>
      <c r="H127" s="356"/>
      <c r="I127" s="356"/>
      <c r="J127" s="161"/>
      <c r="K127" s="69" t="s">
        <v>96</v>
      </c>
    </row>
    <row r="128" spans="1:11" ht="10.5" customHeight="1">
      <c r="A128" s="69"/>
      <c r="B128" s="156"/>
      <c r="C128" s="157"/>
      <c r="D128" s="576"/>
      <c r="E128" s="584"/>
      <c r="F128" s="580"/>
      <c r="G128" s="582"/>
      <c r="H128" s="355"/>
      <c r="I128" s="355"/>
      <c r="J128" s="158"/>
      <c r="K128" s="69" t="s">
        <v>96</v>
      </c>
    </row>
    <row r="129" spans="1:11" ht="10.5" customHeight="1">
      <c r="A129" s="69"/>
      <c r="B129" s="159"/>
      <c r="C129" s="160"/>
      <c r="D129" s="577"/>
      <c r="E129" s="585"/>
      <c r="F129" s="581"/>
      <c r="G129" s="583"/>
      <c r="H129" s="356"/>
      <c r="I129" s="356"/>
      <c r="J129" s="161"/>
      <c r="K129" s="69" t="s">
        <v>96</v>
      </c>
    </row>
    <row r="130" spans="1:11" ht="10.5" customHeight="1">
      <c r="A130" s="69"/>
      <c r="B130" s="156"/>
      <c r="C130" s="157"/>
      <c r="D130" s="576"/>
      <c r="E130" s="584"/>
      <c r="F130" s="580"/>
      <c r="G130" s="582"/>
      <c r="H130" s="355"/>
      <c r="I130" s="355"/>
      <c r="J130" s="158"/>
      <c r="K130" s="69" t="s">
        <v>96</v>
      </c>
    </row>
    <row r="131" spans="1:11" ht="10.5" customHeight="1">
      <c r="A131" s="69"/>
      <c r="B131" s="159"/>
      <c r="C131" s="160"/>
      <c r="D131" s="577"/>
      <c r="E131" s="585"/>
      <c r="F131" s="581"/>
      <c r="G131" s="583"/>
      <c r="H131" s="356"/>
      <c r="I131" s="356"/>
      <c r="J131" s="161"/>
      <c r="K131" s="69" t="s">
        <v>96</v>
      </c>
    </row>
    <row r="132" spans="1:11" ht="10.5" customHeight="1">
      <c r="A132" s="69"/>
      <c r="B132" s="156"/>
      <c r="C132" s="157"/>
      <c r="D132" s="576"/>
      <c r="E132" s="584"/>
      <c r="F132" s="580"/>
      <c r="G132" s="582"/>
      <c r="H132" s="355"/>
      <c r="I132" s="355"/>
      <c r="J132" s="158"/>
      <c r="K132" s="69" t="s">
        <v>96</v>
      </c>
    </row>
    <row r="133" spans="1:11" ht="10.5" customHeight="1">
      <c r="A133" s="69"/>
      <c r="B133" s="159"/>
      <c r="C133" s="160"/>
      <c r="D133" s="577"/>
      <c r="E133" s="585"/>
      <c r="F133" s="581"/>
      <c r="G133" s="583"/>
      <c r="H133" s="356"/>
      <c r="I133" s="356"/>
      <c r="J133" s="161"/>
      <c r="K133" s="69" t="s">
        <v>96</v>
      </c>
    </row>
    <row r="134" spans="1:11" ht="10.5" customHeight="1">
      <c r="A134" s="69"/>
      <c r="B134" s="156"/>
      <c r="C134" s="157"/>
      <c r="D134" s="576"/>
      <c r="E134" s="584"/>
      <c r="F134" s="580"/>
      <c r="G134" s="582"/>
      <c r="H134" s="355"/>
      <c r="I134" s="355"/>
      <c r="J134" s="158"/>
      <c r="K134" s="69" t="s">
        <v>96</v>
      </c>
    </row>
    <row r="135" spans="1:11" ht="10.5" customHeight="1">
      <c r="A135" s="69"/>
      <c r="B135" s="159"/>
      <c r="C135" s="160"/>
      <c r="D135" s="577"/>
      <c r="E135" s="585"/>
      <c r="F135" s="581"/>
      <c r="G135" s="583"/>
      <c r="H135" s="356"/>
      <c r="I135" s="356"/>
      <c r="J135" s="161"/>
      <c r="K135" s="69" t="s">
        <v>96</v>
      </c>
    </row>
    <row r="136" spans="1:11" ht="10.5" customHeight="1">
      <c r="A136" s="69"/>
      <c r="B136" s="156"/>
      <c r="C136" s="157"/>
      <c r="D136" s="576"/>
      <c r="E136" s="584"/>
      <c r="F136" s="580"/>
      <c r="G136" s="582"/>
      <c r="H136" s="355"/>
      <c r="I136" s="355"/>
      <c r="J136" s="158"/>
      <c r="K136" s="69" t="s">
        <v>96</v>
      </c>
    </row>
    <row r="137" spans="1:11" ht="10.5" customHeight="1">
      <c r="A137" s="69"/>
      <c r="B137" s="159"/>
      <c r="C137" s="160"/>
      <c r="D137" s="577"/>
      <c r="E137" s="585"/>
      <c r="F137" s="581"/>
      <c r="G137" s="583"/>
      <c r="H137" s="356"/>
      <c r="I137" s="356"/>
      <c r="J137" s="161"/>
      <c r="K137" s="69" t="s">
        <v>96</v>
      </c>
    </row>
    <row r="138" spans="1:11" ht="10.5" customHeight="1">
      <c r="A138" s="69"/>
      <c r="B138" s="156"/>
      <c r="C138" s="157"/>
      <c r="D138" s="576"/>
      <c r="E138" s="584"/>
      <c r="F138" s="580"/>
      <c r="G138" s="582"/>
      <c r="H138" s="355"/>
      <c r="I138" s="355"/>
      <c r="J138" s="158"/>
      <c r="K138" s="69" t="s">
        <v>96</v>
      </c>
    </row>
    <row r="139" spans="1:11" ht="10.5" customHeight="1">
      <c r="A139" s="69"/>
      <c r="B139" s="159"/>
      <c r="C139" s="160"/>
      <c r="D139" s="577"/>
      <c r="E139" s="585"/>
      <c r="F139" s="581"/>
      <c r="G139" s="583"/>
      <c r="H139" s="356"/>
      <c r="I139" s="356"/>
      <c r="J139" s="161"/>
      <c r="K139" s="69" t="s">
        <v>96</v>
      </c>
    </row>
    <row r="140" spans="1:11" ht="10.5" customHeight="1">
      <c r="A140" s="69"/>
      <c r="B140" s="156"/>
      <c r="C140" s="157"/>
      <c r="D140" s="576"/>
      <c r="E140" s="584"/>
      <c r="F140" s="580"/>
      <c r="G140" s="582"/>
      <c r="H140" s="355"/>
      <c r="I140" s="355"/>
      <c r="J140" s="158"/>
      <c r="K140" s="69" t="s">
        <v>96</v>
      </c>
    </row>
    <row r="141" spans="1:11" ht="10.5" customHeight="1">
      <c r="A141" s="69"/>
      <c r="B141" s="159"/>
      <c r="C141" s="160"/>
      <c r="D141" s="577"/>
      <c r="E141" s="585"/>
      <c r="F141" s="581"/>
      <c r="G141" s="583"/>
      <c r="H141" s="356"/>
      <c r="I141" s="356"/>
      <c r="J141" s="161"/>
      <c r="K141" s="69" t="s">
        <v>96</v>
      </c>
    </row>
    <row r="142" spans="1:11" ht="10.5" customHeight="1">
      <c r="A142" s="69"/>
      <c r="B142" s="156"/>
      <c r="C142" s="157"/>
      <c r="D142" s="576"/>
      <c r="E142" s="584"/>
      <c r="F142" s="580"/>
      <c r="G142" s="582"/>
      <c r="H142" s="355"/>
      <c r="I142" s="355"/>
      <c r="J142" s="158"/>
      <c r="K142" s="69" t="s">
        <v>96</v>
      </c>
    </row>
    <row r="143" spans="1:11" ht="10.5" customHeight="1">
      <c r="A143" s="69"/>
      <c r="B143" s="159"/>
      <c r="C143" s="160"/>
      <c r="D143" s="577"/>
      <c r="E143" s="585"/>
      <c r="F143" s="581"/>
      <c r="G143" s="583"/>
      <c r="H143" s="356"/>
      <c r="I143" s="356"/>
      <c r="J143" s="161"/>
      <c r="K143" s="69" t="s">
        <v>96</v>
      </c>
    </row>
    <row r="144" spans="1:11" ht="10.5" customHeight="1">
      <c r="A144" s="69"/>
      <c r="B144" s="156"/>
      <c r="C144" s="157"/>
      <c r="D144" s="586"/>
      <c r="E144" s="588"/>
      <c r="F144" s="590"/>
      <c r="G144" s="592"/>
      <c r="H144" s="355"/>
      <c r="I144" s="355"/>
      <c r="J144" s="162"/>
      <c r="K144" s="69" t="s">
        <v>96</v>
      </c>
    </row>
    <row r="145" spans="1:11" ht="10.5" customHeight="1" thickBot="1">
      <c r="A145" s="69"/>
      <c r="B145" s="163"/>
      <c r="C145" s="164"/>
      <c r="D145" s="587"/>
      <c r="E145" s="589"/>
      <c r="F145" s="591"/>
      <c r="G145" s="593"/>
      <c r="H145" s="357"/>
      <c r="I145" s="357"/>
      <c r="J145" s="165"/>
      <c r="K145" s="69" t="s">
        <v>96</v>
      </c>
    </row>
    <row r="146" spans="1:11" s="103" customFormat="1" ht="18" customHeight="1">
      <c r="A146" s="101"/>
      <c r="B146" s="166"/>
      <c r="C146" s="101"/>
      <c r="D146" s="101"/>
      <c r="E146" s="101"/>
      <c r="F146" s="101"/>
      <c r="G146" s="101"/>
      <c r="H146" s="101"/>
      <c r="I146" s="115"/>
      <c r="J146" s="115"/>
      <c r="K146" s="101"/>
    </row>
    <row r="147" spans="1:11" s="103" customFormat="1" ht="13.5" customHeight="1">
      <c r="A147" s="101"/>
      <c r="B147" s="166"/>
      <c r="C147" s="101"/>
      <c r="D147" s="101"/>
      <c r="E147" s="101"/>
      <c r="F147" s="101"/>
      <c r="G147" s="101"/>
      <c r="H147" s="101"/>
      <c r="I147" s="115"/>
      <c r="J147" s="115"/>
      <c r="K147" s="101"/>
    </row>
  </sheetData>
  <mergeCells count="258">
    <mergeCell ref="D142:D143"/>
    <mergeCell ref="E142:E143"/>
    <mergeCell ref="F142:F143"/>
    <mergeCell ref="G142:G143"/>
    <mergeCell ref="D144:D145"/>
    <mergeCell ref="E144:E145"/>
    <mergeCell ref="F144:F145"/>
    <mergeCell ref="G144:G145"/>
    <mergeCell ref="D138:D139"/>
    <mergeCell ref="E138:E139"/>
    <mergeCell ref="F138:F139"/>
    <mergeCell ref="G138:G139"/>
    <mergeCell ref="D140:D141"/>
    <mergeCell ref="E140:E141"/>
    <mergeCell ref="F140:F141"/>
    <mergeCell ref="G140:G141"/>
    <mergeCell ref="D134:D135"/>
    <mergeCell ref="E134:E135"/>
    <mergeCell ref="F134:F135"/>
    <mergeCell ref="G134:G135"/>
    <mergeCell ref="D136:D137"/>
    <mergeCell ref="E136:E137"/>
    <mergeCell ref="F136:F137"/>
    <mergeCell ref="G136:G137"/>
    <mergeCell ref="D130:D131"/>
    <mergeCell ref="E130:E131"/>
    <mergeCell ref="F130:F131"/>
    <mergeCell ref="G130:G131"/>
    <mergeCell ref="D132:D133"/>
    <mergeCell ref="E132:E133"/>
    <mergeCell ref="F132:F133"/>
    <mergeCell ref="G132:G133"/>
    <mergeCell ref="D126:D127"/>
    <mergeCell ref="E126:E127"/>
    <mergeCell ref="F126:F127"/>
    <mergeCell ref="G126:G127"/>
    <mergeCell ref="D128:D129"/>
    <mergeCell ref="E128:E129"/>
    <mergeCell ref="F128:F129"/>
    <mergeCell ref="G128:G129"/>
    <mergeCell ref="D122:D123"/>
    <mergeCell ref="E122:E123"/>
    <mergeCell ref="F122:F123"/>
    <mergeCell ref="G122:G123"/>
    <mergeCell ref="D124:D125"/>
    <mergeCell ref="E124:E125"/>
    <mergeCell ref="F124:F125"/>
    <mergeCell ref="G124:G125"/>
    <mergeCell ref="D118:D119"/>
    <mergeCell ref="E118:E119"/>
    <mergeCell ref="F118:F119"/>
    <mergeCell ref="G118:G119"/>
    <mergeCell ref="D120:D121"/>
    <mergeCell ref="E120:E121"/>
    <mergeCell ref="F120:F121"/>
    <mergeCell ref="G120:G121"/>
    <mergeCell ref="D114:D115"/>
    <mergeCell ref="E114:E115"/>
    <mergeCell ref="F114:F115"/>
    <mergeCell ref="G114:G115"/>
    <mergeCell ref="D116:D117"/>
    <mergeCell ref="E116:E117"/>
    <mergeCell ref="F116:F117"/>
    <mergeCell ref="G116:G117"/>
    <mergeCell ref="D110:D111"/>
    <mergeCell ref="E110:E111"/>
    <mergeCell ref="F110:F111"/>
    <mergeCell ref="G110:G111"/>
    <mergeCell ref="D112:D113"/>
    <mergeCell ref="E112:E113"/>
    <mergeCell ref="F112:F113"/>
    <mergeCell ref="G112:G113"/>
    <mergeCell ref="D106:D107"/>
    <mergeCell ref="E106:E107"/>
    <mergeCell ref="F106:F107"/>
    <mergeCell ref="G106:G107"/>
    <mergeCell ref="D108:D109"/>
    <mergeCell ref="E108:E109"/>
    <mergeCell ref="F108:F109"/>
    <mergeCell ref="G108:G109"/>
    <mergeCell ref="D99:G99"/>
    <mergeCell ref="B103:C103"/>
    <mergeCell ref="D104:D105"/>
    <mergeCell ref="E104:E105"/>
    <mergeCell ref="F104:F105"/>
    <mergeCell ref="G104:G105"/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K49"/>
  <sheetViews>
    <sheetView zoomScaleNormal="100" zoomScaleSheetLayoutView="85" zoomScalePageLayoutView="7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106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579</v>
      </c>
      <c r="C3" s="146" t="s">
        <v>580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581</v>
      </c>
      <c r="K4" s="69"/>
    </row>
    <row r="5" spans="1:11" ht="18" customHeight="1">
      <c r="A5" s="69"/>
      <c r="B5" s="574" t="s">
        <v>582</v>
      </c>
      <c r="C5" s="575"/>
      <c r="D5" s="153" t="s">
        <v>85</v>
      </c>
      <c r="E5" s="153" t="s">
        <v>583</v>
      </c>
      <c r="F5" s="153" t="s">
        <v>584</v>
      </c>
      <c r="G5" s="153" t="s">
        <v>585</v>
      </c>
      <c r="H5" s="154" t="s">
        <v>586</v>
      </c>
      <c r="I5" s="153" t="s">
        <v>587</v>
      </c>
      <c r="J5" s="155" t="s">
        <v>588</v>
      </c>
      <c r="K5" s="69"/>
    </row>
    <row r="6" spans="1:11" ht="10.5" customHeight="1">
      <c r="A6" s="69"/>
      <c r="B6" s="156" t="s">
        <v>656</v>
      </c>
      <c r="C6" s="157"/>
      <c r="D6" s="576" t="s">
        <v>657</v>
      </c>
      <c r="E6" s="578">
        <v>267</v>
      </c>
      <c r="F6" s="580">
        <v>21000</v>
      </c>
      <c r="G6" s="582">
        <v>5607000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658</v>
      </c>
      <c r="J7" s="161"/>
      <c r="K7" s="69" t="s">
        <v>96</v>
      </c>
    </row>
    <row r="8" spans="1:11" ht="10.5" customHeight="1">
      <c r="A8" s="69"/>
      <c r="B8" s="156" t="s">
        <v>659</v>
      </c>
      <c r="C8" s="157"/>
      <c r="D8" s="576" t="s">
        <v>657</v>
      </c>
      <c r="E8" s="578">
        <v>56</v>
      </c>
      <c r="F8" s="580">
        <v>30000</v>
      </c>
      <c r="G8" s="582">
        <v>1680000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658</v>
      </c>
      <c r="J9" s="162"/>
      <c r="K9" s="69" t="s">
        <v>96</v>
      </c>
    </row>
    <row r="10" spans="1:11" ht="10.5" customHeight="1">
      <c r="A10" s="69"/>
      <c r="B10" s="156"/>
      <c r="C10" s="157"/>
      <c r="D10" s="576"/>
      <c r="E10" s="578"/>
      <c r="F10" s="580"/>
      <c r="G10" s="582"/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/>
      <c r="J11" s="161"/>
      <c r="K11" s="69" t="s">
        <v>96</v>
      </c>
    </row>
    <row r="12" spans="1:11" ht="10.5" customHeight="1">
      <c r="A12" s="69"/>
      <c r="B12" s="156" t="s">
        <v>655</v>
      </c>
      <c r="C12" s="157"/>
      <c r="D12" s="576"/>
      <c r="E12" s="584"/>
      <c r="F12" s="580"/>
      <c r="G12" s="582">
        <v>7287000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/>
      <c r="J13" s="161"/>
      <c r="K13" s="69" t="s">
        <v>96</v>
      </c>
    </row>
    <row r="14" spans="1:11" ht="10.5" customHeight="1">
      <c r="A14" s="69"/>
      <c r="B14" s="156"/>
      <c r="C14" s="157"/>
      <c r="D14" s="576"/>
      <c r="E14" s="584"/>
      <c r="F14" s="580"/>
      <c r="G14" s="582"/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/>
      <c r="J15" s="161"/>
      <c r="K15" s="69" t="s">
        <v>96</v>
      </c>
    </row>
    <row r="16" spans="1:11" ht="10.5" customHeight="1">
      <c r="A16" s="69"/>
      <c r="B16" s="156"/>
      <c r="C16" s="157"/>
      <c r="D16" s="576"/>
      <c r="E16" s="584"/>
      <c r="F16" s="580"/>
      <c r="G16" s="582"/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/>
      <c r="J17" s="161"/>
      <c r="K17" s="69" t="s">
        <v>96</v>
      </c>
    </row>
    <row r="18" spans="1:11" ht="10.5" customHeight="1">
      <c r="A18" s="69"/>
      <c r="B18" s="156"/>
      <c r="C18" s="157"/>
      <c r="D18" s="576"/>
      <c r="E18" s="584"/>
      <c r="F18" s="580"/>
      <c r="G18" s="582"/>
      <c r="H18" s="355"/>
      <c r="I18" s="355"/>
      <c r="J18" s="158"/>
      <c r="K18" s="69" t="s">
        <v>96</v>
      </c>
    </row>
    <row r="19" spans="1:11" ht="10.5" customHeight="1">
      <c r="A19" s="69"/>
      <c r="B19" s="159"/>
      <c r="C19" s="160"/>
      <c r="D19" s="577"/>
      <c r="E19" s="585"/>
      <c r="F19" s="581"/>
      <c r="G19" s="583"/>
      <c r="H19" s="356"/>
      <c r="I19" s="356"/>
      <c r="J19" s="161"/>
      <c r="K19" s="69" t="s">
        <v>96</v>
      </c>
    </row>
    <row r="20" spans="1:11" ht="10.5" customHeight="1">
      <c r="A20" s="69"/>
      <c r="B20" s="156"/>
      <c r="C20" s="157"/>
      <c r="D20" s="576"/>
      <c r="E20" s="584"/>
      <c r="F20" s="580"/>
      <c r="G20" s="582"/>
      <c r="H20" s="355"/>
      <c r="I20" s="355"/>
      <c r="J20" s="158"/>
      <c r="K20" s="69" t="s">
        <v>96</v>
      </c>
    </row>
    <row r="21" spans="1:11" ht="10.5" customHeight="1">
      <c r="A21" s="69"/>
      <c r="B21" s="159"/>
      <c r="C21" s="160"/>
      <c r="D21" s="577"/>
      <c r="E21" s="585"/>
      <c r="F21" s="581"/>
      <c r="G21" s="583"/>
      <c r="H21" s="356"/>
      <c r="I21" s="356"/>
      <c r="J21" s="161"/>
      <c r="K21" s="69" t="s">
        <v>96</v>
      </c>
    </row>
    <row r="22" spans="1:11" ht="10.5" customHeight="1">
      <c r="A22" s="69"/>
      <c r="B22" s="156"/>
      <c r="C22" s="157"/>
      <c r="D22" s="576"/>
      <c r="E22" s="584"/>
      <c r="F22" s="580"/>
      <c r="G22" s="582"/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/>
      <c r="J23" s="161"/>
      <c r="K23" s="69" t="s">
        <v>96</v>
      </c>
    </row>
    <row r="24" spans="1:11" ht="10.5" customHeight="1">
      <c r="A24" s="69"/>
      <c r="B24" s="156"/>
      <c r="C24" s="157"/>
      <c r="D24" s="576"/>
      <c r="E24" s="578"/>
      <c r="F24" s="580"/>
      <c r="G24" s="582"/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/>
      <c r="J25" s="161"/>
      <c r="K25" s="69" t="s">
        <v>96</v>
      </c>
    </row>
    <row r="26" spans="1:11" ht="10.5" customHeight="1">
      <c r="A26" s="69"/>
      <c r="B26" s="156"/>
      <c r="C26" s="157"/>
      <c r="D26" s="576"/>
      <c r="E26" s="584"/>
      <c r="F26" s="580"/>
      <c r="G26" s="582"/>
      <c r="H26" s="355"/>
      <c r="I26" s="355"/>
      <c r="J26" s="158"/>
      <c r="K26" s="69" t="s">
        <v>96</v>
      </c>
    </row>
    <row r="27" spans="1:11" ht="10.5" customHeight="1">
      <c r="A27" s="69"/>
      <c r="B27" s="159"/>
      <c r="C27" s="160"/>
      <c r="D27" s="577"/>
      <c r="E27" s="585"/>
      <c r="F27" s="581"/>
      <c r="G27" s="583"/>
      <c r="H27" s="356"/>
      <c r="I27" s="356"/>
      <c r="J27" s="161"/>
      <c r="K27" s="69" t="s">
        <v>96</v>
      </c>
    </row>
    <row r="28" spans="1:11" ht="10.5" customHeight="1">
      <c r="A28" s="69"/>
      <c r="B28" s="156"/>
      <c r="C28" s="157"/>
      <c r="D28" s="576"/>
      <c r="E28" s="584"/>
      <c r="F28" s="580"/>
      <c r="G28" s="582"/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/>
      <c r="J29" s="161"/>
      <c r="K29" s="69" t="s">
        <v>96</v>
      </c>
    </row>
    <row r="30" spans="1:11" ht="10.5" customHeight="1">
      <c r="A30" s="69"/>
      <c r="B30" s="156"/>
      <c r="C30" s="157"/>
      <c r="D30" s="576"/>
      <c r="E30" s="584"/>
      <c r="F30" s="580"/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/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/>
      <c r="C34" s="157"/>
      <c r="D34" s="576"/>
      <c r="E34" s="584"/>
      <c r="F34" s="580"/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107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579</v>
      </c>
      <c r="C3" s="146" t="s">
        <v>580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581</v>
      </c>
      <c r="K4" s="69"/>
    </row>
    <row r="5" spans="1:11" ht="18" customHeight="1">
      <c r="A5" s="69"/>
      <c r="B5" s="574" t="s">
        <v>582</v>
      </c>
      <c r="C5" s="575"/>
      <c r="D5" s="153" t="s">
        <v>85</v>
      </c>
      <c r="E5" s="153" t="s">
        <v>583</v>
      </c>
      <c r="F5" s="153" t="s">
        <v>584</v>
      </c>
      <c r="G5" s="153" t="s">
        <v>585</v>
      </c>
      <c r="H5" s="154" t="s">
        <v>586</v>
      </c>
      <c r="I5" s="153" t="s">
        <v>587</v>
      </c>
      <c r="J5" s="155" t="s">
        <v>588</v>
      </c>
      <c r="K5" s="69"/>
    </row>
    <row r="6" spans="1:11" ht="10.5" customHeight="1">
      <c r="A6" s="69"/>
      <c r="B6" s="156" t="s">
        <v>660</v>
      </c>
      <c r="C6" s="157"/>
      <c r="D6" s="576" t="s">
        <v>605</v>
      </c>
      <c r="E6" s="578">
        <v>1</v>
      </c>
      <c r="F6" s="580">
        <v>6440000</v>
      </c>
      <c r="G6" s="582">
        <v>6440000</v>
      </c>
      <c r="H6" s="355"/>
      <c r="I6" s="355"/>
      <c r="J6" s="158"/>
      <c r="K6" s="69" t="s">
        <v>96</v>
      </c>
    </row>
    <row r="7" spans="1:11" ht="10.5" customHeight="1">
      <c r="A7" s="69"/>
      <c r="B7" s="159" t="s">
        <v>661</v>
      </c>
      <c r="C7" s="160"/>
      <c r="D7" s="577"/>
      <c r="E7" s="579"/>
      <c r="F7" s="581"/>
      <c r="G7" s="583"/>
      <c r="H7" s="356"/>
      <c r="I7" s="356" t="s">
        <v>662</v>
      </c>
      <c r="J7" s="161"/>
      <c r="K7" s="69" t="s">
        <v>96</v>
      </c>
    </row>
    <row r="8" spans="1:11" ht="10.5" customHeight="1">
      <c r="A8" s="69"/>
      <c r="B8" s="156" t="s">
        <v>663</v>
      </c>
      <c r="C8" s="157"/>
      <c r="D8" s="576" t="s">
        <v>605</v>
      </c>
      <c r="E8" s="578">
        <v>1</v>
      </c>
      <c r="F8" s="580">
        <v>500000</v>
      </c>
      <c r="G8" s="582">
        <v>500000</v>
      </c>
      <c r="H8" s="355"/>
      <c r="I8" s="355"/>
      <c r="J8" s="162"/>
      <c r="K8" s="69" t="s">
        <v>96</v>
      </c>
    </row>
    <row r="9" spans="1:11" ht="10.5" customHeight="1">
      <c r="A9" s="69"/>
      <c r="B9" s="159" t="s">
        <v>661</v>
      </c>
      <c r="C9" s="160"/>
      <c r="D9" s="577"/>
      <c r="E9" s="579"/>
      <c r="F9" s="581"/>
      <c r="G9" s="583"/>
      <c r="H9" s="356"/>
      <c r="I9" s="356" t="s">
        <v>662</v>
      </c>
      <c r="J9" s="162"/>
      <c r="K9" s="69" t="s">
        <v>96</v>
      </c>
    </row>
    <row r="10" spans="1:11" ht="10.5" customHeight="1">
      <c r="A10" s="69"/>
      <c r="B10" s="156" t="s">
        <v>664</v>
      </c>
      <c r="C10" s="157"/>
      <c r="D10" s="576" t="s">
        <v>605</v>
      </c>
      <c r="E10" s="578">
        <v>1</v>
      </c>
      <c r="F10" s="580">
        <v>350000</v>
      </c>
      <c r="G10" s="582">
        <v>350000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665</v>
      </c>
      <c r="C11" s="160"/>
      <c r="D11" s="577"/>
      <c r="E11" s="579"/>
      <c r="F11" s="581"/>
      <c r="G11" s="583"/>
      <c r="H11" s="356"/>
      <c r="I11" s="356" t="s">
        <v>662</v>
      </c>
      <c r="J11" s="161"/>
      <c r="K11" s="69" t="s">
        <v>96</v>
      </c>
    </row>
    <row r="12" spans="1:11" ht="10.5" customHeight="1">
      <c r="A12" s="69"/>
      <c r="B12" s="156" t="s">
        <v>666</v>
      </c>
      <c r="C12" s="157"/>
      <c r="D12" s="576" t="s">
        <v>605</v>
      </c>
      <c r="E12" s="584">
        <v>1</v>
      </c>
      <c r="F12" s="580">
        <v>540000</v>
      </c>
      <c r="G12" s="582">
        <v>540000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667</v>
      </c>
      <c r="C13" s="160"/>
      <c r="D13" s="577"/>
      <c r="E13" s="585"/>
      <c r="F13" s="581"/>
      <c r="G13" s="583"/>
      <c r="H13" s="356"/>
      <c r="I13" s="356" t="s">
        <v>662</v>
      </c>
      <c r="J13" s="161"/>
      <c r="K13" s="69" t="s">
        <v>96</v>
      </c>
    </row>
    <row r="14" spans="1:11" ht="10.5" customHeight="1">
      <c r="A14" s="69"/>
      <c r="B14" s="156" t="s">
        <v>668</v>
      </c>
      <c r="C14" s="157"/>
      <c r="D14" s="576" t="s">
        <v>605</v>
      </c>
      <c r="E14" s="584">
        <v>1</v>
      </c>
      <c r="F14" s="580">
        <v>19670000</v>
      </c>
      <c r="G14" s="582">
        <v>19670000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661</v>
      </c>
      <c r="C15" s="160"/>
      <c r="D15" s="577"/>
      <c r="E15" s="585"/>
      <c r="F15" s="581"/>
      <c r="G15" s="583"/>
      <c r="H15" s="356"/>
      <c r="I15" s="356" t="s">
        <v>662</v>
      </c>
      <c r="J15" s="161"/>
      <c r="K15" s="69" t="s">
        <v>96</v>
      </c>
    </row>
    <row r="16" spans="1:11" ht="10.5" customHeight="1">
      <c r="A16" s="69"/>
      <c r="B16" s="156" t="s">
        <v>669</v>
      </c>
      <c r="C16" s="157"/>
      <c r="D16" s="576" t="s">
        <v>657</v>
      </c>
      <c r="E16" s="584">
        <v>65</v>
      </c>
      <c r="F16" s="580">
        <v>20000</v>
      </c>
      <c r="G16" s="582">
        <v>1300000</v>
      </c>
      <c r="H16" s="355"/>
      <c r="I16" s="355"/>
      <c r="J16" s="158"/>
      <c r="K16" s="69" t="s">
        <v>96</v>
      </c>
    </row>
    <row r="17" spans="1:11" ht="10.5" customHeight="1">
      <c r="A17" s="69"/>
      <c r="B17" s="159"/>
      <c r="C17" s="160"/>
      <c r="D17" s="577"/>
      <c r="E17" s="585"/>
      <c r="F17" s="581"/>
      <c r="G17" s="583"/>
      <c r="H17" s="356"/>
      <c r="I17" s="356" t="s">
        <v>662</v>
      </c>
      <c r="J17" s="161"/>
      <c r="K17" s="69" t="s">
        <v>96</v>
      </c>
    </row>
    <row r="18" spans="1:11" ht="10.5" customHeight="1">
      <c r="A18" s="69"/>
      <c r="B18" s="156" t="s">
        <v>670</v>
      </c>
      <c r="C18" s="157"/>
      <c r="D18" s="576" t="s">
        <v>671</v>
      </c>
      <c r="E18" s="584">
        <v>2741</v>
      </c>
      <c r="F18" s="580">
        <v>300</v>
      </c>
      <c r="G18" s="582">
        <v>822300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661</v>
      </c>
      <c r="C19" s="160"/>
      <c r="D19" s="577"/>
      <c r="E19" s="585"/>
      <c r="F19" s="581"/>
      <c r="G19" s="583"/>
      <c r="H19" s="356"/>
      <c r="I19" s="356" t="s">
        <v>662</v>
      </c>
      <c r="J19" s="161"/>
      <c r="K19" s="69" t="s">
        <v>96</v>
      </c>
    </row>
    <row r="20" spans="1:11" ht="10.5" customHeight="1">
      <c r="A20" s="69"/>
      <c r="B20" s="156" t="s">
        <v>672</v>
      </c>
      <c r="C20" s="157"/>
      <c r="D20" s="576" t="s">
        <v>671</v>
      </c>
      <c r="E20" s="584">
        <v>6968</v>
      </c>
      <c r="F20" s="580">
        <v>2599</v>
      </c>
      <c r="G20" s="582">
        <v>18109832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661</v>
      </c>
      <c r="C21" s="160"/>
      <c r="D21" s="577"/>
      <c r="E21" s="585"/>
      <c r="F21" s="581"/>
      <c r="G21" s="583"/>
      <c r="H21" s="356"/>
      <c r="I21" s="356" t="s">
        <v>662</v>
      </c>
      <c r="J21" s="161"/>
      <c r="K21" s="69" t="s">
        <v>96</v>
      </c>
    </row>
    <row r="22" spans="1:11" ht="10.5" customHeight="1">
      <c r="A22" s="69"/>
      <c r="B22" s="156" t="s">
        <v>673</v>
      </c>
      <c r="C22" s="157"/>
      <c r="D22" s="576" t="s">
        <v>674</v>
      </c>
      <c r="E22" s="584">
        <v>2</v>
      </c>
      <c r="F22" s="580">
        <v>50000</v>
      </c>
      <c r="G22" s="582">
        <v>100000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662</v>
      </c>
      <c r="J23" s="161"/>
      <c r="K23" s="69" t="s">
        <v>96</v>
      </c>
    </row>
    <row r="24" spans="1:11" ht="10.5" customHeight="1">
      <c r="A24" s="69"/>
      <c r="B24" s="156" t="s">
        <v>675</v>
      </c>
      <c r="C24" s="157"/>
      <c r="D24" s="576" t="s">
        <v>605</v>
      </c>
      <c r="E24" s="578">
        <v>1</v>
      </c>
      <c r="F24" s="580">
        <v>670000</v>
      </c>
      <c r="G24" s="582">
        <v>670000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676</v>
      </c>
      <c r="C25" s="160"/>
      <c r="D25" s="577"/>
      <c r="E25" s="579"/>
      <c r="F25" s="581"/>
      <c r="G25" s="583"/>
      <c r="H25" s="356"/>
      <c r="I25" s="356" t="s">
        <v>662</v>
      </c>
      <c r="J25" s="161"/>
      <c r="K25" s="69" t="s">
        <v>96</v>
      </c>
    </row>
    <row r="26" spans="1:11" ht="10.5" customHeight="1">
      <c r="A26" s="69"/>
      <c r="B26" s="156" t="s">
        <v>675</v>
      </c>
      <c r="C26" s="157"/>
      <c r="D26" s="576" t="s">
        <v>605</v>
      </c>
      <c r="E26" s="584">
        <v>1</v>
      </c>
      <c r="F26" s="580">
        <v>472000</v>
      </c>
      <c r="G26" s="582">
        <v>472000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677</v>
      </c>
      <c r="C27" s="160"/>
      <c r="D27" s="577"/>
      <c r="E27" s="585"/>
      <c r="F27" s="581"/>
      <c r="G27" s="583"/>
      <c r="H27" s="356"/>
      <c r="I27" s="356" t="s">
        <v>662</v>
      </c>
      <c r="J27" s="161"/>
      <c r="K27" s="69" t="s">
        <v>96</v>
      </c>
    </row>
    <row r="28" spans="1:11" ht="10.5" customHeight="1">
      <c r="A28" s="69"/>
      <c r="B28" s="156" t="s">
        <v>675</v>
      </c>
      <c r="C28" s="157"/>
      <c r="D28" s="576" t="s">
        <v>605</v>
      </c>
      <c r="E28" s="584">
        <v>1</v>
      </c>
      <c r="F28" s="580">
        <v>4100000</v>
      </c>
      <c r="G28" s="582">
        <v>4100000</v>
      </c>
      <c r="H28" s="355"/>
      <c r="I28" s="355"/>
      <c r="J28" s="158"/>
      <c r="K28" s="69" t="s">
        <v>96</v>
      </c>
    </row>
    <row r="29" spans="1:11" ht="10.5" customHeight="1">
      <c r="A29" s="69"/>
      <c r="B29" s="159" t="s">
        <v>678</v>
      </c>
      <c r="C29" s="160"/>
      <c r="D29" s="577"/>
      <c r="E29" s="585"/>
      <c r="F29" s="581"/>
      <c r="G29" s="583"/>
      <c r="H29" s="356"/>
      <c r="I29" s="356" t="s">
        <v>662</v>
      </c>
      <c r="J29" s="161"/>
      <c r="K29" s="69" t="s">
        <v>96</v>
      </c>
    </row>
    <row r="30" spans="1:11" ht="10.5" customHeight="1">
      <c r="A30" s="69"/>
      <c r="B30" s="156" t="s">
        <v>679</v>
      </c>
      <c r="C30" s="157"/>
      <c r="D30" s="576" t="s">
        <v>671</v>
      </c>
      <c r="E30" s="584">
        <v>6968</v>
      </c>
      <c r="F30" s="580">
        <v>3968</v>
      </c>
      <c r="G30" s="582">
        <v>27649024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661</v>
      </c>
      <c r="C31" s="160"/>
      <c r="D31" s="577"/>
      <c r="E31" s="585"/>
      <c r="F31" s="581"/>
      <c r="G31" s="583"/>
      <c r="H31" s="356"/>
      <c r="I31" s="356" t="s">
        <v>662</v>
      </c>
      <c r="J31" s="161"/>
      <c r="K31" s="69" t="s">
        <v>96</v>
      </c>
    </row>
    <row r="32" spans="1:11" ht="10.5" customHeight="1">
      <c r="A32" s="69"/>
      <c r="B32" s="156"/>
      <c r="C32" s="157"/>
      <c r="D32" s="576"/>
      <c r="E32" s="584"/>
      <c r="F32" s="580"/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/>
      <c r="J33" s="161"/>
      <c r="K33" s="69" t="s">
        <v>96</v>
      </c>
    </row>
    <row r="34" spans="1:11" ht="10.5" customHeight="1">
      <c r="A34" s="69"/>
      <c r="B34" s="156" t="s">
        <v>655</v>
      </c>
      <c r="C34" s="157"/>
      <c r="D34" s="576"/>
      <c r="E34" s="584"/>
      <c r="F34" s="580"/>
      <c r="G34" s="582">
        <v>80723156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/>
      <c r="J35" s="161"/>
      <c r="K35" s="69" t="s">
        <v>96</v>
      </c>
    </row>
    <row r="36" spans="1:11" ht="10.5" customHeight="1">
      <c r="A36" s="69"/>
      <c r="B36" s="156"/>
      <c r="C36" s="157"/>
      <c r="D36" s="576"/>
      <c r="E36" s="584"/>
      <c r="F36" s="580"/>
      <c r="G36" s="582"/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/>
      <c r="J37" s="161"/>
      <c r="K37" s="69" t="s">
        <v>96</v>
      </c>
    </row>
    <row r="38" spans="1:11" ht="10.5" customHeight="1">
      <c r="A38" s="69"/>
      <c r="B38" s="156"/>
      <c r="C38" s="157"/>
      <c r="D38" s="576"/>
      <c r="E38" s="584"/>
      <c r="F38" s="580"/>
      <c r="G38" s="582"/>
      <c r="H38" s="355"/>
      <c r="I38" s="355"/>
      <c r="J38" s="158"/>
      <c r="K38" s="69" t="s">
        <v>96</v>
      </c>
    </row>
    <row r="39" spans="1:11" ht="10.5" customHeight="1">
      <c r="A39" s="69"/>
      <c r="B39" s="159"/>
      <c r="C39" s="160"/>
      <c r="D39" s="577"/>
      <c r="E39" s="585"/>
      <c r="F39" s="581"/>
      <c r="G39" s="583"/>
      <c r="H39" s="356"/>
      <c r="I39" s="356"/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/>
      <c r="C42" s="157"/>
      <c r="D42" s="576"/>
      <c r="E42" s="584"/>
      <c r="F42" s="580"/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1:K98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108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579</v>
      </c>
      <c r="C3" s="146" t="s">
        <v>580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581</v>
      </c>
      <c r="K4" s="69"/>
    </row>
    <row r="5" spans="1:11" ht="18" customHeight="1">
      <c r="A5" s="69"/>
      <c r="B5" s="574" t="s">
        <v>582</v>
      </c>
      <c r="C5" s="575"/>
      <c r="D5" s="153" t="s">
        <v>85</v>
      </c>
      <c r="E5" s="153" t="s">
        <v>583</v>
      </c>
      <c r="F5" s="153" t="s">
        <v>584</v>
      </c>
      <c r="G5" s="153" t="s">
        <v>585</v>
      </c>
      <c r="H5" s="154" t="s">
        <v>586</v>
      </c>
      <c r="I5" s="153" t="s">
        <v>587</v>
      </c>
      <c r="J5" s="155" t="s">
        <v>588</v>
      </c>
      <c r="K5" s="69"/>
    </row>
    <row r="6" spans="1:11" ht="10.5" customHeight="1">
      <c r="A6" s="69"/>
      <c r="B6" s="156" t="s">
        <v>680</v>
      </c>
      <c r="C6" s="157"/>
      <c r="D6" s="576" t="s">
        <v>681</v>
      </c>
      <c r="E6" s="578">
        <v>55</v>
      </c>
      <c r="F6" s="580">
        <v>8000</v>
      </c>
      <c r="G6" s="582">
        <v>440000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682</v>
      </c>
      <c r="J7" s="161"/>
      <c r="K7" s="69" t="s">
        <v>96</v>
      </c>
    </row>
    <row r="8" spans="1:11" ht="10.5" customHeight="1">
      <c r="A8" s="69"/>
      <c r="B8" s="156" t="s">
        <v>683</v>
      </c>
      <c r="C8" s="157"/>
      <c r="D8" s="576" t="s">
        <v>681</v>
      </c>
      <c r="E8" s="578">
        <v>1</v>
      </c>
      <c r="F8" s="580">
        <v>10000</v>
      </c>
      <c r="G8" s="582">
        <v>10000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682</v>
      </c>
      <c r="J9" s="162"/>
      <c r="K9" s="69" t="s">
        <v>96</v>
      </c>
    </row>
    <row r="10" spans="1:11" ht="10.5" customHeight="1">
      <c r="A10" s="69"/>
      <c r="B10" s="156" t="s">
        <v>684</v>
      </c>
      <c r="C10" s="157"/>
      <c r="D10" s="576" t="s">
        <v>632</v>
      </c>
      <c r="E10" s="578">
        <v>6</v>
      </c>
      <c r="F10" s="580">
        <v>120000</v>
      </c>
      <c r="G10" s="582">
        <v>720000</v>
      </c>
      <c r="H10" s="355"/>
      <c r="I10" s="355"/>
      <c r="J10" s="158"/>
      <c r="K10" s="69" t="s">
        <v>96</v>
      </c>
    </row>
    <row r="11" spans="1:11" ht="10.5" customHeight="1">
      <c r="A11" s="69"/>
      <c r="B11" s="159"/>
      <c r="C11" s="160"/>
      <c r="D11" s="577"/>
      <c r="E11" s="579"/>
      <c r="F11" s="581"/>
      <c r="G11" s="583"/>
      <c r="H11" s="356"/>
      <c r="I11" s="356" t="s">
        <v>682</v>
      </c>
      <c r="J11" s="161"/>
      <c r="K11" s="69" t="s">
        <v>96</v>
      </c>
    </row>
    <row r="12" spans="1:11" ht="10.5" customHeight="1">
      <c r="A12" s="69"/>
      <c r="B12" s="156" t="s">
        <v>685</v>
      </c>
      <c r="C12" s="157"/>
      <c r="D12" s="576" t="s">
        <v>632</v>
      </c>
      <c r="E12" s="584">
        <v>1</v>
      </c>
      <c r="F12" s="580">
        <v>400000</v>
      </c>
      <c r="G12" s="582">
        <v>400000</v>
      </c>
      <c r="H12" s="355"/>
      <c r="I12" s="355"/>
      <c r="J12" s="158"/>
      <c r="K12" s="69" t="s">
        <v>96</v>
      </c>
    </row>
    <row r="13" spans="1:11" ht="10.5" customHeight="1">
      <c r="A13" s="69"/>
      <c r="B13" s="159" t="s">
        <v>686</v>
      </c>
      <c r="C13" s="160"/>
      <c r="D13" s="577"/>
      <c r="E13" s="585"/>
      <c r="F13" s="581"/>
      <c r="G13" s="583"/>
      <c r="H13" s="356"/>
      <c r="I13" s="356" t="s">
        <v>682</v>
      </c>
      <c r="J13" s="161"/>
      <c r="K13" s="69" t="s">
        <v>96</v>
      </c>
    </row>
    <row r="14" spans="1:11" ht="10.5" customHeight="1">
      <c r="A14" s="69"/>
      <c r="B14" s="156" t="s">
        <v>687</v>
      </c>
      <c r="C14" s="157"/>
      <c r="D14" s="576" t="s">
        <v>632</v>
      </c>
      <c r="E14" s="584">
        <v>6</v>
      </c>
      <c r="F14" s="580">
        <v>60000</v>
      </c>
      <c r="G14" s="582">
        <v>360000</v>
      </c>
      <c r="H14" s="355"/>
      <c r="I14" s="355"/>
      <c r="J14" s="158"/>
      <c r="K14" s="69" t="s">
        <v>96</v>
      </c>
    </row>
    <row r="15" spans="1:11" ht="10.5" customHeight="1">
      <c r="A15" s="69"/>
      <c r="B15" s="159"/>
      <c r="C15" s="160"/>
      <c r="D15" s="577"/>
      <c r="E15" s="585"/>
      <c r="F15" s="581"/>
      <c r="G15" s="583"/>
      <c r="H15" s="356"/>
      <c r="I15" s="356" t="s">
        <v>682</v>
      </c>
      <c r="J15" s="161"/>
      <c r="K15" s="69" t="s">
        <v>96</v>
      </c>
    </row>
    <row r="16" spans="1:11" ht="10.5" customHeight="1">
      <c r="A16" s="69"/>
      <c r="B16" s="156" t="s">
        <v>688</v>
      </c>
      <c r="C16" s="157"/>
      <c r="D16" s="576" t="s">
        <v>632</v>
      </c>
      <c r="E16" s="584">
        <v>6</v>
      </c>
      <c r="F16" s="580">
        <v>80000</v>
      </c>
      <c r="G16" s="582">
        <v>480000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689</v>
      </c>
      <c r="C17" s="160"/>
      <c r="D17" s="577"/>
      <c r="E17" s="585"/>
      <c r="F17" s="581"/>
      <c r="G17" s="583"/>
      <c r="H17" s="356"/>
      <c r="I17" s="356" t="s">
        <v>682</v>
      </c>
      <c r="J17" s="161"/>
      <c r="K17" s="69" t="s">
        <v>96</v>
      </c>
    </row>
    <row r="18" spans="1:11" ht="10.5" customHeight="1">
      <c r="A18" s="69"/>
      <c r="B18" s="156" t="s">
        <v>688</v>
      </c>
      <c r="C18" s="157"/>
      <c r="D18" s="576" t="s">
        <v>681</v>
      </c>
      <c r="E18" s="584">
        <v>9</v>
      </c>
      <c r="F18" s="580">
        <v>5500</v>
      </c>
      <c r="G18" s="582">
        <v>49500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689</v>
      </c>
      <c r="C19" s="160"/>
      <c r="D19" s="577"/>
      <c r="E19" s="585"/>
      <c r="F19" s="581"/>
      <c r="G19" s="583"/>
      <c r="H19" s="356"/>
      <c r="I19" s="356" t="s">
        <v>682</v>
      </c>
      <c r="J19" s="161"/>
      <c r="K19" s="69" t="s">
        <v>96</v>
      </c>
    </row>
    <row r="20" spans="1:11" ht="10.5" customHeight="1">
      <c r="A20" s="69"/>
      <c r="B20" s="156" t="s">
        <v>690</v>
      </c>
      <c r="C20" s="157"/>
      <c r="D20" s="576" t="s">
        <v>632</v>
      </c>
      <c r="E20" s="584">
        <v>6</v>
      </c>
      <c r="F20" s="580">
        <v>50000</v>
      </c>
      <c r="G20" s="582">
        <v>300000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691</v>
      </c>
      <c r="C21" s="160"/>
      <c r="D21" s="577"/>
      <c r="E21" s="585"/>
      <c r="F21" s="581"/>
      <c r="G21" s="583"/>
      <c r="H21" s="356"/>
      <c r="I21" s="356" t="s">
        <v>682</v>
      </c>
      <c r="J21" s="161"/>
      <c r="K21" s="69" t="s">
        <v>96</v>
      </c>
    </row>
    <row r="22" spans="1:11" ht="10.5" customHeight="1">
      <c r="A22" s="69"/>
      <c r="B22" s="156" t="s">
        <v>692</v>
      </c>
      <c r="C22" s="157"/>
      <c r="D22" s="576" t="s">
        <v>681</v>
      </c>
      <c r="E22" s="584">
        <v>2</v>
      </c>
      <c r="F22" s="580">
        <v>50000</v>
      </c>
      <c r="G22" s="582">
        <v>100000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682</v>
      </c>
      <c r="J23" s="161"/>
      <c r="K23" s="69" t="s">
        <v>96</v>
      </c>
    </row>
    <row r="24" spans="1:11" ht="10.5" customHeight="1">
      <c r="A24" s="69"/>
      <c r="B24" s="156" t="s">
        <v>693</v>
      </c>
      <c r="C24" s="157"/>
      <c r="D24" s="576" t="s">
        <v>632</v>
      </c>
      <c r="E24" s="578">
        <v>2</v>
      </c>
      <c r="F24" s="580">
        <v>260000</v>
      </c>
      <c r="G24" s="582">
        <v>520000</v>
      </c>
      <c r="H24" s="355"/>
      <c r="I24" s="355"/>
      <c r="J24" s="158"/>
      <c r="K24" s="69" t="s">
        <v>96</v>
      </c>
    </row>
    <row r="25" spans="1:11" ht="10.5" customHeight="1">
      <c r="A25" s="69"/>
      <c r="B25" s="159"/>
      <c r="C25" s="160"/>
      <c r="D25" s="577"/>
      <c r="E25" s="579"/>
      <c r="F25" s="581"/>
      <c r="G25" s="583"/>
      <c r="H25" s="356"/>
      <c r="I25" s="356" t="s">
        <v>682</v>
      </c>
      <c r="J25" s="161"/>
      <c r="K25" s="69" t="s">
        <v>96</v>
      </c>
    </row>
    <row r="26" spans="1:11" ht="10.5" customHeight="1">
      <c r="A26" s="69"/>
      <c r="B26" s="156" t="s">
        <v>694</v>
      </c>
      <c r="C26" s="157"/>
      <c r="D26" s="576" t="s">
        <v>632</v>
      </c>
      <c r="E26" s="584">
        <v>6</v>
      </c>
      <c r="F26" s="580">
        <v>30000</v>
      </c>
      <c r="G26" s="582">
        <v>180000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695</v>
      </c>
      <c r="C27" s="160"/>
      <c r="D27" s="577"/>
      <c r="E27" s="585"/>
      <c r="F27" s="581"/>
      <c r="G27" s="583"/>
      <c r="H27" s="356"/>
      <c r="I27" s="356" t="s">
        <v>682</v>
      </c>
      <c r="J27" s="161"/>
      <c r="K27" s="69" t="s">
        <v>96</v>
      </c>
    </row>
    <row r="28" spans="1:11" ht="10.5" customHeight="1">
      <c r="A28" s="69"/>
      <c r="B28" s="156" t="s">
        <v>696</v>
      </c>
      <c r="C28" s="157"/>
      <c r="D28" s="576" t="s">
        <v>605</v>
      </c>
      <c r="E28" s="584">
        <v>1</v>
      </c>
      <c r="F28" s="580">
        <v>32000</v>
      </c>
      <c r="G28" s="582">
        <v>32000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682</v>
      </c>
      <c r="J29" s="161"/>
      <c r="K29" s="69" t="s">
        <v>96</v>
      </c>
    </row>
    <row r="30" spans="1:11" ht="10.5" customHeight="1">
      <c r="A30" s="69"/>
      <c r="B30" s="156" t="s">
        <v>697</v>
      </c>
      <c r="C30" s="157"/>
      <c r="D30" s="576" t="s">
        <v>681</v>
      </c>
      <c r="E30" s="584">
        <v>16</v>
      </c>
      <c r="F30" s="580">
        <v>2000</v>
      </c>
      <c r="G30" s="582">
        <v>32000</v>
      </c>
      <c r="H30" s="355"/>
      <c r="I30" s="355"/>
      <c r="J30" s="158"/>
      <c r="K30" s="69" t="s">
        <v>96</v>
      </c>
    </row>
    <row r="31" spans="1:11" ht="10.5" customHeight="1">
      <c r="A31" s="69"/>
      <c r="B31" s="159" t="s">
        <v>698</v>
      </c>
      <c r="C31" s="160"/>
      <c r="D31" s="577"/>
      <c r="E31" s="585"/>
      <c r="F31" s="581"/>
      <c r="G31" s="583"/>
      <c r="H31" s="356"/>
      <c r="I31" s="356" t="s">
        <v>682</v>
      </c>
      <c r="J31" s="161"/>
      <c r="K31" s="69" t="s">
        <v>96</v>
      </c>
    </row>
    <row r="32" spans="1:11" ht="10.5" customHeight="1">
      <c r="A32" s="69"/>
      <c r="B32" s="156" t="s">
        <v>699</v>
      </c>
      <c r="C32" s="157"/>
      <c r="D32" s="576" t="s">
        <v>681</v>
      </c>
      <c r="E32" s="584">
        <v>39</v>
      </c>
      <c r="F32" s="580">
        <v>1000</v>
      </c>
      <c r="G32" s="582">
        <v>39000</v>
      </c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682</v>
      </c>
      <c r="J33" s="161"/>
      <c r="K33" s="69" t="s">
        <v>96</v>
      </c>
    </row>
    <row r="34" spans="1:11" ht="10.5" customHeight="1">
      <c r="A34" s="69"/>
      <c r="B34" s="156" t="s">
        <v>700</v>
      </c>
      <c r="C34" s="157"/>
      <c r="D34" s="576" t="s">
        <v>681</v>
      </c>
      <c r="E34" s="584">
        <v>24</v>
      </c>
      <c r="F34" s="580">
        <v>1000</v>
      </c>
      <c r="G34" s="582">
        <v>24000</v>
      </c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682</v>
      </c>
      <c r="J35" s="161"/>
      <c r="K35" s="69" t="s">
        <v>96</v>
      </c>
    </row>
    <row r="36" spans="1:11" ht="10.5" customHeight="1">
      <c r="A36" s="69"/>
      <c r="B36" s="156" t="s">
        <v>701</v>
      </c>
      <c r="C36" s="157"/>
      <c r="D36" s="576" t="s">
        <v>632</v>
      </c>
      <c r="E36" s="584">
        <v>6</v>
      </c>
      <c r="F36" s="580">
        <v>3900</v>
      </c>
      <c r="G36" s="582">
        <v>23400</v>
      </c>
      <c r="H36" s="355"/>
      <c r="I36" s="355"/>
      <c r="J36" s="158"/>
      <c r="K36" s="69" t="s">
        <v>96</v>
      </c>
    </row>
    <row r="37" spans="1:11" ht="10.5" customHeight="1">
      <c r="A37" s="69"/>
      <c r="B37" s="159"/>
      <c r="C37" s="160"/>
      <c r="D37" s="577"/>
      <c r="E37" s="585"/>
      <c r="F37" s="581"/>
      <c r="G37" s="583"/>
      <c r="H37" s="356"/>
      <c r="I37" s="356" t="s">
        <v>682</v>
      </c>
      <c r="J37" s="161"/>
      <c r="K37" s="69" t="s">
        <v>96</v>
      </c>
    </row>
    <row r="38" spans="1:11" ht="10.5" customHeight="1">
      <c r="A38" s="69"/>
      <c r="B38" s="156" t="s">
        <v>702</v>
      </c>
      <c r="C38" s="157"/>
      <c r="D38" s="576" t="s">
        <v>681</v>
      </c>
      <c r="E38" s="584">
        <v>9</v>
      </c>
      <c r="F38" s="580">
        <v>6000</v>
      </c>
      <c r="G38" s="582">
        <v>54000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703</v>
      </c>
      <c r="C39" s="160"/>
      <c r="D39" s="577"/>
      <c r="E39" s="585"/>
      <c r="F39" s="581"/>
      <c r="G39" s="583"/>
      <c r="H39" s="356"/>
      <c r="I39" s="356" t="s">
        <v>682</v>
      </c>
      <c r="J39" s="161"/>
      <c r="K39" s="69" t="s">
        <v>96</v>
      </c>
    </row>
    <row r="40" spans="1:11" ht="10.5" customHeight="1">
      <c r="A40" s="69"/>
      <c r="B40" s="156" t="s">
        <v>704</v>
      </c>
      <c r="C40" s="157"/>
      <c r="D40" s="576" t="s">
        <v>632</v>
      </c>
      <c r="E40" s="584">
        <v>6</v>
      </c>
      <c r="F40" s="580">
        <v>30000</v>
      </c>
      <c r="G40" s="582">
        <v>180000</v>
      </c>
      <c r="H40" s="355"/>
      <c r="I40" s="355"/>
      <c r="J40" s="158"/>
      <c r="K40" s="69" t="s">
        <v>96</v>
      </c>
    </row>
    <row r="41" spans="1:11" ht="10.5" customHeight="1">
      <c r="A41" s="69"/>
      <c r="B41" s="159" t="s">
        <v>705</v>
      </c>
      <c r="C41" s="160"/>
      <c r="D41" s="577"/>
      <c r="E41" s="585"/>
      <c r="F41" s="581"/>
      <c r="G41" s="583"/>
      <c r="H41" s="356"/>
      <c r="I41" s="356" t="s">
        <v>682</v>
      </c>
      <c r="J41" s="161"/>
      <c r="K41" s="69" t="s">
        <v>96</v>
      </c>
    </row>
    <row r="42" spans="1:11" ht="10.5" customHeight="1">
      <c r="A42" s="69"/>
      <c r="B42" s="156" t="s">
        <v>706</v>
      </c>
      <c r="C42" s="157"/>
      <c r="D42" s="576" t="s">
        <v>632</v>
      </c>
      <c r="E42" s="584"/>
      <c r="F42" s="580">
        <v>50000</v>
      </c>
      <c r="G42" s="582"/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 t="s">
        <v>682</v>
      </c>
      <c r="J43" s="161"/>
      <c r="K43" s="69" t="s">
        <v>96</v>
      </c>
    </row>
    <row r="44" spans="1:11" ht="10.5" customHeight="1">
      <c r="A44" s="69"/>
      <c r="B44" s="156" t="s">
        <v>707</v>
      </c>
      <c r="C44" s="157"/>
      <c r="D44" s="576" t="s">
        <v>605</v>
      </c>
      <c r="E44" s="584">
        <v>1</v>
      </c>
      <c r="F44" s="580">
        <v>22000</v>
      </c>
      <c r="G44" s="582">
        <v>22000</v>
      </c>
      <c r="H44" s="355"/>
      <c r="I44" s="355"/>
      <c r="J44" s="158"/>
      <c r="K44" s="69" t="s">
        <v>96</v>
      </c>
    </row>
    <row r="45" spans="1:11" ht="10.5" customHeight="1">
      <c r="A45" s="69"/>
      <c r="B45" s="159" t="s">
        <v>708</v>
      </c>
      <c r="C45" s="160"/>
      <c r="D45" s="577"/>
      <c r="E45" s="585"/>
      <c r="F45" s="581"/>
      <c r="G45" s="583"/>
      <c r="H45" s="356"/>
      <c r="I45" s="356" t="s">
        <v>682</v>
      </c>
      <c r="J45" s="161"/>
      <c r="K45" s="69" t="s">
        <v>96</v>
      </c>
    </row>
    <row r="46" spans="1:11" ht="10.5" customHeight="1">
      <c r="A46" s="69"/>
      <c r="B46" s="156" t="s">
        <v>707</v>
      </c>
      <c r="C46" s="157"/>
      <c r="D46" s="586" t="s">
        <v>632</v>
      </c>
      <c r="E46" s="588">
        <v>6</v>
      </c>
      <c r="F46" s="590">
        <v>48000</v>
      </c>
      <c r="G46" s="592">
        <v>288000</v>
      </c>
      <c r="H46" s="355"/>
      <c r="I46" s="355"/>
      <c r="J46" s="162"/>
      <c r="K46" s="69" t="s">
        <v>96</v>
      </c>
    </row>
    <row r="47" spans="1:11" ht="10.5" customHeight="1" thickBot="1">
      <c r="A47" s="69"/>
      <c r="B47" s="163" t="s">
        <v>709</v>
      </c>
      <c r="C47" s="164"/>
      <c r="D47" s="587"/>
      <c r="E47" s="589"/>
      <c r="F47" s="591"/>
      <c r="G47" s="593"/>
      <c r="H47" s="357"/>
      <c r="I47" s="357" t="s">
        <v>682</v>
      </c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  <row r="50" spans="1:11" ht="26.1" customHeight="1" thickBot="1">
      <c r="B50" s="142"/>
      <c r="C50" s="142"/>
      <c r="D50" s="533" t="s">
        <v>710</v>
      </c>
      <c r="E50" s="533"/>
      <c r="F50" s="533"/>
      <c r="G50" s="533"/>
      <c r="H50" s="69"/>
      <c r="I50" s="69"/>
      <c r="J50" s="69"/>
      <c r="K50" s="69"/>
    </row>
    <row r="51" spans="1:11" ht="13.5" customHeight="1">
      <c r="A51" s="143"/>
      <c r="B51" s="143"/>
      <c r="C51" s="143"/>
      <c r="D51" s="143"/>
      <c r="E51" s="143"/>
      <c r="F51" s="143"/>
      <c r="G51" s="143"/>
      <c r="H51" s="143"/>
      <c r="I51" s="143"/>
      <c r="J51" s="143"/>
      <c r="K51" s="143"/>
    </row>
    <row r="52" spans="1:11" ht="21" customHeight="1">
      <c r="A52" s="144"/>
      <c r="B52" s="145" t="s">
        <v>579</v>
      </c>
      <c r="C52" s="146" t="s">
        <v>580</v>
      </c>
      <c r="D52" s="147"/>
      <c r="E52" s="148"/>
      <c r="F52" s="149"/>
      <c r="G52" s="149"/>
      <c r="H52" s="149"/>
      <c r="I52" s="149"/>
      <c r="J52" s="150"/>
      <c r="K52" s="144"/>
    </row>
    <row r="53" spans="1:11" ht="12.75" customHeight="1" thickBot="1">
      <c r="A53" s="69"/>
      <c r="B53" s="151"/>
      <c r="C53" s="151"/>
      <c r="D53" s="151"/>
      <c r="E53" s="151"/>
      <c r="F53" s="151"/>
      <c r="G53" s="151"/>
      <c r="H53" s="151"/>
      <c r="I53" s="151"/>
      <c r="J53" s="152" t="s">
        <v>581</v>
      </c>
      <c r="K53" s="69"/>
    </row>
    <row r="54" spans="1:11" ht="18" customHeight="1">
      <c r="A54" s="69"/>
      <c r="B54" s="574" t="s">
        <v>582</v>
      </c>
      <c r="C54" s="575"/>
      <c r="D54" s="153" t="s">
        <v>85</v>
      </c>
      <c r="E54" s="153" t="s">
        <v>583</v>
      </c>
      <c r="F54" s="153" t="s">
        <v>584</v>
      </c>
      <c r="G54" s="153" t="s">
        <v>585</v>
      </c>
      <c r="H54" s="154" t="s">
        <v>586</v>
      </c>
      <c r="I54" s="153" t="s">
        <v>587</v>
      </c>
      <c r="J54" s="155" t="s">
        <v>588</v>
      </c>
      <c r="K54" s="69"/>
    </row>
    <row r="55" spans="1:11" ht="10.5" customHeight="1">
      <c r="A55" s="69"/>
      <c r="B55" s="156" t="s">
        <v>711</v>
      </c>
      <c r="C55" s="157"/>
      <c r="D55" s="576" t="s">
        <v>681</v>
      </c>
      <c r="E55" s="578">
        <v>13</v>
      </c>
      <c r="F55" s="580">
        <v>3000</v>
      </c>
      <c r="G55" s="582">
        <v>39000</v>
      </c>
      <c r="H55" s="355"/>
      <c r="I55" s="355"/>
      <c r="J55" s="158"/>
      <c r="K55" s="69" t="s">
        <v>96</v>
      </c>
    </row>
    <row r="56" spans="1:11" ht="10.5" customHeight="1">
      <c r="A56" s="69"/>
      <c r="B56" s="159"/>
      <c r="C56" s="160"/>
      <c r="D56" s="577"/>
      <c r="E56" s="579"/>
      <c r="F56" s="581"/>
      <c r="G56" s="583"/>
      <c r="H56" s="356"/>
      <c r="I56" s="356" t="s">
        <v>682</v>
      </c>
      <c r="J56" s="161"/>
      <c r="K56" s="69" t="s">
        <v>96</v>
      </c>
    </row>
    <row r="57" spans="1:11" ht="10.5" customHeight="1">
      <c r="A57" s="69"/>
      <c r="B57" s="156" t="s">
        <v>712</v>
      </c>
      <c r="C57" s="157"/>
      <c r="D57" s="576" t="s">
        <v>632</v>
      </c>
      <c r="E57" s="578">
        <v>6</v>
      </c>
      <c r="F57" s="580">
        <v>7000</v>
      </c>
      <c r="G57" s="582">
        <v>42000</v>
      </c>
      <c r="H57" s="355"/>
      <c r="I57" s="355"/>
      <c r="J57" s="162"/>
      <c r="K57" s="69" t="s">
        <v>96</v>
      </c>
    </row>
    <row r="58" spans="1:11" ht="10.5" customHeight="1">
      <c r="A58" s="69"/>
      <c r="B58" s="159"/>
      <c r="C58" s="160"/>
      <c r="D58" s="577"/>
      <c r="E58" s="579"/>
      <c r="F58" s="581"/>
      <c r="G58" s="583"/>
      <c r="H58" s="356"/>
      <c r="I58" s="356" t="s">
        <v>682</v>
      </c>
      <c r="J58" s="162"/>
      <c r="K58" s="69" t="s">
        <v>96</v>
      </c>
    </row>
    <row r="59" spans="1:11" ht="10.5" customHeight="1">
      <c r="A59" s="69"/>
      <c r="B59" s="156" t="s">
        <v>713</v>
      </c>
      <c r="C59" s="157"/>
      <c r="D59" s="576" t="s">
        <v>681</v>
      </c>
      <c r="E59" s="578">
        <v>3</v>
      </c>
      <c r="F59" s="580">
        <v>1000</v>
      </c>
      <c r="G59" s="582">
        <v>3000</v>
      </c>
      <c r="H59" s="355"/>
      <c r="I59" s="355"/>
      <c r="J59" s="158"/>
      <c r="K59" s="69" t="s">
        <v>96</v>
      </c>
    </row>
    <row r="60" spans="1:11" ht="10.5" customHeight="1">
      <c r="A60" s="69"/>
      <c r="B60" s="159"/>
      <c r="C60" s="160"/>
      <c r="D60" s="577"/>
      <c r="E60" s="579"/>
      <c r="F60" s="581"/>
      <c r="G60" s="583"/>
      <c r="H60" s="356"/>
      <c r="I60" s="356" t="s">
        <v>682</v>
      </c>
      <c r="J60" s="161"/>
      <c r="K60" s="69" t="s">
        <v>96</v>
      </c>
    </row>
    <row r="61" spans="1:11" ht="10.5" customHeight="1">
      <c r="A61" s="69"/>
      <c r="B61" s="156" t="s">
        <v>714</v>
      </c>
      <c r="C61" s="157"/>
      <c r="D61" s="576" t="s">
        <v>715</v>
      </c>
      <c r="E61" s="584">
        <v>9000</v>
      </c>
      <c r="F61" s="580">
        <v>50</v>
      </c>
      <c r="G61" s="582">
        <v>450000</v>
      </c>
      <c r="H61" s="355"/>
      <c r="I61" s="355"/>
      <c r="J61" s="158"/>
      <c r="K61" s="69" t="s">
        <v>96</v>
      </c>
    </row>
    <row r="62" spans="1:11" ht="10.5" customHeight="1">
      <c r="A62" s="69"/>
      <c r="B62" s="159" t="s">
        <v>716</v>
      </c>
      <c r="C62" s="160"/>
      <c r="D62" s="577"/>
      <c r="E62" s="585"/>
      <c r="F62" s="581"/>
      <c r="G62" s="583"/>
      <c r="H62" s="356"/>
      <c r="I62" s="356" t="s">
        <v>682</v>
      </c>
      <c r="J62" s="161"/>
      <c r="K62" s="69" t="s">
        <v>96</v>
      </c>
    </row>
    <row r="63" spans="1:11" ht="10.5" customHeight="1">
      <c r="A63" s="69"/>
      <c r="B63" s="156"/>
      <c r="C63" s="157"/>
      <c r="D63" s="576"/>
      <c r="E63" s="584"/>
      <c r="F63" s="580"/>
      <c r="G63" s="582"/>
      <c r="H63" s="355"/>
      <c r="I63" s="355"/>
      <c r="J63" s="158"/>
      <c r="K63" s="69" t="s">
        <v>96</v>
      </c>
    </row>
    <row r="64" spans="1:11" ht="10.5" customHeight="1">
      <c r="A64" s="69"/>
      <c r="B64" s="159"/>
      <c r="C64" s="160"/>
      <c r="D64" s="577"/>
      <c r="E64" s="585"/>
      <c r="F64" s="581"/>
      <c r="G64" s="583"/>
      <c r="H64" s="356"/>
      <c r="I64" s="356"/>
      <c r="J64" s="161"/>
      <c r="K64" s="69" t="s">
        <v>96</v>
      </c>
    </row>
    <row r="65" spans="1:11" ht="10.5" customHeight="1">
      <c r="A65" s="69"/>
      <c r="B65" s="156" t="s">
        <v>655</v>
      </c>
      <c r="C65" s="157"/>
      <c r="D65" s="576"/>
      <c r="E65" s="584"/>
      <c r="F65" s="580"/>
      <c r="G65" s="582">
        <v>4787900</v>
      </c>
      <c r="H65" s="355"/>
      <c r="I65" s="355"/>
      <c r="J65" s="158"/>
      <c r="K65" s="69" t="s">
        <v>96</v>
      </c>
    </row>
    <row r="66" spans="1:11" ht="10.5" customHeight="1">
      <c r="A66" s="69"/>
      <c r="B66" s="159"/>
      <c r="C66" s="160"/>
      <c r="D66" s="577"/>
      <c r="E66" s="585"/>
      <c r="F66" s="581"/>
      <c r="G66" s="583"/>
      <c r="H66" s="356"/>
      <c r="I66" s="356"/>
      <c r="J66" s="161"/>
      <c r="K66" s="69" t="s">
        <v>96</v>
      </c>
    </row>
    <row r="67" spans="1:11" ht="10.5" customHeight="1">
      <c r="A67" s="69"/>
      <c r="B67" s="156"/>
      <c r="C67" s="157"/>
      <c r="D67" s="576"/>
      <c r="E67" s="584"/>
      <c r="F67" s="580"/>
      <c r="G67" s="582"/>
      <c r="H67" s="355"/>
      <c r="I67" s="355"/>
      <c r="J67" s="158"/>
      <c r="K67" s="69" t="s">
        <v>96</v>
      </c>
    </row>
    <row r="68" spans="1:11" ht="10.5" customHeight="1">
      <c r="A68" s="69"/>
      <c r="B68" s="159"/>
      <c r="C68" s="160"/>
      <c r="D68" s="577"/>
      <c r="E68" s="585"/>
      <c r="F68" s="581"/>
      <c r="G68" s="583"/>
      <c r="H68" s="356"/>
      <c r="I68" s="356"/>
      <c r="J68" s="161"/>
      <c r="K68" s="69" t="s">
        <v>96</v>
      </c>
    </row>
    <row r="69" spans="1:11" ht="10.5" customHeight="1">
      <c r="A69" s="69"/>
      <c r="B69" s="156"/>
      <c r="C69" s="157"/>
      <c r="D69" s="576"/>
      <c r="E69" s="584"/>
      <c r="F69" s="580"/>
      <c r="G69" s="582"/>
      <c r="H69" s="355"/>
      <c r="I69" s="355"/>
      <c r="J69" s="158"/>
      <c r="K69" s="69" t="s">
        <v>96</v>
      </c>
    </row>
    <row r="70" spans="1:11" ht="10.5" customHeight="1">
      <c r="A70" s="69"/>
      <c r="B70" s="159"/>
      <c r="C70" s="160"/>
      <c r="D70" s="577"/>
      <c r="E70" s="585"/>
      <c r="F70" s="581"/>
      <c r="G70" s="583"/>
      <c r="H70" s="356"/>
      <c r="I70" s="356"/>
      <c r="J70" s="161"/>
      <c r="K70" s="69" t="s">
        <v>96</v>
      </c>
    </row>
    <row r="71" spans="1:11" ht="10.5" customHeight="1">
      <c r="A71" s="69"/>
      <c r="B71" s="156"/>
      <c r="C71" s="157"/>
      <c r="D71" s="576"/>
      <c r="E71" s="584"/>
      <c r="F71" s="580"/>
      <c r="G71" s="582"/>
      <c r="H71" s="355"/>
      <c r="I71" s="355"/>
      <c r="J71" s="158"/>
      <c r="K71" s="69" t="s">
        <v>96</v>
      </c>
    </row>
    <row r="72" spans="1:11" ht="10.5" customHeight="1">
      <c r="A72" s="69"/>
      <c r="B72" s="159"/>
      <c r="C72" s="160"/>
      <c r="D72" s="577"/>
      <c r="E72" s="585"/>
      <c r="F72" s="581"/>
      <c r="G72" s="583"/>
      <c r="H72" s="356"/>
      <c r="I72" s="356"/>
      <c r="J72" s="161"/>
      <c r="K72" s="69" t="s">
        <v>96</v>
      </c>
    </row>
    <row r="73" spans="1:11" ht="10.5" customHeight="1">
      <c r="A73" s="69"/>
      <c r="B73" s="156"/>
      <c r="C73" s="157"/>
      <c r="D73" s="576"/>
      <c r="E73" s="578"/>
      <c r="F73" s="580"/>
      <c r="G73" s="582"/>
      <c r="H73" s="355"/>
      <c r="I73" s="355"/>
      <c r="J73" s="158"/>
      <c r="K73" s="69" t="s">
        <v>96</v>
      </c>
    </row>
    <row r="74" spans="1:11" ht="10.5" customHeight="1">
      <c r="A74" s="69"/>
      <c r="B74" s="159"/>
      <c r="C74" s="160"/>
      <c r="D74" s="577"/>
      <c r="E74" s="579"/>
      <c r="F74" s="581"/>
      <c r="G74" s="583"/>
      <c r="H74" s="356"/>
      <c r="I74" s="356"/>
      <c r="J74" s="161"/>
      <c r="K74" s="69" t="s">
        <v>96</v>
      </c>
    </row>
    <row r="75" spans="1:11" ht="10.5" customHeight="1">
      <c r="A75" s="69"/>
      <c r="B75" s="156"/>
      <c r="C75" s="157"/>
      <c r="D75" s="576"/>
      <c r="E75" s="584"/>
      <c r="F75" s="580"/>
      <c r="G75" s="582"/>
      <c r="H75" s="355"/>
      <c r="I75" s="355"/>
      <c r="J75" s="158"/>
      <c r="K75" s="69" t="s">
        <v>96</v>
      </c>
    </row>
    <row r="76" spans="1:11" ht="10.5" customHeight="1">
      <c r="A76" s="69"/>
      <c r="B76" s="159"/>
      <c r="C76" s="160"/>
      <c r="D76" s="577"/>
      <c r="E76" s="585"/>
      <c r="F76" s="581"/>
      <c r="G76" s="583"/>
      <c r="H76" s="356"/>
      <c r="I76" s="356"/>
      <c r="J76" s="161"/>
      <c r="K76" s="69" t="s">
        <v>96</v>
      </c>
    </row>
    <row r="77" spans="1:11" ht="10.5" customHeight="1">
      <c r="A77" s="69"/>
      <c r="B77" s="156"/>
      <c r="C77" s="157"/>
      <c r="D77" s="576"/>
      <c r="E77" s="584"/>
      <c r="F77" s="580"/>
      <c r="G77" s="582"/>
      <c r="H77" s="355"/>
      <c r="I77" s="355"/>
      <c r="J77" s="158"/>
      <c r="K77" s="69" t="s">
        <v>96</v>
      </c>
    </row>
    <row r="78" spans="1:11" ht="10.5" customHeight="1">
      <c r="A78" s="69"/>
      <c r="B78" s="159"/>
      <c r="C78" s="160"/>
      <c r="D78" s="577"/>
      <c r="E78" s="585"/>
      <c r="F78" s="581"/>
      <c r="G78" s="583"/>
      <c r="H78" s="356"/>
      <c r="I78" s="356"/>
      <c r="J78" s="161"/>
      <c r="K78" s="69" t="s">
        <v>96</v>
      </c>
    </row>
    <row r="79" spans="1:11" ht="10.5" customHeight="1">
      <c r="A79" s="69"/>
      <c r="B79" s="156"/>
      <c r="C79" s="157"/>
      <c r="D79" s="576"/>
      <c r="E79" s="584"/>
      <c r="F79" s="580"/>
      <c r="G79" s="582"/>
      <c r="H79" s="355"/>
      <c r="I79" s="355"/>
      <c r="J79" s="158"/>
      <c r="K79" s="69" t="s">
        <v>96</v>
      </c>
    </row>
    <row r="80" spans="1:11" ht="10.5" customHeight="1">
      <c r="A80" s="69"/>
      <c r="B80" s="159"/>
      <c r="C80" s="160"/>
      <c r="D80" s="577"/>
      <c r="E80" s="585"/>
      <c r="F80" s="581"/>
      <c r="G80" s="583"/>
      <c r="H80" s="356"/>
      <c r="I80" s="356"/>
      <c r="J80" s="161"/>
      <c r="K80" s="69" t="s">
        <v>96</v>
      </c>
    </row>
    <row r="81" spans="1:11" ht="10.5" customHeight="1">
      <c r="A81" s="69"/>
      <c r="B81" s="156"/>
      <c r="C81" s="157"/>
      <c r="D81" s="576"/>
      <c r="E81" s="584"/>
      <c r="F81" s="580"/>
      <c r="G81" s="582"/>
      <c r="H81" s="355"/>
      <c r="I81" s="355"/>
      <c r="J81" s="158"/>
      <c r="K81" s="69" t="s">
        <v>96</v>
      </c>
    </row>
    <row r="82" spans="1:11" ht="10.5" customHeight="1">
      <c r="A82" s="69"/>
      <c r="B82" s="159"/>
      <c r="C82" s="160"/>
      <c r="D82" s="577"/>
      <c r="E82" s="585"/>
      <c r="F82" s="581"/>
      <c r="G82" s="583"/>
      <c r="H82" s="356"/>
      <c r="I82" s="356"/>
      <c r="J82" s="161"/>
      <c r="K82" s="69" t="s">
        <v>96</v>
      </c>
    </row>
    <row r="83" spans="1:11" ht="10.5" customHeight="1">
      <c r="A83" s="69"/>
      <c r="B83" s="156"/>
      <c r="C83" s="157"/>
      <c r="D83" s="576"/>
      <c r="E83" s="584"/>
      <c r="F83" s="580"/>
      <c r="G83" s="582"/>
      <c r="H83" s="355"/>
      <c r="I83" s="355"/>
      <c r="J83" s="158"/>
      <c r="K83" s="69" t="s">
        <v>96</v>
      </c>
    </row>
    <row r="84" spans="1:11" ht="10.5" customHeight="1">
      <c r="A84" s="69"/>
      <c r="B84" s="159"/>
      <c r="C84" s="160"/>
      <c r="D84" s="577"/>
      <c r="E84" s="585"/>
      <c r="F84" s="581"/>
      <c r="G84" s="583"/>
      <c r="H84" s="356"/>
      <c r="I84" s="356"/>
      <c r="J84" s="161"/>
      <c r="K84" s="69" t="s">
        <v>96</v>
      </c>
    </row>
    <row r="85" spans="1:11" ht="10.5" customHeight="1">
      <c r="A85" s="69"/>
      <c r="B85" s="156"/>
      <c r="C85" s="157"/>
      <c r="D85" s="576"/>
      <c r="E85" s="584"/>
      <c r="F85" s="580"/>
      <c r="G85" s="582"/>
      <c r="H85" s="355"/>
      <c r="I85" s="355"/>
      <c r="J85" s="158"/>
      <c r="K85" s="69" t="s">
        <v>96</v>
      </c>
    </row>
    <row r="86" spans="1:11" ht="10.5" customHeight="1">
      <c r="A86" s="69"/>
      <c r="B86" s="159"/>
      <c r="C86" s="160"/>
      <c r="D86" s="577"/>
      <c r="E86" s="585"/>
      <c r="F86" s="581"/>
      <c r="G86" s="583"/>
      <c r="H86" s="356"/>
      <c r="I86" s="356"/>
      <c r="J86" s="161"/>
      <c r="K86" s="69" t="s">
        <v>96</v>
      </c>
    </row>
    <row r="87" spans="1:11" ht="10.5" customHeight="1">
      <c r="A87" s="69"/>
      <c r="B87" s="156"/>
      <c r="C87" s="157"/>
      <c r="D87" s="576"/>
      <c r="E87" s="584"/>
      <c r="F87" s="580"/>
      <c r="G87" s="582"/>
      <c r="H87" s="355"/>
      <c r="I87" s="355"/>
      <c r="J87" s="158"/>
      <c r="K87" s="69" t="s">
        <v>96</v>
      </c>
    </row>
    <row r="88" spans="1:11" ht="10.5" customHeight="1">
      <c r="A88" s="69"/>
      <c r="B88" s="159"/>
      <c r="C88" s="160"/>
      <c r="D88" s="577"/>
      <c r="E88" s="585"/>
      <c r="F88" s="581"/>
      <c r="G88" s="583"/>
      <c r="H88" s="356"/>
      <c r="I88" s="356"/>
      <c r="J88" s="161"/>
      <c r="K88" s="69" t="s">
        <v>96</v>
      </c>
    </row>
    <row r="89" spans="1:11" ht="10.5" customHeight="1">
      <c r="A89" s="69"/>
      <c r="B89" s="156"/>
      <c r="C89" s="157"/>
      <c r="D89" s="576"/>
      <c r="E89" s="584"/>
      <c r="F89" s="580"/>
      <c r="G89" s="582"/>
      <c r="H89" s="355"/>
      <c r="I89" s="355"/>
      <c r="J89" s="158"/>
      <c r="K89" s="69" t="s">
        <v>96</v>
      </c>
    </row>
    <row r="90" spans="1:11" ht="10.5" customHeight="1">
      <c r="A90" s="69"/>
      <c r="B90" s="159"/>
      <c r="C90" s="160"/>
      <c r="D90" s="577"/>
      <c r="E90" s="585"/>
      <c r="F90" s="581"/>
      <c r="G90" s="583"/>
      <c r="H90" s="356"/>
      <c r="I90" s="356"/>
      <c r="J90" s="161"/>
      <c r="K90" s="69" t="s">
        <v>96</v>
      </c>
    </row>
    <row r="91" spans="1:11" ht="10.5" customHeight="1">
      <c r="A91" s="69"/>
      <c r="B91" s="156"/>
      <c r="C91" s="157"/>
      <c r="D91" s="576"/>
      <c r="E91" s="584"/>
      <c r="F91" s="580"/>
      <c r="G91" s="582"/>
      <c r="H91" s="355"/>
      <c r="I91" s="355"/>
      <c r="J91" s="158"/>
      <c r="K91" s="69" t="s">
        <v>96</v>
      </c>
    </row>
    <row r="92" spans="1:11" ht="10.5" customHeight="1">
      <c r="A92" s="69"/>
      <c r="B92" s="159"/>
      <c r="C92" s="160"/>
      <c r="D92" s="577"/>
      <c r="E92" s="585"/>
      <c r="F92" s="581"/>
      <c r="G92" s="583"/>
      <c r="H92" s="356"/>
      <c r="I92" s="356"/>
      <c r="J92" s="161"/>
      <c r="K92" s="69" t="s">
        <v>96</v>
      </c>
    </row>
    <row r="93" spans="1:11" ht="10.5" customHeight="1">
      <c r="A93" s="69"/>
      <c r="B93" s="156"/>
      <c r="C93" s="157"/>
      <c r="D93" s="576"/>
      <c r="E93" s="584"/>
      <c r="F93" s="580"/>
      <c r="G93" s="582"/>
      <c r="H93" s="355"/>
      <c r="I93" s="355"/>
      <c r="J93" s="158"/>
      <c r="K93" s="69" t="s">
        <v>96</v>
      </c>
    </row>
    <row r="94" spans="1:11" ht="10.5" customHeight="1">
      <c r="A94" s="69"/>
      <c r="B94" s="159"/>
      <c r="C94" s="160"/>
      <c r="D94" s="577"/>
      <c r="E94" s="585"/>
      <c r="F94" s="581"/>
      <c r="G94" s="583"/>
      <c r="H94" s="356"/>
      <c r="I94" s="356"/>
      <c r="J94" s="161"/>
      <c r="K94" s="69" t="s">
        <v>96</v>
      </c>
    </row>
    <row r="95" spans="1:11" ht="10.5" customHeight="1">
      <c r="A95" s="69"/>
      <c r="B95" s="156"/>
      <c r="C95" s="157"/>
      <c r="D95" s="586"/>
      <c r="E95" s="588"/>
      <c r="F95" s="590"/>
      <c r="G95" s="592"/>
      <c r="H95" s="355"/>
      <c r="I95" s="355"/>
      <c r="J95" s="162"/>
      <c r="K95" s="69" t="s">
        <v>96</v>
      </c>
    </row>
    <row r="96" spans="1:11" ht="10.5" customHeight="1" thickBot="1">
      <c r="A96" s="69"/>
      <c r="B96" s="163"/>
      <c r="C96" s="164"/>
      <c r="D96" s="587"/>
      <c r="E96" s="589"/>
      <c r="F96" s="591"/>
      <c r="G96" s="593"/>
      <c r="H96" s="357"/>
      <c r="I96" s="357"/>
      <c r="J96" s="165"/>
      <c r="K96" s="69" t="s">
        <v>96</v>
      </c>
    </row>
    <row r="97" spans="1:11" s="103" customFormat="1" ht="18" customHeight="1">
      <c r="A97" s="101"/>
      <c r="B97" s="166"/>
      <c r="C97" s="101"/>
      <c r="D97" s="101"/>
      <c r="E97" s="101"/>
      <c r="F97" s="101"/>
      <c r="G97" s="101"/>
      <c r="H97" s="101"/>
      <c r="I97" s="115"/>
      <c r="J97" s="115"/>
      <c r="K97" s="101"/>
    </row>
    <row r="98" spans="1:11" s="103" customFormat="1" ht="13.5" customHeight="1">
      <c r="A98" s="101"/>
      <c r="B98" s="166"/>
      <c r="C98" s="101"/>
      <c r="D98" s="101"/>
      <c r="E98" s="101"/>
      <c r="F98" s="101"/>
      <c r="G98" s="101"/>
      <c r="H98" s="101"/>
      <c r="I98" s="115"/>
      <c r="J98" s="115"/>
      <c r="K98" s="101"/>
    </row>
  </sheetData>
  <mergeCells count="172">
    <mergeCell ref="D93:D94"/>
    <mergeCell ref="E93:E94"/>
    <mergeCell ref="F93:F94"/>
    <mergeCell ref="G93:G94"/>
    <mergeCell ref="D95:D96"/>
    <mergeCell ref="E95:E96"/>
    <mergeCell ref="F95:F96"/>
    <mergeCell ref="G95:G96"/>
    <mergeCell ref="D89:D90"/>
    <mergeCell ref="E89:E90"/>
    <mergeCell ref="F89:F90"/>
    <mergeCell ref="G89:G90"/>
    <mergeCell ref="D91:D92"/>
    <mergeCell ref="E91:E92"/>
    <mergeCell ref="F91:F92"/>
    <mergeCell ref="G91:G92"/>
    <mergeCell ref="D85:D86"/>
    <mergeCell ref="E85:E86"/>
    <mergeCell ref="F85:F86"/>
    <mergeCell ref="G85:G86"/>
    <mergeCell ref="D87:D88"/>
    <mergeCell ref="E87:E88"/>
    <mergeCell ref="F87:F88"/>
    <mergeCell ref="G87:G88"/>
    <mergeCell ref="D81:D82"/>
    <mergeCell ref="E81:E82"/>
    <mergeCell ref="F81:F82"/>
    <mergeCell ref="G81:G82"/>
    <mergeCell ref="D83:D84"/>
    <mergeCell ref="E83:E84"/>
    <mergeCell ref="F83:F84"/>
    <mergeCell ref="G83:G84"/>
    <mergeCell ref="D77:D78"/>
    <mergeCell ref="E77:E78"/>
    <mergeCell ref="F77:F78"/>
    <mergeCell ref="G77:G78"/>
    <mergeCell ref="D79:D80"/>
    <mergeCell ref="E79:E80"/>
    <mergeCell ref="F79:F80"/>
    <mergeCell ref="G79:G80"/>
    <mergeCell ref="D73:D74"/>
    <mergeCell ref="E73:E74"/>
    <mergeCell ref="F73:F74"/>
    <mergeCell ref="G73:G74"/>
    <mergeCell ref="D75:D76"/>
    <mergeCell ref="E75:E76"/>
    <mergeCell ref="F75:F76"/>
    <mergeCell ref="G75:G76"/>
    <mergeCell ref="D69:D70"/>
    <mergeCell ref="E69:E70"/>
    <mergeCell ref="F69:F70"/>
    <mergeCell ref="G69:G70"/>
    <mergeCell ref="D71:D72"/>
    <mergeCell ref="E71:E72"/>
    <mergeCell ref="F71:F72"/>
    <mergeCell ref="G71:G72"/>
    <mergeCell ref="D65:D66"/>
    <mergeCell ref="E65:E66"/>
    <mergeCell ref="F65:F66"/>
    <mergeCell ref="G65:G66"/>
    <mergeCell ref="D67:D68"/>
    <mergeCell ref="E67:E68"/>
    <mergeCell ref="F67:F68"/>
    <mergeCell ref="G67:G68"/>
    <mergeCell ref="D61:D62"/>
    <mergeCell ref="E61:E62"/>
    <mergeCell ref="F61:F62"/>
    <mergeCell ref="G61:G62"/>
    <mergeCell ref="D63:D64"/>
    <mergeCell ref="E63:E64"/>
    <mergeCell ref="F63:F64"/>
    <mergeCell ref="G63:G64"/>
    <mergeCell ref="D57:D58"/>
    <mergeCell ref="E57:E58"/>
    <mergeCell ref="F57:F58"/>
    <mergeCell ref="G57:G58"/>
    <mergeCell ref="D59:D60"/>
    <mergeCell ref="E59:E60"/>
    <mergeCell ref="F59:F60"/>
    <mergeCell ref="G59:G60"/>
    <mergeCell ref="D50:G50"/>
    <mergeCell ref="B54:C54"/>
    <mergeCell ref="D55:D56"/>
    <mergeCell ref="E55:E56"/>
    <mergeCell ref="F55:F56"/>
    <mergeCell ref="G55:G56"/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/>
  <dimension ref="A1:K49"/>
  <sheetViews>
    <sheetView zoomScaleNormal="100" workbookViewId="0"/>
  </sheetViews>
  <sheetFormatPr defaultColWidth="8.25" defaultRowHeight="13.5"/>
  <cols>
    <col min="1" max="1" width="2.25" style="73" customWidth="1"/>
    <col min="2" max="2" width="14.375" style="73" customWidth="1"/>
    <col min="3" max="3" width="35.625" style="73" customWidth="1"/>
    <col min="4" max="4" width="6.125" style="73" customWidth="1"/>
    <col min="5" max="5" width="10.625" style="73" customWidth="1"/>
    <col min="6" max="6" width="12.625" style="73" customWidth="1"/>
    <col min="7" max="7" width="14.375" style="73" customWidth="1"/>
    <col min="8" max="8" width="7.375" style="73" customWidth="1"/>
    <col min="9" max="9" width="11.625" style="73" customWidth="1"/>
    <col min="10" max="10" width="18.875" style="73" customWidth="1"/>
    <col min="11" max="11" width="2.25" style="73" customWidth="1"/>
    <col min="12" max="16384" width="8.25" style="73"/>
  </cols>
  <sheetData>
    <row r="1" spans="1:11" ht="26.1" customHeight="1" thickBot="1">
      <c r="B1" s="142"/>
      <c r="C1" s="142"/>
      <c r="D1" s="533" t="s">
        <v>109</v>
      </c>
      <c r="E1" s="533"/>
      <c r="F1" s="533"/>
      <c r="G1" s="533"/>
      <c r="H1" s="69"/>
      <c r="I1" s="69"/>
      <c r="J1" s="69"/>
      <c r="K1" s="69"/>
    </row>
    <row r="2" spans="1:11" ht="13.5" customHeight="1">
      <c r="A2" s="143"/>
      <c r="B2" s="143"/>
      <c r="C2" s="143"/>
      <c r="D2" s="143"/>
      <c r="E2" s="143"/>
      <c r="F2" s="143"/>
      <c r="G2" s="143"/>
      <c r="H2" s="143"/>
      <c r="I2" s="143"/>
      <c r="J2" s="143"/>
      <c r="K2" s="143"/>
    </row>
    <row r="3" spans="1:11" ht="21" customHeight="1">
      <c r="A3" s="144"/>
      <c r="B3" s="145" t="s">
        <v>579</v>
      </c>
      <c r="C3" s="146" t="s">
        <v>580</v>
      </c>
      <c r="D3" s="147"/>
      <c r="E3" s="148"/>
      <c r="F3" s="149"/>
      <c r="G3" s="149"/>
      <c r="H3" s="149"/>
      <c r="I3" s="149"/>
      <c r="J3" s="150"/>
      <c r="K3" s="144"/>
    </row>
    <row r="4" spans="1:11" ht="12.75" customHeight="1" thickBot="1">
      <c r="A4" s="69"/>
      <c r="B4" s="151"/>
      <c r="C4" s="151"/>
      <c r="D4" s="151"/>
      <c r="E4" s="151"/>
      <c r="F4" s="151"/>
      <c r="G4" s="151"/>
      <c r="H4" s="151"/>
      <c r="I4" s="151"/>
      <c r="J4" s="152" t="s">
        <v>581</v>
      </c>
      <c r="K4" s="69"/>
    </row>
    <row r="5" spans="1:11" ht="18" customHeight="1">
      <c r="A5" s="69"/>
      <c r="B5" s="574" t="s">
        <v>582</v>
      </c>
      <c r="C5" s="575"/>
      <c r="D5" s="153" t="s">
        <v>85</v>
      </c>
      <c r="E5" s="153" t="s">
        <v>583</v>
      </c>
      <c r="F5" s="153" t="s">
        <v>584</v>
      </c>
      <c r="G5" s="153" t="s">
        <v>585</v>
      </c>
      <c r="H5" s="154" t="s">
        <v>586</v>
      </c>
      <c r="I5" s="153" t="s">
        <v>587</v>
      </c>
      <c r="J5" s="155" t="s">
        <v>588</v>
      </c>
      <c r="K5" s="69"/>
    </row>
    <row r="6" spans="1:11" ht="10.5" customHeight="1">
      <c r="A6" s="69"/>
      <c r="B6" s="156" t="s">
        <v>717</v>
      </c>
      <c r="C6" s="157"/>
      <c r="D6" s="576" t="s">
        <v>681</v>
      </c>
      <c r="E6" s="578">
        <v>59</v>
      </c>
      <c r="F6" s="580">
        <v>5000</v>
      </c>
      <c r="G6" s="582">
        <v>295000</v>
      </c>
      <c r="H6" s="355"/>
      <c r="I6" s="355"/>
      <c r="J6" s="158"/>
      <c r="K6" s="69" t="s">
        <v>96</v>
      </c>
    </row>
    <row r="7" spans="1:11" ht="10.5" customHeight="1">
      <c r="A7" s="69"/>
      <c r="B7" s="159"/>
      <c r="C7" s="160"/>
      <c r="D7" s="577"/>
      <c r="E7" s="579"/>
      <c r="F7" s="581"/>
      <c r="G7" s="583"/>
      <c r="H7" s="356"/>
      <c r="I7" s="356" t="s">
        <v>718</v>
      </c>
      <c r="J7" s="161"/>
      <c r="K7" s="69" t="s">
        <v>96</v>
      </c>
    </row>
    <row r="8" spans="1:11" ht="10.5" customHeight="1">
      <c r="A8" s="69"/>
      <c r="B8" s="156" t="s">
        <v>719</v>
      </c>
      <c r="C8" s="157"/>
      <c r="D8" s="576" t="s">
        <v>637</v>
      </c>
      <c r="E8" s="578">
        <v>4</v>
      </c>
      <c r="F8" s="580">
        <v>30000</v>
      </c>
      <c r="G8" s="582">
        <v>120000</v>
      </c>
      <c r="H8" s="355"/>
      <c r="I8" s="355"/>
      <c r="J8" s="162"/>
      <c r="K8" s="69" t="s">
        <v>96</v>
      </c>
    </row>
    <row r="9" spans="1:11" ht="10.5" customHeight="1">
      <c r="A9" s="69"/>
      <c r="B9" s="159"/>
      <c r="C9" s="160"/>
      <c r="D9" s="577"/>
      <c r="E9" s="579"/>
      <c r="F9" s="581"/>
      <c r="G9" s="583"/>
      <c r="H9" s="356"/>
      <c r="I9" s="356" t="s">
        <v>718</v>
      </c>
      <c r="J9" s="162"/>
      <c r="K9" s="69" t="s">
        <v>96</v>
      </c>
    </row>
    <row r="10" spans="1:11" ht="10.5" customHeight="1">
      <c r="A10" s="69"/>
      <c r="B10" s="156" t="s">
        <v>718</v>
      </c>
      <c r="C10" s="157"/>
      <c r="D10" s="576" t="s">
        <v>605</v>
      </c>
      <c r="E10" s="578">
        <v>1</v>
      </c>
      <c r="F10" s="580">
        <v>200000</v>
      </c>
      <c r="G10" s="582">
        <v>200000</v>
      </c>
      <c r="H10" s="355"/>
      <c r="I10" s="355"/>
      <c r="J10" s="158"/>
      <c r="K10" s="69" t="s">
        <v>96</v>
      </c>
    </row>
    <row r="11" spans="1:11" ht="10.5" customHeight="1">
      <c r="A11" s="69"/>
      <c r="B11" s="159" t="s">
        <v>720</v>
      </c>
      <c r="C11" s="160"/>
      <c r="D11" s="577"/>
      <c r="E11" s="579"/>
      <c r="F11" s="581"/>
      <c r="G11" s="583"/>
      <c r="H11" s="356"/>
      <c r="I11" s="356" t="s">
        <v>718</v>
      </c>
      <c r="J11" s="161"/>
      <c r="K11" s="69" t="s">
        <v>96</v>
      </c>
    </row>
    <row r="12" spans="1:11" ht="10.5" customHeight="1">
      <c r="A12" s="69"/>
      <c r="B12" s="156" t="s">
        <v>721</v>
      </c>
      <c r="C12" s="157"/>
      <c r="D12" s="576" t="s">
        <v>637</v>
      </c>
      <c r="E12" s="584">
        <v>6</v>
      </c>
      <c r="F12" s="580">
        <v>15000</v>
      </c>
      <c r="G12" s="582">
        <v>90000</v>
      </c>
      <c r="H12" s="355"/>
      <c r="I12" s="355"/>
      <c r="J12" s="158"/>
      <c r="K12" s="69" t="s">
        <v>96</v>
      </c>
    </row>
    <row r="13" spans="1:11" ht="10.5" customHeight="1">
      <c r="A13" s="69"/>
      <c r="B13" s="159"/>
      <c r="C13" s="160"/>
      <c r="D13" s="577"/>
      <c r="E13" s="585"/>
      <c r="F13" s="581"/>
      <c r="G13" s="583"/>
      <c r="H13" s="356"/>
      <c r="I13" s="356" t="s">
        <v>718</v>
      </c>
      <c r="J13" s="161"/>
      <c r="K13" s="69" t="s">
        <v>96</v>
      </c>
    </row>
    <row r="14" spans="1:11" ht="10.5" customHeight="1">
      <c r="A14" s="69"/>
      <c r="B14" s="156" t="s">
        <v>721</v>
      </c>
      <c r="C14" s="157"/>
      <c r="D14" s="576" t="s">
        <v>637</v>
      </c>
      <c r="E14" s="584">
        <v>2</v>
      </c>
      <c r="F14" s="580">
        <v>10000</v>
      </c>
      <c r="G14" s="582">
        <v>20000</v>
      </c>
      <c r="H14" s="355"/>
      <c r="I14" s="355"/>
      <c r="J14" s="158"/>
      <c r="K14" s="69" t="s">
        <v>96</v>
      </c>
    </row>
    <row r="15" spans="1:11" ht="10.5" customHeight="1">
      <c r="A15" s="69"/>
      <c r="B15" s="159" t="s">
        <v>676</v>
      </c>
      <c r="C15" s="160"/>
      <c r="D15" s="577"/>
      <c r="E15" s="585"/>
      <c r="F15" s="581"/>
      <c r="G15" s="583"/>
      <c r="H15" s="356"/>
      <c r="I15" s="356" t="s">
        <v>718</v>
      </c>
      <c r="J15" s="161"/>
      <c r="K15" s="69" t="s">
        <v>96</v>
      </c>
    </row>
    <row r="16" spans="1:11" ht="10.5" customHeight="1">
      <c r="A16" s="69"/>
      <c r="B16" s="156" t="s">
        <v>721</v>
      </c>
      <c r="C16" s="157"/>
      <c r="D16" s="576" t="s">
        <v>637</v>
      </c>
      <c r="E16" s="584">
        <v>4</v>
      </c>
      <c r="F16" s="580">
        <v>10000</v>
      </c>
      <c r="G16" s="582">
        <v>40000</v>
      </c>
      <c r="H16" s="355"/>
      <c r="I16" s="355"/>
      <c r="J16" s="158"/>
      <c r="K16" s="69" t="s">
        <v>96</v>
      </c>
    </row>
    <row r="17" spans="1:11" ht="10.5" customHeight="1">
      <c r="A17" s="69"/>
      <c r="B17" s="159" t="s">
        <v>722</v>
      </c>
      <c r="C17" s="160"/>
      <c r="D17" s="577"/>
      <c r="E17" s="585"/>
      <c r="F17" s="581"/>
      <c r="G17" s="583"/>
      <c r="H17" s="356"/>
      <c r="I17" s="356" t="s">
        <v>718</v>
      </c>
      <c r="J17" s="161"/>
      <c r="K17" s="69" t="s">
        <v>96</v>
      </c>
    </row>
    <row r="18" spans="1:11" ht="10.5" customHeight="1">
      <c r="A18" s="69"/>
      <c r="B18" s="156" t="s">
        <v>723</v>
      </c>
      <c r="C18" s="157"/>
      <c r="D18" s="576" t="s">
        <v>637</v>
      </c>
      <c r="E18" s="584">
        <v>2</v>
      </c>
      <c r="F18" s="580">
        <v>65000</v>
      </c>
      <c r="G18" s="582">
        <v>130000</v>
      </c>
      <c r="H18" s="355"/>
      <c r="I18" s="355"/>
      <c r="J18" s="158"/>
      <c r="K18" s="69" t="s">
        <v>96</v>
      </c>
    </row>
    <row r="19" spans="1:11" ht="10.5" customHeight="1">
      <c r="A19" s="69"/>
      <c r="B19" s="159" t="s">
        <v>724</v>
      </c>
      <c r="C19" s="160"/>
      <c r="D19" s="577"/>
      <c r="E19" s="585"/>
      <c r="F19" s="581"/>
      <c r="G19" s="583"/>
      <c r="H19" s="356"/>
      <c r="I19" s="356" t="s">
        <v>718</v>
      </c>
      <c r="J19" s="161"/>
      <c r="K19" s="69" t="s">
        <v>96</v>
      </c>
    </row>
    <row r="20" spans="1:11" ht="10.5" customHeight="1">
      <c r="A20" s="69"/>
      <c r="B20" s="156" t="s">
        <v>723</v>
      </c>
      <c r="C20" s="157"/>
      <c r="D20" s="576" t="s">
        <v>637</v>
      </c>
      <c r="E20" s="584">
        <v>2</v>
      </c>
      <c r="F20" s="580">
        <v>30000</v>
      </c>
      <c r="G20" s="582">
        <v>60000</v>
      </c>
      <c r="H20" s="355"/>
      <c r="I20" s="355"/>
      <c r="J20" s="158"/>
      <c r="K20" s="69" t="s">
        <v>96</v>
      </c>
    </row>
    <row r="21" spans="1:11" ht="10.5" customHeight="1">
      <c r="A21" s="69"/>
      <c r="B21" s="159" t="s">
        <v>685</v>
      </c>
      <c r="C21" s="160"/>
      <c r="D21" s="577"/>
      <c r="E21" s="585"/>
      <c r="F21" s="581"/>
      <c r="G21" s="583"/>
      <c r="H21" s="356"/>
      <c r="I21" s="356" t="s">
        <v>718</v>
      </c>
      <c r="J21" s="161"/>
      <c r="K21" s="69" t="s">
        <v>96</v>
      </c>
    </row>
    <row r="22" spans="1:11" ht="10.5" customHeight="1">
      <c r="A22" s="69"/>
      <c r="B22" s="156" t="s">
        <v>725</v>
      </c>
      <c r="C22" s="157"/>
      <c r="D22" s="576" t="s">
        <v>637</v>
      </c>
      <c r="E22" s="584">
        <v>6</v>
      </c>
      <c r="F22" s="580">
        <v>30000</v>
      </c>
      <c r="G22" s="582">
        <v>180000</v>
      </c>
      <c r="H22" s="355"/>
      <c r="I22" s="355"/>
      <c r="J22" s="158"/>
      <c r="K22" s="69" t="s">
        <v>96</v>
      </c>
    </row>
    <row r="23" spans="1:11" ht="10.5" customHeight="1">
      <c r="A23" s="69"/>
      <c r="B23" s="159"/>
      <c r="C23" s="160"/>
      <c r="D23" s="577"/>
      <c r="E23" s="585"/>
      <c r="F23" s="581"/>
      <c r="G23" s="583"/>
      <c r="H23" s="356"/>
      <c r="I23" s="356" t="s">
        <v>718</v>
      </c>
      <c r="J23" s="161"/>
      <c r="K23" s="69" t="s">
        <v>96</v>
      </c>
    </row>
    <row r="24" spans="1:11" ht="10.5" customHeight="1">
      <c r="A24" s="69"/>
      <c r="B24" s="156" t="s">
        <v>725</v>
      </c>
      <c r="C24" s="157"/>
      <c r="D24" s="576" t="s">
        <v>637</v>
      </c>
      <c r="E24" s="578">
        <v>2</v>
      </c>
      <c r="F24" s="580">
        <v>18000</v>
      </c>
      <c r="G24" s="582">
        <v>36000</v>
      </c>
      <c r="H24" s="355"/>
      <c r="I24" s="355"/>
      <c r="J24" s="158"/>
      <c r="K24" s="69" t="s">
        <v>96</v>
      </c>
    </row>
    <row r="25" spans="1:11" ht="10.5" customHeight="1">
      <c r="A25" s="69"/>
      <c r="B25" s="159" t="s">
        <v>676</v>
      </c>
      <c r="C25" s="160"/>
      <c r="D25" s="577"/>
      <c r="E25" s="579"/>
      <c r="F25" s="581"/>
      <c r="G25" s="583"/>
      <c r="H25" s="356"/>
      <c r="I25" s="356" t="s">
        <v>718</v>
      </c>
      <c r="J25" s="161"/>
      <c r="K25" s="69" t="s">
        <v>96</v>
      </c>
    </row>
    <row r="26" spans="1:11" ht="10.5" customHeight="1">
      <c r="A26" s="69"/>
      <c r="B26" s="156" t="s">
        <v>725</v>
      </c>
      <c r="C26" s="157"/>
      <c r="D26" s="576" t="s">
        <v>637</v>
      </c>
      <c r="E26" s="584">
        <v>4</v>
      </c>
      <c r="F26" s="580">
        <v>18000</v>
      </c>
      <c r="G26" s="582">
        <v>72000</v>
      </c>
      <c r="H26" s="355"/>
      <c r="I26" s="355"/>
      <c r="J26" s="158"/>
      <c r="K26" s="69" t="s">
        <v>96</v>
      </c>
    </row>
    <row r="27" spans="1:11" ht="10.5" customHeight="1">
      <c r="A27" s="69"/>
      <c r="B27" s="159" t="s">
        <v>722</v>
      </c>
      <c r="C27" s="160"/>
      <c r="D27" s="577"/>
      <c r="E27" s="585"/>
      <c r="F27" s="581"/>
      <c r="G27" s="583"/>
      <c r="H27" s="356"/>
      <c r="I27" s="356" t="s">
        <v>718</v>
      </c>
      <c r="J27" s="161"/>
      <c r="K27" s="69" t="s">
        <v>96</v>
      </c>
    </row>
    <row r="28" spans="1:11" ht="10.5" customHeight="1">
      <c r="A28" s="69"/>
      <c r="B28" s="156" t="s">
        <v>726</v>
      </c>
      <c r="C28" s="157"/>
      <c r="D28" s="576" t="s">
        <v>605</v>
      </c>
      <c r="E28" s="584">
        <v>1</v>
      </c>
      <c r="F28" s="580">
        <v>150000</v>
      </c>
      <c r="G28" s="582">
        <v>150000</v>
      </c>
      <c r="H28" s="355"/>
      <c r="I28" s="355"/>
      <c r="J28" s="158"/>
      <c r="K28" s="69" t="s">
        <v>96</v>
      </c>
    </row>
    <row r="29" spans="1:11" ht="10.5" customHeight="1">
      <c r="A29" s="69"/>
      <c r="B29" s="159"/>
      <c r="C29" s="160"/>
      <c r="D29" s="577"/>
      <c r="E29" s="585"/>
      <c r="F29" s="581"/>
      <c r="G29" s="583"/>
      <c r="H29" s="356"/>
      <c r="I29" s="356" t="s">
        <v>718</v>
      </c>
      <c r="J29" s="161"/>
      <c r="K29" s="69" t="s">
        <v>96</v>
      </c>
    </row>
    <row r="30" spans="1:11" ht="10.5" customHeight="1">
      <c r="A30" s="69"/>
      <c r="B30" s="156" t="s">
        <v>727</v>
      </c>
      <c r="C30" s="157"/>
      <c r="D30" s="576" t="s">
        <v>637</v>
      </c>
      <c r="E30" s="584"/>
      <c r="F30" s="580">
        <v>28000</v>
      </c>
      <c r="G30" s="582"/>
      <c r="H30" s="355"/>
      <c r="I30" s="355"/>
      <c r="J30" s="158"/>
      <c r="K30" s="69" t="s">
        <v>96</v>
      </c>
    </row>
    <row r="31" spans="1:11" ht="10.5" customHeight="1">
      <c r="A31" s="69"/>
      <c r="B31" s="159"/>
      <c r="C31" s="160"/>
      <c r="D31" s="577"/>
      <c r="E31" s="585"/>
      <c r="F31" s="581"/>
      <c r="G31" s="583"/>
      <c r="H31" s="356"/>
      <c r="I31" s="356" t="s">
        <v>718</v>
      </c>
      <c r="J31" s="161"/>
      <c r="K31" s="69" t="s">
        <v>96</v>
      </c>
    </row>
    <row r="32" spans="1:11" ht="10.5" customHeight="1">
      <c r="A32" s="69"/>
      <c r="B32" s="156" t="s">
        <v>728</v>
      </c>
      <c r="C32" s="157"/>
      <c r="D32" s="576" t="s">
        <v>729</v>
      </c>
      <c r="E32" s="584"/>
      <c r="F32" s="580">
        <v>25000</v>
      </c>
      <c r="G32" s="582"/>
      <c r="H32" s="355"/>
      <c r="I32" s="355"/>
      <c r="J32" s="158"/>
      <c r="K32" s="69" t="s">
        <v>96</v>
      </c>
    </row>
    <row r="33" spans="1:11" ht="10.5" customHeight="1">
      <c r="A33" s="69"/>
      <c r="B33" s="159"/>
      <c r="C33" s="160"/>
      <c r="D33" s="577"/>
      <c r="E33" s="585"/>
      <c r="F33" s="581"/>
      <c r="G33" s="583"/>
      <c r="H33" s="356"/>
      <c r="I33" s="356" t="s">
        <v>718</v>
      </c>
      <c r="J33" s="161"/>
      <c r="K33" s="69" t="s">
        <v>96</v>
      </c>
    </row>
    <row r="34" spans="1:11" ht="10.5" customHeight="1">
      <c r="A34" s="69"/>
      <c r="B34" s="156" t="s">
        <v>728</v>
      </c>
      <c r="C34" s="157"/>
      <c r="D34" s="576" t="s">
        <v>729</v>
      </c>
      <c r="E34" s="584"/>
      <c r="F34" s="580">
        <v>20000</v>
      </c>
      <c r="G34" s="582"/>
      <c r="H34" s="355"/>
      <c r="I34" s="355"/>
      <c r="J34" s="158"/>
      <c r="K34" s="69" t="s">
        <v>96</v>
      </c>
    </row>
    <row r="35" spans="1:11" ht="10.5" customHeight="1">
      <c r="A35" s="69"/>
      <c r="B35" s="159"/>
      <c r="C35" s="160"/>
      <c r="D35" s="577"/>
      <c r="E35" s="585"/>
      <c r="F35" s="581"/>
      <c r="G35" s="583"/>
      <c r="H35" s="356"/>
      <c r="I35" s="356" t="s">
        <v>718</v>
      </c>
      <c r="J35" s="161"/>
      <c r="K35" s="69" t="s">
        <v>96</v>
      </c>
    </row>
    <row r="36" spans="1:11" ht="10.5" customHeight="1">
      <c r="A36" s="69"/>
      <c r="B36" s="156" t="s">
        <v>730</v>
      </c>
      <c r="C36" s="157"/>
      <c r="D36" s="576" t="s">
        <v>681</v>
      </c>
      <c r="E36" s="584">
        <v>12</v>
      </c>
      <c r="F36" s="580">
        <v>95000</v>
      </c>
      <c r="G36" s="582">
        <v>1140000</v>
      </c>
      <c r="H36" s="355"/>
      <c r="I36" s="355"/>
      <c r="J36" s="158"/>
      <c r="K36" s="69" t="s">
        <v>96</v>
      </c>
    </row>
    <row r="37" spans="1:11" ht="10.5" customHeight="1">
      <c r="A37" s="69"/>
      <c r="B37" s="159" t="s">
        <v>731</v>
      </c>
      <c r="C37" s="160"/>
      <c r="D37" s="577"/>
      <c r="E37" s="585"/>
      <c r="F37" s="581"/>
      <c r="G37" s="583"/>
      <c r="H37" s="356"/>
      <c r="I37" s="356" t="s">
        <v>718</v>
      </c>
      <c r="J37" s="161"/>
      <c r="K37" s="69" t="s">
        <v>96</v>
      </c>
    </row>
    <row r="38" spans="1:11" ht="10.5" customHeight="1">
      <c r="A38" s="69"/>
      <c r="B38" s="156" t="s">
        <v>732</v>
      </c>
      <c r="C38" s="157"/>
      <c r="D38" s="576" t="s">
        <v>681</v>
      </c>
      <c r="E38" s="584">
        <v>45</v>
      </c>
      <c r="F38" s="580">
        <v>4000</v>
      </c>
      <c r="G38" s="582">
        <v>180000</v>
      </c>
      <c r="H38" s="355"/>
      <c r="I38" s="355"/>
      <c r="J38" s="158"/>
      <c r="K38" s="69" t="s">
        <v>96</v>
      </c>
    </row>
    <row r="39" spans="1:11" ht="10.5" customHeight="1">
      <c r="A39" s="69"/>
      <c r="B39" s="159" t="s">
        <v>733</v>
      </c>
      <c r="C39" s="160"/>
      <c r="D39" s="577"/>
      <c r="E39" s="585"/>
      <c r="F39" s="581"/>
      <c r="G39" s="583"/>
      <c r="H39" s="356"/>
      <c r="I39" s="356" t="s">
        <v>718</v>
      </c>
      <c r="J39" s="161"/>
      <c r="K39" s="69" t="s">
        <v>96</v>
      </c>
    </row>
    <row r="40" spans="1:11" ht="10.5" customHeight="1">
      <c r="A40" s="69"/>
      <c r="B40" s="156"/>
      <c r="C40" s="157"/>
      <c r="D40" s="576"/>
      <c r="E40" s="584"/>
      <c r="F40" s="580"/>
      <c r="G40" s="582"/>
      <c r="H40" s="355"/>
      <c r="I40" s="355"/>
      <c r="J40" s="158"/>
      <c r="K40" s="69" t="s">
        <v>96</v>
      </c>
    </row>
    <row r="41" spans="1:11" ht="10.5" customHeight="1">
      <c r="A41" s="69"/>
      <c r="B41" s="159"/>
      <c r="C41" s="160"/>
      <c r="D41" s="577"/>
      <c r="E41" s="585"/>
      <c r="F41" s="581"/>
      <c r="G41" s="583"/>
      <c r="H41" s="356"/>
      <c r="I41" s="356"/>
      <c r="J41" s="161"/>
      <c r="K41" s="69" t="s">
        <v>96</v>
      </c>
    </row>
    <row r="42" spans="1:11" ht="10.5" customHeight="1">
      <c r="A42" s="69"/>
      <c r="B42" s="156" t="s">
        <v>655</v>
      </c>
      <c r="C42" s="157"/>
      <c r="D42" s="576"/>
      <c r="E42" s="584"/>
      <c r="F42" s="580"/>
      <c r="G42" s="582">
        <v>2713000</v>
      </c>
      <c r="H42" s="355"/>
      <c r="I42" s="355"/>
      <c r="J42" s="158"/>
      <c r="K42" s="69" t="s">
        <v>96</v>
      </c>
    </row>
    <row r="43" spans="1:11" ht="10.5" customHeight="1">
      <c r="A43" s="69"/>
      <c r="B43" s="159"/>
      <c r="C43" s="160"/>
      <c r="D43" s="577"/>
      <c r="E43" s="585"/>
      <c r="F43" s="581"/>
      <c r="G43" s="583"/>
      <c r="H43" s="356"/>
      <c r="I43" s="356"/>
      <c r="J43" s="161"/>
      <c r="K43" s="69" t="s">
        <v>96</v>
      </c>
    </row>
    <row r="44" spans="1:11" ht="10.5" customHeight="1">
      <c r="A44" s="69"/>
      <c r="B44" s="156"/>
      <c r="C44" s="157"/>
      <c r="D44" s="576"/>
      <c r="E44" s="584"/>
      <c r="F44" s="580"/>
      <c r="G44" s="582"/>
      <c r="H44" s="355"/>
      <c r="I44" s="355"/>
      <c r="J44" s="158"/>
      <c r="K44" s="69" t="s">
        <v>96</v>
      </c>
    </row>
    <row r="45" spans="1:11" ht="10.5" customHeight="1">
      <c r="A45" s="69"/>
      <c r="B45" s="159"/>
      <c r="C45" s="160"/>
      <c r="D45" s="577"/>
      <c r="E45" s="585"/>
      <c r="F45" s="581"/>
      <c r="G45" s="583"/>
      <c r="H45" s="356"/>
      <c r="I45" s="356"/>
      <c r="J45" s="161"/>
      <c r="K45" s="69" t="s">
        <v>96</v>
      </c>
    </row>
    <row r="46" spans="1:11" ht="10.5" customHeight="1">
      <c r="A46" s="69"/>
      <c r="B46" s="156"/>
      <c r="C46" s="157"/>
      <c r="D46" s="586"/>
      <c r="E46" s="588"/>
      <c r="F46" s="590"/>
      <c r="G46" s="592"/>
      <c r="H46" s="355"/>
      <c r="I46" s="355"/>
      <c r="J46" s="162"/>
      <c r="K46" s="69" t="s">
        <v>96</v>
      </c>
    </row>
    <row r="47" spans="1:11" ht="10.5" customHeight="1" thickBot="1">
      <c r="A47" s="69"/>
      <c r="B47" s="163"/>
      <c r="C47" s="164"/>
      <c r="D47" s="587"/>
      <c r="E47" s="589"/>
      <c r="F47" s="591"/>
      <c r="G47" s="593"/>
      <c r="H47" s="357"/>
      <c r="I47" s="357"/>
      <c r="J47" s="165"/>
      <c r="K47" s="69" t="s">
        <v>96</v>
      </c>
    </row>
    <row r="48" spans="1:11" s="103" customFormat="1" ht="18" customHeight="1">
      <c r="A48" s="101"/>
      <c r="B48" s="166"/>
      <c r="C48" s="101"/>
      <c r="D48" s="101"/>
      <c r="E48" s="101"/>
      <c r="F48" s="101"/>
      <c r="G48" s="101"/>
      <c r="H48" s="101"/>
      <c r="I48" s="115"/>
      <c r="J48" s="115"/>
      <c r="K48" s="101"/>
    </row>
    <row r="49" spans="1:11" s="103" customFormat="1" ht="13.5" customHeight="1">
      <c r="A49" s="101"/>
      <c r="B49" s="166"/>
      <c r="C49" s="101"/>
      <c r="D49" s="101"/>
      <c r="E49" s="101"/>
      <c r="F49" s="101"/>
      <c r="G49" s="101"/>
      <c r="H49" s="101"/>
      <c r="I49" s="115"/>
      <c r="J49" s="115"/>
      <c r="K49" s="101"/>
    </row>
  </sheetData>
  <mergeCells count="86">
    <mergeCell ref="D44:D45"/>
    <mergeCell ref="E44:E45"/>
    <mergeCell ref="F44:F45"/>
    <mergeCell ref="G44:G45"/>
    <mergeCell ref="D46:D47"/>
    <mergeCell ref="E46:E47"/>
    <mergeCell ref="F46:F47"/>
    <mergeCell ref="G46:G47"/>
    <mergeCell ref="D40:D41"/>
    <mergeCell ref="E40:E41"/>
    <mergeCell ref="F40:F41"/>
    <mergeCell ref="G40:G41"/>
    <mergeCell ref="D42:D43"/>
    <mergeCell ref="E42:E43"/>
    <mergeCell ref="F42:F43"/>
    <mergeCell ref="G42:G43"/>
    <mergeCell ref="D36:D37"/>
    <mergeCell ref="E36:E37"/>
    <mergeCell ref="F36:F37"/>
    <mergeCell ref="G36:G37"/>
    <mergeCell ref="D38:D39"/>
    <mergeCell ref="E38:E39"/>
    <mergeCell ref="F38:F39"/>
    <mergeCell ref="G38:G39"/>
    <mergeCell ref="D32:D33"/>
    <mergeCell ref="E32:E33"/>
    <mergeCell ref="F32:F33"/>
    <mergeCell ref="G32:G33"/>
    <mergeCell ref="D34:D35"/>
    <mergeCell ref="E34:E35"/>
    <mergeCell ref="F34:F35"/>
    <mergeCell ref="G34:G35"/>
    <mergeCell ref="D28:D29"/>
    <mergeCell ref="E28:E29"/>
    <mergeCell ref="F28:F29"/>
    <mergeCell ref="G28:G29"/>
    <mergeCell ref="D30:D31"/>
    <mergeCell ref="E30:E31"/>
    <mergeCell ref="F30:F31"/>
    <mergeCell ref="G30:G31"/>
    <mergeCell ref="D24:D25"/>
    <mergeCell ref="E24:E25"/>
    <mergeCell ref="F24:F25"/>
    <mergeCell ref="G24:G25"/>
    <mergeCell ref="D26:D27"/>
    <mergeCell ref="E26:E27"/>
    <mergeCell ref="F26:F27"/>
    <mergeCell ref="G26:G27"/>
    <mergeCell ref="D20:D21"/>
    <mergeCell ref="E20:E21"/>
    <mergeCell ref="F20:F21"/>
    <mergeCell ref="G20:G21"/>
    <mergeCell ref="D22:D23"/>
    <mergeCell ref="E22:E23"/>
    <mergeCell ref="F22:F23"/>
    <mergeCell ref="G22:G23"/>
    <mergeCell ref="D16:D17"/>
    <mergeCell ref="E16:E17"/>
    <mergeCell ref="F16:F17"/>
    <mergeCell ref="G16:G17"/>
    <mergeCell ref="D18:D19"/>
    <mergeCell ref="E18:E19"/>
    <mergeCell ref="F18:F19"/>
    <mergeCell ref="G18:G19"/>
    <mergeCell ref="D12:D13"/>
    <mergeCell ref="E12:E13"/>
    <mergeCell ref="F12:F13"/>
    <mergeCell ref="G12:G13"/>
    <mergeCell ref="D14:D15"/>
    <mergeCell ref="E14:E15"/>
    <mergeCell ref="F14:F15"/>
    <mergeCell ref="G14:G15"/>
    <mergeCell ref="D8:D9"/>
    <mergeCell ref="E8:E9"/>
    <mergeCell ref="F8:F9"/>
    <mergeCell ref="G8:G9"/>
    <mergeCell ref="D10:D11"/>
    <mergeCell ref="E10:E11"/>
    <mergeCell ref="F10:F11"/>
    <mergeCell ref="G10:G11"/>
    <mergeCell ref="D1:G1"/>
    <mergeCell ref="B5:C5"/>
    <mergeCell ref="D6:D7"/>
    <mergeCell ref="E6:E7"/>
    <mergeCell ref="F6:F7"/>
    <mergeCell ref="G6:G7"/>
  </mergeCells>
  <phoneticPr fontId="4"/>
  <pageMargins left="0.31496062992125984" right="0.31496062992125984" top="0.59055118110236227" bottom="0.31496062992125984" header="0.51181102362204722" footer="0.31496062992125984"/>
  <pageSetup paperSize="9" scale="92" orientation="landscape" useFirstPageNumber="1" r:id="rId1"/>
  <headerFooter>
    <oddFooter>&amp;C&amp;"ＭＳ 明朝,標準"&amp;P ページ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9</vt:i4>
      </vt:variant>
    </vt:vector>
  </HeadingPairs>
  <TitlesOfParts>
    <vt:vector size="26" baseType="lpstr">
      <vt:lpstr>実行予算書鑑</vt:lpstr>
      <vt:lpstr>工事工程表</vt:lpstr>
      <vt:lpstr>工事概要</vt:lpstr>
      <vt:lpstr>工事総括表</vt:lpstr>
      <vt:lpstr>工事総括表2</vt:lpstr>
      <vt:lpstr>本工事内訳書(直接工事費)</vt:lpstr>
      <vt:lpstr>工事費一覧表(直接工事費)</vt:lpstr>
      <vt:lpstr>間接費一覧</vt:lpstr>
      <vt:lpstr>共通仮設費総括表</vt:lpstr>
      <vt:lpstr>工事費一覧表(共通仮設費)</vt:lpstr>
      <vt:lpstr>現場経費総括表</vt:lpstr>
      <vt:lpstr>工事費一覧表(現場経費)</vt:lpstr>
      <vt:lpstr>調書(材料費)</vt:lpstr>
      <vt:lpstr>調書(労務費)</vt:lpstr>
      <vt:lpstr>調書(外注費)</vt:lpstr>
      <vt:lpstr>調書(機械費)</vt:lpstr>
      <vt:lpstr>調書(運搬費)</vt:lpstr>
      <vt:lpstr>工事概要!Print_Area</vt:lpstr>
      <vt:lpstr>工事総括表!Print_Area</vt:lpstr>
      <vt:lpstr>'工事費一覧表(共通仮設費)'!Print_Area</vt:lpstr>
      <vt:lpstr>'工事費一覧表(現場経費)'!Print_Area</vt:lpstr>
      <vt:lpstr>'工事費一覧表(直接工事費)'!Print_Area</vt:lpstr>
      <vt:lpstr>実行予算書鑑!Print_Area</vt:lpstr>
      <vt:lpstr>'工事費一覧表(共通仮設費)'!Print_Titles</vt:lpstr>
      <vt:lpstr>'工事費一覧表(現場経費)'!Print_Titles</vt:lpstr>
      <vt:lpstr>'工事費一覧表(直接工事費)'!Print_Titles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dcterms:created xsi:type="dcterms:W3CDTF">2022-05-27T06:34:00Z</dcterms:created>
  <dcterms:modified xsi:type="dcterms:W3CDTF">2025-12-12T02:41:47Z</dcterms:modified>
  <cp:category/>
  <cp:contentStatus/>
</cp:coreProperties>
</file>