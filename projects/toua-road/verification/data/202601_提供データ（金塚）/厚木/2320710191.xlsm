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FADADED8-1A93-4FB6-A52C-7A1F5AA205CB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'工事費一覧表(共通仮設費)'!$A$1:$AF$29</definedName>
    <definedName name="_xlnm.Print_Area" localSheetId="11">'工事費一覧表(現場経費)'!$A$1:$AF$9</definedName>
    <definedName name="_xlnm.Print_Area" localSheetId="6">'工事費一覧表(直接工事費)'!$A$1:$AF$106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22" i="32"/>
  <c r="L22" i="32"/>
  <c r="K23" i="32"/>
  <c r="L23" i="32"/>
  <c r="K24" i="32"/>
  <c r="L24" i="32"/>
  <c r="K25" i="32"/>
  <c r="L25" i="32"/>
  <c r="K26" i="32"/>
  <c r="L26" i="32"/>
  <c r="K27" i="32"/>
  <c r="L27" i="32"/>
  <c r="K28" i="32"/>
  <c r="L28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1" i="25" s="1"/>
  <c r="D19" i="25"/>
  <c r="O26" i="25" l="1"/>
  <c r="O21" i="25" s="1"/>
  <c r="O22" i="25" s="1"/>
  <c r="Q26" i="25"/>
  <c r="Q21" i="25" s="1"/>
  <c r="Q22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<sst xmlns="http://schemas.openxmlformats.org/spreadsheetml/2006/main" count="2164" uniqueCount="539">
  <si>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</si>
  <si>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</si>
  <si>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</si>
  <si>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</si>
  <si>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</si>
  <si>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</si>
  <si>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</si>
  <si>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</si>
  <si>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</si>
  <si>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</si>
  <si>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</si>
  <si>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</si>
  <si>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</si>
  <si>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</si>
  <si>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</si>
  <si>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</si>
  <si>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</si>
  <si>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</si>
  <si>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</si>
  <si>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</si>
  <si>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</si>
  <si>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</si>
  <si>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</si>
  <si>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</si>
  <si>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</si>
  <si>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</si>
  <si>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</si>
  <si>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</si>
  <si>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</si>
  <si>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</si>
  <si>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</si>
  <si>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</si>
  <si>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</si>
  <si>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</si>
  <si>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</si>
  <si>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</si>
  <si>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</si>
  <si>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</si>
  <si>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</si>
  <si>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</si>
  <si>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</si>
  <si>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</si>
  <si>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</si>
  <si>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</si>
  <si>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</si>
  <si>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</si>
  <si>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</si>
  <si>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</si>
  <si>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</si>
  <si>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</si>
  <si>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</si>
  <si>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</si>
  <si>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</si>
  <si>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</si>
  <si>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</si>
  <si>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</si>
  <si>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</si>
  <si>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</si>
  <si>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</si>
  <si>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</si>
  <si>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</si>
  <si>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</si>
  <si>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</si>
  <si>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</si>
  <si>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</si>
  <si>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</si>
  <si>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</si>
  <si>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</si>
  <si>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</si>
  <si>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</si>
  <si>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</si>
  <si>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</si>
  <si>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</si>
  <si>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</si>
  <si>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</si>
  <si>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</si>
  <si>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</si>
  <si>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</si>
  <si>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</si>
  <si>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</si>
  <si>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</si>
  <si>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</si>
  <si>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</si>
  <si>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</si>
  <si>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</si>
  <si>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</si>
  <si>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</si>
  <si>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</si>
  <si>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</si>
  <si>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</si>
  <si>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</si>
  <si>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</si>
  <si>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</si>
  <si>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</si>
  <si>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</si>
  <si>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</si>
  <si>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</si>
  <si>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</si>
  <si>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</si>
  <si>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</si>
  <si>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</si>
  <si>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</si>
  <si>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</si>
  <si>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</si>
  <si>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</si>
  <si>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</si>
  <si>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</si>
  <si>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</si>
  <si>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</si>
  <si>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</si>
  <si>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</si>
  <si>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</si>
  <si>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</si>
  <si>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</si>
  <si>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</si>
  <si>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</si>
  <si>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</si>
  <si>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</si>
  <si>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</si>
  <si>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</si>
  <si>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</si>
  <si>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</si>
  <si>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</si>
  <si>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</si>
  <si>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</si>
  <si>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</si>
  <si>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</si>
  <si>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</si>
  <si>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</si>
  <si>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</si>
  <si>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</si>
  <si>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</si>
  <si>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</si>
  <si>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</si>
  <si>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</si>
  <si>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</si>
  <si>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</si>
  <si>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</si>
  <si>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</si>
  <si>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</si>
  <si>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</si>
  <si>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</si>
  <si>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</si>
  <si>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</si>
  <si>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</si>
  <si>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2320710191 F</t>
  </si>
  <si>
    <t>（第1回変更予算）</t>
  </si>
  <si>
    <t>畑本 憲広</t>
  </si>
  <si>
    <t>23-191 ★市道辻戸室線舗装補修工事(その2)</t>
  </si>
  <si>
    <t>株式会社 滝美園</t>
  </si>
  <si>
    <t>横浜支店</t>
  </si>
  <si>
    <t>厚木市戸室２丁目及び恩名４丁目地内</t>
  </si>
  <si>
    <t>2023年12月4日</t>
  </si>
  <si>
    <t>2024年2月29日</t>
  </si>
  <si>
    <t>舗装版切断工</t>
  </si>
  <si>
    <t>舗装打換え工</t>
  </si>
  <si>
    <t>切削オーバーレイ工</t>
  </si>
  <si>
    <t>表層工</t>
  </si>
  <si>
    <t>段差摺付工</t>
  </si>
  <si>
    <t>セメントミルク注入工</t>
  </si>
  <si>
    <t>区画線工</t>
  </si>
  <si>
    <t>重機運搬費</t>
  </si>
  <si>
    <t>法定福利費</t>
  </si>
  <si>
    <t>外注経費</t>
  </si>
  <si>
    <t>安全費</t>
  </si>
  <si>
    <t>技術管理費</t>
  </si>
  <si>
    <t>社員給料</t>
  </si>
  <si>
    <t>夜間</t>
  </si>
  <si>
    <t>式</t>
  </si>
  <si>
    <t>m2</t>
  </si>
  <si>
    <t>切削:10cm　再生粗粒</t>
  </si>
  <si>
    <t>白</t>
  </si>
  <si>
    <t>ベンガラ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</si>
  <si>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</si>
  <si>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</si>
  <si>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</si>
  <si>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</si>
  <si>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</si>
  <si>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</si>
  <si>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</si>
  <si>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辻戸室線(その2)</t>
  </si>
  <si>
    <t>関東支社</t>
  </si>
  <si>
    <t>厚木市役所道路維持課</t>
  </si>
  <si>
    <t>単独</t>
  </si>
  <si>
    <t>F</t>
  </si>
  <si>
    <t>2023年12月4日 ～ 2024年2月29日</t>
  </si>
  <si>
    <t>直接工事費</t>
  </si>
  <si>
    <t xml:space="preserve">  舗装版切断工</t>
  </si>
  <si>
    <t xml:space="preserve">  夜間</t>
  </si>
  <si>
    <t>1号</t>
  </si>
  <si>
    <t>内訳書</t>
  </si>
  <si>
    <t xml:space="preserve">  舗装打換え工</t>
  </si>
  <si>
    <t xml:space="preserve">  </t>
  </si>
  <si>
    <t>14号</t>
  </si>
  <si>
    <t xml:space="preserve">  切削オーバーレイ工</t>
  </si>
  <si>
    <t xml:space="preserve">  切削:10cm　再生粗粒</t>
  </si>
  <si>
    <t>2号</t>
  </si>
  <si>
    <t xml:space="preserve">  表層工</t>
  </si>
  <si>
    <t>13号</t>
  </si>
  <si>
    <t xml:space="preserve">  段差摺付工</t>
  </si>
  <si>
    <t>15号</t>
  </si>
  <si>
    <t xml:space="preserve">  セメントミルク注入工</t>
  </si>
  <si>
    <t xml:space="preserve">  白</t>
  </si>
  <si>
    <t>3号</t>
  </si>
  <si>
    <t xml:space="preserve">  ベンガラ</t>
  </si>
  <si>
    <t>4号</t>
  </si>
  <si>
    <t xml:space="preserve">  区画線工</t>
  </si>
  <si>
    <t>6号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</si>
  <si>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</si>
  <si>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</si>
  <si>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</si>
  <si>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</si>
  <si>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</si>
  <si>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</si>
  <si>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</si>
  <si>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</si>
  <si>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23-191 ★市道辻戸室線舗装補修工事(その2)</t>
    <phoneticPr fontId="4"/>
  </si>
  <si>
    <t>総括</t>
  </si>
  <si>
    <t>集計行</t>
  </si>
  <si>
    <t>｜直接工事費</t>
  </si>
  <si>
    <t>内訳代価</t>
  </si>
  <si>
    <t>｜｜舗装版切断工</t>
  </si>
  <si>
    <t>1号内訳書</t>
  </si>
  <si>
    <t>｜｜｜雑材</t>
  </si>
  <si>
    <t xml:space="preserve">s00328386 </t>
  </si>
  <si>
    <t>｜｜｜技工(N)</t>
  </si>
  <si>
    <t>夜間単価</t>
  </si>
  <si>
    <t>人</t>
  </si>
  <si>
    <t xml:space="preserve">r00328004 </t>
  </si>
  <si>
    <t xml:space="preserve">{数量=2*1} </t>
  </si>
  <si>
    <t>｜｜｜舗装版切断(最低)</t>
  </si>
  <si>
    <t>最低補償</t>
  </si>
  <si>
    <t xml:space="preserve">g00328023 </t>
  </si>
  <si>
    <t>｜｜｜汚泥処分費</t>
  </si>
  <si>
    <t xml:space="preserve">g00328024 </t>
  </si>
  <si>
    <t>｜｜｜汚泥運搬費</t>
  </si>
  <si>
    <t xml:space="preserve">g00328025 </t>
  </si>
  <si>
    <t>｜｜舗装打換え工</t>
  </si>
  <si>
    <t>14号内訳書</t>
  </si>
  <si>
    <t>｜｜｜再生Aｓ安定処理</t>
  </si>
  <si>
    <t>t</t>
  </si>
  <si>
    <t xml:space="preserve">s00328254 </t>
  </si>
  <si>
    <t xml:space="preserve">{数量=187*0.1*2.35*1.07} </t>
  </si>
  <si>
    <t>｜｜｜再生粗粒As</t>
  </si>
  <si>
    <t xml:space="preserve">s00328255 </t>
  </si>
  <si>
    <t xml:space="preserve">{数量=187*0.05*2.35*1.07} </t>
  </si>
  <si>
    <t>｜｜｜乳剤PK-3、4</t>
  </si>
  <si>
    <t xml:space="preserve">s00328286 </t>
  </si>
  <si>
    <t xml:space="preserve">{数量=187*1.2} </t>
  </si>
  <si>
    <t>｜｜｜ﾀｯｸﾌｧｲﾝSQ</t>
  </si>
  <si>
    <t xml:space="preserve">s00328284 </t>
  </si>
  <si>
    <t xml:space="preserve">{数量=187*0.4} </t>
  </si>
  <si>
    <t>｜｜｜RM-40(t)</t>
  </si>
  <si>
    <t xml:space="preserve">s00328277 </t>
  </si>
  <si>
    <t xml:space="preserve">{数量=187*0.03*2} </t>
  </si>
  <si>
    <t>｜｜｜軽油</t>
  </si>
  <si>
    <t>L</t>
  </si>
  <si>
    <t xml:space="preserve">s00328123 </t>
  </si>
  <si>
    <t xml:space="preserve">{数量=50*1} </t>
  </si>
  <si>
    <t xml:space="preserve">{数量=4*1} </t>
  </si>
  <si>
    <t>｜｜｜ﾀｲﾔﾛｰﾗ</t>
  </si>
  <si>
    <t>3t</t>
  </si>
  <si>
    <t>台</t>
  </si>
  <si>
    <t xml:space="preserve">k00328001 </t>
  </si>
  <si>
    <t xml:space="preserve">{数量=0.5*1} </t>
  </si>
  <si>
    <t>8t</t>
  </si>
  <si>
    <t xml:space="preserve">k00328002 </t>
  </si>
  <si>
    <t>｜｜｜ﾀﾝﾃﾞﾑﾛｰﾗ</t>
  </si>
  <si>
    <t>3ｔ、4ｔ</t>
  </si>
  <si>
    <t xml:space="preserve">k00328004 </t>
  </si>
  <si>
    <t>｜｜｜ﾀｲﾔﾕﾝﾎﾞ  兼用  夜間</t>
  </si>
  <si>
    <t>OP付</t>
  </si>
  <si>
    <t xml:space="preserve">k00328032 </t>
  </si>
  <si>
    <t xml:space="preserve">{数量=1*1} </t>
  </si>
  <si>
    <t>｜｜｜ASﾌｨﾆｯｼｬｰ6.0m</t>
  </si>
  <si>
    <t>低騒音OPAJ付</t>
  </si>
  <si>
    <t xml:space="preserve">k00328036 </t>
  </si>
  <si>
    <t>｜｜｜Eｽﾌﾟﾚｰﾔｰ</t>
  </si>
  <si>
    <t xml:space="preserve">k00328038 </t>
  </si>
  <si>
    <t>｜｜｜ﾀﾞﾝﾌﾟﾄﾗｯｸ常用10ｔ</t>
  </si>
  <si>
    <t>ｵﾍﾟ燃料付</t>
  </si>
  <si>
    <t xml:space="preserve">u00328003 </t>
  </si>
  <si>
    <t>｜｜｜2ｔﾀﾞﾝﾌﾟ</t>
  </si>
  <si>
    <t xml:space="preserve">u00328020 </t>
  </si>
  <si>
    <t>｜｜｜労務運搬(Wｷｬﾌﾞ)</t>
  </si>
  <si>
    <t>燃料込</t>
  </si>
  <si>
    <t xml:space="preserve">u00328036 </t>
  </si>
  <si>
    <t>｜｜｜AS廃材(半たわみ)</t>
  </si>
  <si>
    <t xml:space="preserve">u00328027 </t>
  </si>
  <si>
    <t xml:space="preserve">{数量=187*0.2*2.35} </t>
  </si>
  <si>
    <t>｜｜切削オーバーレイ工</t>
  </si>
  <si>
    <t>2号内訳書</t>
  </si>
  <si>
    <t xml:space="preserve">{数量=570*0.05*2.35*1.07} </t>
  </si>
  <si>
    <t xml:space="preserve">{数量=570*0.4} </t>
  </si>
  <si>
    <t xml:space="preserve">{数量=5*1} </t>
  </si>
  <si>
    <t>｜｜｜ﾏｶﾀﾞﾑﾛｰﾗ</t>
  </si>
  <si>
    <t xml:space="preserve">k00328003 </t>
  </si>
  <si>
    <t>｜｜｜ﾋﾞﾌﾞﾛﾌﾟﾚｰﾄ</t>
  </si>
  <si>
    <t xml:space="preserve">k00328008 </t>
  </si>
  <si>
    <t>｜｜｜ﾀｲﾔｼｮﾍﾞﾙ0.4</t>
  </si>
  <si>
    <t xml:space="preserve">k00328021 </t>
  </si>
  <si>
    <t>｜｜｜切削機ﾎｲｰﾙ</t>
  </si>
  <si>
    <t>ER550級</t>
  </si>
  <si>
    <t xml:space="preserve">k00328065 </t>
  </si>
  <si>
    <t>｜｜｜ｽｲｰﾊﾟｰ</t>
  </si>
  <si>
    <t>大型</t>
  </si>
  <si>
    <t xml:space="preserve">k00328072 </t>
  </si>
  <si>
    <t>｜｜｜ﾄﾗｯｸ積ｺﾝﾌﾟﾚｯｻｰ</t>
  </si>
  <si>
    <t>ﾌﾞﾚｰｶｰ、ﾎｰｽ込</t>
  </si>
  <si>
    <t xml:space="preserve">k00328058 </t>
  </si>
  <si>
    <t>｜｜｜ﾃﾞｨｽﾄﾘﾋﾞｭｰﾀ(夜)SQ</t>
  </si>
  <si>
    <t xml:space="preserve">k00328110 </t>
  </si>
  <si>
    <t xml:space="preserve">{数量=7*1} </t>
  </si>
  <si>
    <t xml:space="preserve">{数量=570*0.1*2.35} </t>
  </si>
  <si>
    <t>｜｜表層工</t>
  </si>
  <si>
    <t>13号内訳書</t>
  </si>
  <si>
    <t>｜｜｜半たわみAs改質</t>
  </si>
  <si>
    <t xml:space="preserve">s00328251 </t>
  </si>
  <si>
    <t xml:space="preserve">{数量=757*0.05*2.1*1.07} </t>
  </si>
  <si>
    <t xml:space="preserve">{数量=757*0.4} </t>
  </si>
  <si>
    <t xml:space="preserve">{数量=100*1} </t>
  </si>
  <si>
    <t xml:space="preserve">{数量=9*1} </t>
  </si>
  <si>
    <t>｜｜段差摺付工</t>
  </si>
  <si>
    <t>15号内訳書</t>
  </si>
  <si>
    <t>｜｜｜細粒Aｓ</t>
  </si>
  <si>
    <t>5mm</t>
  </si>
  <si>
    <t xml:space="preserve">s00328257 </t>
  </si>
  <si>
    <t xml:space="preserve">{数量=128*0.025*2.35*1.07} </t>
  </si>
  <si>
    <t>｜｜｜BH0.15ｸﾚｰﾝ</t>
  </si>
  <si>
    <t xml:space="preserve">k00328016 </t>
  </si>
  <si>
    <t>｜｜｜摺り付け機</t>
  </si>
  <si>
    <t xml:space="preserve">k00328037 </t>
  </si>
  <si>
    <t>｜｜｜ﾀﾞﾝﾌﾟﾄﾗｯｸ台引10ｔ</t>
  </si>
  <si>
    <t>厚木市内</t>
  </si>
  <si>
    <t xml:space="preserve">u00328007 </t>
  </si>
  <si>
    <t>｜｜｜AS塊処分</t>
  </si>
  <si>
    <t xml:space="preserve">u00328026 </t>
  </si>
  <si>
    <t>｜｜セメントミルク注入工</t>
  </si>
  <si>
    <t>3号内訳書</t>
  </si>
  <si>
    <t>｜｜｜ｾﾒﾝﾄﾐﾙｸ</t>
  </si>
  <si>
    <t>超速硬</t>
  </si>
  <si>
    <t>袋</t>
  </si>
  <si>
    <t xml:space="preserve">s00328217 </t>
  </si>
  <si>
    <t xml:space="preserve">{数量=50*2} </t>
  </si>
  <si>
    <t>養生材等</t>
  </si>
  <si>
    <t xml:space="preserve">{数量=9*2} </t>
  </si>
  <si>
    <t>｜｜｜半たわみｾｯﾄ  ﾚﾝﾀﾙ</t>
  </si>
  <si>
    <t>4ｔﾕﾆｯｸ</t>
  </si>
  <si>
    <t xml:space="preserve">k00328081 </t>
  </si>
  <si>
    <t xml:space="preserve">{数量=1*2} </t>
  </si>
  <si>
    <t>｜｜｜散水車</t>
  </si>
  <si>
    <t>4ｔ</t>
  </si>
  <si>
    <t xml:space="preserve">k00328059 </t>
  </si>
  <si>
    <t>｜｜｜小物機械</t>
  </si>
  <si>
    <t xml:space="preserve">k00328082 </t>
  </si>
  <si>
    <t>｜｜｜ｸﾚｰﾝ付ﾄﾗｯｸ4ｔ</t>
  </si>
  <si>
    <t xml:space="preserve">k00328057 </t>
  </si>
  <si>
    <t xml:space="preserve">{数量=2*2} </t>
  </si>
  <si>
    <t>4号内訳書</t>
  </si>
  <si>
    <t>超速硬　ベンガラ</t>
  </si>
  <si>
    <t>｜｜区画線工</t>
  </si>
  <si>
    <t>6号内訳書</t>
  </si>
  <si>
    <t>｜｜｜区画線  実線・ｾﾞﾌﾞﾗ</t>
  </si>
  <si>
    <t>W=15cm</t>
  </si>
  <si>
    <t>m</t>
  </si>
  <si>
    <t xml:space="preserve">g00328001 </t>
  </si>
  <si>
    <t>｜｜｜区画線  破線</t>
  </si>
  <si>
    <t xml:space="preserve">g00328005 </t>
  </si>
  <si>
    <t>W=30cm</t>
  </si>
  <si>
    <t xml:space="preserve">g00328003 </t>
  </si>
  <si>
    <t>｜｜｜矢印・記号・文字・15cm換算</t>
  </si>
  <si>
    <t xml:space="preserve">g00328009 </t>
  </si>
  <si>
    <t>｜｜｜仮ラインテープ</t>
  </si>
  <si>
    <t>巻</t>
  </si>
  <si>
    <t>予算2</t>
    <phoneticPr fontId="6"/>
  </si>
  <si>
    <t>0</t>
  </si>
  <si>
    <t>#DIV/0!</t>
  </si>
  <si>
    <t>｜共通仮設費</t>
  </si>
  <si>
    <t>｜｜重機運搬費</t>
  </si>
  <si>
    <t>7号内訳書</t>
  </si>
  <si>
    <t>｜｜｜回送  4ｔｾﾙﾌ</t>
  </si>
  <si>
    <t>BH.TS.TDR.3tTR</t>
  </si>
  <si>
    <t>回</t>
  </si>
  <si>
    <t xml:space="preserve">u00328008 </t>
  </si>
  <si>
    <t>｜｜｜回送  大型ｾﾙﾌ</t>
  </si>
  <si>
    <t>8tTR.MR</t>
  </si>
  <si>
    <t xml:space="preserve">u00328009 </t>
  </si>
  <si>
    <t>｜｜｜AF回送  大型ｾﾙﾌ</t>
  </si>
  <si>
    <t>4.4m～6.0m級</t>
  </si>
  <si>
    <t xml:space="preserve">u00328015 </t>
  </si>
  <si>
    <t>｜｜｜切削機回送  ﾄﾚｰﾗｰ</t>
  </si>
  <si>
    <t xml:space="preserve">u00328017 </t>
  </si>
  <si>
    <t>｜｜法定福利費</t>
  </si>
  <si>
    <t>8号内訳書</t>
  </si>
  <si>
    <t>｜｜｜法定福利費</t>
  </si>
  <si>
    <t>\1,404,000×15.15%</t>
  </si>
  <si>
    <t xml:space="preserve">g00328040 </t>
  </si>
  <si>
    <t>｜｜外注経費</t>
  </si>
  <si>
    <t>9号内訳書</t>
  </si>
  <si>
    <t>｜｜｜外注経費</t>
  </si>
  <si>
    <t xml:space="preserve">g00328041 </t>
  </si>
  <si>
    <t>｜｜安全費</t>
  </si>
  <si>
    <t>10号内訳書</t>
  </si>
  <si>
    <t>｜｜｜交通保安員(夜間)</t>
  </si>
  <si>
    <t xml:space="preserve">g00328036 </t>
  </si>
  <si>
    <t>｜｜｜ﾊﾞﾙｰﾝﾗｲﾄ</t>
  </si>
  <si>
    <t xml:space="preserve">k00328108 </t>
  </si>
  <si>
    <t>｜｜｜規制車</t>
  </si>
  <si>
    <t>｜｜｜パワーゲート</t>
  </si>
  <si>
    <t xml:space="preserve">k00328060 </t>
  </si>
  <si>
    <t>｜｜技術管理費</t>
  </si>
  <si>
    <t>11号内訳書</t>
  </si>
  <si>
    <t>｜｜｜技工</t>
  </si>
  <si>
    <t xml:space="preserve">r00328003 </t>
  </si>
  <si>
    <t>｜｜｜ｺｱｰ採取</t>
  </si>
  <si>
    <t xml:space="preserve">g00328039 </t>
  </si>
  <si>
    <t>｜｜｜平坦性試験</t>
  </si>
  <si>
    <t xml:space="preserve">g00328042 </t>
  </si>
  <si>
    <t>｜｜｜圧縮強度試験</t>
  </si>
  <si>
    <t>｜｜｜交通保安員</t>
  </si>
  <si>
    <t xml:space="preserve">g00328035 </t>
  </si>
  <si>
    <t>12号</t>
  </si>
  <si>
    <t>｜現場経費</t>
  </si>
  <si>
    <t>｜｜社員給料</t>
  </si>
  <si>
    <t>12号内訳書</t>
  </si>
  <si>
    <t>｜｜｜現場代理人(2級)昼</t>
  </si>
  <si>
    <t>日</t>
  </si>
  <si>
    <t xml:space="preserve">m00328019 </t>
  </si>
  <si>
    <t>｜｜｜現場代理人(2級)夜</t>
  </si>
  <si>
    <t xml:space="preserve">m00328020 </t>
  </si>
  <si>
    <t>工事名称</t>
    <phoneticPr fontId="6"/>
  </si>
  <si>
    <t>23-191 ★市道辻戸室線舗装補修工事(その2)</t>
    <phoneticPr fontId="6"/>
  </si>
  <si>
    <t>2320710191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</si>
  <si>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</si>
  <si>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</si>
  <si>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</si>
  <si>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</si>
  <si>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</si>
  <si>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</si>
  <si>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</si>
  <si>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RM-40(t)</t>
    <phoneticPr fontId="6"/>
  </si>
  <si>
    <t>t</t>
    <phoneticPr fontId="6"/>
  </si>
  <si>
    <t>材料費</t>
    <phoneticPr fontId="6"/>
  </si>
  <si>
    <t>ｾﾒﾝﾄﾐﾙｸ</t>
    <phoneticPr fontId="6"/>
  </si>
  <si>
    <t>袋</t>
    <phoneticPr fontId="6"/>
  </si>
  <si>
    <t>超速硬</t>
    <phoneticPr fontId="6"/>
  </si>
  <si>
    <t>超速硬　ベンガラ</t>
    <phoneticPr fontId="6"/>
  </si>
  <si>
    <t>ﾀｯｸﾌｧｲﾝSQ</t>
    <phoneticPr fontId="6"/>
  </si>
  <si>
    <t>仮ラインテープ</t>
    <phoneticPr fontId="6"/>
  </si>
  <si>
    <t>巻</t>
    <phoneticPr fontId="6"/>
  </si>
  <si>
    <t>軽油</t>
    <phoneticPr fontId="6"/>
  </si>
  <si>
    <t>L</t>
    <phoneticPr fontId="6"/>
  </si>
  <si>
    <t>再生Aｓ安定処理</t>
    <phoneticPr fontId="6"/>
  </si>
  <si>
    <t>再生粗粒As</t>
    <phoneticPr fontId="6"/>
  </si>
  <si>
    <t>細粒Aｓ</t>
    <phoneticPr fontId="6"/>
  </si>
  <si>
    <t>5mm</t>
    <phoneticPr fontId="6"/>
  </si>
  <si>
    <t>雑材</t>
    <phoneticPr fontId="6"/>
  </si>
  <si>
    <t>式</t>
    <phoneticPr fontId="6"/>
  </si>
  <si>
    <t>養生材等</t>
    <phoneticPr fontId="6"/>
  </si>
  <si>
    <t>乳剤PK-3、4</t>
    <phoneticPr fontId="6"/>
  </si>
  <si>
    <t>材料調書</t>
    <phoneticPr fontId="6"/>
  </si>
  <si>
    <t>半たわみAs改質</t>
    <phoneticPr fontId="6"/>
  </si>
  <si>
    <t>計</t>
    <phoneticPr fontId="6"/>
  </si>
  <si>
    <t>技工</t>
    <phoneticPr fontId="6"/>
  </si>
  <si>
    <t>人</t>
    <phoneticPr fontId="6"/>
  </si>
  <si>
    <t>労務費</t>
    <phoneticPr fontId="6"/>
  </si>
  <si>
    <t>技工(N)</t>
    <phoneticPr fontId="6"/>
  </si>
  <si>
    <t>夜間単価</t>
    <phoneticPr fontId="6"/>
  </si>
  <si>
    <t>ｺｱｰ採取</t>
    <phoneticPr fontId="6"/>
  </si>
  <si>
    <t>外注費</t>
    <phoneticPr fontId="6"/>
  </si>
  <si>
    <t>圧縮強度試験</t>
    <phoneticPr fontId="6"/>
  </si>
  <si>
    <t>汚泥運搬費</t>
    <phoneticPr fontId="6"/>
  </si>
  <si>
    <t>汚泥処分費</t>
    <phoneticPr fontId="6"/>
  </si>
  <si>
    <t>最低補償</t>
    <phoneticPr fontId="6"/>
  </si>
  <si>
    <t>外注経費</t>
    <phoneticPr fontId="6"/>
  </si>
  <si>
    <t>区画線  実線・ｾﾞﾌﾞﾗ</t>
    <phoneticPr fontId="6"/>
  </si>
  <si>
    <t>m</t>
    <phoneticPr fontId="6"/>
  </si>
  <si>
    <t>W=15cm</t>
    <phoneticPr fontId="6"/>
  </si>
  <si>
    <t>W=30cm</t>
    <phoneticPr fontId="6"/>
  </si>
  <si>
    <t>区画線  破線</t>
    <phoneticPr fontId="6"/>
  </si>
  <si>
    <t>交通保安員</t>
    <phoneticPr fontId="6"/>
  </si>
  <si>
    <t>交通保安員(夜間)</t>
    <phoneticPr fontId="6"/>
  </si>
  <si>
    <t>平坦性試験</t>
    <phoneticPr fontId="6"/>
  </si>
  <si>
    <t>舗装版切断(最低)</t>
    <phoneticPr fontId="6"/>
  </si>
  <si>
    <t>法定福利費</t>
    <phoneticPr fontId="6"/>
  </si>
  <si>
    <t>\1,404,000×15.15%</t>
    <phoneticPr fontId="6"/>
  </si>
  <si>
    <t>矢印・記号・文字・15cm換算</t>
    <phoneticPr fontId="6"/>
  </si>
  <si>
    <t>ASﾌｨﾆｯｼｬｰ6.0m</t>
    <phoneticPr fontId="6"/>
  </si>
  <si>
    <t>台</t>
    <phoneticPr fontId="6"/>
  </si>
  <si>
    <t>低騒音OPAJ付</t>
    <phoneticPr fontId="6"/>
  </si>
  <si>
    <t>機械費</t>
    <phoneticPr fontId="6"/>
  </si>
  <si>
    <t>BH0.15ｸﾚｰﾝ</t>
    <phoneticPr fontId="6"/>
  </si>
  <si>
    <t>Eｽﾌﾟﾚｰﾔｰ</t>
    <phoneticPr fontId="6"/>
  </si>
  <si>
    <t>ｸﾚｰﾝ付ﾄﾗｯｸ4ｔ</t>
    <phoneticPr fontId="6"/>
  </si>
  <si>
    <t>ｽｲｰﾊﾟｰ</t>
    <phoneticPr fontId="6"/>
  </si>
  <si>
    <t>大型</t>
    <phoneticPr fontId="6"/>
  </si>
  <si>
    <t>ﾀｲﾔｼｮﾍﾞﾙ0.4</t>
    <phoneticPr fontId="6"/>
  </si>
  <si>
    <t>ﾀｲﾔﾕﾝﾎﾞ  兼用  夜間</t>
    <phoneticPr fontId="6"/>
  </si>
  <si>
    <t>OP付</t>
    <phoneticPr fontId="6"/>
  </si>
  <si>
    <t>ﾀｲﾔﾛｰﾗ</t>
    <phoneticPr fontId="6"/>
  </si>
  <si>
    <t>3t</t>
    <phoneticPr fontId="6"/>
  </si>
  <si>
    <t>8t</t>
    <phoneticPr fontId="6"/>
  </si>
  <si>
    <t>ﾀﾝﾃﾞﾑﾛｰﾗ</t>
    <phoneticPr fontId="6"/>
  </si>
  <si>
    <t>3ｔ、4ｔ</t>
    <phoneticPr fontId="6"/>
  </si>
  <si>
    <t>ﾃﾞｨｽﾄﾘﾋﾞｭｰﾀ(夜)SQ</t>
    <phoneticPr fontId="6"/>
  </si>
  <si>
    <t>ﾄﾗｯｸ積ｺﾝﾌﾟﾚｯｻｰ</t>
    <phoneticPr fontId="6"/>
  </si>
  <si>
    <t>ﾌﾞﾚｰｶｰ、ﾎｰｽ込</t>
    <phoneticPr fontId="6"/>
  </si>
  <si>
    <t>ﾊﾞﾙｰﾝﾗｲﾄ</t>
    <phoneticPr fontId="6"/>
  </si>
  <si>
    <t>パワーゲート</t>
    <phoneticPr fontId="6"/>
  </si>
  <si>
    <t>ﾋﾞﾌﾞﾛﾌﾟﾚｰﾄ</t>
    <phoneticPr fontId="6"/>
  </si>
  <si>
    <t>ﾏｶﾀﾞﾑﾛｰﾗ</t>
    <phoneticPr fontId="6"/>
  </si>
  <si>
    <t>規制車</t>
    <phoneticPr fontId="6"/>
  </si>
  <si>
    <t>散水車</t>
    <phoneticPr fontId="6"/>
  </si>
  <si>
    <t>4ｔ</t>
    <phoneticPr fontId="6"/>
  </si>
  <si>
    <t>小物機械</t>
    <phoneticPr fontId="6"/>
  </si>
  <si>
    <t>摺り付け機</t>
    <phoneticPr fontId="6"/>
  </si>
  <si>
    <t>切削機ﾎｲｰﾙ</t>
    <phoneticPr fontId="6"/>
  </si>
  <si>
    <t>ER550級</t>
    <phoneticPr fontId="6"/>
  </si>
  <si>
    <t>機械調書</t>
    <phoneticPr fontId="6"/>
  </si>
  <si>
    <t>半たわみｾｯﾄ  ﾚﾝﾀﾙ</t>
    <phoneticPr fontId="6"/>
  </si>
  <si>
    <t>4ｔﾕﾆｯｸ</t>
    <phoneticPr fontId="6"/>
  </si>
  <si>
    <t>2ｔﾀﾞﾝﾌﾟ</t>
    <phoneticPr fontId="6"/>
  </si>
  <si>
    <t>運搬費</t>
    <phoneticPr fontId="6"/>
  </si>
  <si>
    <t>AF回送  大型ｾﾙﾌ</t>
    <phoneticPr fontId="6"/>
  </si>
  <si>
    <t>回</t>
    <phoneticPr fontId="6"/>
  </si>
  <si>
    <t>4.4m～6.0m級</t>
    <phoneticPr fontId="6"/>
  </si>
  <si>
    <t>AS塊処分</t>
    <phoneticPr fontId="6"/>
  </si>
  <si>
    <t>AS廃材(半たわみ)</t>
    <phoneticPr fontId="6"/>
  </si>
  <si>
    <t>ﾀﾞﾝﾌﾟﾄﾗｯｸ常用10ｔ</t>
    <phoneticPr fontId="6"/>
  </si>
  <si>
    <t>ｵﾍﾟ燃料付</t>
    <phoneticPr fontId="6"/>
  </si>
  <si>
    <t>ﾀﾞﾝﾌﾟﾄﾗｯｸ台引10ｔ</t>
    <phoneticPr fontId="6"/>
  </si>
  <si>
    <t>厚木市内</t>
    <phoneticPr fontId="6"/>
  </si>
  <si>
    <t>回送  4ｔｾﾙﾌ</t>
    <phoneticPr fontId="6"/>
  </si>
  <si>
    <t>BH.TS.TDR.3tTR</t>
    <phoneticPr fontId="6"/>
  </si>
  <si>
    <t>回送  大型ｾﾙﾌ</t>
    <phoneticPr fontId="6"/>
  </si>
  <si>
    <t>8tTR.MR</t>
    <phoneticPr fontId="6"/>
  </si>
  <si>
    <t>切削機回送  ﾄﾚｰﾗｰ</t>
    <phoneticPr fontId="6"/>
  </si>
  <si>
    <t>労務運搬(Wｷｬﾌﾞ)</t>
    <phoneticPr fontId="6"/>
  </si>
  <si>
    <t>燃料込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</si>
</sst>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 t="s">
        <v>147</v>
      </c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20000000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11878606</v>
      </c>
      <c r="J16" s="420"/>
      <c r="K16" s="420"/>
      <c r="L16" s="420"/>
      <c r="M16" s="420"/>
      <c r="N16" s="420"/>
      <c r="O16" s="420"/>
      <c r="P16" s="420"/>
      <c r="Q16" s="416">
        <v>0.59389999999999998</v>
      </c>
      <c r="R16" s="416"/>
      <c r="S16" s="416"/>
      <c r="U16" s="417" t="s">
        <v>16</v>
      </c>
      <c r="V16" s="418"/>
      <c r="W16" s="418"/>
      <c r="X16" s="418"/>
      <c r="Y16" s="419">
        <v>8121394</v>
      </c>
      <c r="Z16" s="420"/>
      <c r="AA16" s="420"/>
      <c r="AB16" s="420"/>
      <c r="AC16" s="420"/>
      <c r="AD16" s="420"/>
      <c r="AE16" s="420"/>
      <c r="AF16" s="420"/>
      <c r="AG16" s="416">
        <v>0.40610000000000002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45264</v>
      </c>
      <c r="D3" s="458"/>
      <c r="E3" s="272" t="s">
        <v>139</v>
      </c>
      <c r="F3" s="459">
        <v>45351</v>
      </c>
      <c r="G3" s="459"/>
      <c r="H3" s="459"/>
      <c r="I3" s="273"/>
      <c r="J3" s="273"/>
      <c r="K3" s="460" t="s">
        <v>30</v>
      </c>
      <c r="L3" s="461"/>
      <c r="M3" s="462"/>
      <c r="N3" s="449">
        <v>20000000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140000</v>
      </c>
      <c r="D5" s="335">
        <f>IF(C5&lt;&gt;"",C5/$C$20,"")</f>
        <v>1.1785894742194497E-2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1169872</v>
      </c>
      <c r="D6" s="336">
        <f t="shared" ref="D6:D17" si="0">IF(C6&lt;&gt;"",C6/$C$20,"")</f>
        <v>9.8485630384575432E-2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1739640</v>
      </c>
      <c r="D7" s="336">
        <f t="shared" si="0"/>
        <v>0.14645152806650882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1609382</v>
      </c>
      <c r="D8" s="336">
        <f t="shared" si="0"/>
        <v>0.13548576322844616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299904</v>
      </c>
      <c r="D9" s="336">
        <f t="shared" si="0"/>
        <v>2.5247406976879272E-2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1369816</v>
      </c>
      <c r="D10" s="336">
        <f t="shared" si="0"/>
        <v>0.11531790851552783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159</v>
      </c>
      <c r="C11" s="277">
        <v>1559992</v>
      </c>
      <c r="D11" s="336">
        <f t="shared" si="0"/>
        <v>0.13132786793332485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160</v>
      </c>
      <c r="C12" s="277">
        <v>170000</v>
      </c>
      <c r="D12" s="336">
        <f t="shared" si="0"/>
        <v>1.4311443615521889E-2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161</v>
      </c>
      <c r="C13" s="277">
        <v>350000</v>
      </c>
      <c r="D13" s="336">
        <f t="shared" si="0"/>
        <v>2.9464736855486243E-2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162</v>
      </c>
      <c r="C14" s="277">
        <v>220000</v>
      </c>
      <c r="D14" s="336">
        <f t="shared" si="0"/>
        <v>1.8520691737734209E-2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163</v>
      </c>
      <c r="C15" s="277">
        <v>600000</v>
      </c>
      <c r="D15" s="336">
        <f t="shared" si="0"/>
        <v>5.0510977466547841E-2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164</v>
      </c>
      <c r="C16" s="277">
        <v>1650000</v>
      </c>
      <c r="D16" s="336">
        <f t="shared" si="0"/>
        <v>0.13890518803300655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165</v>
      </c>
      <c r="C17" s="278">
        <v>370000</v>
      </c>
      <c r="D17" s="336">
        <f t="shared" si="0"/>
        <v>3.114843610437117E-2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166</v>
      </c>
      <c r="C18" s="278">
        <v>630000</v>
      </c>
      <c r="D18" s="336">
        <f>IF(C18&lt;&gt;"",C18/$C$20,"")</f>
        <v>5.3036526339875233E-2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/>
      <c r="C19" s="278"/>
      <c r="D19" s="336" t="str">
        <f>IF(C19&lt;&gt;"",C19/$C$20,"")</f>
        <v/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11878606</v>
      </c>
      <c r="D20" s="337">
        <f>SUM(D5:D19)</f>
        <v>0.99999999999999989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 t="s">
        <v>167</v>
      </c>
      <c r="L5" s="283" t="s">
        <v>168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/>
      <c r="L6" s="290" t="s">
        <v>169</v>
      </c>
      <c r="M6" s="291">
        <v>187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 t="s">
        <v>170</v>
      </c>
      <c r="L7" s="290" t="s">
        <v>169</v>
      </c>
      <c r="M7" s="291">
        <v>570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/>
      <c r="L8" s="290" t="s">
        <v>169</v>
      </c>
      <c r="M8" s="291">
        <v>757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/>
      <c r="L9" s="290" t="s">
        <v>169</v>
      </c>
      <c r="M9" s="291">
        <v>128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 t="s">
        <v>171</v>
      </c>
      <c r="L10" s="290" t="s">
        <v>169</v>
      </c>
      <c r="M10" s="291">
        <v>401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159</v>
      </c>
      <c r="K11" s="289" t="s">
        <v>172</v>
      </c>
      <c r="L11" s="290" t="s">
        <v>169</v>
      </c>
      <c r="M11" s="291">
        <v>356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160</v>
      </c>
      <c r="K12" s="289" t="s">
        <v>167</v>
      </c>
      <c r="L12" s="290" t="s">
        <v>168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161</v>
      </c>
      <c r="K13" s="289"/>
      <c r="L13" s="290" t="s">
        <v>168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162</v>
      </c>
      <c r="K14" s="289"/>
      <c r="L14" s="290" t="s">
        <v>168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163</v>
      </c>
      <c r="K15" s="289"/>
      <c r="L15" s="290" t="s">
        <v>168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164</v>
      </c>
      <c r="K16" s="289"/>
      <c r="L16" s="290" t="s">
        <v>168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165</v>
      </c>
      <c r="K17" s="289"/>
      <c r="L17" s="290" t="s">
        <v>168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166</v>
      </c>
      <c r="K18" s="289"/>
      <c r="L18" s="290" t="s">
        <v>168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/>
      <c r="K19" s="295"/>
      <c r="L19" s="296"/>
      <c r="M19" s="297"/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180</v>
      </c>
      <c r="D5" s="512"/>
      <c r="E5" s="246" t="s">
        <v>133</v>
      </c>
      <c r="F5" s="513" t="s">
        <v>181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180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173</v>
      </c>
      <c r="I6" s="110" t="s">
        <v>174</v>
      </c>
      <c r="J6" s="110" t="s">
        <v>175</v>
      </c>
      <c r="K6" s="110" t="s">
        <v>176</v>
      </c>
      <c r="L6" s="110" t="s">
        <v>177</v>
      </c>
      <c r="M6" s="111" t="s">
        <v>178</v>
      </c>
      <c r="N6" s="110" t="s">
        <v>179</v>
      </c>
      <c r="O6" s="112" t="s">
        <v>162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20000000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182</v>
      </c>
      <c r="D8" s="492"/>
      <c r="E8" s="113" t="s">
        <v>59</v>
      </c>
      <c r="F8" s="249">
        <v>11878606</v>
      </c>
      <c r="G8" s="334">
        <v>0.59389999999999998</v>
      </c>
      <c r="H8" s="250">
        <v>4211760</v>
      </c>
      <c r="I8" s="251">
        <v>1582000</v>
      </c>
      <c r="J8" s="251">
        <v>2454390</v>
      </c>
      <c r="K8" s="251">
        <v>1842950</v>
      </c>
      <c r="L8" s="252">
        <v>1158900</v>
      </c>
      <c r="M8" s="252"/>
      <c r="N8" s="253">
        <v>630000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8058606</v>
      </c>
      <c r="G9" s="334">
        <v>0.40289999999999998</v>
      </c>
      <c r="H9" s="250">
        <v>4197760</v>
      </c>
      <c r="I9" s="251">
        <v>1456000</v>
      </c>
      <c r="J9" s="251">
        <v>214390</v>
      </c>
      <c r="K9" s="251">
        <v>1397950</v>
      </c>
      <c r="L9" s="252">
        <v>793900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3190000</v>
      </c>
      <c r="G10" s="334">
        <v>0.1595</v>
      </c>
      <c r="H10" s="250">
        <v>14000</v>
      </c>
      <c r="I10" s="253">
        <v>126000</v>
      </c>
      <c r="J10" s="253">
        <v>2240000</v>
      </c>
      <c r="K10" s="253">
        <v>445000</v>
      </c>
      <c r="L10" s="251">
        <v>365000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 t="s">
        <v>147</v>
      </c>
      <c r="D11" s="493"/>
      <c r="E11" s="114" t="s">
        <v>64</v>
      </c>
      <c r="F11" s="249">
        <v>630000</v>
      </c>
      <c r="G11" s="334">
        <v>3.15E-2</v>
      </c>
      <c r="H11" s="250"/>
      <c r="I11" s="253"/>
      <c r="J11" s="253"/>
      <c r="K11" s="253"/>
      <c r="L11" s="251"/>
      <c r="M11" s="252"/>
      <c r="N11" s="253">
        <v>630000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183</v>
      </c>
      <c r="D12" s="492"/>
      <c r="E12" s="113" t="s">
        <v>66</v>
      </c>
      <c r="F12" s="249">
        <v>8121394</v>
      </c>
      <c r="G12" s="334">
        <v>0.40610000000000002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184</v>
      </c>
      <c r="D13" s="492"/>
      <c r="E13" s="169" t="s">
        <v>110</v>
      </c>
      <c r="F13" s="249">
        <v>1260000</v>
      </c>
      <c r="G13" s="334">
        <v>6.3E-2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152</v>
      </c>
      <c r="D14" s="493"/>
      <c r="E14" s="114" t="s">
        <v>111</v>
      </c>
      <c r="F14" s="249">
        <v>960000</v>
      </c>
      <c r="G14" s="334">
        <v>4.8000000000000001E-2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185</v>
      </c>
      <c r="D15" s="495"/>
      <c r="E15" s="114" t="s">
        <v>112</v>
      </c>
      <c r="F15" s="249">
        <v>300000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185</v>
      </c>
      <c r="D16" s="493"/>
      <c r="E16" s="113" t="s">
        <v>113</v>
      </c>
      <c r="F16" s="249">
        <v>6861394</v>
      </c>
      <c r="G16" s="334">
        <v>0.34310000000000002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1160000</v>
      </c>
      <c r="G17" s="334">
        <v>5.8000000000000003E-2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5701394</v>
      </c>
      <c r="G18" s="334">
        <v>0.28510000000000002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topLeftCell="A33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186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187</v>
      </c>
      <c r="C8" s="166"/>
      <c r="D8" s="517" t="s">
        <v>168</v>
      </c>
      <c r="E8" s="519">
        <v>1</v>
      </c>
      <c r="F8" s="521">
        <v>140000</v>
      </c>
      <c r="G8" s="523">
        <v>140000</v>
      </c>
      <c r="H8" s="351" t="s">
        <v>189</v>
      </c>
      <c r="I8" s="525">
        <v>7.0000000000000001E-3</v>
      </c>
      <c r="J8" s="227"/>
      <c r="K8" s="69" t="s">
        <v>96</v>
      </c>
    </row>
    <row r="9" spans="1:11" ht="15.6" customHeight="1">
      <c r="A9" s="69"/>
      <c r="B9" s="224" t="s">
        <v>188</v>
      </c>
      <c r="C9" s="225"/>
      <c r="D9" s="518"/>
      <c r="E9" s="520"/>
      <c r="F9" s="522"/>
      <c r="G9" s="524"/>
      <c r="H9" s="352" t="s">
        <v>190</v>
      </c>
      <c r="I9" s="526"/>
      <c r="J9" s="227"/>
      <c r="K9" s="69" t="s">
        <v>96</v>
      </c>
    </row>
    <row r="10" spans="1:11" ht="15.6" customHeight="1">
      <c r="A10" s="69"/>
      <c r="B10" s="222" t="s">
        <v>191</v>
      </c>
      <c r="C10" s="166"/>
      <c r="D10" s="517" t="s">
        <v>169</v>
      </c>
      <c r="E10" s="519">
        <v>187</v>
      </c>
      <c r="F10" s="521">
        <v>6256</v>
      </c>
      <c r="G10" s="523">
        <v>1169872</v>
      </c>
      <c r="H10" s="351" t="s">
        <v>193</v>
      </c>
      <c r="I10" s="525">
        <v>5.8400000000000001E-2</v>
      </c>
      <c r="J10" s="223"/>
      <c r="K10" s="69" t="s">
        <v>96</v>
      </c>
    </row>
    <row r="11" spans="1:11" ht="15.6" customHeight="1">
      <c r="A11" s="69"/>
      <c r="B11" s="224" t="s">
        <v>192</v>
      </c>
      <c r="C11" s="225"/>
      <c r="D11" s="518"/>
      <c r="E11" s="520"/>
      <c r="F11" s="522"/>
      <c r="G11" s="524"/>
      <c r="H11" s="352" t="s">
        <v>190</v>
      </c>
      <c r="I11" s="526"/>
      <c r="J11" s="226"/>
      <c r="K11" s="69" t="s">
        <v>96</v>
      </c>
    </row>
    <row r="12" spans="1:11" ht="15.6" customHeight="1">
      <c r="A12" s="69"/>
      <c r="B12" s="222" t="s">
        <v>194</v>
      </c>
      <c r="C12" s="166"/>
      <c r="D12" s="517" t="s">
        <v>169</v>
      </c>
      <c r="E12" s="519">
        <v>570</v>
      </c>
      <c r="F12" s="521">
        <v>3052</v>
      </c>
      <c r="G12" s="523">
        <v>1739640</v>
      </c>
      <c r="H12" s="351" t="s">
        <v>196</v>
      </c>
      <c r="I12" s="525">
        <v>8.6900000000000005E-2</v>
      </c>
      <c r="J12" s="223"/>
      <c r="K12" s="69" t="s">
        <v>96</v>
      </c>
    </row>
    <row r="13" spans="1:11" ht="15.6" customHeight="1">
      <c r="A13" s="69"/>
      <c r="B13" s="224" t="s">
        <v>195</v>
      </c>
      <c r="C13" s="225"/>
      <c r="D13" s="518"/>
      <c r="E13" s="520"/>
      <c r="F13" s="522"/>
      <c r="G13" s="524"/>
      <c r="H13" s="352" t="s">
        <v>190</v>
      </c>
      <c r="I13" s="526"/>
      <c r="J13" s="226"/>
      <c r="K13" s="69" t="s">
        <v>96</v>
      </c>
    </row>
    <row r="14" spans="1:11" ht="15.6" customHeight="1">
      <c r="A14" s="69"/>
      <c r="B14" s="222" t="s">
        <v>197</v>
      </c>
      <c r="C14" s="166"/>
      <c r="D14" s="517" t="s">
        <v>169</v>
      </c>
      <c r="E14" s="519">
        <v>757</v>
      </c>
      <c r="F14" s="521">
        <v>2126</v>
      </c>
      <c r="G14" s="523">
        <v>1609382</v>
      </c>
      <c r="H14" s="351" t="s">
        <v>198</v>
      </c>
      <c r="I14" s="525">
        <v>8.0399999999999999E-2</v>
      </c>
      <c r="J14" s="223"/>
      <c r="K14" s="69" t="s">
        <v>96</v>
      </c>
    </row>
    <row r="15" spans="1:11" ht="15.6" customHeight="1">
      <c r="A15" s="69"/>
      <c r="B15" s="224" t="s">
        <v>192</v>
      </c>
      <c r="C15" s="225"/>
      <c r="D15" s="518"/>
      <c r="E15" s="520"/>
      <c r="F15" s="522"/>
      <c r="G15" s="524"/>
      <c r="H15" s="352" t="s">
        <v>190</v>
      </c>
      <c r="I15" s="526"/>
      <c r="J15" s="226"/>
      <c r="K15" s="69" t="s">
        <v>96</v>
      </c>
    </row>
    <row r="16" spans="1:11" ht="15.6" customHeight="1">
      <c r="A16" s="69"/>
      <c r="B16" s="222" t="s">
        <v>199</v>
      </c>
      <c r="C16" s="166"/>
      <c r="D16" s="517" t="s">
        <v>169</v>
      </c>
      <c r="E16" s="519">
        <v>128</v>
      </c>
      <c r="F16" s="521">
        <v>2343</v>
      </c>
      <c r="G16" s="523">
        <v>299904</v>
      </c>
      <c r="H16" s="351" t="s">
        <v>200</v>
      </c>
      <c r="I16" s="525">
        <v>1.49E-2</v>
      </c>
      <c r="J16" s="223"/>
      <c r="K16" s="69" t="s">
        <v>96</v>
      </c>
    </row>
    <row r="17" spans="1:11" ht="15.6" customHeight="1">
      <c r="A17" s="69"/>
      <c r="B17" s="224" t="s">
        <v>192</v>
      </c>
      <c r="C17" s="225"/>
      <c r="D17" s="518"/>
      <c r="E17" s="520"/>
      <c r="F17" s="522"/>
      <c r="G17" s="524"/>
      <c r="H17" s="352" t="s">
        <v>190</v>
      </c>
      <c r="I17" s="526"/>
      <c r="J17" s="226"/>
      <c r="K17" s="69" t="s">
        <v>96</v>
      </c>
    </row>
    <row r="18" spans="1:11" ht="15.6" customHeight="1">
      <c r="A18" s="69"/>
      <c r="B18" s="222" t="s">
        <v>201</v>
      </c>
      <c r="C18" s="166"/>
      <c r="D18" s="517" t="s">
        <v>169</v>
      </c>
      <c r="E18" s="519">
        <v>401</v>
      </c>
      <c r="F18" s="521">
        <v>3416</v>
      </c>
      <c r="G18" s="523">
        <v>1369816</v>
      </c>
      <c r="H18" s="351" t="s">
        <v>203</v>
      </c>
      <c r="I18" s="525">
        <v>6.8400000000000002E-2</v>
      </c>
      <c r="J18" s="223"/>
      <c r="K18" s="69" t="s">
        <v>96</v>
      </c>
    </row>
    <row r="19" spans="1:11" ht="15.6" customHeight="1">
      <c r="A19" s="69"/>
      <c r="B19" s="224" t="s">
        <v>202</v>
      </c>
      <c r="C19" s="225"/>
      <c r="D19" s="518"/>
      <c r="E19" s="520"/>
      <c r="F19" s="522"/>
      <c r="G19" s="524"/>
      <c r="H19" s="352" t="s">
        <v>190</v>
      </c>
      <c r="I19" s="526"/>
      <c r="J19" s="226"/>
      <c r="K19" s="69" t="s">
        <v>96</v>
      </c>
    </row>
    <row r="20" spans="1:11" ht="15.6" customHeight="1">
      <c r="A20" s="69"/>
      <c r="B20" s="222" t="s">
        <v>201</v>
      </c>
      <c r="C20" s="166"/>
      <c r="D20" s="517" t="s">
        <v>169</v>
      </c>
      <c r="E20" s="519">
        <v>356</v>
      </c>
      <c r="F20" s="521">
        <v>4382</v>
      </c>
      <c r="G20" s="523">
        <v>1559992</v>
      </c>
      <c r="H20" s="351" t="s">
        <v>205</v>
      </c>
      <c r="I20" s="525">
        <v>7.7899999999999997E-2</v>
      </c>
      <c r="J20" s="223"/>
      <c r="K20" s="69" t="s">
        <v>96</v>
      </c>
    </row>
    <row r="21" spans="1:11" ht="15.6" customHeight="1">
      <c r="A21" s="69"/>
      <c r="B21" s="224" t="s">
        <v>204</v>
      </c>
      <c r="C21" s="225"/>
      <c r="D21" s="518"/>
      <c r="E21" s="520"/>
      <c r="F21" s="522"/>
      <c r="G21" s="524"/>
      <c r="H21" s="352" t="s">
        <v>190</v>
      </c>
      <c r="I21" s="526"/>
      <c r="J21" s="226"/>
      <c r="K21" s="69" t="s">
        <v>96</v>
      </c>
    </row>
    <row r="22" spans="1:11" ht="15.6" customHeight="1">
      <c r="A22" s="69"/>
      <c r="B22" s="222" t="s">
        <v>206</v>
      </c>
      <c r="C22" s="166"/>
      <c r="D22" s="517" t="s">
        <v>168</v>
      </c>
      <c r="E22" s="519">
        <v>1</v>
      </c>
      <c r="F22" s="521">
        <v>170000</v>
      </c>
      <c r="G22" s="523">
        <v>170000</v>
      </c>
      <c r="H22" s="351" t="s">
        <v>207</v>
      </c>
      <c r="I22" s="525">
        <v>8.5000000000000006E-3</v>
      </c>
      <c r="J22" s="223"/>
      <c r="K22" s="69" t="s">
        <v>96</v>
      </c>
    </row>
    <row r="23" spans="1:11" ht="15.6" customHeight="1">
      <c r="A23" s="69"/>
      <c r="B23" s="224" t="s">
        <v>188</v>
      </c>
      <c r="C23" s="225"/>
      <c r="D23" s="518"/>
      <c r="E23" s="520"/>
      <c r="F23" s="522"/>
      <c r="G23" s="524"/>
      <c r="H23" s="352" t="s">
        <v>190</v>
      </c>
      <c r="I23" s="526"/>
      <c r="J23" s="226"/>
      <c r="K23" s="69" t="s">
        <v>96</v>
      </c>
    </row>
    <row r="24" spans="1:11" ht="15.6" customHeight="1">
      <c r="A24" s="69"/>
      <c r="B24" s="222" t="s">
        <v>208</v>
      </c>
      <c r="C24" s="166"/>
      <c r="D24" s="517"/>
      <c r="E24" s="519"/>
      <c r="F24" s="521"/>
      <c r="G24" s="523">
        <v>8058606</v>
      </c>
      <c r="H24" s="351"/>
      <c r="I24" s="525">
        <v>0.40289999999999998</v>
      </c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525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209</v>
      </c>
      <c r="C28" s="166"/>
      <c r="D28" s="517"/>
      <c r="E28" s="519"/>
      <c r="F28" s="521"/>
      <c r="G28" s="523"/>
      <c r="H28" s="351"/>
      <c r="I28" s="525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210</v>
      </c>
      <c r="C30" s="166"/>
      <c r="D30" s="517" t="s">
        <v>168</v>
      </c>
      <c r="E30" s="519">
        <v>1</v>
      </c>
      <c r="F30" s="521">
        <v>3190000</v>
      </c>
      <c r="G30" s="523">
        <v>3190000</v>
      </c>
      <c r="H30" s="351"/>
      <c r="I30" s="525">
        <v>0.1595</v>
      </c>
      <c r="J30" s="223"/>
      <c r="K30" s="69" t="s">
        <v>96</v>
      </c>
    </row>
    <row r="31" spans="1:11" ht="15.6" customHeight="1">
      <c r="A31" s="69"/>
      <c r="B31" s="224" t="s">
        <v>192</v>
      </c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211</v>
      </c>
      <c r="C32" s="166"/>
      <c r="D32" s="532" t="s">
        <v>168</v>
      </c>
      <c r="E32" s="519">
        <v>1</v>
      </c>
      <c r="F32" s="521">
        <v>630000</v>
      </c>
      <c r="G32" s="523">
        <v>630000</v>
      </c>
      <c r="H32" s="351"/>
      <c r="I32" s="525">
        <v>3.15E-2</v>
      </c>
      <c r="J32" s="223"/>
      <c r="K32" s="69" t="s">
        <v>96</v>
      </c>
    </row>
    <row r="33" spans="1:11" ht="15.6" customHeight="1">
      <c r="A33" s="69"/>
      <c r="B33" s="224" t="s">
        <v>192</v>
      </c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212</v>
      </c>
      <c r="C34" s="166"/>
      <c r="D34" s="517"/>
      <c r="E34" s="519"/>
      <c r="F34" s="521"/>
      <c r="G34" s="523">
        <v>3820000</v>
      </c>
      <c r="H34" s="351"/>
      <c r="I34" s="525">
        <v>0.191</v>
      </c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525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213</v>
      </c>
      <c r="C43" s="166"/>
      <c r="D43" s="517"/>
      <c r="E43" s="519"/>
      <c r="F43" s="521"/>
      <c r="G43" s="523">
        <v>11878606</v>
      </c>
      <c r="H43" s="351"/>
      <c r="I43" s="525">
        <v>0.59389999999999998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 t="s">
        <v>214</v>
      </c>
      <c r="C47" s="166"/>
      <c r="D47" s="517"/>
      <c r="E47" s="519"/>
      <c r="F47" s="521"/>
      <c r="G47" s="523">
        <v>8121394</v>
      </c>
      <c r="H47" s="351"/>
      <c r="I47" s="525">
        <v>0.40610000000000002</v>
      </c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 t="s">
        <v>131</v>
      </c>
      <c r="C51" s="166"/>
      <c r="D51" s="517"/>
      <c r="E51" s="519"/>
      <c r="F51" s="521"/>
      <c r="G51" s="523">
        <v>20000000</v>
      </c>
      <c r="H51" s="351"/>
      <c r="I51" s="525">
        <v>1</v>
      </c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0067D-115B-4EF0-8959-3450A3F036C0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216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154</v>
      </c>
      <c r="C6" s="166"/>
      <c r="D6" s="517" t="s">
        <v>168</v>
      </c>
      <c r="E6" s="519">
        <v>1</v>
      </c>
      <c r="F6" s="521">
        <v>140000</v>
      </c>
      <c r="G6" s="523">
        <v>140000</v>
      </c>
      <c r="H6" s="351" t="s">
        <v>189</v>
      </c>
      <c r="I6" s="351"/>
      <c r="J6" s="223"/>
      <c r="K6" s="69" t="s">
        <v>96</v>
      </c>
    </row>
    <row r="7" spans="1:11" ht="15.6" customHeight="1">
      <c r="A7" s="69"/>
      <c r="B7" s="224" t="s">
        <v>167</v>
      </c>
      <c r="C7" s="225"/>
      <c r="D7" s="518"/>
      <c r="E7" s="520"/>
      <c r="F7" s="522"/>
      <c r="G7" s="524"/>
      <c r="H7" s="352" t="s">
        <v>190</v>
      </c>
      <c r="I7" s="352"/>
      <c r="J7" s="226"/>
      <c r="K7" s="69" t="s">
        <v>96</v>
      </c>
    </row>
    <row r="8" spans="1:11" ht="15.6" customHeight="1">
      <c r="A8" s="69"/>
      <c r="B8" s="222" t="s">
        <v>155</v>
      </c>
      <c r="C8" s="166"/>
      <c r="D8" s="517" t="s">
        <v>169</v>
      </c>
      <c r="E8" s="519">
        <v>187</v>
      </c>
      <c r="F8" s="521">
        <v>6256</v>
      </c>
      <c r="G8" s="523">
        <v>1169872</v>
      </c>
      <c r="H8" s="351" t="s">
        <v>193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190</v>
      </c>
      <c r="I9" s="352"/>
      <c r="J9" s="227"/>
      <c r="K9" s="69" t="s">
        <v>96</v>
      </c>
    </row>
    <row r="10" spans="1:11" ht="15.6" customHeight="1">
      <c r="A10" s="69"/>
      <c r="B10" s="222" t="s">
        <v>156</v>
      </c>
      <c r="C10" s="166"/>
      <c r="D10" s="517" t="s">
        <v>169</v>
      </c>
      <c r="E10" s="519">
        <v>570</v>
      </c>
      <c r="F10" s="521">
        <v>3052</v>
      </c>
      <c r="G10" s="523">
        <v>1739640</v>
      </c>
      <c r="H10" s="351" t="s">
        <v>196</v>
      </c>
      <c r="I10" s="351"/>
      <c r="J10" s="223"/>
      <c r="K10" s="69" t="s">
        <v>96</v>
      </c>
    </row>
    <row r="11" spans="1:11" ht="15.6" customHeight="1">
      <c r="A11" s="69"/>
      <c r="B11" s="224" t="s">
        <v>170</v>
      </c>
      <c r="C11" s="225"/>
      <c r="D11" s="518"/>
      <c r="E11" s="520"/>
      <c r="F11" s="522"/>
      <c r="G11" s="524"/>
      <c r="H11" s="352" t="s">
        <v>190</v>
      </c>
      <c r="I11" s="352"/>
      <c r="J11" s="226"/>
      <c r="K11" s="69" t="s">
        <v>96</v>
      </c>
    </row>
    <row r="12" spans="1:11" ht="15.6" customHeight="1">
      <c r="A12" s="69"/>
      <c r="B12" s="222" t="s">
        <v>157</v>
      </c>
      <c r="C12" s="166"/>
      <c r="D12" s="517" t="s">
        <v>169</v>
      </c>
      <c r="E12" s="519">
        <v>757</v>
      </c>
      <c r="F12" s="521">
        <v>2126</v>
      </c>
      <c r="G12" s="523">
        <v>1609382</v>
      </c>
      <c r="H12" s="351" t="s">
        <v>198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190</v>
      </c>
      <c r="I13" s="352"/>
      <c r="J13" s="226"/>
      <c r="K13" s="69" t="s">
        <v>96</v>
      </c>
    </row>
    <row r="14" spans="1:11" ht="15.6" customHeight="1">
      <c r="A14" s="69"/>
      <c r="B14" s="222" t="s">
        <v>158</v>
      </c>
      <c r="C14" s="166"/>
      <c r="D14" s="517" t="s">
        <v>169</v>
      </c>
      <c r="E14" s="519">
        <v>128</v>
      </c>
      <c r="F14" s="521">
        <v>2343</v>
      </c>
      <c r="G14" s="523">
        <v>299904</v>
      </c>
      <c r="H14" s="351" t="s">
        <v>200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190</v>
      </c>
      <c r="I15" s="352"/>
      <c r="J15" s="226"/>
      <c r="K15" s="69" t="s">
        <v>96</v>
      </c>
    </row>
    <row r="16" spans="1:11" ht="15.6" customHeight="1">
      <c r="A16" s="69"/>
      <c r="B16" s="222" t="s">
        <v>159</v>
      </c>
      <c r="C16" s="166"/>
      <c r="D16" s="517" t="s">
        <v>169</v>
      </c>
      <c r="E16" s="519">
        <v>401</v>
      </c>
      <c r="F16" s="521">
        <v>3416</v>
      </c>
      <c r="G16" s="523">
        <v>1369816</v>
      </c>
      <c r="H16" s="351" t="s">
        <v>203</v>
      </c>
      <c r="I16" s="351"/>
      <c r="J16" s="223"/>
      <c r="K16" s="69" t="s">
        <v>96</v>
      </c>
    </row>
    <row r="17" spans="1:11" ht="15.6" customHeight="1">
      <c r="A17" s="69"/>
      <c r="B17" s="224" t="s">
        <v>171</v>
      </c>
      <c r="C17" s="225"/>
      <c r="D17" s="518"/>
      <c r="E17" s="520"/>
      <c r="F17" s="522"/>
      <c r="G17" s="524"/>
      <c r="H17" s="352" t="s">
        <v>190</v>
      </c>
      <c r="I17" s="352"/>
      <c r="J17" s="226"/>
      <c r="K17" s="69" t="s">
        <v>96</v>
      </c>
    </row>
    <row r="18" spans="1:11" ht="15.6" customHeight="1">
      <c r="A18" s="69"/>
      <c r="B18" s="222" t="s">
        <v>159</v>
      </c>
      <c r="C18" s="166"/>
      <c r="D18" s="517" t="s">
        <v>169</v>
      </c>
      <c r="E18" s="519">
        <v>356</v>
      </c>
      <c r="F18" s="521">
        <v>4382</v>
      </c>
      <c r="G18" s="523">
        <v>1559992</v>
      </c>
      <c r="H18" s="351" t="s">
        <v>205</v>
      </c>
      <c r="I18" s="351"/>
      <c r="J18" s="223"/>
      <c r="K18" s="69" t="s">
        <v>96</v>
      </c>
    </row>
    <row r="19" spans="1:11" ht="15.6" customHeight="1">
      <c r="A19" s="69"/>
      <c r="B19" s="224" t="s">
        <v>172</v>
      </c>
      <c r="C19" s="225"/>
      <c r="D19" s="518"/>
      <c r="E19" s="520"/>
      <c r="F19" s="522"/>
      <c r="G19" s="524"/>
      <c r="H19" s="352" t="s">
        <v>190</v>
      </c>
      <c r="I19" s="352"/>
      <c r="J19" s="226"/>
      <c r="K19" s="69" t="s">
        <v>96</v>
      </c>
    </row>
    <row r="20" spans="1:11" ht="15.6" customHeight="1">
      <c r="A20" s="69"/>
      <c r="B20" s="222" t="s">
        <v>160</v>
      </c>
      <c r="C20" s="166"/>
      <c r="D20" s="517" t="s">
        <v>168</v>
      </c>
      <c r="E20" s="519">
        <v>1</v>
      </c>
      <c r="F20" s="521">
        <v>170000</v>
      </c>
      <c r="G20" s="523">
        <v>170000</v>
      </c>
      <c r="H20" s="351" t="s">
        <v>207</v>
      </c>
      <c r="I20" s="351"/>
      <c r="J20" s="223"/>
      <c r="K20" s="69" t="s">
        <v>96</v>
      </c>
    </row>
    <row r="21" spans="1:11" ht="15.6" customHeight="1">
      <c r="A21" s="69"/>
      <c r="B21" s="224" t="s">
        <v>167</v>
      </c>
      <c r="C21" s="225"/>
      <c r="D21" s="518"/>
      <c r="E21" s="520"/>
      <c r="F21" s="522"/>
      <c r="G21" s="524"/>
      <c r="H21" s="352" t="s">
        <v>190</v>
      </c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 t="s">
        <v>215</v>
      </c>
      <c r="C24" s="166"/>
      <c r="D24" s="517"/>
      <c r="E24" s="519"/>
      <c r="F24" s="521"/>
      <c r="G24" s="523">
        <v>8058606</v>
      </c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106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23-191 ★市道辻戸室線舗装補修工事(その2)</v>
      </c>
      <c r="G1" s="306"/>
      <c r="H1" s="190" t="s">
        <v>140</v>
      </c>
      <c r="I1" s="333">
        <v>20000000</v>
      </c>
      <c r="J1" s="339">
        <f>I4/I$1</f>
        <v>0.59393030000000002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374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217</v>
      </c>
      <c r="D4" s="340" t="s">
        <v>180</v>
      </c>
      <c r="E4" s="342"/>
      <c r="F4" s="345" t="s">
        <v>168</v>
      </c>
      <c r="G4" s="308">
        <v>1</v>
      </c>
      <c r="H4" s="309">
        <v>11878606</v>
      </c>
      <c r="I4" s="309">
        <v>11878606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218</v>
      </c>
      <c r="D5" s="340" t="s">
        <v>219</v>
      </c>
      <c r="E5" s="342"/>
      <c r="F5" s="345" t="s">
        <v>168</v>
      </c>
      <c r="G5" s="308">
        <v>1</v>
      </c>
      <c r="H5" s="309">
        <v>8058606</v>
      </c>
      <c r="I5" s="309">
        <v>8058606</v>
      </c>
      <c r="J5" s="211"/>
      <c r="K5" s="212" t="str">
        <f>IF(OR(J5="",G5=J5),"","*")</f>
        <v/>
      </c>
      <c r="L5" s="338">
        <f>IF($A5&lt;=L$1,I5/I$4,"")</f>
        <v>0.67841344346297872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220</v>
      </c>
      <c r="D6" s="340" t="s">
        <v>221</v>
      </c>
      <c r="E6" s="342" t="s">
        <v>167</v>
      </c>
      <c r="F6" s="345" t="s">
        <v>168</v>
      </c>
      <c r="G6" s="308">
        <v>1</v>
      </c>
      <c r="H6" s="309">
        <v>140000</v>
      </c>
      <c r="I6" s="309">
        <v>140000</v>
      </c>
      <c r="J6" s="211">
        <v>1</v>
      </c>
      <c r="K6" s="212" t="str">
        <f>IF(OR(J6="",G6=J6),"","*")</f>
        <v/>
      </c>
      <c r="L6" s="338">
        <f>IF($A6&lt;=L$1,I6/I$4,"")</f>
        <v>1.1785894742194497E-2</v>
      </c>
      <c r="M6" s="343"/>
      <c r="N6" s="344" t="s">
        <v>222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173</v>
      </c>
      <c r="D7" s="340" t="s">
        <v>223</v>
      </c>
      <c r="E7" s="342"/>
      <c r="F7" s="345" t="s">
        <v>168</v>
      </c>
      <c r="G7" s="308">
        <v>1</v>
      </c>
      <c r="H7" s="309">
        <v>16000</v>
      </c>
      <c r="I7" s="309">
        <v>16000</v>
      </c>
      <c r="J7" s="211"/>
      <c r="K7" s="212" t="str">
        <f>IF(OR(J7="",G7=J7),"","*")</f>
        <v/>
      </c>
      <c r="L7" s="338">
        <f>IF($A7&lt;=L$1,I7/I$4,"")</f>
        <v>1.3469593991079424E-3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224</v>
      </c>
      <c r="AF7" s="341"/>
    </row>
    <row r="8" spans="1:32">
      <c r="A8" s="307">
        <v>3</v>
      </c>
      <c r="B8" s="342"/>
      <c r="C8" s="342" t="s">
        <v>174</v>
      </c>
      <c r="D8" s="340" t="s">
        <v>225</v>
      </c>
      <c r="E8" s="342" t="s">
        <v>226</v>
      </c>
      <c r="F8" s="345" t="s">
        <v>227</v>
      </c>
      <c r="G8" s="308">
        <v>2</v>
      </c>
      <c r="H8" s="309">
        <v>26000</v>
      </c>
      <c r="I8" s="309">
        <v>52000</v>
      </c>
      <c r="J8" s="211"/>
      <c r="K8" s="212" t="str">
        <f>IF(OR(J8="",G8=J8),"","*")</f>
        <v/>
      </c>
      <c r="L8" s="338">
        <f>IF($A8&lt;=L$1,I8/I$4,"")</f>
        <v>4.3776180471008126E-3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228</v>
      </c>
      <c r="AF8" s="341" t="s">
        <v>229</v>
      </c>
    </row>
    <row r="9" spans="1:32">
      <c r="A9" s="307">
        <v>3</v>
      </c>
      <c r="B9" s="342"/>
      <c r="C9" s="342" t="s">
        <v>175</v>
      </c>
      <c r="D9" s="340" t="s">
        <v>230</v>
      </c>
      <c r="E9" s="342" t="s">
        <v>231</v>
      </c>
      <c r="F9" s="345" t="s">
        <v>168</v>
      </c>
      <c r="G9" s="308">
        <v>1</v>
      </c>
      <c r="H9" s="309">
        <v>50000</v>
      </c>
      <c r="I9" s="309">
        <v>50000</v>
      </c>
      <c r="J9" s="211"/>
      <c r="K9" s="212" t="str">
        <f>IF(OR(J9="",G9=J9),"","*")</f>
        <v/>
      </c>
      <c r="L9" s="338">
        <f>IF($A9&lt;=L$1,I9/I$4,"")</f>
        <v>4.2092481222123206E-3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232</v>
      </c>
      <c r="AF9" s="341"/>
    </row>
    <row r="10" spans="1:32">
      <c r="A10" s="307">
        <v>3</v>
      </c>
      <c r="B10" s="342"/>
      <c r="C10" s="342" t="s">
        <v>175</v>
      </c>
      <c r="D10" s="340" t="s">
        <v>233</v>
      </c>
      <c r="E10" s="342" t="s">
        <v>231</v>
      </c>
      <c r="F10" s="345" t="s">
        <v>168</v>
      </c>
      <c r="G10" s="308">
        <v>1</v>
      </c>
      <c r="H10" s="309">
        <v>12000</v>
      </c>
      <c r="I10" s="309">
        <v>12000</v>
      </c>
      <c r="J10" s="211"/>
      <c r="K10" s="212" t="str">
        <f>IF(OR(J10="",G10=J10),"","*")</f>
        <v/>
      </c>
      <c r="L10" s="338">
        <f>IF($A10&lt;=L$1,I10/I$4,"")</f>
        <v>1.0102195493309569E-3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234</v>
      </c>
      <c r="AF10" s="341"/>
    </row>
    <row r="11" spans="1:32">
      <c r="A11" s="307">
        <v>3</v>
      </c>
      <c r="B11" s="342"/>
      <c r="C11" s="342" t="s">
        <v>175</v>
      </c>
      <c r="D11" s="340" t="s">
        <v>235</v>
      </c>
      <c r="E11" s="342"/>
      <c r="F11" s="345" t="s">
        <v>168</v>
      </c>
      <c r="G11" s="308">
        <v>1</v>
      </c>
      <c r="H11" s="309">
        <v>10000</v>
      </c>
      <c r="I11" s="309">
        <v>10000</v>
      </c>
      <c r="J11" s="211"/>
      <c r="K11" s="212" t="str">
        <f>IF(OR(J11="",G11=J11),"","*")</f>
        <v/>
      </c>
      <c r="L11" s="338">
        <f>IF($A11&lt;=L$1,I11/I$4,"")</f>
        <v>8.4184962444246408E-4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236</v>
      </c>
      <c r="AF11" s="341"/>
    </row>
    <row r="12" spans="1:32">
      <c r="A12" s="307">
        <v>2</v>
      </c>
      <c r="B12" s="342"/>
      <c r="C12" s="342" t="s">
        <v>220</v>
      </c>
      <c r="D12" s="340" t="s">
        <v>237</v>
      </c>
      <c r="E12" s="342"/>
      <c r="F12" s="345" t="s">
        <v>169</v>
      </c>
      <c r="G12" s="308">
        <v>187</v>
      </c>
      <c r="H12" s="309">
        <v>6256</v>
      </c>
      <c r="I12" s="309">
        <v>1169872</v>
      </c>
      <c r="J12" s="211">
        <v>187</v>
      </c>
      <c r="K12" s="212" t="str">
        <f>IF(OR(J12="",G12=J12),"","*")</f>
        <v/>
      </c>
      <c r="L12" s="338">
        <f>IF($A12&lt;=L$1,I12/I$4,"")</f>
        <v>9.8485630384575432E-2</v>
      </c>
      <c r="M12" s="343"/>
      <c r="N12" s="344" t="s">
        <v>238</v>
      </c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/>
    </row>
    <row r="13" spans="1:32">
      <c r="A13" s="307">
        <v>3</v>
      </c>
      <c r="B13" s="342"/>
      <c r="C13" s="342" t="s">
        <v>173</v>
      </c>
      <c r="D13" s="340" t="s">
        <v>239</v>
      </c>
      <c r="E13" s="342"/>
      <c r="F13" s="345" t="s">
        <v>240</v>
      </c>
      <c r="G13" s="308">
        <v>48</v>
      </c>
      <c r="H13" s="309">
        <v>8700</v>
      </c>
      <c r="I13" s="309">
        <v>417600</v>
      </c>
      <c r="J13" s="211"/>
      <c r="K13" s="212" t="str">
        <f>IF(OR(J13="",G13=J13),"","*")</f>
        <v/>
      </c>
      <c r="L13" s="338">
        <f>IF($A13&lt;=L$1,I13/I$4,"")</f>
        <v>3.51556403167173E-2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241</v>
      </c>
      <c r="AF13" s="341" t="s">
        <v>242</v>
      </c>
    </row>
    <row r="14" spans="1:32">
      <c r="A14" s="307">
        <v>3</v>
      </c>
      <c r="B14" s="342"/>
      <c r="C14" s="342" t="s">
        <v>173</v>
      </c>
      <c r="D14" s="340" t="s">
        <v>243</v>
      </c>
      <c r="E14" s="342"/>
      <c r="F14" s="345" t="s">
        <v>240</v>
      </c>
      <c r="G14" s="308">
        <v>24</v>
      </c>
      <c r="H14" s="309">
        <v>9400</v>
      </c>
      <c r="I14" s="309">
        <v>225600</v>
      </c>
      <c r="J14" s="211"/>
      <c r="K14" s="212" t="str">
        <f>IF(OR(J14="",G14=J14),"","*")</f>
        <v/>
      </c>
      <c r="L14" s="338">
        <f>IF($A14&lt;=L$1,I14/I$4,"")</f>
        <v>1.8992127527421989E-2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244</v>
      </c>
      <c r="AF14" s="341" t="s">
        <v>245</v>
      </c>
    </row>
    <row r="15" spans="1:32">
      <c r="A15" s="307">
        <v>3</v>
      </c>
      <c r="B15" s="342"/>
      <c r="C15" s="342" t="s">
        <v>173</v>
      </c>
      <c r="D15" s="340" t="s">
        <v>246</v>
      </c>
      <c r="E15" s="342"/>
      <c r="F15" s="345" t="s">
        <v>240</v>
      </c>
      <c r="G15" s="308">
        <v>0.22</v>
      </c>
      <c r="H15" s="309">
        <v>105000</v>
      </c>
      <c r="I15" s="309">
        <v>23100</v>
      </c>
      <c r="J15" s="211"/>
      <c r="K15" s="212" t="str">
        <f>IF(OR(J15="",G15=J15),"","*")</f>
        <v/>
      </c>
      <c r="L15" s="338">
        <f>IF($A15&lt;=L$1,I15/I$4,"")</f>
        <v>1.944672632462092E-3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247</v>
      </c>
      <c r="AF15" s="341" t="s">
        <v>248</v>
      </c>
    </row>
    <row r="16" spans="1:32">
      <c r="A16" s="307">
        <v>3</v>
      </c>
      <c r="B16" s="342"/>
      <c r="C16" s="342" t="s">
        <v>173</v>
      </c>
      <c r="D16" s="340" t="s">
        <v>249</v>
      </c>
      <c r="E16" s="342"/>
      <c r="F16" s="345" t="s">
        <v>240</v>
      </c>
      <c r="G16" s="308">
        <v>7.0000000000000007E-2</v>
      </c>
      <c r="H16" s="309">
        <v>214500</v>
      </c>
      <c r="I16" s="309">
        <v>15015</v>
      </c>
      <c r="J16" s="211"/>
      <c r="K16" s="212" t="str">
        <f>IF(OR(J16="",G16=J16),"","*")</f>
        <v/>
      </c>
      <c r="L16" s="338">
        <f>IF($A16&lt;=L$1,I16/I$4,"")</f>
        <v>1.2640372111003598E-3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250</v>
      </c>
      <c r="AF16" s="341" t="s">
        <v>251</v>
      </c>
    </row>
    <row r="17" spans="1:32">
      <c r="A17" s="307">
        <v>3</v>
      </c>
      <c r="B17" s="342"/>
      <c r="C17" s="342" t="s">
        <v>173</v>
      </c>
      <c r="D17" s="340" t="s">
        <v>252</v>
      </c>
      <c r="E17" s="342"/>
      <c r="F17" s="345" t="s">
        <v>240</v>
      </c>
      <c r="G17" s="308">
        <v>12</v>
      </c>
      <c r="H17" s="309">
        <v>800</v>
      </c>
      <c r="I17" s="309">
        <v>9600</v>
      </c>
      <c r="J17" s="211"/>
      <c r="K17" s="212" t="str">
        <f>IF(OR(J17="",G17=J17),"","*")</f>
        <v/>
      </c>
      <c r="L17" s="338">
        <f>IF($A17&lt;=L$1,I17/I$4,"")</f>
        <v>8.0817563946476549E-4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253</v>
      </c>
      <c r="AF17" s="341" t="s">
        <v>254</v>
      </c>
    </row>
    <row r="18" spans="1:32">
      <c r="A18" s="307">
        <v>3</v>
      </c>
      <c r="B18" s="342"/>
      <c r="C18" s="342" t="s">
        <v>173</v>
      </c>
      <c r="D18" s="340" t="s">
        <v>255</v>
      </c>
      <c r="E18" s="342"/>
      <c r="F18" s="345" t="s">
        <v>256</v>
      </c>
      <c r="G18" s="308">
        <v>50</v>
      </c>
      <c r="H18" s="309">
        <v>150</v>
      </c>
      <c r="I18" s="309">
        <v>7500</v>
      </c>
      <c r="J18" s="211"/>
      <c r="K18" s="212" t="str">
        <f>IF(OR(J18="",G18=J18),"","*")</f>
        <v/>
      </c>
      <c r="L18" s="338">
        <f>IF($A18&lt;=L$1,I18/I$4,"")</f>
        <v>6.3138721833184801E-4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257</v>
      </c>
      <c r="AF18" s="341" t="s">
        <v>258</v>
      </c>
    </row>
    <row r="19" spans="1:32">
      <c r="A19" s="307">
        <v>3</v>
      </c>
      <c r="B19" s="342"/>
      <c r="C19" s="342" t="s">
        <v>173</v>
      </c>
      <c r="D19" s="340" t="s">
        <v>223</v>
      </c>
      <c r="E19" s="342"/>
      <c r="F19" s="345" t="s">
        <v>168</v>
      </c>
      <c r="G19" s="308">
        <v>1</v>
      </c>
      <c r="H19" s="309">
        <v>13135</v>
      </c>
      <c r="I19" s="309">
        <v>13135</v>
      </c>
      <c r="J19" s="211"/>
      <c r="K19" s="212" t="str">
        <f>IF(OR(J19="",G19=J19),"","*")</f>
        <v/>
      </c>
      <c r="L19" s="338">
        <f>IF($A19&lt;=L$1,I19/I$4,"")</f>
        <v>1.1057694817051766E-3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224</v>
      </c>
      <c r="AF19" s="341"/>
    </row>
    <row r="20" spans="1:32">
      <c r="A20" s="307">
        <v>3</v>
      </c>
      <c r="B20" s="342"/>
      <c r="C20" s="342" t="s">
        <v>174</v>
      </c>
      <c r="D20" s="340" t="s">
        <v>225</v>
      </c>
      <c r="E20" s="342" t="s">
        <v>226</v>
      </c>
      <c r="F20" s="345" t="s">
        <v>227</v>
      </c>
      <c r="G20" s="308">
        <v>4</v>
      </c>
      <c r="H20" s="309">
        <v>26000</v>
      </c>
      <c r="I20" s="309">
        <v>104000</v>
      </c>
      <c r="J20" s="211"/>
      <c r="K20" s="212" t="str">
        <f>IF(OR(J20="",G20=J20),"","*")</f>
        <v/>
      </c>
      <c r="L20" s="338">
        <f>IF($A20&lt;=L$1,I20/I$4,"")</f>
        <v>8.7552360942016252E-3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228</v>
      </c>
      <c r="AF20" s="341" t="s">
        <v>259</v>
      </c>
    </row>
    <row r="21" spans="1:32">
      <c r="A21" s="307">
        <v>3</v>
      </c>
      <c r="B21" s="342"/>
      <c r="C21" s="342" t="s">
        <v>176</v>
      </c>
      <c r="D21" s="340" t="s">
        <v>260</v>
      </c>
      <c r="E21" s="342" t="s">
        <v>261</v>
      </c>
      <c r="F21" s="345" t="s">
        <v>262</v>
      </c>
      <c r="G21" s="308">
        <v>0.5</v>
      </c>
      <c r="H21" s="309">
        <v>4000</v>
      </c>
      <c r="I21" s="309">
        <v>2000</v>
      </c>
      <c r="J21" s="211"/>
      <c r="K21" s="212" t="str">
        <f>IF(OR(J21="",G21=J21),"","*")</f>
        <v/>
      </c>
      <c r="L21" s="338">
        <f>IF($A21&lt;=L$1,I21/I$4,"")</f>
        <v>1.6836992488849281E-4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263</v>
      </c>
      <c r="AF21" s="341" t="s">
        <v>264</v>
      </c>
    </row>
    <row r="22" spans="1:32">
      <c r="A22" s="307">
        <v>3</v>
      </c>
      <c r="B22" s="342"/>
      <c r="C22" s="342" t="s">
        <v>176</v>
      </c>
      <c r="D22" s="340" t="s">
        <v>260</v>
      </c>
      <c r="E22" s="342" t="s">
        <v>265</v>
      </c>
      <c r="F22" s="345" t="s">
        <v>262</v>
      </c>
      <c r="G22" s="308">
        <v>0.5</v>
      </c>
      <c r="H22" s="309">
        <v>5500</v>
      </c>
      <c r="I22" s="309">
        <v>2750</v>
      </c>
      <c r="J22" s="211"/>
      <c r="K22" s="212" t="str">
        <f>IF(OR(J22="",G22=J22),"","*")</f>
        <v/>
      </c>
      <c r="L22" s="338">
        <f>IF($A22&lt;=L$1,I22/I$4,"")</f>
        <v>2.315086467216776E-4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266</v>
      </c>
      <c r="AF22" s="341" t="s">
        <v>264</v>
      </c>
    </row>
    <row r="23" spans="1:32">
      <c r="A23" s="307">
        <v>3</v>
      </c>
      <c r="B23" s="342"/>
      <c r="C23" s="342" t="s">
        <v>176</v>
      </c>
      <c r="D23" s="340" t="s">
        <v>267</v>
      </c>
      <c r="E23" s="342" t="s">
        <v>268</v>
      </c>
      <c r="F23" s="345" t="s">
        <v>262</v>
      </c>
      <c r="G23" s="308">
        <v>0.5</v>
      </c>
      <c r="H23" s="309">
        <v>4000</v>
      </c>
      <c r="I23" s="309">
        <v>2000</v>
      </c>
      <c r="J23" s="211"/>
      <c r="K23" s="212" t="str">
        <f>IF(OR(J23="",G23=J23),"","*")</f>
        <v/>
      </c>
      <c r="L23" s="338">
        <f>IF($A23&lt;=L$1,I23/I$4,"")</f>
        <v>1.6836992488849281E-4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269</v>
      </c>
      <c r="AF23" s="341" t="s">
        <v>264</v>
      </c>
    </row>
    <row r="24" spans="1:32">
      <c r="A24" s="307">
        <v>3</v>
      </c>
      <c r="B24" s="342"/>
      <c r="C24" s="342" t="s">
        <v>176</v>
      </c>
      <c r="D24" s="340" t="s">
        <v>270</v>
      </c>
      <c r="E24" s="342" t="s">
        <v>271</v>
      </c>
      <c r="F24" s="345" t="s">
        <v>262</v>
      </c>
      <c r="G24" s="308">
        <v>1</v>
      </c>
      <c r="H24" s="309">
        <v>90000</v>
      </c>
      <c r="I24" s="309">
        <v>90000</v>
      </c>
      <c r="J24" s="211"/>
      <c r="K24" s="212" t="str">
        <f>IF(OR(J24="",G24=J24),"","*")</f>
        <v/>
      </c>
      <c r="L24" s="338">
        <f>IF($A24&lt;=L$1,I24/I$4,"")</f>
        <v>7.5766466199821761E-3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272</v>
      </c>
      <c r="AF24" s="341" t="s">
        <v>273</v>
      </c>
    </row>
    <row r="25" spans="1:32">
      <c r="A25" s="307">
        <v>3</v>
      </c>
      <c r="B25" s="342"/>
      <c r="C25" s="342" t="s">
        <v>176</v>
      </c>
      <c r="D25" s="340" t="s">
        <v>274</v>
      </c>
      <c r="E25" s="342" t="s">
        <v>275</v>
      </c>
      <c r="F25" s="345" t="s">
        <v>262</v>
      </c>
      <c r="G25" s="308">
        <v>0.5</v>
      </c>
      <c r="H25" s="309">
        <v>111000</v>
      </c>
      <c r="I25" s="309">
        <v>55500</v>
      </c>
      <c r="J25" s="211"/>
      <c r="K25" s="212" t="str">
        <f>IF(OR(J25="",G25=J25),"","*")</f>
        <v/>
      </c>
      <c r="L25" s="338">
        <f>IF($A25&lt;=L$1,I25/I$4,"")</f>
        <v>4.6722654156556758E-3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276</v>
      </c>
      <c r="AF25" s="341" t="s">
        <v>264</v>
      </c>
    </row>
    <row r="26" spans="1:32">
      <c r="A26" s="307">
        <v>3</v>
      </c>
      <c r="B26" s="342"/>
      <c r="C26" s="342" t="s">
        <v>176</v>
      </c>
      <c r="D26" s="340" t="s">
        <v>277</v>
      </c>
      <c r="E26" s="342"/>
      <c r="F26" s="345" t="s">
        <v>262</v>
      </c>
      <c r="G26" s="308">
        <v>1</v>
      </c>
      <c r="H26" s="309">
        <v>1600</v>
      </c>
      <c r="I26" s="309">
        <v>1600</v>
      </c>
      <c r="J26" s="211"/>
      <c r="K26" s="212" t="str">
        <f>IF(OR(J26="",G26=J26),"","*")</f>
        <v/>
      </c>
      <c r="L26" s="338">
        <f>IF($A26&lt;=L$1,I26/I$4,"")</f>
        <v>1.3469593991079424E-4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278</v>
      </c>
      <c r="AF26" s="341" t="s">
        <v>273</v>
      </c>
    </row>
    <row r="27" spans="1:32">
      <c r="A27" s="307">
        <v>3</v>
      </c>
      <c r="B27" s="342"/>
      <c r="C27" s="342" t="s">
        <v>177</v>
      </c>
      <c r="D27" s="340" t="s">
        <v>279</v>
      </c>
      <c r="E27" s="342" t="s">
        <v>280</v>
      </c>
      <c r="F27" s="345" t="s">
        <v>262</v>
      </c>
      <c r="G27" s="308">
        <v>2</v>
      </c>
      <c r="H27" s="309">
        <v>43000</v>
      </c>
      <c r="I27" s="309">
        <v>86000</v>
      </c>
      <c r="J27" s="211"/>
      <c r="K27" s="212" t="str">
        <f>IF(OR(J27="",G27=J27),"","*")</f>
        <v/>
      </c>
      <c r="L27" s="338">
        <f>IF($A27&lt;=L$1,I27/I$4,"")</f>
        <v>7.2399067702051904E-3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281</v>
      </c>
      <c r="AF27" s="341" t="s">
        <v>229</v>
      </c>
    </row>
    <row r="28" spans="1:32">
      <c r="A28" s="307">
        <v>3</v>
      </c>
      <c r="B28" s="342"/>
      <c r="C28" s="342" t="s">
        <v>177</v>
      </c>
      <c r="D28" s="340" t="s">
        <v>282</v>
      </c>
      <c r="E28" s="342"/>
      <c r="F28" s="345" t="s">
        <v>262</v>
      </c>
      <c r="G28" s="308">
        <v>1</v>
      </c>
      <c r="H28" s="309">
        <v>5000</v>
      </c>
      <c r="I28" s="309">
        <v>5000</v>
      </c>
      <c r="J28" s="211"/>
      <c r="K28" s="212" t="str">
        <f>IF(OR(J28="",G28=J28),"","*")</f>
        <v/>
      </c>
      <c r="L28" s="338">
        <f>IF($A28&lt;=L$1,I28/I$4,"")</f>
        <v>4.2092481222123204E-4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283</v>
      </c>
      <c r="AF28" s="341" t="s">
        <v>273</v>
      </c>
    </row>
    <row r="29" spans="1:32">
      <c r="A29" s="307">
        <v>3</v>
      </c>
      <c r="B29" s="342"/>
      <c r="C29" s="342" t="s">
        <v>177</v>
      </c>
      <c r="D29" s="340" t="s">
        <v>284</v>
      </c>
      <c r="E29" s="342" t="s">
        <v>285</v>
      </c>
      <c r="F29" s="345" t="s">
        <v>262</v>
      </c>
      <c r="G29" s="308">
        <v>1</v>
      </c>
      <c r="H29" s="309">
        <v>4000</v>
      </c>
      <c r="I29" s="309">
        <v>4000</v>
      </c>
      <c r="J29" s="211"/>
      <c r="K29" s="212" t="str">
        <f>IF(OR(J29="",G29=J29),"","*")</f>
        <v/>
      </c>
      <c r="L29" s="338">
        <f>IF($A29&lt;=L$1,I29/I$4,"")</f>
        <v>3.3673984977698561E-4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286</v>
      </c>
      <c r="AF29" s="341" t="s">
        <v>273</v>
      </c>
    </row>
    <row r="30" spans="1:32">
      <c r="A30" s="307">
        <v>3</v>
      </c>
      <c r="B30" s="342"/>
      <c r="C30" s="342" t="s">
        <v>177</v>
      </c>
      <c r="D30" s="340" t="s">
        <v>287</v>
      </c>
      <c r="E30" s="342"/>
      <c r="F30" s="345" t="s">
        <v>240</v>
      </c>
      <c r="G30" s="308">
        <v>88</v>
      </c>
      <c r="H30" s="309">
        <v>1200</v>
      </c>
      <c r="I30" s="309">
        <v>105600</v>
      </c>
      <c r="J30" s="211"/>
      <c r="K30" s="212" t="str">
        <f>IF(OR(J30="",G30=J30),"","*")</f>
        <v/>
      </c>
      <c r="L30" s="338">
        <f>IF($A30&lt;=L$1,I30/I$4,"")</f>
        <v>8.8899320341124209E-3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288</v>
      </c>
      <c r="AF30" s="341" t="s">
        <v>289</v>
      </c>
    </row>
    <row r="31" spans="1:32">
      <c r="A31" s="307">
        <v>2</v>
      </c>
      <c r="B31" s="342"/>
      <c r="C31" s="342" t="s">
        <v>220</v>
      </c>
      <c r="D31" s="340" t="s">
        <v>290</v>
      </c>
      <c r="E31" s="342" t="s">
        <v>170</v>
      </c>
      <c r="F31" s="345" t="s">
        <v>169</v>
      </c>
      <c r="G31" s="308">
        <v>570</v>
      </c>
      <c r="H31" s="309">
        <v>3052</v>
      </c>
      <c r="I31" s="309">
        <v>1739640</v>
      </c>
      <c r="J31" s="211">
        <v>570</v>
      </c>
      <c r="K31" s="212" t="str">
        <f>IF(OR(J31="",G31=J31),"","*")</f>
        <v/>
      </c>
      <c r="L31" s="338">
        <f>IF($A31&lt;=L$1,I31/I$4,"")</f>
        <v>0.14645152806650882</v>
      </c>
      <c r="M31" s="343"/>
      <c r="N31" s="344" t="s">
        <v>291</v>
      </c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/>
      <c r="AF31" s="341"/>
    </row>
    <row r="32" spans="1:32">
      <c r="A32" s="307">
        <v>3</v>
      </c>
      <c r="B32" s="342"/>
      <c r="C32" s="342" t="s">
        <v>173</v>
      </c>
      <c r="D32" s="340" t="s">
        <v>243</v>
      </c>
      <c r="E32" s="342"/>
      <c r="F32" s="345" t="s">
        <v>240</v>
      </c>
      <c r="G32" s="308">
        <v>72</v>
      </c>
      <c r="H32" s="309">
        <v>7900</v>
      </c>
      <c r="I32" s="309">
        <v>568800</v>
      </c>
      <c r="J32" s="211"/>
      <c r="K32" s="212" t="str">
        <f>IF(OR(J32="",G32=J32),"","*")</f>
        <v/>
      </c>
      <c r="L32" s="338">
        <f>IF($A32&lt;=L$1,I32/I$4,"")</f>
        <v>4.7884406638287358E-2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244</v>
      </c>
      <c r="AF32" s="341" t="s">
        <v>292</v>
      </c>
    </row>
    <row r="33" spans="1:32">
      <c r="A33" s="307">
        <v>3</v>
      </c>
      <c r="B33" s="342"/>
      <c r="C33" s="342" t="s">
        <v>173</v>
      </c>
      <c r="D33" s="340" t="s">
        <v>249</v>
      </c>
      <c r="E33" s="342"/>
      <c r="F33" s="345" t="s">
        <v>240</v>
      </c>
      <c r="G33" s="308">
        <v>0.23</v>
      </c>
      <c r="H33" s="309">
        <v>214500</v>
      </c>
      <c r="I33" s="309">
        <v>49335</v>
      </c>
      <c r="J33" s="211"/>
      <c r="K33" s="212" t="str">
        <f>IF(OR(J33="",G33=J33),"","*")</f>
        <v/>
      </c>
      <c r="L33" s="338">
        <f>IF($A33&lt;=L$1,I33/I$4,"")</f>
        <v>4.1532651221868966E-3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250</v>
      </c>
      <c r="AF33" s="341" t="s">
        <v>293</v>
      </c>
    </row>
    <row r="34" spans="1:32">
      <c r="A34" s="307">
        <v>3</v>
      </c>
      <c r="B34" s="342"/>
      <c r="C34" s="342" t="s">
        <v>173</v>
      </c>
      <c r="D34" s="340" t="s">
        <v>255</v>
      </c>
      <c r="E34" s="342"/>
      <c r="F34" s="345" t="s">
        <v>256</v>
      </c>
      <c r="G34" s="308">
        <v>50</v>
      </c>
      <c r="H34" s="309">
        <v>150</v>
      </c>
      <c r="I34" s="309">
        <v>7500</v>
      </c>
      <c r="J34" s="211"/>
      <c r="K34" s="212" t="str">
        <f>IF(OR(J34="",G34=J34),"","*")</f>
        <v/>
      </c>
      <c r="L34" s="338">
        <f>IF($A34&lt;=L$1,I34/I$4,"")</f>
        <v>6.3138721833184801E-4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257</v>
      </c>
      <c r="AF34" s="341" t="s">
        <v>258</v>
      </c>
    </row>
    <row r="35" spans="1:32">
      <c r="A35" s="307">
        <v>3</v>
      </c>
      <c r="B35" s="342"/>
      <c r="C35" s="342" t="s">
        <v>173</v>
      </c>
      <c r="D35" s="340" t="s">
        <v>223</v>
      </c>
      <c r="E35" s="342"/>
      <c r="F35" s="345" t="s">
        <v>168</v>
      </c>
      <c r="G35" s="308">
        <v>1</v>
      </c>
      <c r="H35" s="309">
        <v>8765</v>
      </c>
      <c r="I35" s="309">
        <v>8765</v>
      </c>
      <c r="J35" s="211"/>
      <c r="K35" s="212" t="str">
        <f>IF(OR(J35="",G35=J35),"","*")</f>
        <v/>
      </c>
      <c r="L35" s="338">
        <f>IF($A35&lt;=L$1,I35/I$4,"")</f>
        <v>7.3788119582381974E-4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224</v>
      </c>
      <c r="AF35" s="341"/>
    </row>
    <row r="36" spans="1:32">
      <c r="A36" s="307">
        <v>3</v>
      </c>
      <c r="B36" s="342"/>
      <c r="C36" s="342" t="s">
        <v>174</v>
      </c>
      <c r="D36" s="340" t="s">
        <v>225</v>
      </c>
      <c r="E36" s="342" t="s">
        <v>226</v>
      </c>
      <c r="F36" s="345" t="s">
        <v>227</v>
      </c>
      <c r="G36" s="308">
        <v>5</v>
      </c>
      <c r="H36" s="309">
        <v>26000</v>
      </c>
      <c r="I36" s="309">
        <v>130000</v>
      </c>
      <c r="J36" s="211"/>
      <c r="K36" s="212" t="str">
        <f>IF(OR(J36="",G36=J36),"","*")</f>
        <v/>
      </c>
      <c r="L36" s="338">
        <f>IF($A36&lt;=L$1,I36/I$4,"")</f>
        <v>1.0944045117752033E-2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228</v>
      </c>
      <c r="AF36" s="341" t="s">
        <v>294</v>
      </c>
    </row>
    <row r="37" spans="1:32">
      <c r="A37" s="307">
        <v>3</v>
      </c>
      <c r="B37" s="342"/>
      <c r="C37" s="342" t="s">
        <v>176</v>
      </c>
      <c r="D37" s="340" t="s">
        <v>260</v>
      </c>
      <c r="E37" s="342" t="s">
        <v>261</v>
      </c>
      <c r="F37" s="345" t="s">
        <v>262</v>
      </c>
      <c r="G37" s="308">
        <v>0.5</v>
      </c>
      <c r="H37" s="309">
        <v>4000</v>
      </c>
      <c r="I37" s="309">
        <v>2000</v>
      </c>
      <c r="J37" s="211"/>
      <c r="K37" s="212" t="str">
        <f>IF(OR(J37="",G37=J37),"","*")</f>
        <v/>
      </c>
      <c r="L37" s="338">
        <f>IF($A37&lt;=L$1,I37/I$4,"")</f>
        <v>1.6836992488849281E-4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263</v>
      </c>
      <c r="AF37" s="341" t="s">
        <v>264</v>
      </c>
    </row>
    <row r="38" spans="1:32">
      <c r="A38" s="307">
        <v>3</v>
      </c>
      <c r="B38" s="342"/>
      <c r="C38" s="342" t="s">
        <v>176</v>
      </c>
      <c r="D38" s="340" t="s">
        <v>260</v>
      </c>
      <c r="E38" s="342" t="s">
        <v>265</v>
      </c>
      <c r="F38" s="345" t="s">
        <v>262</v>
      </c>
      <c r="G38" s="308">
        <v>0.5</v>
      </c>
      <c r="H38" s="309">
        <v>5500</v>
      </c>
      <c r="I38" s="309">
        <v>2750</v>
      </c>
      <c r="J38" s="211"/>
      <c r="K38" s="212" t="str">
        <f>IF(OR(J38="",G38=J38),"","*")</f>
        <v/>
      </c>
      <c r="L38" s="338">
        <f>IF($A38&lt;=L$1,I38/I$4,"")</f>
        <v>2.315086467216776E-4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266</v>
      </c>
      <c r="AF38" s="341" t="s">
        <v>264</v>
      </c>
    </row>
    <row r="39" spans="1:32">
      <c r="A39" s="307">
        <v>3</v>
      </c>
      <c r="B39" s="342"/>
      <c r="C39" s="342" t="s">
        <v>176</v>
      </c>
      <c r="D39" s="340" t="s">
        <v>295</v>
      </c>
      <c r="E39" s="342"/>
      <c r="F39" s="345" t="s">
        <v>262</v>
      </c>
      <c r="G39" s="308">
        <v>0.5</v>
      </c>
      <c r="H39" s="309">
        <v>5500</v>
      </c>
      <c r="I39" s="309">
        <v>2750</v>
      </c>
      <c r="J39" s="211"/>
      <c r="K39" s="212" t="str">
        <f>IF(OR(J39="",G39=J39),"","*")</f>
        <v/>
      </c>
      <c r="L39" s="338">
        <f>IF($A39&lt;=L$1,I39/I$4,"")</f>
        <v>2.315086467216776E-4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296</v>
      </c>
      <c r="AF39" s="341" t="s">
        <v>264</v>
      </c>
    </row>
    <row r="40" spans="1:32">
      <c r="A40" s="307">
        <v>3</v>
      </c>
      <c r="B40" s="342"/>
      <c r="C40" s="342" t="s">
        <v>176</v>
      </c>
      <c r="D40" s="340" t="s">
        <v>267</v>
      </c>
      <c r="E40" s="342" t="s">
        <v>268</v>
      </c>
      <c r="F40" s="345" t="s">
        <v>262</v>
      </c>
      <c r="G40" s="308">
        <v>0.5</v>
      </c>
      <c r="H40" s="309">
        <v>4000</v>
      </c>
      <c r="I40" s="309">
        <v>2000</v>
      </c>
      <c r="J40" s="211"/>
      <c r="K40" s="212" t="str">
        <f>IF(OR(J40="",G40=J40),"","*")</f>
        <v/>
      </c>
      <c r="L40" s="338">
        <f>IF($A40&lt;=L$1,I40/I$4,"")</f>
        <v>1.6836992488849281E-4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269</v>
      </c>
      <c r="AF40" s="341" t="s">
        <v>264</v>
      </c>
    </row>
    <row r="41" spans="1:32">
      <c r="A41" s="307">
        <v>3</v>
      </c>
      <c r="B41" s="342"/>
      <c r="C41" s="342" t="s">
        <v>176</v>
      </c>
      <c r="D41" s="340" t="s">
        <v>297</v>
      </c>
      <c r="E41" s="342"/>
      <c r="F41" s="345" t="s">
        <v>262</v>
      </c>
      <c r="G41" s="308">
        <v>1</v>
      </c>
      <c r="H41" s="309">
        <v>1000</v>
      </c>
      <c r="I41" s="309">
        <v>1000</v>
      </c>
      <c r="J41" s="211"/>
      <c r="K41" s="212" t="str">
        <f>IF(OR(J41="",G41=J41),"","*")</f>
        <v/>
      </c>
      <c r="L41" s="338">
        <f>IF($A41&lt;=L$1,I41/I$4,"")</f>
        <v>8.4184962444246403E-5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298</v>
      </c>
      <c r="AF41" s="341" t="s">
        <v>273</v>
      </c>
    </row>
    <row r="42" spans="1:32">
      <c r="A42" s="307">
        <v>3</v>
      </c>
      <c r="B42" s="342"/>
      <c r="C42" s="342" t="s">
        <v>176</v>
      </c>
      <c r="D42" s="340" t="s">
        <v>299</v>
      </c>
      <c r="E42" s="342"/>
      <c r="F42" s="345" t="s">
        <v>262</v>
      </c>
      <c r="G42" s="308">
        <v>1</v>
      </c>
      <c r="H42" s="309">
        <v>4300</v>
      </c>
      <c r="I42" s="309">
        <v>4300</v>
      </c>
      <c r="J42" s="211"/>
      <c r="K42" s="212" t="str">
        <f>IF(OR(J42="",G42=J42),"","*")</f>
        <v/>
      </c>
      <c r="L42" s="338">
        <f>IF($A42&lt;=L$1,I42/I$4,"")</f>
        <v>3.6199533851025953E-4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300</v>
      </c>
      <c r="AF42" s="341" t="s">
        <v>273</v>
      </c>
    </row>
    <row r="43" spans="1:32">
      <c r="A43" s="307">
        <v>3</v>
      </c>
      <c r="B43" s="342"/>
      <c r="C43" s="342" t="s">
        <v>176</v>
      </c>
      <c r="D43" s="340" t="s">
        <v>274</v>
      </c>
      <c r="E43" s="342" t="s">
        <v>275</v>
      </c>
      <c r="F43" s="345" t="s">
        <v>262</v>
      </c>
      <c r="G43" s="308">
        <v>0.5</v>
      </c>
      <c r="H43" s="309">
        <v>111000</v>
      </c>
      <c r="I43" s="309">
        <v>55500</v>
      </c>
      <c r="J43" s="211"/>
      <c r="K43" s="212" t="str">
        <f>IF(OR(J43="",G43=J43),"","*")</f>
        <v/>
      </c>
      <c r="L43" s="338">
        <f>IF($A43&lt;=L$1,I43/I$4,"")</f>
        <v>4.6722654156556758E-3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276</v>
      </c>
      <c r="AF43" s="341" t="s">
        <v>264</v>
      </c>
    </row>
    <row r="44" spans="1:32">
      <c r="A44" s="307">
        <v>3</v>
      </c>
      <c r="B44" s="342"/>
      <c r="C44" s="342" t="s">
        <v>176</v>
      </c>
      <c r="D44" s="340" t="s">
        <v>301</v>
      </c>
      <c r="E44" s="342" t="s">
        <v>302</v>
      </c>
      <c r="F44" s="345" t="s">
        <v>262</v>
      </c>
      <c r="G44" s="308">
        <v>1</v>
      </c>
      <c r="H44" s="309">
        <v>300000</v>
      </c>
      <c r="I44" s="309">
        <v>300000</v>
      </c>
      <c r="J44" s="211"/>
      <c r="K44" s="212" t="str">
        <f>IF(OR(J44="",G44=J44),"","*")</f>
        <v/>
      </c>
      <c r="L44" s="338">
        <f>IF($A44&lt;=L$1,I44/I$4,"")</f>
        <v>2.525548873327392E-2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303</v>
      </c>
      <c r="AF44" s="341" t="s">
        <v>273</v>
      </c>
    </row>
    <row r="45" spans="1:32">
      <c r="A45" s="307">
        <v>3</v>
      </c>
      <c r="B45" s="342"/>
      <c r="C45" s="342" t="s">
        <v>176</v>
      </c>
      <c r="D45" s="340" t="s">
        <v>304</v>
      </c>
      <c r="E45" s="342" t="s">
        <v>305</v>
      </c>
      <c r="F45" s="345" t="s">
        <v>262</v>
      </c>
      <c r="G45" s="308">
        <v>1</v>
      </c>
      <c r="H45" s="309">
        <v>90000</v>
      </c>
      <c r="I45" s="309">
        <v>90000</v>
      </c>
      <c r="J45" s="211"/>
      <c r="K45" s="212" t="str">
        <f>IF(OR(J45="",G45=J45),"","*")</f>
        <v/>
      </c>
      <c r="L45" s="338">
        <f>IF($A45&lt;=L$1,I45/I$4,"")</f>
        <v>7.5766466199821761E-3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306</v>
      </c>
      <c r="AF45" s="341" t="s">
        <v>273</v>
      </c>
    </row>
    <row r="46" spans="1:32">
      <c r="A46" s="307">
        <v>3</v>
      </c>
      <c r="B46" s="342"/>
      <c r="C46" s="342" t="s">
        <v>176</v>
      </c>
      <c r="D46" s="340" t="s">
        <v>307</v>
      </c>
      <c r="E46" s="342" t="s">
        <v>308</v>
      </c>
      <c r="F46" s="345" t="s">
        <v>262</v>
      </c>
      <c r="G46" s="308">
        <v>1</v>
      </c>
      <c r="H46" s="309">
        <v>12000</v>
      </c>
      <c r="I46" s="309">
        <v>12000</v>
      </c>
      <c r="J46" s="211"/>
      <c r="K46" s="212" t="str">
        <f>IF(OR(J46="",G46=J46),"","*")</f>
        <v/>
      </c>
      <c r="L46" s="338">
        <f>IF($A46&lt;=L$1,I46/I$4,"")</f>
        <v>1.0102195493309569E-3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309</v>
      </c>
      <c r="AF46" s="341" t="s">
        <v>273</v>
      </c>
    </row>
    <row r="47" spans="1:32">
      <c r="A47" s="307">
        <v>3</v>
      </c>
      <c r="B47" s="342"/>
      <c r="C47" s="342" t="s">
        <v>176</v>
      </c>
      <c r="D47" s="340" t="s">
        <v>310</v>
      </c>
      <c r="E47" s="342"/>
      <c r="F47" s="345" t="s">
        <v>262</v>
      </c>
      <c r="G47" s="308">
        <v>0.5</v>
      </c>
      <c r="H47" s="309">
        <v>65000</v>
      </c>
      <c r="I47" s="309">
        <v>32500</v>
      </c>
      <c r="J47" s="211"/>
      <c r="K47" s="212" t="str">
        <f>IF(OR(J47="",G47=J47),"","*")</f>
        <v/>
      </c>
      <c r="L47" s="338">
        <f>IF($A47&lt;=L$1,I47/I$4,"")</f>
        <v>2.7360112794380083E-3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311</v>
      </c>
      <c r="AF47" s="341" t="s">
        <v>264</v>
      </c>
    </row>
    <row r="48" spans="1:32">
      <c r="A48" s="307">
        <v>3</v>
      </c>
      <c r="B48" s="342"/>
      <c r="C48" s="342" t="s">
        <v>177</v>
      </c>
      <c r="D48" s="340" t="s">
        <v>279</v>
      </c>
      <c r="E48" s="342" t="s">
        <v>280</v>
      </c>
      <c r="F48" s="345" t="s">
        <v>262</v>
      </c>
      <c r="G48" s="308">
        <v>7</v>
      </c>
      <c r="H48" s="309">
        <v>43000</v>
      </c>
      <c r="I48" s="309">
        <v>301000</v>
      </c>
      <c r="J48" s="211"/>
      <c r="K48" s="212" t="str">
        <f>IF(OR(J48="",G48=J48),"","*")</f>
        <v/>
      </c>
      <c r="L48" s="338">
        <f>IF($A48&lt;=L$1,I48/I$4,"")</f>
        <v>2.5339673695718167E-2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281</v>
      </c>
      <c r="AF48" s="341" t="s">
        <v>312</v>
      </c>
    </row>
    <row r="49" spans="1:32">
      <c r="A49" s="307">
        <v>3</v>
      </c>
      <c r="B49" s="342"/>
      <c r="C49" s="342" t="s">
        <v>177</v>
      </c>
      <c r="D49" s="340" t="s">
        <v>287</v>
      </c>
      <c r="E49" s="342"/>
      <c r="F49" s="345" t="s">
        <v>240</v>
      </c>
      <c r="G49" s="308">
        <v>134</v>
      </c>
      <c r="H49" s="309">
        <v>1200</v>
      </c>
      <c r="I49" s="309">
        <v>160800</v>
      </c>
      <c r="J49" s="211"/>
      <c r="K49" s="212" t="str">
        <f>IF(OR(J49="",G49=J49),"","*")</f>
        <v/>
      </c>
      <c r="L49" s="338">
        <f>IF($A49&lt;=L$1,I49/I$4,"")</f>
        <v>1.3536941961034821E-2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288</v>
      </c>
      <c r="AF49" s="341" t="s">
        <v>313</v>
      </c>
    </row>
    <row r="50" spans="1:32">
      <c r="A50" s="307">
        <v>3</v>
      </c>
      <c r="B50" s="342"/>
      <c r="C50" s="342" t="s">
        <v>177</v>
      </c>
      <c r="D50" s="340" t="s">
        <v>282</v>
      </c>
      <c r="E50" s="342"/>
      <c r="F50" s="345" t="s">
        <v>262</v>
      </c>
      <c r="G50" s="308">
        <v>1</v>
      </c>
      <c r="H50" s="309">
        <v>5000</v>
      </c>
      <c r="I50" s="309">
        <v>5000</v>
      </c>
      <c r="J50" s="211"/>
      <c r="K50" s="212" t="str">
        <f>IF(OR(J50="",G50=J50),"","*")</f>
        <v/>
      </c>
      <c r="L50" s="338">
        <f>IF($A50&lt;=L$1,I50/I$4,"")</f>
        <v>4.2092481222123204E-4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283</v>
      </c>
      <c r="AF50" s="341" t="s">
        <v>273</v>
      </c>
    </row>
    <row r="51" spans="1:32">
      <c r="A51" s="307">
        <v>3</v>
      </c>
      <c r="B51" s="342"/>
      <c r="C51" s="342" t="s">
        <v>177</v>
      </c>
      <c r="D51" s="340" t="s">
        <v>284</v>
      </c>
      <c r="E51" s="342" t="s">
        <v>285</v>
      </c>
      <c r="F51" s="345" t="s">
        <v>262</v>
      </c>
      <c r="G51" s="308">
        <v>1</v>
      </c>
      <c r="H51" s="309">
        <v>4000</v>
      </c>
      <c r="I51" s="309">
        <v>4000</v>
      </c>
      <c r="J51" s="211"/>
      <c r="K51" s="212" t="str">
        <f>IF(OR(J51="",G51=J51),"","*")</f>
        <v/>
      </c>
      <c r="L51" s="338">
        <f>IF($A51&lt;=L$1,I51/I$4,"")</f>
        <v>3.3673984977698561E-4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286</v>
      </c>
      <c r="AF51" s="341" t="s">
        <v>273</v>
      </c>
    </row>
    <row r="52" spans="1:32">
      <c r="A52" s="307">
        <v>2</v>
      </c>
      <c r="B52" s="342"/>
      <c r="C52" s="342" t="s">
        <v>220</v>
      </c>
      <c r="D52" s="340" t="s">
        <v>314</v>
      </c>
      <c r="E52" s="342"/>
      <c r="F52" s="345" t="s">
        <v>169</v>
      </c>
      <c r="G52" s="308">
        <v>757</v>
      </c>
      <c r="H52" s="309">
        <v>2126</v>
      </c>
      <c r="I52" s="309">
        <v>1609382</v>
      </c>
      <c r="J52" s="211">
        <v>757</v>
      </c>
      <c r="K52" s="212" t="str">
        <f>IF(OR(J52="",G52=J52),"","*")</f>
        <v/>
      </c>
      <c r="L52" s="338">
        <f>IF($A52&lt;=L$1,I52/I$4,"")</f>
        <v>0.13548576322844616</v>
      </c>
      <c r="M52" s="343"/>
      <c r="N52" s="344" t="s">
        <v>315</v>
      </c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/>
      <c r="AF52" s="341"/>
    </row>
    <row r="53" spans="1:32">
      <c r="A53" s="307">
        <v>3</v>
      </c>
      <c r="B53" s="342"/>
      <c r="C53" s="342" t="s">
        <v>173</v>
      </c>
      <c r="D53" s="340" t="s">
        <v>316</v>
      </c>
      <c r="E53" s="342"/>
      <c r="F53" s="345" t="s">
        <v>240</v>
      </c>
      <c r="G53" s="308">
        <v>86</v>
      </c>
      <c r="H53" s="309">
        <v>12500</v>
      </c>
      <c r="I53" s="309">
        <v>1075000</v>
      </c>
      <c r="J53" s="211"/>
      <c r="K53" s="212" t="str">
        <f>IF(OR(J53="",G53=J53),"","*")</f>
        <v/>
      </c>
      <c r="L53" s="338">
        <f>IF($A53&lt;=L$1,I53/I$4,"")</f>
        <v>9.0498834627564889E-2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317</v>
      </c>
      <c r="AF53" s="341" t="s">
        <v>318</v>
      </c>
    </row>
    <row r="54" spans="1:32">
      <c r="A54" s="307">
        <v>3</v>
      </c>
      <c r="B54" s="342"/>
      <c r="C54" s="342" t="s">
        <v>173</v>
      </c>
      <c r="D54" s="340" t="s">
        <v>249</v>
      </c>
      <c r="E54" s="342"/>
      <c r="F54" s="345" t="s">
        <v>240</v>
      </c>
      <c r="G54" s="308">
        <v>0.3</v>
      </c>
      <c r="H54" s="309">
        <v>214500</v>
      </c>
      <c r="I54" s="309">
        <v>64350</v>
      </c>
      <c r="J54" s="211"/>
      <c r="K54" s="212" t="str">
        <f>IF(OR(J54="",G54=J54),"","*")</f>
        <v/>
      </c>
      <c r="L54" s="338">
        <f>IF($A54&lt;=L$1,I54/I$4,"")</f>
        <v>5.417302333287256E-3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250</v>
      </c>
      <c r="AF54" s="341" t="s">
        <v>319</v>
      </c>
    </row>
    <row r="55" spans="1:32">
      <c r="A55" s="307">
        <v>3</v>
      </c>
      <c r="B55" s="342"/>
      <c r="C55" s="342" t="s">
        <v>173</v>
      </c>
      <c r="D55" s="340" t="s">
        <v>255</v>
      </c>
      <c r="E55" s="342"/>
      <c r="F55" s="345" t="s">
        <v>256</v>
      </c>
      <c r="G55" s="308">
        <v>100</v>
      </c>
      <c r="H55" s="309">
        <v>150</v>
      </c>
      <c r="I55" s="309">
        <v>15000</v>
      </c>
      <c r="J55" s="211"/>
      <c r="K55" s="212" t="str">
        <f>IF(OR(J55="",G55=J55),"","*")</f>
        <v/>
      </c>
      <c r="L55" s="338">
        <f>IF($A55&lt;=L$1,I55/I$4,"")</f>
        <v>1.262774436663696E-3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257</v>
      </c>
      <c r="AF55" s="341" t="s">
        <v>320</v>
      </c>
    </row>
    <row r="56" spans="1:32">
      <c r="A56" s="307">
        <v>3</v>
      </c>
      <c r="B56" s="342"/>
      <c r="C56" s="342" t="s">
        <v>173</v>
      </c>
      <c r="D56" s="340" t="s">
        <v>223</v>
      </c>
      <c r="E56" s="342"/>
      <c r="F56" s="345" t="s">
        <v>168</v>
      </c>
      <c r="G56" s="308">
        <v>1</v>
      </c>
      <c r="H56" s="309">
        <v>11650</v>
      </c>
      <c r="I56" s="309">
        <v>11650</v>
      </c>
      <c r="J56" s="211"/>
      <c r="K56" s="212" t="str">
        <f>IF(OR(J56="",G56=J56),"","*")</f>
        <v/>
      </c>
      <c r="L56" s="338">
        <f>IF($A56&lt;=L$1,I56/I$4,"")</f>
        <v>9.8075481247547071E-4</v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 t="s">
        <v>224</v>
      </c>
      <c r="AF56" s="341"/>
    </row>
    <row r="57" spans="1:32">
      <c r="A57" s="307">
        <v>3</v>
      </c>
      <c r="B57" s="342"/>
      <c r="C57" s="342" t="s">
        <v>174</v>
      </c>
      <c r="D57" s="340" t="s">
        <v>225</v>
      </c>
      <c r="E57" s="342" t="s">
        <v>226</v>
      </c>
      <c r="F57" s="345" t="s">
        <v>227</v>
      </c>
      <c r="G57" s="308">
        <v>9</v>
      </c>
      <c r="H57" s="309">
        <v>26000</v>
      </c>
      <c r="I57" s="309">
        <v>234000</v>
      </c>
      <c r="J57" s="211"/>
      <c r="K57" s="212" t="str">
        <f>IF(OR(J57="",G57=J57),"","*")</f>
        <v/>
      </c>
      <c r="L57" s="338">
        <f>IF($A57&lt;=L$1,I57/I$4,"")</f>
        <v>1.9699281211953659E-2</v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228</v>
      </c>
      <c r="AF57" s="341" t="s">
        <v>321</v>
      </c>
    </row>
    <row r="58" spans="1:32">
      <c r="A58" s="307">
        <v>3</v>
      </c>
      <c r="B58" s="342"/>
      <c r="C58" s="342" t="s">
        <v>176</v>
      </c>
      <c r="D58" s="340" t="s">
        <v>260</v>
      </c>
      <c r="E58" s="342" t="s">
        <v>261</v>
      </c>
      <c r="F58" s="345" t="s">
        <v>262</v>
      </c>
      <c r="G58" s="308">
        <v>1</v>
      </c>
      <c r="H58" s="309">
        <v>4000</v>
      </c>
      <c r="I58" s="309">
        <v>4000</v>
      </c>
      <c r="J58" s="211"/>
      <c r="K58" s="212" t="str">
        <f>IF(OR(J58="",G58=J58),"","*")</f>
        <v/>
      </c>
      <c r="L58" s="338">
        <f>IF($A58&lt;=L$1,I58/I$4,"")</f>
        <v>3.3673984977698561E-4</v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 t="s">
        <v>263</v>
      </c>
      <c r="AF58" s="341" t="s">
        <v>273</v>
      </c>
    </row>
    <row r="59" spans="1:32">
      <c r="A59" s="307">
        <v>3</v>
      </c>
      <c r="B59" s="342"/>
      <c r="C59" s="342" t="s">
        <v>176</v>
      </c>
      <c r="D59" s="340" t="s">
        <v>260</v>
      </c>
      <c r="E59" s="342" t="s">
        <v>265</v>
      </c>
      <c r="F59" s="345" t="s">
        <v>262</v>
      </c>
      <c r="G59" s="308">
        <v>1</v>
      </c>
      <c r="H59" s="309">
        <v>5500</v>
      </c>
      <c r="I59" s="309">
        <v>5500</v>
      </c>
      <c r="J59" s="211"/>
      <c r="K59" s="212" t="str">
        <f>IF(OR(J59="",G59=J59),"","*")</f>
        <v/>
      </c>
      <c r="L59" s="338">
        <f>IF($A59&lt;=L$1,I59/I$4,"")</f>
        <v>4.630172934433552E-4</v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266</v>
      </c>
      <c r="AF59" s="341" t="s">
        <v>273</v>
      </c>
    </row>
    <row r="60" spans="1:32">
      <c r="A60" s="307">
        <v>3</v>
      </c>
      <c r="B60" s="342"/>
      <c r="C60" s="342" t="s">
        <v>176</v>
      </c>
      <c r="D60" s="340" t="s">
        <v>295</v>
      </c>
      <c r="E60" s="342"/>
      <c r="F60" s="345" t="s">
        <v>262</v>
      </c>
      <c r="G60" s="308">
        <v>1</v>
      </c>
      <c r="H60" s="309">
        <v>5500</v>
      </c>
      <c r="I60" s="309">
        <v>5500</v>
      </c>
      <c r="J60" s="211"/>
      <c r="K60" s="212" t="str">
        <f>IF(OR(J60="",G60=J60),"","*")</f>
        <v/>
      </c>
      <c r="L60" s="338">
        <f>IF($A60&lt;=L$1,I60/I$4,"")</f>
        <v>4.630172934433552E-4</v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296</v>
      </c>
      <c r="AF60" s="341" t="s">
        <v>273</v>
      </c>
    </row>
    <row r="61" spans="1:32">
      <c r="A61" s="307">
        <v>3</v>
      </c>
      <c r="B61" s="342"/>
      <c r="C61" s="342" t="s">
        <v>176</v>
      </c>
      <c r="D61" s="340" t="s">
        <v>297</v>
      </c>
      <c r="E61" s="342"/>
      <c r="F61" s="345" t="s">
        <v>262</v>
      </c>
      <c r="G61" s="308">
        <v>1</v>
      </c>
      <c r="H61" s="309">
        <v>1000</v>
      </c>
      <c r="I61" s="309">
        <v>1000</v>
      </c>
      <c r="J61" s="211"/>
      <c r="K61" s="212" t="str">
        <f>IF(OR(J61="",G61=J61),"","*")</f>
        <v/>
      </c>
      <c r="L61" s="338">
        <f>IF($A61&lt;=L$1,I61/I$4,"")</f>
        <v>8.4184962444246403E-5</v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298</v>
      </c>
      <c r="AF61" s="341" t="s">
        <v>273</v>
      </c>
    </row>
    <row r="62" spans="1:32">
      <c r="A62" s="307">
        <v>3</v>
      </c>
      <c r="B62" s="342"/>
      <c r="C62" s="342" t="s">
        <v>176</v>
      </c>
      <c r="D62" s="340" t="s">
        <v>274</v>
      </c>
      <c r="E62" s="342" t="s">
        <v>275</v>
      </c>
      <c r="F62" s="345" t="s">
        <v>262</v>
      </c>
      <c r="G62" s="308">
        <v>1</v>
      </c>
      <c r="H62" s="309">
        <v>111000</v>
      </c>
      <c r="I62" s="309">
        <v>111000</v>
      </c>
      <c r="J62" s="211"/>
      <c r="K62" s="212" t="str">
        <f>IF(OR(J62="",G62=J62),"","*")</f>
        <v/>
      </c>
      <c r="L62" s="338">
        <f>IF($A62&lt;=L$1,I62/I$4,"")</f>
        <v>9.3445308313113516E-3</v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276</v>
      </c>
      <c r="AF62" s="341" t="s">
        <v>273</v>
      </c>
    </row>
    <row r="63" spans="1:32">
      <c r="A63" s="307">
        <v>3</v>
      </c>
      <c r="B63" s="342"/>
      <c r="C63" s="342" t="s">
        <v>176</v>
      </c>
      <c r="D63" s="340" t="s">
        <v>310</v>
      </c>
      <c r="E63" s="342"/>
      <c r="F63" s="345" t="s">
        <v>262</v>
      </c>
      <c r="G63" s="308">
        <v>1</v>
      </c>
      <c r="H63" s="309">
        <v>65000</v>
      </c>
      <c r="I63" s="309">
        <v>65000</v>
      </c>
      <c r="J63" s="211"/>
      <c r="K63" s="212" t="str">
        <f>IF(OR(J63="",G63=J63),"","*")</f>
        <v/>
      </c>
      <c r="L63" s="338">
        <f>IF($A63&lt;=L$1,I63/I$4,"")</f>
        <v>5.4720225588760166E-3</v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311</v>
      </c>
      <c r="AF63" s="341" t="s">
        <v>273</v>
      </c>
    </row>
    <row r="64" spans="1:32">
      <c r="A64" s="307">
        <v>3</v>
      </c>
      <c r="B64" s="342"/>
      <c r="C64" s="342" t="s">
        <v>177</v>
      </c>
      <c r="D64" s="340" t="s">
        <v>282</v>
      </c>
      <c r="E64" s="342"/>
      <c r="F64" s="345" t="s">
        <v>262</v>
      </c>
      <c r="G64" s="308">
        <v>2</v>
      </c>
      <c r="H64" s="309">
        <v>5000</v>
      </c>
      <c r="I64" s="309">
        <v>10000</v>
      </c>
      <c r="J64" s="211"/>
      <c r="K64" s="212" t="str">
        <f>IF(OR(J64="",G64=J64),"","*")</f>
        <v/>
      </c>
      <c r="L64" s="338">
        <f>IF($A64&lt;=L$1,I64/I$4,"")</f>
        <v>8.4184962444246408E-4</v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283</v>
      </c>
      <c r="AF64" s="341" t="s">
        <v>229</v>
      </c>
    </row>
    <row r="65" spans="1:32">
      <c r="A65" s="307">
        <v>3</v>
      </c>
      <c r="B65" s="342"/>
      <c r="C65" s="342" t="s">
        <v>177</v>
      </c>
      <c r="D65" s="340" t="s">
        <v>284</v>
      </c>
      <c r="E65" s="342" t="s">
        <v>285</v>
      </c>
      <c r="F65" s="345" t="s">
        <v>262</v>
      </c>
      <c r="G65" s="308">
        <v>2</v>
      </c>
      <c r="H65" s="309">
        <v>4000</v>
      </c>
      <c r="I65" s="309">
        <v>8000</v>
      </c>
      <c r="J65" s="211"/>
      <c r="K65" s="212" t="str">
        <f>IF(OR(J65="",G65=J65),"","*")</f>
        <v/>
      </c>
      <c r="L65" s="338">
        <f>IF($A65&lt;=L$1,I65/I$4,"")</f>
        <v>6.7347969955397122E-4</v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286</v>
      </c>
      <c r="AF65" s="341" t="s">
        <v>229</v>
      </c>
    </row>
    <row r="66" spans="1:32">
      <c r="A66" s="307">
        <v>2</v>
      </c>
      <c r="B66" s="342"/>
      <c r="C66" s="342" t="s">
        <v>220</v>
      </c>
      <c r="D66" s="340" t="s">
        <v>322</v>
      </c>
      <c r="E66" s="342"/>
      <c r="F66" s="345" t="s">
        <v>169</v>
      </c>
      <c r="G66" s="308">
        <v>128</v>
      </c>
      <c r="H66" s="309">
        <v>2343</v>
      </c>
      <c r="I66" s="309">
        <v>299904</v>
      </c>
      <c r="J66" s="211">
        <v>128</v>
      </c>
      <c r="K66" s="212" t="str">
        <f>IF(OR(J66="",G66=J66),"","*")</f>
        <v/>
      </c>
      <c r="L66" s="338">
        <f>IF($A66&lt;=L$1,I66/I$4,"")</f>
        <v>2.5247406976879272E-2</v>
      </c>
      <c r="M66" s="343"/>
      <c r="N66" s="344" t="s">
        <v>323</v>
      </c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/>
      <c r="AF66" s="341"/>
    </row>
    <row r="67" spans="1:32">
      <c r="A67" s="307">
        <v>3</v>
      </c>
      <c r="B67" s="342"/>
      <c r="C67" s="342" t="s">
        <v>173</v>
      </c>
      <c r="D67" s="340" t="s">
        <v>324</v>
      </c>
      <c r="E67" s="342" t="s">
        <v>325</v>
      </c>
      <c r="F67" s="345" t="s">
        <v>240</v>
      </c>
      <c r="G67" s="308">
        <v>9</v>
      </c>
      <c r="H67" s="309">
        <v>14000</v>
      </c>
      <c r="I67" s="309">
        <v>126000</v>
      </c>
      <c r="J67" s="211"/>
      <c r="K67" s="212" t="str">
        <f>IF(OR(J67="",G67=J67),"","*")</f>
        <v/>
      </c>
      <c r="L67" s="338">
        <f>IF($A67&lt;=L$1,I67/I$4,"")</f>
        <v>1.0607305267975048E-2</v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326</v>
      </c>
      <c r="AF67" s="341" t="s">
        <v>327</v>
      </c>
    </row>
    <row r="68" spans="1:32">
      <c r="A68" s="307">
        <v>3</v>
      </c>
      <c r="B68" s="342"/>
      <c r="C68" s="342" t="s">
        <v>173</v>
      </c>
      <c r="D68" s="340" t="s">
        <v>223</v>
      </c>
      <c r="E68" s="342"/>
      <c r="F68" s="345" t="s">
        <v>168</v>
      </c>
      <c r="G68" s="308">
        <v>1</v>
      </c>
      <c r="H68" s="309">
        <v>14200</v>
      </c>
      <c r="I68" s="309">
        <v>14200</v>
      </c>
      <c r="J68" s="211"/>
      <c r="K68" s="212" t="str">
        <f>IF(OR(J68="",G68=J68),"","*")</f>
        <v/>
      </c>
      <c r="L68" s="338">
        <f>IF($A68&lt;=L$1,I68/I$4,"")</f>
        <v>1.195426466708299E-3</v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224</v>
      </c>
      <c r="AF68" s="341"/>
    </row>
    <row r="69" spans="1:32">
      <c r="A69" s="307">
        <v>3</v>
      </c>
      <c r="B69" s="342"/>
      <c r="C69" s="342" t="s">
        <v>176</v>
      </c>
      <c r="D69" s="340" t="s">
        <v>328</v>
      </c>
      <c r="E69" s="342"/>
      <c r="F69" s="345" t="s">
        <v>262</v>
      </c>
      <c r="G69" s="308">
        <v>1</v>
      </c>
      <c r="H69" s="309">
        <v>8000</v>
      </c>
      <c r="I69" s="309">
        <v>8000</v>
      </c>
      <c r="J69" s="211"/>
      <c r="K69" s="212" t="str">
        <f>IF(OR(J69="",G69=J69),"","*")</f>
        <v/>
      </c>
      <c r="L69" s="338">
        <f>IF($A69&lt;=L$1,I69/I$4,"")</f>
        <v>6.7347969955397122E-4</v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329</v>
      </c>
      <c r="AF69" s="341"/>
    </row>
    <row r="70" spans="1:32">
      <c r="A70" s="307">
        <v>3</v>
      </c>
      <c r="B70" s="342"/>
      <c r="C70" s="342" t="s">
        <v>176</v>
      </c>
      <c r="D70" s="340" t="s">
        <v>299</v>
      </c>
      <c r="E70" s="342"/>
      <c r="F70" s="345" t="s">
        <v>262</v>
      </c>
      <c r="G70" s="308">
        <v>1</v>
      </c>
      <c r="H70" s="309">
        <v>4300</v>
      </c>
      <c r="I70" s="309">
        <v>4300</v>
      </c>
      <c r="J70" s="211"/>
      <c r="K70" s="212" t="str">
        <f>IF(OR(J70="",G70=J70),"","*")</f>
        <v/>
      </c>
      <c r="L70" s="338">
        <f>IF($A70&lt;=L$1,I70/I$4,"")</f>
        <v>3.6199533851025953E-4</v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 t="s">
        <v>300</v>
      </c>
      <c r="AF70" s="341"/>
    </row>
    <row r="71" spans="1:32">
      <c r="A71" s="307">
        <v>3</v>
      </c>
      <c r="B71" s="342"/>
      <c r="C71" s="342" t="s">
        <v>176</v>
      </c>
      <c r="D71" s="340" t="s">
        <v>330</v>
      </c>
      <c r="E71" s="342"/>
      <c r="F71" s="345" t="s">
        <v>262</v>
      </c>
      <c r="G71" s="308">
        <v>1</v>
      </c>
      <c r="H71" s="309">
        <v>25000</v>
      </c>
      <c r="I71" s="309">
        <v>25000</v>
      </c>
      <c r="J71" s="211"/>
      <c r="K71" s="212" t="str">
        <f>IF(OR(J71="",G71=J71),"","*")</f>
        <v/>
      </c>
      <c r="L71" s="338">
        <f>IF($A71&lt;=L$1,I71/I$4,"")</f>
        <v>2.1046240611061603E-3</v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 t="s">
        <v>331</v>
      </c>
      <c r="AF71" s="341"/>
    </row>
    <row r="72" spans="1:32">
      <c r="A72" s="307">
        <v>3</v>
      </c>
      <c r="B72" s="342"/>
      <c r="C72" s="342" t="s">
        <v>176</v>
      </c>
      <c r="D72" s="340" t="s">
        <v>304</v>
      </c>
      <c r="E72" s="342" t="s">
        <v>305</v>
      </c>
      <c r="F72" s="345" t="s">
        <v>262</v>
      </c>
      <c r="G72" s="308">
        <v>1</v>
      </c>
      <c r="H72" s="309">
        <v>90000</v>
      </c>
      <c r="I72" s="309">
        <v>90000</v>
      </c>
      <c r="J72" s="211"/>
      <c r="K72" s="212" t="str">
        <f>IF(OR(J72="",G72=J72),"","*")</f>
        <v/>
      </c>
      <c r="L72" s="338">
        <f>IF($A72&lt;=L$1,I72/I$4,"")</f>
        <v>7.5766466199821761E-3</v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306</v>
      </c>
      <c r="AF72" s="341"/>
    </row>
    <row r="73" spans="1:32">
      <c r="A73" s="307">
        <v>3</v>
      </c>
      <c r="B73" s="342"/>
      <c r="C73" s="342" t="s">
        <v>177</v>
      </c>
      <c r="D73" s="340" t="s">
        <v>332</v>
      </c>
      <c r="E73" s="342" t="s">
        <v>333</v>
      </c>
      <c r="F73" s="345" t="s">
        <v>262</v>
      </c>
      <c r="G73" s="308">
        <v>2</v>
      </c>
      <c r="H73" s="309">
        <v>14000</v>
      </c>
      <c r="I73" s="309">
        <v>28000</v>
      </c>
      <c r="J73" s="211"/>
      <c r="K73" s="212" t="str">
        <f>IF(OR(J73="",G73=J73),"","*")</f>
        <v/>
      </c>
      <c r="L73" s="338">
        <f>IF($A73&lt;=L$1,I73/I$4,"")</f>
        <v>2.3571789484388992E-3</v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334</v>
      </c>
      <c r="AF73" s="341"/>
    </row>
    <row r="74" spans="1:32">
      <c r="A74" s="307">
        <v>3</v>
      </c>
      <c r="B74" s="342"/>
      <c r="C74" s="342" t="s">
        <v>177</v>
      </c>
      <c r="D74" s="340" t="s">
        <v>335</v>
      </c>
      <c r="E74" s="342"/>
      <c r="F74" s="345" t="s">
        <v>240</v>
      </c>
      <c r="G74" s="308">
        <v>9</v>
      </c>
      <c r="H74" s="309">
        <v>500</v>
      </c>
      <c r="I74" s="309">
        <v>4500</v>
      </c>
      <c r="J74" s="211"/>
      <c r="K74" s="212" t="str">
        <f>IF(OR(J74="",G74=J74),"","*")</f>
        <v/>
      </c>
      <c r="L74" s="338">
        <f>IF($A74&lt;=L$1,I74/I$4,"")</f>
        <v>3.7883233099910883E-4</v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 t="s">
        <v>336</v>
      </c>
      <c r="AF74" s="341"/>
    </row>
    <row r="75" spans="1:32">
      <c r="A75" s="307">
        <v>2</v>
      </c>
      <c r="B75" s="342"/>
      <c r="C75" s="342" t="s">
        <v>220</v>
      </c>
      <c r="D75" s="340" t="s">
        <v>337</v>
      </c>
      <c r="E75" s="342" t="s">
        <v>171</v>
      </c>
      <c r="F75" s="345" t="s">
        <v>169</v>
      </c>
      <c r="G75" s="308">
        <v>401</v>
      </c>
      <c r="H75" s="309">
        <v>3416</v>
      </c>
      <c r="I75" s="309">
        <v>1369816</v>
      </c>
      <c r="J75" s="211">
        <v>401</v>
      </c>
      <c r="K75" s="212" t="str">
        <f>IF(OR(J75="",G75=J75),"","*")</f>
        <v/>
      </c>
      <c r="L75" s="338">
        <f>IF($A75&lt;=L$1,I75/I$4,"")</f>
        <v>0.11531790851552783</v>
      </c>
      <c r="M75" s="343"/>
      <c r="N75" s="344" t="s">
        <v>338</v>
      </c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/>
      <c r="AF75" s="341"/>
    </row>
    <row r="76" spans="1:32">
      <c r="A76" s="307">
        <v>3</v>
      </c>
      <c r="B76" s="342"/>
      <c r="C76" s="342" t="s">
        <v>173</v>
      </c>
      <c r="D76" s="340" t="s">
        <v>339</v>
      </c>
      <c r="E76" s="342" t="s">
        <v>340</v>
      </c>
      <c r="F76" s="345" t="s">
        <v>341</v>
      </c>
      <c r="G76" s="308">
        <v>255</v>
      </c>
      <c r="H76" s="309">
        <v>2300</v>
      </c>
      <c r="I76" s="309">
        <v>586500</v>
      </c>
      <c r="J76" s="211"/>
      <c r="K76" s="212" t="str">
        <f>IF(OR(J76="",G76=J76),"","*")</f>
        <v/>
      </c>
      <c r="L76" s="338">
        <f>IF($A76&lt;=L$1,I76/I$4,"")</f>
        <v>4.9374480473550517E-2</v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 t="s">
        <v>342</v>
      </c>
      <c r="AF76" s="341"/>
    </row>
    <row r="77" spans="1:32">
      <c r="A77" s="307">
        <v>3</v>
      </c>
      <c r="B77" s="342"/>
      <c r="C77" s="342" t="s">
        <v>173</v>
      </c>
      <c r="D77" s="340" t="s">
        <v>255</v>
      </c>
      <c r="E77" s="342"/>
      <c r="F77" s="345" t="s">
        <v>256</v>
      </c>
      <c r="G77" s="308">
        <v>100</v>
      </c>
      <c r="H77" s="309">
        <v>150</v>
      </c>
      <c r="I77" s="309">
        <v>15000</v>
      </c>
      <c r="J77" s="211"/>
      <c r="K77" s="212" t="str">
        <f>IF(OR(J77="",G77=J77),"","*")</f>
        <v/>
      </c>
      <c r="L77" s="338">
        <f>IF($A77&lt;=L$1,I77/I$4,"")</f>
        <v>1.262774436663696E-3</v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 t="s">
        <v>257</v>
      </c>
      <c r="AF77" s="341" t="s">
        <v>343</v>
      </c>
    </row>
    <row r="78" spans="1:32">
      <c r="A78" s="307">
        <v>3</v>
      </c>
      <c r="B78" s="342"/>
      <c r="C78" s="342" t="s">
        <v>173</v>
      </c>
      <c r="D78" s="340" t="s">
        <v>223</v>
      </c>
      <c r="E78" s="342" t="s">
        <v>344</v>
      </c>
      <c r="F78" s="345" t="s">
        <v>168</v>
      </c>
      <c r="G78" s="308">
        <v>1</v>
      </c>
      <c r="H78" s="309">
        <v>54500</v>
      </c>
      <c r="I78" s="309">
        <v>54500</v>
      </c>
      <c r="J78" s="211"/>
      <c r="K78" s="212" t="str">
        <f>IF(OR(J78="",G78=J78),"","*")</f>
        <v/>
      </c>
      <c r="L78" s="338">
        <f>IF($A78&lt;=L$1,I78/I$4,"")</f>
        <v>4.5880804532114289E-3</v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 t="s">
        <v>224</v>
      </c>
      <c r="AF78" s="341"/>
    </row>
    <row r="79" spans="1:32">
      <c r="A79" s="307">
        <v>3</v>
      </c>
      <c r="B79" s="342"/>
      <c r="C79" s="342" t="s">
        <v>174</v>
      </c>
      <c r="D79" s="340" t="s">
        <v>225</v>
      </c>
      <c r="E79" s="342" t="s">
        <v>226</v>
      </c>
      <c r="F79" s="345" t="s">
        <v>227</v>
      </c>
      <c r="G79" s="308">
        <v>18</v>
      </c>
      <c r="H79" s="309">
        <v>26000</v>
      </c>
      <c r="I79" s="309">
        <v>468000</v>
      </c>
      <c r="J79" s="211"/>
      <c r="K79" s="212" t="str">
        <f>IF(OR(J79="",G79=J79),"","*")</f>
        <v/>
      </c>
      <c r="L79" s="338">
        <f>IF($A79&lt;=L$1,I79/I$4,"")</f>
        <v>3.9398562423907317E-2</v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 t="s">
        <v>228</v>
      </c>
      <c r="AF79" s="341" t="s">
        <v>345</v>
      </c>
    </row>
    <row r="80" spans="1:32">
      <c r="A80" s="307">
        <v>3</v>
      </c>
      <c r="B80" s="342"/>
      <c r="C80" s="342" t="s">
        <v>176</v>
      </c>
      <c r="D80" s="340" t="s">
        <v>346</v>
      </c>
      <c r="E80" s="342" t="s">
        <v>347</v>
      </c>
      <c r="F80" s="345" t="s">
        <v>262</v>
      </c>
      <c r="G80" s="308">
        <v>2</v>
      </c>
      <c r="H80" s="309">
        <v>80000</v>
      </c>
      <c r="I80" s="309">
        <v>160000</v>
      </c>
      <c r="J80" s="211"/>
      <c r="K80" s="212" t="str">
        <f>IF(OR(J80="",G80=J80),"","*")</f>
        <v/>
      </c>
      <c r="L80" s="338">
        <f>IF($A80&lt;=L$1,I80/I$4,"")</f>
        <v>1.3469593991079425E-2</v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 t="s">
        <v>348</v>
      </c>
      <c r="AF80" s="341" t="s">
        <v>349</v>
      </c>
    </row>
    <row r="81" spans="1:32">
      <c r="A81" s="307">
        <v>3</v>
      </c>
      <c r="B81" s="342"/>
      <c r="C81" s="342" t="s">
        <v>176</v>
      </c>
      <c r="D81" s="340" t="s">
        <v>267</v>
      </c>
      <c r="E81" s="342" t="s">
        <v>268</v>
      </c>
      <c r="F81" s="345" t="s">
        <v>262</v>
      </c>
      <c r="G81" s="308">
        <v>2</v>
      </c>
      <c r="H81" s="309">
        <v>4000</v>
      </c>
      <c r="I81" s="309">
        <v>8000</v>
      </c>
      <c r="J81" s="211"/>
      <c r="K81" s="212" t="str">
        <f>IF(OR(J81="",G81=J81),"","*")</f>
        <v/>
      </c>
      <c r="L81" s="338">
        <f>IF($A81&lt;=L$1,I81/I$4,"")</f>
        <v>6.7347969955397122E-4</v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 t="s">
        <v>269</v>
      </c>
      <c r="AF81" s="341" t="s">
        <v>349</v>
      </c>
    </row>
    <row r="82" spans="1:32">
      <c r="A82" s="307">
        <v>3</v>
      </c>
      <c r="B82" s="342"/>
      <c r="C82" s="342" t="s">
        <v>176</v>
      </c>
      <c r="D82" s="340" t="s">
        <v>350</v>
      </c>
      <c r="E82" s="342" t="s">
        <v>351</v>
      </c>
      <c r="F82" s="345" t="s">
        <v>262</v>
      </c>
      <c r="G82" s="308">
        <v>2</v>
      </c>
      <c r="H82" s="309">
        <v>10000</v>
      </c>
      <c r="I82" s="309">
        <v>20000</v>
      </c>
      <c r="J82" s="211"/>
      <c r="K82" s="212" t="str">
        <f>IF(OR(J82="",G82=J82),"","*")</f>
        <v/>
      </c>
      <c r="L82" s="338">
        <f>IF($A82&lt;=L$1,I82/I$4,"")</f>
        <v>1.6836992488849282E-3</v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 t="s">
        <v>352</v>
      </c>
      <c r="AF82" s="341" t="s">
        <v>349</v>
      </c>
    </row>
    <row r="83" spans="1:32">
      <c r="A83" s="307">
        <v>3</v>
      </c>
      <c r="B83" s="342"/>
      <c r="C83" s="342" t="s">
        <v>176</v>
      </c>
      <c r="D83" s="340" t="s">
        <v>353</v>
      </c>
      <c r="E83" s="342"/>
      <c r="F83" s="345" t="s">
        <v>262</v>
      </c>
      <c r="G83" s="308">
        <v>2</v>
      </c>
      <c r="H83" s="309">
        <v>3000</v>
      </c>
      <c r="I83" s="309">
        <v>6000</v>
      </c>
      <c r="J83" s="211"/>
      <c r="K83" s="212" t="str">
        <f>IF(OR(J83="",G83=J83),"","*")</f>
        <v/>
      </c>
      <c r="L83" s="338">
        <f>IF($A83&lt;=L$1,I83/I$4,"")</f>
        <v>5.0510977466547847E-4</v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 t="s">
        <v>354</v>
      </c>
      <c r="AF83" s="341" t="s">
        <v>349</v>
      </c>
    </row>
    <row r="84" spans="1:32">
      <c r="A84" s="307">
        <v>3</v>
      </c>
      <c r="B84" s="342"/>
      <c r="C84" s="342" t="s">
        <v>176</v>
      </c>
      <c r="D84" s="340" t="s">
        <v>355</v>
      </c>
      <c r="E84" s="342"/>
      <c r="F84" s="345" t="s">
        <v>262</v>
      </c>
      <c r="G84" s="308">
        <v>2</v>
      </c>
      <c r="H84" s="309">
        <v>8000</v>
      </c>
      <c r="I84" s="309">
        <v>16000</v>
      </c>
      <c r="J84" s="211"/>
      <c r="K84" s="212" t="str">
        <f>IF(OR(J84="",G84=J84),"","*")</f>
        <v/>
      </c>
      <c r="L84" s="338">
        <f>IF($A84&lt;=L$1,I84/I$4,"")</f>
        <v>1.3469593991079424E-3</v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 t="s">
        <v>356</v>
      </c>
      <c r="AF84" s="341" t="s">
        <v>349</v>
      </c>
    </row>
    <row r="85" spans="1:32">
      <c r="A85" s="307">
        <v>3</v>
      </c>
      <c r="B85" s="342"/>
      <c r="C85" s="342" t="s">
        <v>177</v>
      </c>
      <c r="D85" s="340" t="s">
        <v>282</v>
      </c>
      <c r="E85" s="342"/>
      <c r="F85" s="345" t="s">
        <v>262</v>
      </c>
      <c r="G85" s="308">
        <v>4</v>
      </c>
      <c r="H85" s="309">
        <v>5000</v>
      </c>
      <c r="I85" s="309">
        <v>20000</v>
      </c>
      <c r="J85" s="211"/>
      <c r="K85" s="212" t="str">
        <f>IF(OR(J85="",G85=J85),"","*")</f>
        <v/>
      </c>
      <c r="L85" s="338">
        <f>IF($A85&lt;=L$1,I85/I$4,"")</f>
        <v>1.6836992488849282E-3</v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 t="s">
        <v>283</v>
      </c>
      <c r="AF85" s="341" t="s">
        <v>357</v>
      </c>
    </row>
    <row r="86" spans="1:32">
      <c r="A86" s="307">
        <v>3</v>
      </c>
      <c r="B86" s="342"/>
      <c r="C86" s="342" t="s">
        <v>177</v>
      </c>
      <c r="D86" s="340" t="s">
        <v>284</v>
      </c>
      <c r="E86" s="342" t="s">
        <v>285</v>
      </c>
      <c r="F86" s="345" t="s">
        <v>262</v>
      </c>
      <c r="G86" s="308">
        <v>4</v>
      </c>
      <c r="H86" s="309">
        <v>4000</v>
      </c>
      <c r="I86" s="309">
        <v>16000</v>
      </c>
      <c r="J86" s="211"/>
      <c r="K86" s="212" t="str">
        <f>IF(OR(J86="",G86=J86),"","*")</f>
        <v/>
      </c>
      <c r="L86" s="338">
        <f>IF($A86&lt;=L$1,I86/I$4,"")</f>
        <v>1.3469593991079424E-3</v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 t="s">
        <v>286</v>
      </c>
      <c r="AF86" s="341" t="s">
        <v>357</v>
      </c>
    </row>
    <row r="87" spans="1:32">
      <c r="A87" s="307">
        <v>2</v>
      </c>
      <c r="B87" s="342"/>
      <c r="C87" s="342" t="s">
        <v>220</v>
      </c>
      <c r="D87" s="340" t="s">
        <v>337</v>
      </c>
      <c r="E87" s="342" t="s">
        <v>172</v>
      </c>
      <c r="F87" s="345" t="s">
        <v>169</v>
      </c>
      <c r="G87" s="308">
        <v>356</v>
      </c>
      <c r="H87" s="309">
        <v>4382</v>
      </c>
      <c r="I87" s="309">
        <v>1559992</v>
      </c>
      <c r="J87" s="211">
        <v>356</v>
      </c>
      <c r="K87" s="212" t="str">
        <f>IF(OR(J87="",G87=J87),"","*")</f>
        <v/>
      </c>
      <c r="L87" s="338">
        <f>IF($A87&lt;=L$1,I87/I$4,"")</f>
        <v>0.13132786793332485</v>
      </c>
      <c r="M87" s="343"/>
      <c r="N87" s="344" t="s">
        <v>358</v>
      </c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/>
      <c r="AF87" s="341"/>
    </row>
    <row r="88" spans="1:32">
      <c r="A88" s="307">
        <v>3</v>
      </c>
      <c r="B88" s="342"/>
      <c r="C88" s="342" t="s">
        <v>173</v>
      </c>
      <c r="D88" s="340" t="s">
        <v>339</v>
      </c>
      <c r="E88" s="342" t="s">
        <v>359</v>
      </c>
      <c r="F88" s="345" t="s">
        <v>341</v>
      </c>
      <c r="G88" s="308">
        <v>226</v>
      </c>
      <c r="H88" s="309">
        <v>3425</v>
      </c>
      <c r="I88" s="309">
        <v>774050</v>
      </c>
      <c r="J88" s="211"/>
      <c r="K88" s="212" t="str">
        <f>IF(OR(J88="",G88=J88),"","*")</f>
        <v/>
      </c>
      <c r="L88" s="338">
        <f>IF($A88&lt;=L$1,I88/I$4,"")</f>
        <v>6.5163370179968927E-2</v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 t="s">
        <v>342</v>
      </c>
      <c r="AF88" s="341"/>
    </row>
    <row r="89" spans="1:32">
      <c r="A89" s="307">
        <v>3</v>
      </c>
      <c r="B89" s="342"/>
      <c r="C89" s="342" t="s">
        <v>173</v>
      </c>
      <c r="D89" s="340" t="s">
        <v>255</v>
      </c>
      <c r="E89" s="342"/>
      <c r="F89" s="345" t="s">
        <v>256</v>
      </c>
      <c r="G89" s="308">
        <v>100</v>
      </c>
      <c r="H89" s="309">
        <v>150</v>
      </c>
      <c r="I89" s="309">
        <v>15000</v>
      </c>
      <c r="J89" s="211"/>
      <c r="K89" s="212" t="str">
        <f>IF(OR(J89="",G89=J89),"","*")</f>
        <v/>
      </c>
      <c r="L89" s="338">
        <f>IF($A89&lt;=L$1,I89/I$4,"")</f>
        <v>1.262774436663696E-3</v>
      </c>
      <c r="M89" s="343"/>
      <c r="N89" s="344"/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 t="s">
        <v>257</v>
      </c>
      <c r="AF89" s="341" t="s">
        <v>343</v>
      </c>
    </row>
    <row r="90" spans="1:32">
      <c r="A90" s="307">
        <v>3</v>
      </c>
      <c r="B90" s="342"/>
      <c r="C90" s="342" t="s">
        <v>173</v>
      </c>
      <c r="D90" s="340" t="s">
        <v>223</v>
      </c>
      <c r="E90" s="342" t="s">
        <v>344</v>
      </c>
      <c r="F90" s="345" t="s">
        <v>168</v>
      </c>
      <c r="G90" s="308">
        <v>1</v>
      </c>
      <c r="H90" s="309">
        <v>56950</v>
      </c>
      <c r="I90" s="309">
        <v>56950</v>
      </c>
      <c r="J90" s="211"/>
      <c r="K90" s="212" t="str">
        <f>IF(OR(J90="",G90=J90),"","*")</f>
        <v/>
      </c>
      <c r="L90" s="338">
        <f>IF($A90&lt;=L$1,I90/I$4,"")</f>
        <v>4.7943336111998325E-3</v>
      </c>
      <c r="M90" s="343"/>
      <c r="N90" s="344"/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 t="s">
        <v>224</v>
      </c>
      <c r="AF90" s="341"/>
    </row>
    <row r="91" spans="1:32">
      <c r="A91" s="307">
        <v>3</v>
      </c>
      <c r="B91" s="342"/>
      <c r="C91" s="342" t="s">
        <v>174</v>
      </c>
      <c r="D91" s="340" t="s">
        <v>225</v>
      </c>
      <c r="E91" s="342" t="s">
        <v>226</v>
      </c>
      <c r="F91" s="345" t="s">
        <v>227</v>
      </c>
      <c r="G91" s="308">
        <v>18</v>
      </c>
      <c r="H91" s="309">
        <v>26000</v>
      </c>
      <c r="I91" s="309">
        <v>468000</v>
      </c>
      <c r="J91" s="211"/>
      <c r="K91" s="212" t="str">
        <f>IF(OR(J91="",G91=J91),"","*")</f>
        <v/>
      </c>
      <c r="L91" s="338">
        <f>IF($A91&lt;=L$1,I91/I$4,"")</f>
        <v>3.9398562423907317E-2</v>
      </c>
      <c r="M91" s="343"/>
      <c r="N91" s="344"/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 t="s">
        <v>228</v>
      </c>
      <c r="AF91" s="341" t="s">
        <v>345</v>
      </c>
    </row>
    <row r="92" spans="1:32">
      <c r="A92" s="307">
        <v>3</v>
      </c>
      <c r="B92" s="342"/>
      <c r="C92" s="342" t="s">
        <v>176</v>
      </c>
      <c r="D92" s="340" t="s">
        <v>346</v>
      </c>
      <c r="E92" s="342" t="s">
        <v>347</v>
      </c>
      <c r="F92" s="345" t="s">
        <v>262</v>
      </c>
      <c r="G92" s="308">
        <v>2</v>
      </c>
      <c r="H92" s="309">
        <v>80000</v>
      </c>
      <c r="I92" s="309">
        <v>160000</v>
      </c>
      <c r="J92" s="211"/>
      <c r="K92" s="212" t="str">
        <f>IF(OR(J92="",G92=J92),"","*")</f>
        <v/>
      </c>
      <c r="L92" s="338">
        <f>IF($A92&lt;=L$1,I92/I$4,"")</f>
        <v>1.3469593991079425E-2</v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 t="s">
        <v>348</v>
      </c>
      <c r="AF92" s="341" t="s">
        <v>349</v>
      </c>
    </row>
    <row r="93" spans="1:32">
      <c r="A93" s="307">
        <v>3</v>
      </c>
      <c r="B93" s="342"/>
      <c r="C93" s="342" t="s">
        <v>176</v>
      </c>
      <c r="D93" s="340" t="s">
        <v>267</v>
      </c>
      <c r="E93" s="342" t="s">
        <v>268</v>
      </c>
      <c r="F93" s="345" t="s">
        <v>262</v>
      </c>
      <c r="G93" s="308">
        <v>2</v>
      </c>
      <c r="H93" s="309">
        <v>4000</v>
      </c>
      <c r="I93" s="309">
        <v>8000</v>
      </c>
      <c r="J93" s="211"/>
      <c r="K93" s="212" t="str">
        <f>IF(OR(J93="",G93=J93),"","*")</f>
        <v/>
      </c>
      <c r="L93" s="338">
        <f>IF($A93&lt;=L$1,I93/I$4,"")</f>
        <v>6.7347969955397122E-4</v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/>
      <c r="T93" s="213" t="e">
        <v>#DIV/0!</v>
      </c>
      <c r="U93" s="214"/>
      <c r="V93" s="215"/>
      <c r="W93" s="310">
        <v>0</v>
      </c>
      <c r="X93" s="311">
        <v>0</v>
      </c>
      <c r="Y93" s="311">
        <v>0</v>
      </c>
      <c r="Z93" s="211">
        <v>0</v>
      </c>
      <c r="AA93" s="212"/>
      <c r="AB93" s="213" t="e">
        <v>#DIV/0!</v>
      </c>
      <c r="AC93" s="214"/>
      <c r="AD93" s="215"/>
      <c r="AE93" s="342" t="s">
        <v>269</v>
      </c>
      <c r="AF93" s="341" t="s">
        <v>349</v>
      </c>
    </row>
    <row r="94" spans="1:32">
      <c r="A94" s="307">
        <v>3</v>
      </c>
      <c r="B94" s="342"/>
      <c r="C94" s="342" t="s">
        <v>176</v>
      </c>
      <c r="D94" s="340" t="s">
        <v>350</v>
      </c>
      <c r="E94" s="342" t="s">
        <v>351</v>
      </c>
      <c r="F94" s="345" t="s">
        <v>262</v>
      </c>
      <c r="G94" s="308">
        <v>2</v>
      </c>
      <c r="H94" s="309">
        <v>10000</v>
      </c>
      <c r="I94" s="309">
        <v>20000</v>
      </c>
      <c r="J94" s="211"/>
      <c r="K94" s="212" t="str">
        <f>IF(OR(J94="",G94=J94),"","*")</f>
        <v/>
      </c>
      <c r="L94" s="338">
        <f>IF($A94&lt;=L$1,I94/I$4,"")</f>
        <v>1.6836992488849282E-3</v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/>
      <c r="T94" s="213" t="e">
        <v>#DIV/0!</v>
      </c>
      <c r="U94" s="214"/>
      <c r="V94" s="215"/>
      <c r="W94" s="310">
        <v>0</v>
      </c>
      <c r="X94" s="311">
        <v>0</v>
      </c>
      <c r="Y94" s="311">
        <v>0</v>
      </c>
      <c r="Z94" s="211">
        <v>0</v>
      </c>
      <c r="AA94" s="212"/>
      <c r="AB94" s="213" t="e">
        <v>#DIV/0!</v>
      </c>
      <c r="AC94" s="214"/>
      <c r="AD94" s="215"/>
      <c r="AE94" s="342" t="s">
        <v>352</v>
      </c>
      <c r="AF94" s="341" t="s">
        <v>349</v>
      </c>
    </row>
    <row r="95" spans="1:32">
      <c r="A95" s="307">
        <v>3</v>
      </c>
      <c r="B95" s="342"/>
      <c r="C95" s="342" t="s">
        <v>176</v>
      </c>
      <c r="D95" s="340" t="s">
        <v>353</v>
      </c>
      <c r="E95" s="342"/>
      <c r="F95" s="345" t="s">
        <v>262</v>
      </c>
      <c r="G95" s="308">
        <v>2</v>
      </c>
      <c r="H95" s="309">
        <v>3000</v>
      </c>
      <c r="I95" s="309">
        <v>6000</v>
      </c>
      <c r="J95" s="211"/>
      <c r="K95" s="212" t="str">
        <f>IF(OR(J95="",G95=J95),"","*")</f>
        <v/>
      </c>
      <c r="L95" s="338">
        <f>IF($A95&lt;=L$1,I95/I$4,"")</f>
        <v>5.0510977466547847E-4</v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/>
      <c r="T95" s="213" t="e">
        <v>#DIV/0!</v>
      </c>
      <c r="U95" s="214"/>
      <c r="V95" s="215"/>
      <c r="W95" s="310">
        <v>0</v>
      </c>
      <c r="X95" s="311">
        <v>0</v>
      </c>
      <c r="Y95" s="311">
        <v>0</v>
      </c>
      <c r="Z95" s="211">
        <v>0</v>
      </c>
      <c r="AA95" s="212"/>
      <c r="AB95" s="213" t="e">
        <v>#DIV/0!</v>
      </c>
      <c r="AC95" s="214"/>
      <c r="AD95" s="215"/>
      <c r="AE95" s="342" t="s">
        <v>354</v>
      </c>
      <c r="AF95" s="341" t="s">
        <v>349</v>
      </c>
    </row>
    <row r="96" spans="1:32">
      <c r="A96" s="307">
        <v>3</v>
      </c>
      <c r="B96" s="342"/>
      <c r="C96" s="342" t="s">
        <v>176</v>
      </c>
      <c r="D96" s="340" t="s">
        <v>355</v>
      </c>
      <c r="E96" s="342"/>
      <c r="F96" s="345" t="s">
        <v>262</v>
      </c>
      <c r="G96" s="308">
        <v>2</v>
      </c>
      <c r="H96" s="309">
        <v>8000</v>
      </c>
      <c r="I96" s="309">
        <v>16000</v>
      </c>
      <c r="J96" s="211"/>
      <c r="K96" s="212" t="str">
        <f>IF(OR(J96="",G96=J96),"","*")</f>
        <v/>
      </c>
      <c r="L96" s="338">
        <f>IF($A96&lt;=L$1,I96/I$4,"")</f>
        <v>1.3469593991079424E-3</v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/>
      <c r="T96" s="213" t="e">
        <v>#DIV/0!</v>
      </c>
      <c r="U96" s="214"/>
      <c r="V96" s="215"/>
      <c r="W96" s="310">
        <v>0</v>
      </c>
      <c r="X96" s="311">
        <v>0</v>
      </c>
      <c r="Y96" s="311">
        <v>0</v>
      </c>
      <c r="Z96" s="211">
        <v>0</v>
      </c>
      <c r="AA96" s="212"/>
      <c r="AB96" s="213" t="e">
        <v>#DIV/0!</v>
      </c>
      <c r="AC96" s="214"/>
      <c r="AD96" s="215"/>
      <c r="AE96" s="342" t="s">
        <v>356</v>
      </c>
      <c r="AF96" s="341" t="s">
        <v>349</v>
      </c>
    </row>
    <row r="97" spans="1:32">
      <c r="A97" s="307">
        <v>3</v>
      </c>
      <c r="B97" s="342"/>
      <c r="C97" s="342" t="s">
        <v>177</v>
      </c>
      <c r="D97" s="340" t="s">
        <v>282</v>
      </c>
      <c r="E97" s="342"/>
      <c r="F97" s="345" t="s">
        <v>262</v>
      </c>
      <c r="G97" s="308">
        <v>4</v>
      </c>
      <c r="H97" s="309">
        <v>5000</v>
      </c>
      <c r="I97" s="309">
        <v>20000</v>
      </c>
      <c r="J97" s="211"/>
      <c r="K97" s="212" t="str">
        <f>IF(OR(J97="",G97=J97),"","*")</f>
        <v/>
      </c>
      <c r="L97" s="338">
        <f>IF($A97&lt;=L$1,I97/I$4,"")</f>
        <v>1.6836992488849282E-3</v>
      </c>
      <c r="M97" s="343"/>
      <c r="N97" s="344"/>
      <c r="O97" s="310">
        <v>0</v>
      </c>
      <c r="P97" s="311">
        <v>0</v>
      </c>
      <c r="Q97" s="311">
        <v>0</v>
      </c>
      <c r="R97" s="211">
        <v>0</v>
      </c>
      <c r="S97" s="212"/>
      <c r="T97" s="213" t="e">
        <v>#DIV/0!</v>
      </c>
      <c r="U97" s="214"/>
      <c r="V97" s="215"/>
      <c r="W97" s="310">
        <v>0</v>
      </c>
      <c r="X97" s="311">
        <v>0</v>
      </c>
      <c r="Y97" s="311">
        <v>0</v>
      </c>
      <c r="Z97" s="211">
        <v>0</v>
      </c>
      <c r="AA97" s="212"/>
      <c r="AB97" s="213" t="e">
        <v>#DIV/0!</v>
      </c>
      <c r="AC97" s="214"/>
      <c r="AD97" s="215"/>
      <c r="AE97" s="342" t="s">
        <v>283</v>
      </c>
      <c r="AF97" s="341" t="s">
        <v>357</v>
      </c>
    </row>
    <row r="98" spans="1:32">
      <c r="A98" s="307">
        <v>3</v>
      </c>
      <c r="B98" s="342"/>
      <c r="C98" s="342" t="s">
        <v>177</v>
      </c>
      <c r="D98" s="340" t="s">
        <v>284</v>
      </c>
      <c r="E98" s="342" t="s">
        <v>285</v>
      </c>
      <c r="F98" s="345" t="s">
        <v>262</v>
      </c>
      <c r="G98" s="308">
        <v>4</v>
      </c>
      <c r="H98" s="309">
        <v>4000</v>
      </c>
      <c r="I98" s="309">
        <v>16000</v>
      </c>
      <c r="J98" s="211"/>
      <c r="K98" s="212" t="str">
        <f>IF(OR(J98="",G98=J98),"","*")</f>
        <v/>
      </c>
      <c r="L98" s="338">
        <f>IF($A98&lt;=L$1,I98/I$4,"")</f>
        <v>1.3469593991079424E-3</v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/>
      <c r="T98" s="213" t="e">
        <v>#DIV/0!</v>
      </c>
      <c r="U98" s="214"/>
      <c r="V98" s="215"/>
      <c r="W98" s="310">
        <v>0</v>
      </c>
      <c r="X98" s="311">
        <v>0</v>
      </c>
      <c r="Y98" s="311">
        <v>0</v>
      </c>
      <c r="Z98" s="211">
        <v>0</v>
      </c>
      <c r="AA98" s="212"/>
      <c r="AB98" s="213" t="e">
        <v>#DIV/0!</v>
      </c>
      <c r="AC98" s="214"/>
      <c r="AD98" s="215"/>
      <c r="AE98" s="342" t="s">
        <v>286</v>
      </c>
      <c r="AF98" s="341" t="s">
        <v>357</v>
      </c>
    </row>
    <row r="99" spans="1:32">
      <c r="A99" s="307">
        <v>2</v>
      </c>
      <c r="B99" s="342"/>
      <c r="C99" s="342" t="s">
        <v>220</v>
      </c>
      <c r="D99" s="340" t="s">
        <v>360</v>
      </c>
      <c r="E99" s="342" t="s">
        <v>167</v>
      </c>
      <c r="F99" s="345" t="s">
        <v>168</v>
      </c>
      <c r="G99" s="308">
        <v>1</v>
      </c>
      <c r="H99" s="309">
        <v>170000</v>
      </c>
      <c r="I99" s="309">
        <v>170000</v>
      </c>
      <c r="J99" s="211">
        <v>1</v>
      </c>
      <c r="K99" s="212" t="str">
        <f>IF(OR(J99="",G99=J99),"","*")</f>
        <v/>
      </c>
      <c r="L99" s="338">
        <f>IF($A99&lt;=L$1,I99/I$4,"")</f>
        <v>1.4311443615521889E-2</v>
      </c>
      <c r="M99" s="343"/>
      <c r="N99" s="344" t="s">
        <v>361</v>
      </c>
      <c r="O99" s="310">
        <v>0</v>
      </c>
      <c r="P99" s="311">
        <v>0</v>
      </c>
      <c r="Q99" s="311">
        <v>0</v>
      </c>
      <c r="R99" s="211">
        <v>0</v>
      </c>
      <c r="S99" s="212"/>
      <c r="T99" s="213" t="e">
        <v>#DIV/0!</v>
      </c>
      <c r="U99" s="214"/>
      <c r="V99" s="215"/>
      <c r="W99" s="310">
        <v>0</v>
      </c>
      <c r="X99" s="311">
        <v>0</v>
      </c>
      <c r="Y99" s="311">
        <v>0</v>
      </c>
      <c r="Z99" s="211">
        <v>0</v>
      </c>
      <c r="AA99" s="212"/>
      <c r="AB99" s="213" t="e">
        <v>#DIV/0!</v>
      </c>
      <c r="AC99" s="214"/>
      <c r="AD99" s="215"/>
      <c r="AE99" s="342"/>
      <c r="AF99" s="341"/>
    </row>
    <row r="100" spans="1:32">
      <c r="A100" s="307">
        <v>3</v>
      </c>
      <c r="B100" s="342"/>
      <c r="C100" s="342" t="s">
        <v>175</v>
      </c>
      <c r="D100" s="340" t="s">
        <v>362</v>
      </c>
      <c r="E100" s="342" t="s">
        <v>363</v>
      </c>
      <c r="F100" s="345" t="s">
        <v>364</v>
      </c>
      <c r="G100" s="308">
        <v>320</v>
      </c>
      <c r="H100" s="309">
        <v>350</v>
      </c>
      <c r="I100" s="309">
        <v>112000</v>
      </c>
      <c r="J100" s="211"/>
      <c r="K100" s="212" t="str">
        <f>IF(OR(J100="",G100=J100),"","*")</f>
        <v/>
      </c>
      <c r="L100" s="338">
        <f>IF($A100&lt;=L$1,I100/I$4,"")</f>
        <v>9.4287157937555967E-3</v>
      </c>
      <c r="M100" s="343"/>
      <c r="N100" s="344"/>
      <c r="O100" s="310">
        <v>0</v>
      </c>
      <c r="P100" s="311">
        <v>0</v>
      </c>
      <c r="Q100" s="311">
        <v>0</v>
      </c>
      <c r="R100" s="211">
        <v>0</v>
      </c>
      <c r="S100" s="212"/>
      <c r="T100" s="213" t="e">
        <v>#DIV/0!</v>
      </c>
      <c r="U100" s="214"/>
      <c r="V100" s="215"/>
      <c r="W100" s="310">
        <v>0</v>
      </c>
      <c r="X100" s="311">
        <v>0</v>
      </c>
      <c r="Y100" s="311">
        <v>0</v>
      </c>
      <c r="Z100" s="211">
        <v>0</v>
      </c>
      <c r="AA100" s="212"/>
      <c r="AB100" s="213" t="e">
        <v>#DIV/0!</v>
      </c>
      <c r="AC100" s="214"/>
      <c r="AD100" s="215"/>
      <c r="AE100" s="342" t="s">
        <v>365</v>
      </c>
      <c r="AF100" s="341"/>
    </row>
    <row r="101" spans="1:32">
      <c r="A101" s="307">
        <v>3</v>
      </c>
      <c r="B101" s="342"/>
      <c r="C101" s="342" t="s">
        <v>175</v>
      </c>
      <c r="D101" s="340" t="s">
        <v>366</v>
      </c>
      <c r="E101" s="342" t="s">
        <v>363</v>
      </c>
      <c r="F101" s="345" t="s">
        <v>364</v>
      </c>
      <c r="G101" s="308">
        <v>6</v>
      </c>
      <c r="H101" s="309">
        <v>390</v>
      </c>
      <c r="I101" s="309">
        <v>2340</v>
      </c>
      <c r="J101" s="211"/>
      <c r="K101" s="212" t="str">
        <f>IF(OR(J101="",G101=J101),"","*")</f>
        <v/>
      </c>
      <c r="L101" s="338">
        <f>IF($A101&lt;=L$1,I101/I$4,"")</f>
        <v>1.9699281211953658E-4</v>
      </c>
      <c r="M101" s="343"/>
      <c r="N101" s="344"/>
      <c r="O101" s="310">
        <v>0</v>
      </c>
      <c r="P101" s="311">
        <v>0</v>
      </c>
      <c r="Q101" s="311">
        <v>0</v>
      </c>
      <c r="R101" s="211">
        <v>0</v>
      </c>
      <c r="S101" s="212"/>
      <c r="T101" s="213" t="e">
        <v>#DIV/0!</v>
      </c>
      <c r="U101" s="214"/>
      <c r="V101" s="215"/>
      <c r="W101" s="310">
        <v>0</v>
      </c>
      <c r="X101" s="311">
        <v>0</v>
      </c>
      <c r="Y101" s="311">
        <v>0</v>
      </c>
      <c r="Z101" s="211">
        <v>0</v>
      </c>
      <c r="AA101" s="212"/>
      <c r="AB101" s="213" t="e">
        <v>#DIV/0!</v>
      </c>
      <c r="AC101" s="214"/>
      <c r="AD101" s="215"/>
      <c r="AE101" s="342" t="s">
        <v>367</v>
      </c>
      <c r="AF101" s="341"/>
    </row>
    <row r="102" spans="1:32">
      <c r="A102" s="307">
        <v>3</v>
      </c>
      <c r="B102" s="342"/>
      <c r="C102" s="342" t="s">
        <v>175</v>
      </c>
      <c r="D102" s="340" t="s">
        <v>362</v>
      </c>
      <c r="E102" s="342" t="s">
        <v>368</v>
      </c>
      <c r="F102" s="345" t="s">
        <v>364</v>
      </c>
      <c r="G102" s="308">
        <v>7</v>
      </c>
      <c r="H102" s="309">
        <v>730</v>
      </c>
      <c r="I102" s="309">
        <v>5110</v>
      </c>
      <c r="J102" s="211"/>
      <c r="K102" s="212" t="str">
        <f>IF(OR(J102="",G102=J102),"","*")</f>
        <v/>
      </c>
      <c r="L102" s="338">
        <f>IF($A102&lt;=L$1,I102/I$4,"")</f>
        <v>4.3018515809009915E-4</v>
      </c>
      <c r="M102" s="343"/>
      <c r="N102" s="344"/>
      <c r="O102" s="310">
        <v>0</v>
      </c>
      <c r="P102" s="311">
        <v>0</v>
      </c>
      <c r="Q102" s="311">
        <v>0</v>
      </c>
      <c r="R102" s="211">
        <v>0</v>
      </c>
      <c r="S102" s="212"/>
      <c r="T102" s="213" t="e">
        <v>#DIV/0!</v>
      </c>
      <c r="U102" s="214"/>
      <c r="V102" s="215"/>
      <c r="W102" s="310">
        <v>0</v>
      </c>
      <c r="X102" s="311">
        <v>0</v>
      </c>
      <c r="Y102" s="311">
        <v>0</v>
      </c>
      <c r="Z102" s="211">
        <v>0</v>
      </c>
      <c r="AA102" s="212"/>
      <c r="AB102" s="213" t="e">
        <v>#DIV/0!</v>
      </c>
      <c r="AC102" s="214"/>
      <c r="AD102" s="215"/>
      <c r="AE102" s="342" t="s">
        <v>369</v>
      </c>
      <c r="AF102" s="341"/>
    </row>
    <row r="103" spans="1:32">
      <c r="A103" s="307">
        <v>3</v>
      </c>
      <c r="B103" s="342"/>
      <c r="C103" s="342" t="s">
        <v>175</v>
      </c>
      <c r="D103" s="340" t="s">
        <v>370</v>
      </c>
      <c r="E103" s="342"/>
      <c r="F103" s="345" t="s">
        <v>364</v>
      </c>
      <c r="G103" s="308">
        <v>31</v>
      </c>
      <c r="H103" s="309">
        <v>740</v>
      </c>
      <c r="I103" s="309">
        <v>22940</v>
      </c>
      <c r="J103" s="211"/>
      <c r="K103" s="212" t="str">
        <f>IF(OR(J103="",G103=J103),"","*")</f>
        <v/>
      </c>
      <c r="L103" s="338">
        <f>IF($A103&lt;=L$1,I103/I$4,"")</f>
        <v>1.9312030384710124E-3</v>
      </c>
      <c r="M103" s="343"/>
      <c r="N103" s="344"/>
      <c r="O103" s="310">
        <v>0</v>
      </c>
      <c r="P103" s="311">
        <v>0</v>
      </c>
      <c r="Q103" s="311">
        <v>0</v>
      </c>
      <c r="R103" s="211">
        <v>0</v>
      </c>
      <c r="S103" s="212"/>
      <c r="T103" s="213" t="e">
        <v>#DIV/0!</v>
      </c>
      <c r="U103" s="214"/>
      <c r="V103" s="215"/>
      <c r="W103" s="310">
        <v>0</v>
      </c>
      <c r="X103" s="311">
        <v>0</v>
      </c>
      <c r="Y103" s="311">
        <v>0</v>
      </c>
      <c r="Z103" s="211">
        <v>0</v>
      </c>
      <c r="AA103" s="212"/>
      <c r="AB103" s="213" t="e">
        <v>#DIV/0!</v>
      </c>
      <c r="AC103" s="214"/>
      <c r="AD103" s="215"/>
      <c r="AE103" s="342" t="s">
        <v>371</v>
      </c>
      <c r="AF103" s="341"/>
    </row>
    <row r="104" spans="1:32">
      <c r="A104" s="307">
        <v>3</v>
      </c>
      <c r="B104" s="342"/>
      <c r="C104" s="342" t="s">
        <v>173</v>
      </c>
      <c r="D104" s="340" t="s">
        <v>372</v>
      </c>
      <c r="E104" s="342"/>
      <c r="F104" s="345" t="s">
        <v>373</v>
      </c>
      <c r="G104" s="308">
        <v>3</v>
      </c>
      <c r="H104" s="309">
        <v>7300</v>
      </c>
      <c r="I104" s="309">
        <v>21900</v>
      </c>
      <c r="J104" s="211"/>
      <c r="K104" s="212" t="str">
        <f>IF(OR(J104="",G104=J104),"","*")</f>
        <v/>
      </c>
      <c r="L104" s="338">
        <f>IF($A104&lt;=L$1,I104/I$4,"")</f>
        <v>1.8436506775289963E-3</v>
      </c>
      <c r="M104" s="343"/>
      <c r="N104" s="344"/>
      <c r="O104" s="310">
        <v>0</v>
      </c>
      <c r="P104" s="311">
        <v>0</v>
      </c>
      <c r="Q104" s="311">
        <v>0</v>
      </c>
      <c r="R104" s="211">
        <v>0</v>
      </c>
      <c r="S104" s="212"/>
      <c r="T104" s="213" t="e">
        <v>#DIV/0!</v>
      </c>
      <c r="U104" s="214"/>
      <c r="V104" s="215"/>
      <c r="W104" s="310">
        <v>0</v>
      </c>
      <c r="X104" s="311">
        <v>0</v>
      </c>
      <c r="Y104" s="311">
        <v>0</v>
      </c>
      <c r="Z104" s="211">
        <v>0</v>
      </c>
      <c r="AA104" s="212"/>
      <c r="AB104" s="213" t="e">
        <v>#DIV/0!</v>
      </c>
      <c r="AC104" s="214"/>
      <c r="AD104" s="215"/>
      <c r="AE104" s="342"/>
      <c r="AF104" s="341"/>
    </row>
    <row r="105" spans="1:32">
      <c r="A105" s="307">
        <v>3</v>
      </c>
      <c r="B105" s="342"/>
      <c r="C105" s="342" t="s">
        <v>173</v>
      </c>
      <c r="D105" s="340" t="s">
        <v>223</v>
      </c>
      <c r="E105" s="342"/>
      <c r="F105" s="345" t="s">
        <v>168</v>
      </c>
      <c r="G105" s="308">
        <v>1</v>
      </c>
      <c r="H105" s="309">
        <v>5710</v>
      </c>
      <c r="I105" s="309">
        <v>5710</v>
      </c>
      <c r="J105" s="211"/>
      <c r="K105" s="212" t="str">
        <f>IF(OR(J105="",G105=J105),"","*")</f>
        <v/>
      </c>
      <c r="L105" s="338">
        <f>IF($A105&lt;=L$1,I105/I$4,"")</f>
        <v>4.8069613555664698E-4</v>
      </c>
      <c r="M105" s="343"/>
      <c r="N105" s="344"/>
      <c r="O105" s="310">
        <v>0</v>
      </c>
      <c r="P105" s="311">
        <v>0</v>
      </c>
      <c r="Q105" s="311">
        <v>0</v>
      </c>
      <c r="R105" s="211">
        <v>0</v>
      </c>
      <c r="S105" s="212"/>
      <c r="T105" s="213" t="e">
        <v>#DIV/0!</v>
      </c>
      <c r="U105" s="214"/>
      <c r="V105" s="215"/>
      <c r="W105" s="310">
        <v>0</v>
      </c>
      <c r="X105" s="311">
        <v>0</v>
      </c>
      <c r="Y105" s="311">
        <v>0</v>
      </c>
      <c r="Z105" s="211">
        <v>0</v>
      </c>
      <c r="AA105" s="212"/>
      <c r="AB105" s="213" t="e">
        <v>#DIV/0!</v>
      </c>
      <c r="AC105" s="214"/>
      <c r="AD105" s="215"/>
      <c r="AE105" s="342" t="s">
        <v>224</v>
      </c>
      <c r="AF105" s="341"/>
    </row>
    <row r="106" spans="1:32">
      <c r="A106" s="217"/>
      <c r="B106" s="217"/>
      <c r="C106" s="312"/>
      <c r="D106" s="217"/>
      <c r="E106" s="217"/>
      <c r="F106" s="218"/>
      <c r="G106" s="217"/>
      <c r="H106" s="217"/>
      <c r="I106" s="217"/>
      <c r="J106" s="217"/>
      <c r="K106" s="218"/>
      <c r="L106" s="217"/>
      <c r="M106" s="217"/>
      <c r="N106" s="217"/>
      <c r="O106" s="217"/>
      <c r="P106" s="217"/>
      <c r="Q106" s="217"/>
      <c r="R106" s="217"/>
      <c r="S106" s="218"/>
      <c r="T106" s="217"/>
      <c r="U106" s="217"/>
      <c r="V106" s="217"/>
      <c r="W106" s="217"/>
      <c r="X106" s="217"/>
      <c r="Y106" s="217"/>
      <c r="Z106" s="217"/>
      <c r="AA106" s="218"/>
      <c r="AB106" s="217"/>
      <c r="AC106" s="217"/>
      <c r="AD106" s="217"/>
      <c r="AE106" s="217"/>
      <c r="AF106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105 AF4:AF105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105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161</v>
      </c>
      <c r="D4" s="315">
        <v>350000</v>
      </c>
      <c r="E4" s="120"/>
      <c r="F4" s="119" t="s">
        <v>166</v>
      </c>
      <c r="G4" s="316">
        <v>630000</v>
      </c>
      <c r="H4" s="69"/>
    </row>
    <row r="5" spans="1:8" ht="27" customHeight="1">
      <c r="A5" s="69"/>
      <c r="B5" s="118"/>
      <c r="C5" s="119" t="s">
        <v>162</v>
      </c>
      <c r="D5" s="315">
        <v>220000</v>
      </c>
      <c r="E5" s="120"/>
      <c r="F5" s="119"/>
      <c r="G5" s="316"/>
      <c r="H5" s="69"/>
    </row>
    <row r="6" spans="1:8" ht="27" customHeight="1">
      <c r="A6" s="69"/>
      <c r="B6" s="118"/>
      <c r="C6" s="119" t="s">
        <v>163</v>
      </c>
      <c r="D6" s="315">
        <v>600000</v>
      </c>
      <c r="E6" s="120"/>
      <c r="F6" s="119" t="s">
        <v>215</v>
      </c>
      <c r="G6" s="316">
        <v>630000</v>
      </c>
      <c r="H6" s="69"/>
    </row>
    <row r="7" spans="1:8" ht="27" customHeight="1">
      <c r="A7" s="69"/>
      <c r="B7" s="118"/>
      <c r="C7" s="119" t="s">
        <v>164</v>
      </c>
      <c r="D7" s="315">
        <v>1650000</v>
      </c>
      <c r="E7" s="120"/>
      <c r="F7" s="119"/>
      <c r="G7" s="316"/>
      <c r="H7" s="69"/>
    </row>
    <row r="8" spans="1:8" ht="27" customHeight="1">
      <c r="A8" s="69"/>
      <c r="B8" s="118"/>
      <c r="C8" s="119" t="s">
        <v>165</v>
      </c>
      <c r="D8" s="315">
        <v>370000</v>
      </c>
      <c r="E8" s="120"/>
      <c r="F8" s="119"/>
      <c r="G8" s="316"/>
      <c r="H8" s="69"/>
    </row>
    <row r="9" spans="1:8" ht="27" customHeight="1">
      <c r="A9" s="69"/>
      <c r="B9" s="118"/>
      <c r="C9" s="119"/>
      <c r="D9" s="315"/>
      <c r="E9" s="120"/>
      <c r="F9" s="119"/>
      <c r="G9" s="316"/>
      <c r="H9" s="69"/>
    </row>
    <row r="10" spans="1:8" ht="27" customHeight="1">
      <c r="A10" s="69"/>
      <c r="B10" s="118"/>
      <c r="C10" s="119" t="s">
        <v>215</v>
      </c>
      <c r="D10" s="315">
        <v>3190000</v>
      </c>
      <c r="E10" s="120"/>
      <c r="F10" s="119"/>
      <c r="G10" s="316"/>
      <c r="H10" s="69"/>
    </row>
    <row r="11" spans="1:8" ht="27" customHeight="1">
      <c r="A11" s="69"/>
      <c r="B11" s="118"/>
      <c r="C11" s="119"/>
      <c r="D11" s="315"/>
      <c r="E11" s="120"/>
      <c r="F11" s="119"/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/>
      <c r="G13" s="316"/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173</v>
      </c>
      <c r="H3" s="128" t="s">
        <v>174</v>
      </c>
      <c r="I3" s="128" t="s">
        <v>175</v>
      </c>
      <c r="J3" s="128" t="s">
        <v>176</v>
      </c>
      <c r="K3" s="128" t="s">
        <v>177</v>
      </c>
      <c r="L3" s="128" t="s">
        <v>178</v>
      </c>
      <c r="M3" s="128" t="s">
        <v>179</v>
      </c>
      <c r="N3" s="129" t="s">
        <v>162</v>
      </c>
      <c r="O3" s="69"/>
    </row>
    <row r="4" spans="1:15" ht="30" customHeight="1">
      <c r="A4" s="69"/>
      <c r="B4" s="130" t="s">
        <v>161</v>
      </c>
      <c r="C4" s="131" t="s">
        <v>168</v>
      </c>
      <c r="D4" s="320">
        <v>1</v>
      </c>
      <c r="E4" s="321">
        <v>350000</v>
      </c>
      <c r="F4" s="322">
        <v>350000</v>
      </c>
      <c r="G4" s="323"/>
      <c r="H4" s="324"/>
      <c r="I4" s="324"/>
      <c r="J4" s="324"/>
      <c r="K4" s="324">
        <v>350000</v>
      </c>
      <c r="L4" s="324"/>
      <c r="M4" s="324"/>
      <c r="N4" s="325"/>
      <c r="O4" s="69"/>
    </row>
    <row r="5" spans="1:15" ht="30" customHeight="1">
      <c r="A5" s="69"/>
      <c r="B5" s="130" t="s">
        <v>162</v>
      </c>
      <c r="C5" s="131" t="s">
        <v>168</v>
      </c>
      <c r="D5" s="326">
        <v>1</v>
      </c>
      <c r="E5" s="321">
        <v>220000</v>
      </c>
      <c r="F5" s="322">
        <v>220000</v>
      </c>
      <c r="G5" s="323"/>
      <c r="H5" s="324"/>
      <c r="I5" s="324">
        <v>220000</v>
      </c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163</v>
      </c>
      <c r="C6" s="131" t="s">
        <v>168</v>
      </c>
      <c r="D6" s="326">
        <v>1</v>
      </c>
      <c r="E6" s="321">
        <v>600000</v>
      </c>
      <c r="F6" s="322">
        <v>600000</v>
      </c>
      <c r="G6" s="323"/>
      <c r="H6" s="324"/>
      <c r="I6" s="324">
        <v>600000</v>
      </c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164</v>
      </c>
      <c r="C7" s="131" t="s">
        <v>168</v>
      </c>
      <c r="D7" s="326">
        <v>1</v>
      </c>
      <c r="E7" s="321">
        <v>1650000</v>
      </c>
      <c r="F7" s="322">
        <v>1650000</v>
      </c>
      <c r="G7" s="323">
        <v>5000</v>
      </c>
      <c r="H7" s="324"/>
      <c r="I7" s="324">
        <v>1200000</v>
      </c>
      <c r="J7" s="324">
        <v>445000</v>
      </c>
      <c r="K7" s="324"/>
      <c r="L7" s="324"/>
      <c r="M7" s="324"/>
      <c r="N7" s="325"/>
      <c r="O7" s="69"/>
    </row>
    <row r="8" spans="1:15" ht="30" customHeight="1">
      <c r="A8" s="69"/>
      <c r="B8" s="130" t="s">
        <v>165</v>
      </c>
      <c r="C8" s="131" t="s">
        <v>168</v>
      </c>
      <c r="D8" s="326">
        <v>1</v>
      </c>
      <c r="E8" s="321">
        <v>370000</v>
      </c>
      <c r="F8" s="322">
        <v>370000</v>
      </c>
      <c r="G8" s="323">
        <v>9000</v>
      </c>
      <c r="H8" s="324">
        <v>126000</v>
      </c>
      <c r="I8" s="324">
        <v>220000</v>
      </c>
      <c r="J8" s="324"/>
      <c r="K8" s="324">
        <v>15000</v>
      </c>
      <c r="L8" s="324"/>
      <c r="M8" s="324"/>
      <c r="N8" s="325"/>
      <c r="O8" s="69"/>
    </row>
    <row r="9" spans="1:15" ht="30" customHeight="1">
      <c r="A9" s="69"/>
      <c r="B9" s="130"/>
      <c r="C9" s="131"/>
      <c r="D9" s="326"/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 t="s">
        <v>215</v>
      </c>
      <c r="C10" s="131"/>
      <c r="D10" s="326"/>
      <c r="E10" s="321"/>
      <c r="F10" s="322">
        <v>3190000</v>
      </c>
      <c r="G10" s="323">
        <v>14000</v>
      </c>
      <c r="H10" s="324">
        <v>126000</v>
      </c>
      <c r="I10" s="324">
        <v>2240000</v>
      </c>
      <c r="J10" s="324">
        <v>445000</v>
      </c>
      <c r="K10" s="324">
        <v>365000</v>
      </c>
      <c r="L10" s="324"/>
      <c r="M10" s="324"/>
      <c r="N10" s="325"/>
      <c r="O10" s="69"/>
    </row>
    <row r="11" spans="1:15" ht="30" customHeight="1">
      <c r="A11" s="69"/>
      <c r="B11" s="130"/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29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23-191 ★市道辻戸室線舗装補修工事(その2)</v>
      </c>
      <c r="G1" s="306"/>
      <c r="H1" s="190" t="s">
        <v>131</v>
      </c>
      <c r="I1" s="333">
        <v>20000000</v>
      </c>
      <c r="J1" s="339">
        <f>I4/I$1</f>
        <v>0.59393030000000002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374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217</v>
      </c>
      <c r="D4" s="340" t="s">
        <v>180</v>
      </c>
      <c r="E4" s="342"/>
      <c r="F4" s="345" t="s">
        <v>168</v>
      </c>
      <c r="G4" s="308">
        <v>1</v>
      </c>
      <c r="H4" s="309">
        <v>11878606</v>
      </c>
      <c r="I4" s="309">
        <v>11878606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375</v>
      </c>
      <c r="P4" s="347" t="s">
        <v>375</v>
      </c>
      <c r="Q4" s="347" t="s">
        <v>375</v>
      </c>
      <c r="R4" s="348" t="s">
        <v>375</v>
      </c>
      <c r="S4" s="349"/>
      <c r="T4" s="343" t="s">
        <v>376</v>
      </c>
      <c r="U4" s="343"/>
      <c r="V4" s="344"/>
      <c r="W4" s="346" t="s">
        <v>375</v>
      </c>
      <c r="X4" s="347" t="s">
        <v>375</v>
      </c>
      <c r="Y4" s="347" t="s">
        <v>375</v>
      </c>
      <c r="Z4" s="348" t="s">
        <v>375</v>
      </c>
      <c r="AA4" s="349"/>
      <c r="AB4" s="343" t="s">
        <v>376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218</v>
      </c>
      <c r="D5" s="340" t="s">
        <v>377</v>
      </c>
      <c r="E5" s="342"/>
      <c r="F5" s="345" t="s">
        <v>168</v>
      </c>
      <c r="G5" s="308">
        <v>1</v>
      </c>
      <c r="H5" s="309">
        <v>3190000</v>
      </c>
      <c r="I5" s="309">
        <v>3190000</v>
      </c>
      <c r="J5" s="211"/>
      <c r="K5" s="212" t="str">
        <f>IF(OR(J5="",G5=J5),"","*")</f>
        <v/>
      </c>
      <c r="L5" s="338">
        <f>IF($A5&lt;=L$1,I5/I$4,"")</f>
        <v>0.26855003019714602</v>
      </c>
      <c r="M5" s="343"/>
      <c r="N5" s="344"/>
      <c r="O5" s="346" t="s">
        <v>375</v>
      </c>
      <c r="P5" s="347" t="s">
        <v>375</v>
      </c>
      <c r="Q5" s="347" t="s">
        <v>375</v>
      </c>
      <c r="R5" s="348" t="s">
        <v>375</v>
      </c>
      <c r="S5" s="349"/>
      <c r="T5" s="343" t="s">
        <v>376</v>
      </c>
      <c r="U5" s="343"/>
      <c r="V5" s="344"/>
      <c r="W5" s="346" t="s">
        <v>375</v>
      </c>
      <c r="X5" s="347" t="s">
        <v>375</v>
      </c>
      <c r="Y5" s="347" t="s">
        <v>375</v>
      </c>
      <c r="Z5" s="348" t="s">
        <v>375</v>
      </c>
      <c r="AA5" s="349"/>
      <c r="AB5" s="343" t="s">
        <v>376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220</v>
      </c>
      <c r="D6" s="340" t="s">
        <v>378</v>
      </c>
      <c r="E6" s="342"/>
      <c r="F6" s="345" t="s">
        <v>168</v>
      </c>
      <c r="G6" s="308">
        <v>1</v>
      </c>
      <c r="H6" s="309">
        <v>350000</v>
      </c>
      <c r="I6" s="309">
        <v>350000</v>
      </c>
      <c r="J6" s="211">
        <v>1</v>
      </c>
      <c r="K6" s="212" t="str">
        <f>IF(OR(J6="",G6=J6),"","*")</f>
        <v/>
      </c>
      <c r="L6" s="338">
        <f>IF($A6&lt;=L$1,I6/I$4,"")</f>
        <v>2.9464736855486243E-2</v>
      </c>
      <c r="M6" s="343"/>
      <c r="N6" s="344" t="s">
        <v>379</v>
      </c>
      <c r="O6" s="346" t="s">
        <v>375</v>
      </c>
      <c r="P6" s="347" t="s">
        <v>375</v>
      </c>
      <c r="Q6" s="347" t="s">
        <v>375</v>
      </c>
      <c r="R6" s="348" t="s">
        <v>375</v>
      </c>
      <c r="S6" s="349"/>
      <c r="T6" s="343" t="s">
        <v>376</v>
      </c>
      <c r="U6" s="343"/>
      <c r="V6" s="344"/>
      <c r="W6" s="346" t="s">
        <v>375</v>
      </c>
      <c r="X6" s="347" t="s">
        <v>375</v>
      </c>
      <c r="Y6" s="347" t="s">
        <v>375</v>
      </c>
      <c r="Z6" s="348" t="s">
        <v>375</v>
      </c>
      <c r="AA6" s="349"/>
      <c r="AB6" s="343" t="s">
        <v>376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177</v>
      </c>
      <c r="D7" s="340" t="s">
        <v>380</v>
      </c>
      <c r="E7" s="342" t="s">
        <v>381</v>
      </c>
      <c r="F7" s="345" t="s">
        <v>382</v>
      </c>
      <c r="G7" s="308">
        <v>8</v>
      </c>
      <c r="H7" s="309">
        <v>10000</v>
      </c>
      <c r="I7" s="309">
        <v>80000</v>
      </c>
      <c r="J7" s="211"/>
      <c r="K7" s="212" t="str">
        <f>IF(OR(J7="",G7=J7),"","*")</f>
        <v/>
      </c>
      <c r="L7" s="338">
        <f>IF($A7&lt;=L$1,I7/I$4,"")</f>
        <v>6.7347969955397127E-3</v>
      </c>
      <c r="M7" s="343"/>
      <c r="N7" s="344"/>
      <c r="O7" s="346" t="s">
        <v>375</v>
      </c>
      <c r="P7" s="347" t="s">
        <v>375</v>
      </c>
      <c r="Q7" s="347" t="s">
        <v>375</v>
      </c>
      <c r="R7" s="348" t="s">
        <v>375</v>
      </c>
      <c r="S7" s="349"/>
      <c r="T7" s="343" t="s">
        <v>376</v>
      </c>
      <c r="U7" s="343"/>
      <c r="V7" s="344"/>
      <c r="W7" s="346" t="s">
        <v>375</v>
      </c>
      <c r="X7" s="347" t="s">
        <v>375</v>
      </c>
      <c r="Y7" s="347" t="s">
        <v>375</v>
      </c>
      <c r="Z7" s="348" t="s">
        <v>375</v>
      </c>
      <c r="AA7" s="349"/>
      <c r="AB7" s="343" t="s">
        <v>376</v>
      </c>
      <c r="AC7" s="343"/>
      <c r="AD7" s="344"/>
      <c r="AE7" s="342" t="s">
        <v>383</v>
      </c>
      <c r="AF7" s="341" t="s">
        <v>117</v>
      </c>
    </row>
    <row r="8" spans="1:32">
      <c r="A8" s="307">
        <v>3</v>
      </c>
      <c r="B8" s="342"/>
      <c r="C8" s="342" t="s">
        <v>177</v>
      </c>
      <c r="D8" s="340" t="s">
        <v>384</v>
      </c>
      <c r="E8" s="342" t="s">
        <v>385</v>
      </c>
      <c r="F8" s="345" t="s">
        <v>382</v>
      </c>
      <c r="G8" s="308">
        <v>4</v>
      </c>
      <c r="H8" s="309">
        <v>20000</v>
      </c>
      <c r="I8" s="309">
        <v>80000</v>
      </c>
      <c r="J8" s="211"/>
      <c r="K8" s="212" t="str">
        <f>IF(OR(J8="",G8=J8),"","*")</f>
        <v/>
      </c>
      <c r="L8" s="338">
        <f>IF($A8&lt;=L$1,I8/I$4,"")</f>
        <v>6.7347969955397127E-3</v>
      </c>
      <c r="M8" s="343"/>
      <c r="N8" s="344"/>
      <c r="O8" s="346" t="s">
        <v>375</v>
      </c>
      <c r="P8" s="347" t="s">
        <v>375</v>
      </c>
      <c r="Q8" s="347" t="s">
        <v>375</v>
      </c>
      <c r="R8" s="348" t="s">
        <v>375</v>
      </c>
      <c r="S8" s="349"/>
      <c r="T8" s="343" t="s">
        <v>376</v>
      </c>
      <c r="U8" s="343"/>
      <c r="V8" s="344"/>
      <c r="W8" s="346" t="s">
        <v>375</v>
      </c>
      <c r="X8" s="347" t="s">
        <v>375</v>
      </c>
      <c r="Y8" s="347" t="s">
        <v>375</v>
      </c>
      <c r="Z8" s="348" t="s">
        <v>375</v>
      </c>
      <c r="AA8" s="349"/>
      <c r="AB8" s="343" t="s">
        <v>376</v>
      </c>
      <c r="AC8" s="343"/>
      <c r="AD8" s="344"/>
      <c r="AE8" s="342" t="s">
        <v>386</v>
      </c>
      <c r="AF8" s="341" t="s">
        <v>117</v>
      </c>
    </row>
    <row r="9" spans="1:32">
      <c r="A9" s="307">
        <v>3</v>
      </c>
      <c r="B9" s="342"/>
      <c r="C9" s="342" t="s">
        <v>177</v>
      </c>
      <c r="D9" s="340" t="s">
        <v>387</v>
      </c>
      <c r="E9" s="342" t="s">
        <v>388</v>
      </c>
      <c r="F9" s="345" t="s">
        <v>382</v>
      </c>
      <c r="G9" s="308">
        <v>2</v>
      </c>
      <c r="H9" s="309">
        <v>35000</v>
      </c>
      <c r="I9" s="309">
        <v>70000</v>
      </c>
      <c r="J9" s="211"/>
      <c r="K9" s="212" t="str">
        <f>IF(OR(J9="",G9=J9),"","*")</f>
        <v/>
      </c>
      <c r="L9" s="338">
        <f>IF($A9&lt;=L$1,I9/I$4,"")</f>
        <v>5.8929473710972484E-3</v>
      </c>
      <c r="M9" s="343"/>
      <c r="N9" s="344"/>
      <c r="O9" s="346" t="s">
        <v>375</v>
      </c>
      <c r="P9" s="347" t="s">
        <v>375</v>
      </c>
      <c r="Q9" s="347" t="s">
        <v>375</v>
      </c>
      <c r="R9" s="348" t="s">
        <v>375</v>
      </c>
      <c r="S9" s="349"/>
      <c r="T9" s="343" t="s">
        <v>376</v>
      </c>
      <c r="U9" s="343"/>
      <c r="V9" s="344"/>
      <c r="W9" s="346" t="s">
        <v>375</v>
      </c>
      <c r="X9" s="347" t="s">
        <v>375</v>
      </c>
      <c r="Y9" s="347" t="s">
        <v>375</v>
      </c>
      <c r="Z9" s="348" t="s">
        <v>375</v>
      </c>
      <c r="AA9" s="349"/>
      <c r="AB9" s="343" t="s">
        <v>376</v>
      </c>
      <c r="AC9" s="343"/>
      <c r="AD9" s="344"/>
      <c r="AE9" s="342" t="s">
        <v>389</v>
      </c>
      <c r="AF9" s="341" t="s">
        <v>117</v>
      </c>
    </row>
    <row r="10" spans="1:32">
      <c r="A10" s="307">
        <v>3</v>
      </c>
      <c r="B10" s="342"/>
      <c r="C10" s="342" t="s">
        <v>177</v>
      </c>
      <c r="D10" s="340" t="s">
        <v>390</v>
      </c>
      <c r="E10" s="342"/>
      <c r="F10" s="345" t="s">
        <v>382</v>
      </c>
      <c r="G10" s="308">
        <v>2</v>
      </c>
      <c r="H10" s="309">
        <v>60000</v>
      </c>
      <c r="I10" s="309">
        <v>120000</v>
      </c>
      <c r="J10" s="211"/>
      <c r="K10" s="212" t="str">
        <f>IF(OR(J10="",G10=J10),"","*")</f>
        <v/>
      </c>
      <c r="L10" s="338">
        <f>IF($A10&lt;=L$1,I10/I$4,"")</f>
        <v>1.0102195493309568E-2</v>
      </c>
      <c r="M10" s="343"/>
      <c r="N10" s="344"/>
      <c r="O10" s="346" t="s">
        <v>375</v>
      </c>
      <c r="P10" s="347" t="s">
        <v>375</v>
      </c>
      <c r="Q10" s="347" t="s">
        <v>375</v>
      </c>
      <c r="R10" s="348" t="s">
        <v>375</v>
      </c>
      <c r="S10" s="349"/>
      <c r="T10" s="343" t="s">
        <v>376</v>
      </c>
      <c r="U10" s="343"/>
      <c r="V10" s="344"/>
      <c r="W10" s="346" t="s">
        <v>375</v>
      </c>
      <c r="X10" s="347" t="s">
        <v>375</v>
      </c>
      <c r="Y10" s="347" t="s">
        <v>375</v>
      </c>
      <c r="Z10" s="348" t="s">
        <v>375</v>
      </c>
      <c r="AA10" s="349"/>
      <c r="AB10" s="343" t="s">
        <v>376</v>
      </c>
      <c r="AC10" s="343"/>
      <c r="AD10" s="344"/>
      <c r="AE10" s="342" t="s">
        <v>391</v>
      </c>
      <c r="AF10" s="341" t="s">
        <v>117</v>
      </c>
    </row>
    <row r="11" spans="1:32">
      <c r="A11" s="307">
        <v>2</v>
      </c>
      <c r="B11" s="342"/>
      <c r="C11" s="342" t="s">
        <v>220</v>
      </c>
      <c r="D11" s="340" t="s">
        <v>392</v>
      </c>
      <c r="E11" s="342"/>
      <c r="F11" s="345" t="s">
        <v>168</v>
      </c>
      <c r="G11" s="308">
        <v>1</v>
      </c>
      <c r="H11" s="309">
        <v>220000</v>
      </c>
      <c r="I11" s="309">
        <v>220000</v>
      </c>
      <c r="J11" s="211">
        <v>1</v>
      </c>
      <c r="K11" s="212" t="str">
        <f>IF(OR(J11="",G11=J11),"","*")</f>
        <v/>
      </c>
      <c r="L11" s="338">
        <f>IF($A11&lt;=L$1,I11/I$4,"")</f>
        <v>1.8520691737734209E-2</v>
      </c>
      <c r="M11" s="343"/>
      <c r="N11" s="344" t="s">
        <v>393</v>
      </c>
      <c r="O11" s="346" t="s">
        <v>375</v>
      </c>
      <c r="P11" s="347" t="s">
        <v>375</v>
      </c>
      <c r="Q11" s="347" t="s">
        <v>375</v>
      </c>
      <c r="R11" s="348" t="s">
        <v>375</v>
      </c>
      <c r="S11" s="349"/>
      <c r="T11" s="343" t="s">
        <v>376</v>
      </c>
      <c r="U11" s="343"/>
      <c r="V11" s="344"/>
      <c r="W11" s="346" t="s">
        <v>375</v>
      </c>
      <c r="X11" s="347" t="s">
        <v>375</v>
      </c>
      <c r="Y11" s="347" t="s">
        <v>375</v>
      </c>
      <c r="Z11" s="348" t="s">
        <v>375</v>
      </c>
      <c r="AA11" s="349"/>
      <c r="AB11" s="343" t="s">
        <v>376</v>
      </c>
      <c r="AC11" s="343"/>
      <c r="AD11" s="344"/>
      <c r="AE11" s="342"/>
      <c r="AF11" s="341" t="s">
        <v>117</v>
      </c>
    </row>
    <row r="12" spans="1:32">
      <c r="A12" s="307">
        <v>3</v>
      </c>
      <c r="B12" s="342"/>
      <c r="C12" s="342" t="s">
        <v>175</v>
      </c>
      <c r="D12" s="340" t="s">
        <v>394</v>
      </c>
      <c r="E12" s="342" t="s">
        <v>395</v>
      </c>
      <c r="F12" s="345" t="s">
        <v>168</v>
      </c>
      <c r="G12" s="308">
        <v>1</v>
      </c>
      <c r="H12" s="309">
        <v>220000</v>
      </c>
      <c r="I12" s="309">
        <v>220000</v>
      </c>
      <c r="J12" s="211"/>
      <c r="K12" s="212" t="str">
        <f>IF(OR(J12="",G12=J12),"","*")</f>
        <v/>
      </c>
      <c r="L12" s="338">
        <f>IF($A12&lt;=L$1,I12/I$4,"")</f>
        <v>1.8520691737734209E-2</v>
      </c>
      <c r="M12" s="343"/>
      <c r="N12" s="344"/>
      <c r="O12" s="346" t="s">
        <v>375</v>
      </c>
      <c r="P12" s="347" t="s">
        <v>375</v>
      </c>
      <c r="Q12" s="347" t="s">
        <v>375</v>
      </c>
      <c r="R12" s="348" t="s">
        <v>375</v>
      </c>
      <c r="S12" s="349"/>
      <c r="T12" s="343" t="s">
        <v>376</v>
      </c>
      <c r="U12" s="343"/>
      <c r="V12" s="344"/>
      <c r="W12" s="346" t="s">
        <v>375</v>
      </c>
      <c r="X12" s="347" t="s">
        <v>375</v>
      </c>
      <c r="Y12" s="347" t="s">
        <v>375</v>
      </c>
      <c r="Z12" s="348" t="s">
        <v>375</v>
      </c>
      <c r="AA12" s="349"/>
      <c r="AB12" s="343" t="s">
        <v>376</v>
      </c>
      <c r="AC12" s="343"/>
      <c r="AD12" s="344"/>
      <c r="AE12" s="342" t="s">
        <v>396</v>
      </c>
      <c r="AF12" s="341" t="s">
        <v>117</v>
      </c>
    </row>
    <row r="13" spans="1:32">
      <c r="A13" s="307">
        <v>2</v>
      </c>
      <c r="B13" s="342"/>
      <c r="C13" s="342" t="s">
        <v>220</v>
      </c>
      <c r="D13" s="340" t="s">
        <v>397</v>
      </c>
      <c r="E13" s="342"/>
      <c r="F13" s="345" t="s">
        <v>168</v>
      </c>
      <c r="G13" s="308">
        <v>1</v>
      </c>
      <c r="H13" s="309">
        <v>600000</v>
      </c>
      <c r="I13" s="309">
        <v>600000</v>
      </c>
      <c r="J13" s="211">
        <v>1</v>
      </c>
      <c r="K13" s="212" t="str">
        <f>IF(OR(J13="",G13=J13),"","*")</f>
        <v/>
      </c>
      <c r="L13" s="338">
        <f>IF($A13&lt;=L$1,I13/I$4,"")</f>
        <v>5.0510977466547841E-2</v>
      </c>
      <c r="M13" s="343"/>
      <c r="N13" s="344" t="s">
        <v>398</v>
      </c>
      <c r="O13" s="346" t="s">
        <v>375</v>
      </c>
      <c r="P13" s="347" t="s">
        <v>375</v>
      </c>
      <c r="Q13" s="347" t="s">
        <v>375</v>
      </c>
      <c r="R13" s="348" t="s">
        <v>375</v>
      </c>
      <c r="S13" s="349"/>
      <c r="T13" s="343" t="s">
        <v>376</v>
      </c>
      <c r="U13" s="343"/>
      <c r="V13" s="344"/>
      <c r="W13" s="346" t="s">
        <v>375</v>
      </c>
      <c r="X13" s="347" t="s">
        <v>375</v>
      </c>
      <c r="Y13" s="347" t="s">
        <v>375</v>
      </c>
      <c r="Z13" s="348" t="s">
        <v>375</v>
      </c>
      <c r="AA13" s="349"/>
      <c r="AB13" s="343" t="s">
        <v>376</v>
      </c>
      <c r="AC13" s="343"/>
      <c r="AD13" s="344"/>
      <c r="AE13" s="342"/>
      <c r="AF13" s="341" t="s">
        <v>117</v>
      </c>
    </row>
    <row r="14" spans="1:32">
      <c r="A14" s="307">
        <v>3</v>
      </c>
      <c r="B14" s="342"/>
      <c r="C14" s="342" t="s">
        <v>175</v>
      </c>
      <c r="D14" s="340" t="s">
        <v>399</v>
      </c>
      <c r="E14" s="342"/>
      <c r="F14" s="345" t="s">
        <v>168</v>
      </c>
      <c r="G14" s="308">
        <v>1</v>
      </c>
      <c r="H14" s="309">
        <v>600000</v>
      </c>
      <c r="I14" s="309">
        <v>600000</v>
      </c>
      <c r="J14" s="211"/>
      <c r="K14" s="212" t="str">
        <f>IF(OR(J14="",G14=J14),"","*")</f>
        <v/>
      </c>
      <c r="L14" s="338">
        <f>IF($A14&lt;=L$1,I14/I$4,"")</f>
        <v>5.0510977466547841E-2</v>
      </c>
      <c r="M14" s="343"/>
      <c r="N14" s="344"/>
      <c r="O14" s="346" t="s">
        <v>375</v>
      </c>
      <c r="P14" s="347" t="s">
        <v>375</v>
      </c>
      <c r="Q14" s="347" t="s">
        <v>375</v>
      </c>
      <c r="R14" s="348" t="s">
        <v>375</v>
      </c>
      <c r="S14" s="349"/>
      <c r="T14" s="343" t="s">
        <v>376</v>
      </c>
      <c r="U14" s="343"/>
      <c r="V14" s="344"/>
      <c r="W14" s="346" t="s">
        <v>375</v>
      </c>
      <c r="X14" s="347" t="s">
        <v>375</v>
      </c>
      <c r="Y14" s="347" t="s">
        <v>375</v>
      </c>
      <c r="Z14" s="348" t="s">
        <v>375</v>
      </c>
      <c r="AA14" s="349"/>
      <c r="AB14" s="343" t="s">
        <v>376</v>
      </c>
      <c r="AC14" s="343"/>
      <c r="AD14" s="344"/>
      <c r="AE14" s="342" t="s">
        <v>400</v>
      </c>
      <c r="AF14" s="341" t="s">
        <v>117</v>
      </c>
    </row>
    <row r="15" spans="1:32">
      <c r="A15" s="307">
        <v>2</v>
      </c>
      <c r="B15" s="342"/>
      <c r="C15" s="342" t="s">
        <v>220</v>
      </c>
      <c r="D15" s="340" t="s">
        <v>401</v>
      </c>
      <c r="E15" s="342"/>
      <c r="F15" s="345" t="s">
        <v>168</v>
      </c>
      <c r="G15" s="308">
        <v>1</v>
      </c>
      <c r="H15" s="309">
        <v>1650000</v>
      </c>
      <c r="I15" s="309">
        <v>1650000</v>
      </c>
      <c r="J15" s="211">
        <v>1</v>
      </c>
      <c r="K15" s="212" t="str">
        <f>IF(OR(J15="",G15=J15),"","*")</f>
        <v/>
      </c>
      <c r="L15" s="338">
        <f>IF($A15&lt;=L$1,I15/I$4,"")</f>
        <v>0.13890518803300655</v>
      </c>
      <c r="M15" s="343"/>
      <c r="N15" s="344" t="s">
        <v>402</v>
      </c>
      <c r="O15" s="346" t="s">
        <v>375</v>
      </c>
      <c r="P15" s="347" t="s">
        <v>375</v>
      </c>
      <c r="Q15" s="347" t="s">
        <v>375</v>
      </c>
      <c r="R15" s="348" t="s">
        <v>375</v>
      </c>
      <c r="S15" s="349"/>
      <c r="T15" s="343" t="s">
        <v>376</v>
      </c>
      <c r="U15" s="343"/>
      <c r="V15" s="344"/>
      <c r="W15" s="346" t="s">
        <v>375</v>
      </c>
      <c r="X15" s="347" t="s">
        <v>375</v>
      </c>
      <c r="Y15" s="347" t="s">
        <v>375</v>
      </c>
      <c r="Z15" s="348" t="s">
        <v>375</v>
      </c>
      <c r="AA15" s="349"/>
      <c r="AB15" s="343" t="s">
        <v>376</v>
      </c>
      <c r="AC15" s="343"/>
      <c r="AD15" s="344"/>
      <c r="AE15" s="342"/>
      <c r="AF15" s="341" t="s">
        <v>117</v>
      </c>
    </row>
    <row r="16" spans="1:32">
      <c r="A16" s="307">
        <v>3</v>
      </c>
      <c r="B16" s="342"/>
      <c r="C16" s="342" t="s">
        <v>175</v>
      </c>
      <c r="D16" s="340" t="s">
        <v>403</v>
      </c>
      <c r="E16" s="342"/>
      <c r="F16" s="345" t="s">
        <v>227</v>
      </c>
      <c r="G16" s="308">
        <v>50</v>
      </c>
      <c r="H16" s="309">
        <v>24000</v>
      </c>
      <c r="I16" s="309">
        <v>1200000</v>
      </c>
      <c r="J16" s="211"/>
      <c r="K16" s="212" t="str">
        <f>IF(OR(J16="",G16=J16),"","*")</f>
        <v/>
      </c>
      <c r="L16" s="338">
        <f>IF($A16&lt;=L$1,I16/I$4,"")</f>
        <v>0.10102195493309568</v>
      </c>
      <c r="M16" s="343"/>
      <c r="N16" s="344"/>
      <c r="O16" s="346" t="s">
        <v>375</v>
      </c>
      <c r="P16" s="347" t="s">
        <v>375</v>
      </c>
      <c r="Q16" s="347" t="s">
        <v>375</v>
      </c>
      <c r="R16" s="348" t="s">
        <v>375</v>
      </c>
      <c r="S16" s="349"/>
      <c r="T16" s="343" t="s">
        <v>376</v>
      </c>
      <c r="U16" s="343"/>
      <c r="V16" s="344"/>
      <c r="W16" s="346" t="s">
        <v>375</v>
      </c>
      <c r="X16" s="347" t="s">
        <v>375</v>
      </c>
      <c r="Y16" s="347" t="s">
        <v>375</v>
      </c>
      <c r="Z16" s="348" t="s">
        <v>375</v>
      </c>
      <c r="AA16" s="349"/>
      <c r="AB16" s="343" t="s">
        <v>376</v>
      </c>
      <c r="AC16" s="343"/>
      <c r="AD16" s="344"/>
      <c r="AE16" s="342" t="s">
        <v>404</v>
      </c>
      <c r="AF16" s="341" t="s">
        <v>117</v>
      </c>
    </row>
    <row r="17" spans="1:32">
      <c r="A17" s="307">
        <v>3</v>
      </c>
      <c r="B17" s="342"/>
      <c r="C17" s="342" t="s">
        <v>176</v>
      </c>
      <c r="D17" s="340" t="s">
        <v>405</v>
      </c>
      <c r="E17" s="342"/>
      <c r="F17" s="345" t="s">
        <v>262</v>
      </c>
      <c r="G17" s="308">
        <v>30</v>
      </c>
      <c r="H17" s="309">
        <v>4500</v>
      </c>
      <c r="I17" s="309">
        <v>135000</v>
      </c>
      <c r="J17" s="211"/>
      <c r="K17" s="212" t="str">
        <f>IF(OR(J17="",G17=J17),"","*")</f>
        <v/>
      </c>
      <c r="L17" s="338">
        <f>IF($A17&lt;=L$1,I17/I$4,"")</f>
        <v>1.1364969929973264E-2</v>
      </c>
      <c r="M17" s="343"/>
      <c r="N17" s="344"/>
      <c r="O17" s="346" t="s">
        <v>375</v>
      </c>
      <c r="P17" s="347" t="s">
        <v>375</v>
      </c>
      <c r="Q17" s="347" t="s">
        <v>375</v>
      </c>
      <c r="R17" s="348" t="s">
        <v>375</v>
      </c>
      <c r="S17" s="349"/>
      <c r="T17" s="343" t="s">
        <v>376</v>
      </c>
      <c r="U17" s="343"/>
      <c r="V17" s="344"/>
      <c r="W17" s="346" t="s">
        <v>375</v>
      </c>
      <c r="X17" s="347" t="s">
        <v>375</v>
      </c>
      <c r="Y17" s="347" t="s">
        <v>375</v>
      </c>
      <c r="Z17" s="348" t="s">
        <v>375</v>
      </c>
      <c r="AA17" s="349"/>
      <c r="AB17" s="343" t="s">
        <v>376</v>
      </c>
      <c r="AC17" s="343"/>
      <c r="AD17" s="344"/>
      <c r="AE17" s="342" t="s">
        <v>406</v>
      </c>
      <c r="AF17" s="341" t="s">
        <v>117</v>
      </c>
    </row>
    <row r="18" spans="1:32">
      <c r="A18" s="307">
        <v>3</v>
      </c>
      <c r="B18" s="342"/>
      <c r="C18" s="342" t="s">
        <v>176</v>
      </c>
      <c r="D18" s="340" t="s">
        <v>407</v>
      </c>
      <c r="E18" s="342"/>
      <c r="F18" s="345" t="s">
        <v>168</v>
      </c>
      <c r="G18" s="308">
        <v>1</v>
      </c>
      <c r="H18" s="309">
        <v>250000</v>
      </c>
      <c r="I18" s="309">
        <v>250000</v>
      </c>
      <c r="J18" s="211"/>
      <c r="K18" s="212" t="str">
        <f>IF(OR(J18="",G18=J18),"","*")</f>
        <v/>
      </c>
      <c r="L18" s="338">
        <f>IF($A18&lt;=L$1,I18/I$4,"")</f>
        <v>2.1046240611061601E-2</v>
      </c>
      <c r="M18" s="343"/>
      <c r="N18" s="344"/>
      <c r="O18" s="346" t="s">
        <v>375</v>
      </c>
      <c r="P18" s="347" t="s">
        <v>375</v>
      </c>
      <c r="Q18" s="347" t="s">
        <v>375</v>
      </c>
      <c r="R18" s="348" t="s">
        <v>375</v>
      </c>
      <c r="S18" s="349"/>
      <c r="T18" s="343" t="s">
        <v>376</v>
      </c>
      <c r="U18" s="343"/>
      <c r="V18" s="344"/>
      <c r="W18" s="346" t="s">
        <v>375</v>
      </c>
      <c r="X18" s="347" t="s">
        <v>375</v>
      </c>
      <c r="Y18" s="347" t="s">
        <v>375</v>
      </c>
      <c r="Z18" s="348" t="s">
        <v>375</v>
      </c>
      <c r="AA18" s="349"/>
      <c r="AB18" s="343" t="s">
        <v>376</v>
      </c>
      <c r="AC18" s="343"/>
      <c r="AD18" s="344"/>
      <c r="AE18" s="342"/>
      <c r="AF18" s="341" t="s">
        <v>117</v>
      </c>
    </row>
    <row r="19" spans="1:32">
      <c r="A19" s="307">
        <v>3</v>
      </c>
      <c r="B19" s="342"/>
      <c r="C19" s="342" t="s">
        <v>173</v>
      </c>
      <c r="D19" s="340" t="s">
        <v>223</v>
      </c>
      <c r="E19" s="342"/>
      <c r="F19" s="345" t="s">
        <v>168</v>
      </c>
      <c r="G19" s="308">
        <v>1</v>
      </c>
      <c r="H19" s="309">
        <v>5000</v>
      </c>
      <c r="I19" s="309">
        <v>5000</v>
      </c>
      <c r="J19" s="211"/>
      <c r="K19" s="212" t="str">
        <f>IF(OR(J19="",G19=J19),"","*")</f>
        <v/>
      </c>
      <c r="L19" s="338">
        <f>IF($A19&lt;=L$1,I19/I$4,"")</f>
        <v>4.2092481222123204E-4</v>
      </c>
      <c r="M19" s="343"/>
      <c r="N19" s="344"/>
      <c r="O19" s="346" t="s">
        <v>375</v>
      </c>
      <c r="P19" s="347" t="s">
        <v>375</v>
      </c>
      <c r="Q19" s="347" t="s">
        <v>375</v>
      </c>
      <c r="R19" s="348" t="s">
        <v>375</v>
      </c>
      <c r="S19" s="349"/>
      <c r="T19" s="343" t="s">
        <v>376</v>
      </c>
      <c r="U19" s="343"/>
      <c r="V19" s="344"/>
      <c r="W19" s="346" t="s">
        <v>375</v>
      </c>
      <c r="X19" s="347" t="s">
        <v>375</v>
      </c>
      <c r="Y19" s="347" t="s">
        <v>375</v>
      </c>
      <c r="Z19" s="348" t="s">
        <v>375</v>
      </c>
      <c r="AA19" s="349"/>
      <c r="AB19" s="343" t="s">
        <v>376</v>
      </c>
      <c r="AC19" s="343"/>
      <c r="AD19" s="344"/>
      <c r="AE19" s="342" t="s">
        <v>224</v>
      </c>
      <c r="AF19" s="341" t="s">
        <v>117</v>
      </c>
    </row>
    <row r="20" spans="1:32">
      <c r="A20" s="307">
        <v>3</v>
      </c>
      <c r="B20" s="342"/>
      <c r="C20" s="342" t="s">
        <v>176</v>
      </c>
      <c r="D20" s="340" t="s">
        <v>408</v>
      </c>
      <c r="E20" s="342"/>
      <c r="F20" s="345" t="s">
        <v>262</v>
      </c>
      <c r="G20" s="308">
        <v>6</v>
      </c>
      <c r="H20" s="309">
        <v>10000</v>
      </c>
      <c r="I20" s="309">
        <v>60000</v>
      </c>
      <c r="J20" s="211"/>
      <c r="K20" s="212" t="str">
        <f>IF(OR(J20="",G20=J20),"","*")</f>
        <v/>
      </c>
      <c r="L20" s="338">
        <f>IF($A20&lt;=L$1,I20/I$4,"")</f>
        <v>5.0510977466547841E-3</v>
      </c>
      <c r="M20" s="343"/>
      <c r="N20" s="344"/>
      <c r="O20" s="346" t="s">
        <v>375</v>
      </c>
      <c r="P20" s="347" t="s">
        <v>375</v>
      </c>
      <c r="Q20" s="347" t="s">
        <v>375</v>
      </c>
      <c r="R20" s="348" t="s">
        <v>375</v>
      </c>
      <c r="S20" s="349"/>
      <c r="T20" s="343" t="s">
        <v>376</v>
      </c>
      <c r="U20" s="343"/>
      <c r="V20" s="344"/>
      <c r="W20" s="346" t="s">
        <v>375</v>
      </c>
      <c r="X20" s="347" t="s">
        <v>375</v>
      </c>
      <c r="Y20" s="347" t="s">
        <v>375</v>
      </c>
      <c r="Z20" s="348" t="s">
        <v>375</v>
      </c>
      <c r="AA20" s="349"/>
      <c r="AB20" s="343" t="s">
        <v>376</v>
      </c>
      <c r="AC20" s="343"/>
      <c r="AD20" s="344"/>
      <c r="AE20" s="342" t="s">
        <v>409</v>
      </c>
      <c r="AF20" s="341" t="s">
        <v>117</v>
      </c>
    </row>
    <row r="21" spans="1:32">
      <c r="A21" s="307">
        <v>2</v>
      </c>
      <c r="B21" s="342"/>
      <c r="C21" s="342" t="s">
        <v>220</v>
      </c>
      <c r="D21" s="340" t="s">
        <v>410</v>
      </c>
      <c r="E21" s="342"/>
      <c r="F21" s="345" t="s">
        <v>168</v>
      </c>
      <c r="G21" s="308">
        <v>1</v>
      </c>
      <c r="H21" s="309">
        <v>370000</v>
      </c>
      <c r="I21" s="309">
        <v>370000</v>
      </c>
      <c r="J21" s="211">
        <v>1</v>
      </c>
      <c r="K21" s="212" t="str">
        <f>IF(OR(J21="",G21=J21),"","*")</f>
        <v/>
      </c>
      <c r="L21" s="338">
        <f>IF($A21&lt;=L$1,I21/I$4,"")</f>
        <v>3.114843610437117E-2</v>
      </c>
      <c r="M21" s="343"/>
      <c r="N21" s="344" t="s">
        <v>411</v>
      </c>
      <c r="O21" s="346" t="s">
        <v>375</v>
      </c>
      <c r="P21" s="347" t="s">
        <v>375</v>
      </c>
      <c r="Q21" s="347" t="s">
        <v>375</v>
      </c>
      <c r="R21" s="348" t="s">
        <v>375</v>
      </c>
      <c r="S21" s="349"/>
      <c r="T21" s="343" t="s">
        <v>376</v>
      </c>
      <c r="U21" s="343"/>
      <c r="V21" s="344"/>
      <c r="W21" s="346" t="s">
        <v>375</v>
      </c>
      <c r="X21" s="347" t="s">
        <v>375</v>
      </c>
      <c r="Y21" s="347" t="s">
        <v>375</v>
      </c>
      <c r="Z21" s="348" t="s">
        <v>375</v>
      </c>
      <c r="AA21" s="349"/>
      <c r="AB21" s="343" t="s">
        <v>376</v>
      </c>
      <c r="AC21" s="343"/>
      <c r="AD21" s="344"/>
      <c r="AE21" s="342"/>
      <c r="AF21" s="341" t="s">
        <v>117</v>
      </c>
    </row>
    <row r="22" spans="1:32">
      <c r="A22" s="307">
        <v>3</v>
      </c>
      <c r="B22" s="342"/>
      <c r="C22" s="342" t="s">
        <v>174</v>
      </c>
      <c r="D22" s="340" t="s">
        <v>412</v>
      </c>
      <c r="E22" s="342"/>
      <c r="F22" s="345" t="s">
        <v>227</v>
      </c>
      <c r="G22" s="308">
        <v>6</v>
      </c>
      <c r="H22" s="309">
        <v>21000</v>
      </c>
      <c r="I22" s="309">
        <v>126000</v>
      </c>
      <c r="J22" s="211"/>
      <c r="K22" s="212" t="str">
        <f>IF(OR(J22="",G22=J22),"","*")</f>
        <v/>
      </c>
      <c r="L22" s="338">
        <f>IF($A22&lt;=L$1,I22/I$4,"")</f>
        <v>1.0607305267975048E-2</v>
      </c>
      <c r="M22" s="343"/>
      <c r="N22" s="344"/>
      <c r="O22" s="346" t="s">
        <v>375</v>
      </c>
      <c r="P22" s="347" t="s">
        <v>375</v>
      </c>
      <c r="Q22" s="347" t="s">
        <v>375</v>
      </c>
      <c r="R22" s="348" t="s">
        <v>375</v>
      </c>
      <c r="S22" s="349"/>
      <c r="T22" s="343" t="s">
        <v>376</v>
      </c>
      <c r="U22" s="343"/>
      <c r="V22" s="344"/>
      <c r="W22" s="346" t="s">
        <v>375</v>
      </c>
      <c r="X22" s="347" t="s">
        <v>375</v>
      </c>
      <c r="Y22" s="347" t="s">
        <v>375</v>
      </c>
      <c r="Z22" s="348" t="s">
        <v>375</v>
      </c>
      <c r="AA22" s="349"/>
      <c r="AB22" s="343" t="s">
        <v>376</v>
      </c>
      <c r="AC22" s="343"/>
      <c r="AD22" s="344"/>
      <c r="AE22" s="342" t="s">
        <v>413</v>
      </c>
      <c r="AF22" s="341" t="s">
        <v>117</v>
      </c>
    </row>
    <row r="23" spans="1:32">
      <c r="A23" s="307">
        <v>3</v>
      </c>
      <c r="B23" s="342"/>
      <c r="C23" s="342" t="s">
        <v>175</v>
      </c>
      <c r="D23" s="340" t="s">
        <v>414</v>
      </c>
      <c r="E23" s="342"/>
      <c r="F23" s="345" t="s">
        <v>168</v>
      </c>
      <c r="G23" s="308">
        <v>1</v>
      </c>
      <c r="H23" s="309">
        <v>40000</v>
      </c>
      <c r="I23" s="309">
        <v>40000</v>
      </c>
      <c r="J23" s="211"/>
      <c r="K23" s="212" t="str">
        <f>IF(OR(J23="",G23=J23),"","*")</f>
        <v/>
      </c>
      <c r="L23" s="338">
        <f>IF($A23&lt;=L$1,I23/I$4,"")</f>
        <v>3.3673984977698563E-3</v>
      </c>
      <c r="M23" s="343"/>
      <c r="N23" s="344"/>
      <c r="O23" s="346" t="s">
        <v>375</v>
      </c>
      <c r="P23" s="347" t="s">
        <v>375</v>
      </c>
      <c r="Q23" s="347" t="s">
        <v>375</v>
      </c>
      <c r="R23" s="348" t="s">
        <v>375</v>
      </c>
      <c r="S23" s="349"/>
      <c r="T23" s="343" t="s">
        <v>376</v>
      </c>
      <c r="U23" s="343"/>
      <c r="V23" s="344"/>
      <c r="W23" s="346" t="s">
        <v>375</v>
      </c>
      <c r="X23" s="347" t="s">
        <v>375</v>
      </c>
      <c r="Y23" s="347" t="s">
        <v>375</v>
      </c>
      <c r="Z23" s="348" t="s">
        <v>375</v>
      </c>
      <c r="AA23" s="349"/>
      <c r="AB23" s="343" t="s">
        <v>376</v>
      </c>
      <c r="AC23" s="343"/>
      <c r="AD23" s="344"/>
      <c r="AE23" s="342" t="s">
        <v>415</v>
      </c>
      <c r="AF23" s="341" t="s">
        <v>117</v>
      </c>
    </row>
    <row r="24" spans="1:32">
      <c r="A24" s="307">
        <v>3</v>
      </c>
      <c r="B24" s="342"/>
      <c r="C24" s="342" t="s">
        <v>175</v>
      </c>
      <c r="D24" s="340" t="s">
        <v>416</v>
      </c>
      <c r="E24" s="342"/>
      <c r="F24" s="345" t="s">
        <v>168</v>
      </c>
      <c r="G24" s="308">
        <v>1</v>
      </c>
      <c r="H24" s="309">
        <v>30000</v>
      </c>
      <c r="I24" s="309">
        <v>30000</v>
      </c>
      <c r="J24" s="211"/>
      <c r="K24" s="212" t="str">
        <f>IF(OR(J24="",G24=J24),"","*")</f>
        <v/>
      </c>
      <c r="L24" s="338">
        <f>IF($A24&lt;=L$1,I24/I$4,"")</f>
        <v>2.525548873327392E-3</v>
      </c>
      <c r="M24" s="343"/>
      <c r="N24" s="344"/>
      <c r="O24" s="346" t="s">
        <v>375</v>
      </c>
      <c r="P24" s="347" t="s">
        <v>375</v>
      </c>
      <c r="Q24" s="347" t="s">
        <v>375</v>
      </c>
      <c r="R24" s="348" t="s">
        <v>375</v>
      </c>
      <c r="S24" s="349"/>
      <c r="T24" s="343" t="s">
        <v>376</v>
      </c>
      <c r="U24" s="343"/>
      <c r="V24" s="344"/>
      <c r="W24" s="346" t="s">
        <v>375</v>
      </c>
      <c r="X24" s="347" t="s">
        <v>375</v>
      </c>
      <c r="Y24" s="347" t="s">
        <v>375</v>
      </c>
      <c r="Z24" s="348" t="s">
        <v>375</v>
      </c>
      <c r="AA24" s="349"/>
      <c r="AB24" s="343" t="s">
        <v>376</v>
      </c>
      <c r="AC24" s="343"/>
      <c r="AD24" s="344"/>
      <c r="AE24" s="342" t="s">
        <v>417</v>
      </c>
      <c r="AF24" s="341" t="s">
        <v>117</v>
      </c>
    </row>
    <row r="25" spans="1:32">
      <c r="A25" s="307">
        <v>3</v>
      </c>
      <c r="B25" s="342"/>
      <c r="C25" s="342" t="s">
        <v>175</v>
      </c>
      <c r="D25" s="340" t="s">
        <v>418</v>
      </c>
      <c r="E25" s="342"/>
      <c r="F25" s="345" t="s">
        <v>168</v>
      </c>
      <c r="G25" s="308">
        <v>1</v>
      </c>
      <c r="H25" s="309">
        <v>30000</v>
      </c>
      <c r="I25" s="309">
        <v>30000</v>
      </c>
      <c r="J25" s="211"/>
      <c r="K25" s="212" t="str">
        <f>IF(OR(J25="",G25=J25),"","*")</f>
        <v/>
      </c>
      <c r="L25" s="338">
        <f>IF($A25&lt;=L$1,I25/I$4,"")</f>
        <v>2.525548873327392E-3</v>
      </c>
      <c r="M25" s="343"/>
      <c r="N25" s="344"/>
      <c r="O25" s="346" t="s">
        <v>375</v>
      </c>
      <c r="P25" s="347" t="s">
        <v>375</v>
      </c>
      <c r="Q25" s="347" t="s">
        <v>375</v>
      </c>
      <c r="R25" s="348" t="s">
        <v>375</v>
      </c>
      <c r="S25" s="349"/>
      <c r="T25" s="343" t="s">
        <v>376</v>
      </c>
      <c r="U25" s="343"/>
      <c r="V25" s="344"/>
      <c r="W25" s="346" t="s">
        <v>375</v>
      </c>
      <c r="X25" s="347" t="s">
        <v>375</v>
      </c>
      <c r="Y25" s="347" t="s">
        <v>375</v>
      </c>
      <c r="Z25" s="348" t="s">
        <v>375</v>
      </c>
      <c r="AA25" s="349"/>
      <c r="AB25" s="343" t="s">
        <v>376</v>
      </c>
      <c r="AC25" s="343"/>
      <c r="AD25" s="344"/>
      <c r="AE25" s="342" t="s">
        <v>417</v>
      </c>
      <c r="AF25" s="341" t="s">
        <v>117</v>
      </c>
    </row>
    <row r="26" spans="1:32">
      <c r="A26" s="307">
        <v>3</v>
      </c>
      <c r="B26" s="342"/>
      <c r="C26" s="342" t="s">
        <v>177</v>
      </c>
      <c r="D26" s="340" t="s">
        <v>282</v>
      </c>
      <c r="E26" s="342"/>
      <c r="F26" s="345" t="s">
        <v>262</v>
      </c>
      <c r="G26" s="308">
        <v>3</v>
      </c>
      <c r="H26" s="309">
        <v>5000</v>
      </c>
      <c r="I26" s="309">
        <v>15000</v>
      </c>
      <c r="J26" s="211"/>
      <c r="K26" s="212" t="str">
        <f>IF(OR(J26="",G26=J26),"","*")</f>
        <v/>
      </c>
      <c r="L26" s="338">
        <f>IF($A26&lt;=L$1,I26/I$4,"")</f>
        <v>1.262774436663696E-3</v>
      </c>
      <c r="M26" s="343"/>
      <c r="N26" s="344"/>
      <c r="O26" s="346" t="s">
        <v>375</v>
      </c>
      <c r="P26" s="347" t="s">
        <v>375</v>
      </c>
      <c r="Q26" s="347" t="s">
        <v>375</v>
      </c>
      <c r="R26" s="348" t="s">
        <v>375</v>
      </c>
      <c r="S26" s="349"/>
      <c r="T26" s="343" t="s">
        <v>376</v>
      </c>
      <c r="U26" s="343"/>
      <c r="V26" s="344"/>
      <c r="W26" s="346" t="s">
        <v>375</v>
      </c>
      <c r="X26" s="347" t="s">
        <v>375</v>
      </c>
      <c r="Y26" s="347" t="s">
        <v>375</v>
      </c>
      <c r="Z26" s="348" t="s">
        <v>375</v>
      </c>
      <c r="AA26" s="349"/>
      <c r="AB26" s="343" t="s">
        <v>376</v>
      </c>
      <c r="AC26" s="343"/>
      <c r="AD26" s="344"/>
      <c r="AE26" s="342" t="s">
        <v>283</v>
      </c>
      <c r="AF26" s="341" t="s">
        <v>117</v>
      </c>
    </row>
    <row r="27" spans="1:32">
      <c r="A27" s="307">
        <v>3</v>
      </c>
      <c r="B27" s="342"/>
      <c r="C27" s="342" t="s">
        <v>175</v>
      </c>
      <c r="D27" s="340" t="s">
        <v>419</v>
      </c>
      <c r="E27" s="342"/>
      <c r="F27" s="345" t="s">
        <v>227</v>
      </c>
      <c r="G27" s="308">
        <v>6</v>
      </c>
      <c r="H27" s="309">
        <v>20000</v>
      </c>
      <c r="I27" s="309">
        <v>120000</v>
      </c>
      <c r="J27" s="211"/>
      <c r="K27" s="212" t="str">
        <f>IF(OR(J27="",G27=J27),"","*")</f>
        <v/>
      </c>
      <c r="L27" s="338">
        <f>IF($A27&lt;=L$1,I27/I$4,"")</f>
        <v>1.0102195493309568E-2</v>
      </c>
      <c r="M27" s="343"/>
      <c r="N27" s="344"/>
      <c r="O27" s="346" t="s">
        <v>375</v>
      </c>
      <c r="P27" s="347" t="s">
        <v>375</v>
      </c>
      <c r="Q27" s="347" t="s">
        <v>375</v>
      </c>
      <c r="R27" s="348" t="s">
        <v>375</v>
      </c>
      <c r="S27" s="349"/>
      <c r="T27" s="343" t="s">
        <v>376</v>
      </c>
      <c r="U27" s="343"/>
      <c r="V27" s="344"/>
      <c r="W27" s="346" t="s">
        <v>375</v>
      </c>
      <c r="X27" s="347" t="s">
        <v>375</v>
      </c>
      <c r="Y27" s="347" t="s">
        <v>375</v>
      </c>
      <c r="Z27" s="348" t="s">
        <v>375</v>
      </c>
      <c r="AA27" s="349"/>
      <c r="AB27" s="343" t="s">
        <v>376</v>
      </c>
      <c r="AC27" s="343"/>
      <c r="AD27" s="344"/>
      <c r="AE27" s="342" t="s">
        <v>420</v>
      </c>
      <c r="AF27" s="341" t="s">
        <v>117</v>
      </c>
    </row>
    <row r="28" spans="1:32">
      <c r="A28" s="307">
        <v>3</v>
      </c>
      <c r="B28" s="342"/>
      <c r="C28" s="342" t="s">
        <v>173</v>
      </c>
      <c r="D28" s="340" t="s">
        <v>223</v>
      </c>
      <c r="E28" s="342"/>
      <c r="F28" s="345" t="s">
        <v>168</v>
      </c>
      <c r="G28" s="308">
        <v>1</v>
      </c>
      <c r="H28" s="309">
        <v>9000</v>
      </c>
      <c r="I28" s="309">
        <v>9000</v>
      </c>
      <c r="J28" s="211"/>
      <c r="K28" s="212" t="str">
        <f>IF(OR(J28="",G28=J28),"","*")</f>
        <v/>
      </c>
      <c r="L28" s="338">
        <f>IF($A28&lt;=L$1,I28/I$4,"")</f>
        <v>7.5766466199821765E-4</v>
      </c>
      <c r="M28" s="343"/>
      <c r="N28" s="344"/>
      <c r="O28" s="346" t="s">
        <v>375</v>
      </c>
      <c r="P28" s="347" t="s">
        <v>375</v>
      </c>
      <c r="Q28" s="347" t="s">
        <v>375</v>
      </c>
      <c r="R28" s="348" t="s">
        <v>375</v>
      </c>
      <c r="S28" s="349"/>
      <c r="T28" s="343" t="s">
        <v>376</v>
      </c>
      <c r="U28" s="343"/>
      <c r="V28" s="344"/>
      <c r="W28" s="346" t="s">
        <v>375</v>
      </c>
      <c r="X28" s="347" t="s">
        <v>375</v>
      </c>
      <c r="Y28" s="347" t="s">
        <v>375</v>
      </c>
      <c r="Z28" s="348" t="s">
        <v>375</v>
      </c>
      <c r="AA28" s="349"/>
      <c r="AB28" s="343" t="s">
        <v>376</v>
      </c>
      <c r="AC28" s="343"/>
      <c r="AD28" s="344"/>
      <c r="AE28" s="342" t="s">
        <v>224</v>
      </c>
      <c r="AF28" s="341" t="s">
        <v>117</v>
      </c>
    </row>
    <row r="29" spans="1:32">
      <c r="A29" s="217"/>
      <c r="B29" s="217"/>
      <c r="C29" s="312"/>
      <c r="D29" s="217"/>
      <c r="E29" s="217"/>
      <c r="F29" s="218"/>
      <c r="G29" s="217"/>
      <c r="H29" s="217"/>
      <c r="I29" s="217"/>
      <c r="J29" s="217"/>
      <c r="K29" s="218"/>
      <c r="L29" s="217"/>
      <c r="M29" s="217"/>
      <c r="N29" s="217"/>
      <c r="O29" s="217"/>
      <c r="P29" s="217"/>
      <c r="Q29" s="217"/>
      <c r="R29" s="217"/>
      <c r="S29" s="218"/>
      <c r="T29" s="217"/>
      <c r="U29" s="217"/>
      <c r="V29" s="217"/>
      <c r="W29" s="217"/>
      <c r="X29" s="217"/>
      <c r="Y29" s="217"/>
      <c r="Z29" s="217"/>
      <c r="AA29" s="218"/>
      <c r="AB29" s="217"/>
      <c r="AC29" s="217"/>
      <c r="AD29" s="217"/>
      <c r="AE29" s="217"/>
      <c r="AF29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28 AF4:AF28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28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166</v>
      </c>
      <c r="C3" s="561"/>
      <c r="D3" s="563" t="s">
        <v>168</v>
      </c>
      <c r="E3" s="565">
        <v>1</v>
      </c>
      <c r="F3" s="521">
        <v>630000</v>
      </c>
      <c r="G3" s="557">
        <v>630000</v>
      </c>
      <c r="H3" s="138" t="s">
        <v>421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190</v>
      </c>
      <c r="I4" s="69"/>
    </row>
    <row r="5" spans="1:9" ht="15.75" customHeight="1">
      <c r="A5" s="69"/>
      <c r="B5" s="559"/>
      <c r="C5" s="561"/>
      <c r="D5" s="563"/>
      <c r="E5" s="565"/>
      <c r="F5" s="521"/>
      <c r="G5" s="557"/>
      <c r="H5" s="138"/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/>
      <c r="I6" s="69"/>
    </row>
    <row r="7" spans="1:9" ht="15.75" customHeight="1">
      <c r="A7" s="69"/>
      <c r="B7" s="559" t="s">
        <v>215</v>
      </c>
      <c r="C7" s="561"/>
      <c r="D7" s="563"/>
      <c r="E7" s="565"/>
      <c r="F7" s="521"/>
      <c r="G7" s="557">
        <v>630000</v>
      </c>
      <c r="H7" s="138"/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/>
      <c r="I8" s="69"/>
    </row>
    <row r="9" spans="1:9" ht="15.75" customHeight="1">
      <c r="A9" s="69"/>
      <c r="B9" s="559"/>
      <c r="C9" s="561"/>
      <c r="D9" s="563"/>
      <c r="E9" s="565"/>
      <c r="F9" s="521"/>
      <c r="G9" s="557"/>
      <c r="H9" s="138"/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/>
      <c r="I10" s="69"/>
    </row>
    <row r="11" spans="1:9" ht="15.75" customHeight="1">
      <c r="A11" s="69"/>
      <c r="B11" s="559"/>
      <c r="C11" s="561"/>
      <c r="D11" s="563"/>
      <c r="E11" s="565"/>
      <c r="F11" s="521"/>
      <c r="G11" s="557"/>
      <c r="H11" s="138"/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/>
      <c r="I12" s="69"/>
    </row>
    <row r="13" spans="1:9" ht="15.75" customHeight="1">
      <c r="A13" s="69"/>
      <c r="B13" s="559"/>
      <c r="C13" s="561"/>
      <c r="D13" s="563"/>
      <c r="E13" s="565"/>
      <c r="F13" s="521"/>
      <c r="G13" s="557"/>
      <c r="H13" s="138"/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/>
      <c r="I14" s="69"/>
    </row>
    <row r="15" spans="1:9" ht="15.75" customHeight="1">
      <c r="A15" s="69"/>
      <c r="B15" s="559"/>
      <c r="C15" s="561"/>
      <c r="D15" s="563"/>
      <c r="E15" s="565"/>
      <c r="F15" s="521"/>
      <c r="G15" s="557"/>
      <c r="H15" s="138"/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/>
      <c r="I16" s="69"/>
    </row>
    <row r="17" spans="1:9" ht="15.75" customHeight="1">
      <c r="A17" s="69"/>
      <c r="B17" s="559"/>
      <c r="C17" s="561"/>
      <c r="D17" s="563"/>
      <c r="E17" s="565"/>
      <c r="F17" s="521"/>
      <c r="G17" s="557"/>
      <c r="H17" s="138"/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/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/>
      <c r="C21" s="561"/>
      <c r="D21" s="563"/>
      <c r="E21" s="565"/>
      <c r="F21" s="521"/>
      <c r="G21" s="557"/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9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23-191 ★市道辻戸室線舗装補修工事(その2)</v>
      </c>
      <c r="G1" s="306"/>
      <c r="H1" s="190" t="s">
        <v>131</v>
      </c>
      <c r="I1" s="333">
        <v>20000000</v>
      </c>
      <c r="J1" s="339">
        <f>I4/I$1</f>
        <v>0.59393030000000002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374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217</v>
      </c>
      <c r="D4" s="340" t="s">
        <v>180</v>
      </c>
      <c r="E4" s="342"/>
      <c r="F4" s="345" t="s">
        <v>168</v>
      </c>
      <c r="G4" s="308">
        <v>1</v>
      </c>
      <c r="H4" s="309">
        <v>11878606</v>
      </c>
      <c r="I4" s="309">
        <v>11878606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375</v>
      </c>
      <c r="P4" s="347" t="s">
        <v>375</v>
      </c>
      <c r="Q4" s="347" t="s">
        <v>375</v>
      </c>
      <c r="R4" s="348" t="s">
        <v>375</v>
      </c>
      <c r="S4" s="349"/>
      <c r="T4" s="343" t="s">
        <v>376</v>
      </c>
      <c r="U4" s="343"/>
      <c r="V4" s="344"/>
      <c r="W4" s="346" t="s">
        <v>375</v>
      </c>
      <c r="X4" s="347" t="s">
        <v>375</v>
      </c>
      <c r="Y4" s="347" t="s">
        <v>375</v>
      </c>
      <c r="Z4" s="348" t="s">
        <v>375</v>
      </c>
      <c r="AA4" s="349"/>
      <c r="AB4" s="343" t="s">
        <v>376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218</v>
      </c>
      <c r="D5" s="340" t="s">
        <v>422</v>
      </c>
      <c r="E5" s="342"/>
      <c r="F5" s="345" t="s">
        <v>168</v>
      </c>
      <c r="G5" s="308">
        <v>1</v>
      </c>
      <c r="H5" s="309">
        <v>630000</v>
      </c>
      <c r="I5" s="309">
        <v>630000</v>
      </c>
      <c r="J5" s="211"/>
      <c r="K5" s="212" t="str">
        <f>IF(OR(J5="",G5=J5),"","*")</f>
        <v/>
      </c>
      <c r="L5" s="338">
        <f>IF($A5&lt;=L$1,I5/I$4,"")</f>
        <v>5.3036526339875233E-2</v>
      </c>
      <c r="M5" s="343"/>
      <c r="N5" s="344"/>
      <c r="O5" s="346" t="s">
        <v>375</v>
      </c>
      <c r="P5" s="347" t="s">
        <v>375</v>
      </c>
      <c r="Q5" s="347" t="s">
        <v>375</v>
      </c>
      <c r="R5" s="348" t="s">
        <v>375</v>
      </c>
      <c r="S5" s="349"/>
      <c r="T5" s="343" t="s">
        <v>376</v>
      </c>
      <c r="U5" s="343"/>
      <c r="V5" s="344"/>
      <c r="W5" s="346" t="s">
        <v>375</v>
      </c>
      <c r="X5" s="347" t="s">
        <v>375</v>
      </c>
      <c r="Y5" s="347" t="s">
        <v>375</v>
      </c>
      <c r="Z5" s="348" t="s">
        <v>375</v>
      </c>
      <c r="AA5" s="349"/>
      <c r="AB5" s="343" t="s">
        <v>376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220</v>
      </c>
      <c r="D6" s="340" t="s">
        <v>423</v>
      </c>
      <c r="E6" s="342"/>
      <c r="F6" s="345" t="s">
        <v>168</v>
      </c>
      <c r="G6" s="308">
        <v>1</v>
      </c>
      <c r="H6" s="309">
        <v>630000</v>
      </c>
      <c r="I6" s="309">
        <v>630000</v>
      </c>
      <c r="J6" s="211">
        <v>1</v>
      </c>
      <c r="K6" s="212" t="str">
        <f>IF(OR(J6="",G6=J6),"","*")</f>
        <v/>
      </c>
      <c r="L6" s="338">
        <f>IF($A6&lt;=L$1,I6/I$4,"")</f>
        <v>5.3036526339875233E-2</v>
      </c>
      <c r="M6" s="343"/>
      <c r="N6" s="344" t="s">
        <v>424</v>
      </c>
      <c r="O6" s="346" t="s">
        <v>375</v>
      </c>
      <c r="P6" s="347" t="s">
        <v>375</v>
      </c>
      <c r="Q6" s="347" t="s">
        <v>375</v>
      </c>
      <c r="R6" s="348" t="s">
        <v>375</v>
      </c>
      <c r="S6" s="349"/>
      <c r="T6" s="343" t="s">
        <v>376</v>
      </c>
      <c r="U6" s="343"/>
      <c r="V6" s="344"/>
      <c r="W6" s="346" t="s">
        <v>375</v>
      </c>
      <c r="X6" s="347" t="s">
        <v>375</v>
      </c>
      <c r="Y6" s="347" t="s">
        <v>375</v>
      </c>
      <c r="Z6" s="348" t="s">
        <v>375</v>
      </c>
      <c r="AA6" s="349"/>
      <c r="AB6" s="343" t="s">
        <v>376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179</v>
      </c>
      <c r="D7" s="340" t="s">
        <v>425</v>
      </c>
      <c r="E7" s="342"/>
      <c r="F7" s="345" t="s">
        <v>426</v>
      </c>
      <c r="G7" s="308">
        <v>12</v>
      </c>
      <c r="H7" s="309">
        <v>30500</v>
      </c>
      <c r="I7" s="309">
        <v>366000</v>
      </c>
      <c r="J7" s="211"/>
      <c r="K7" s="212" t="str">
        <f>IF(OR(J7="",G7=J7),"","*")</f>
        <v/>
      </c>
      <c r="L7" s="338">
        <f>IF($A7&lt;=L$1,I7/I$4,"")</f>
        <v>3.0811696254594186E-2</v>
      </c>
      <c r="M7" s="343"/>
      <c r="N7" s="344"/>
      <c r="O7" s="346" t="s">
        <v>375</v>
      </c>
      <c r="P7" s="347" t="s">
        <v>375</v>
      </c>
      <c r="Q7" s="347" t="s">
        <v>375</v>
      </c>
      <c r="R7" s="348" t="s">
        <v>375</v>
      </c>
      <c r="S7" s="349"/>
      <c r="T7" s="343" t="s">
        <v>376</v>
      </c>
      <c r="U7" s="343"/>
      <c r="V7" s="344"/>
      <c r="W7" s="346" t="s">
        <v>375</v>
      </c>
      <c r="X7" s="347" t="s">
        <v>375</v>
      </c>
      <c r="Y7" s="347" t="s">
        <v>375</v>
      </c>
      <c r="Z7" s="348" t="s">
        <v>375</v>
      </c>
      <c r="AA7" s="349"/>
      <c r="AB7" s="343" t="s">
        <v>376</v>
      </c>
      <c r="AC7" s="343"/>
      <c r="AD7" s="344"/>
      <c r="AE7" s="342" t="s">
        <v>427</v>
      </c>
      <c r="AF7" s="341" t="s">
        <v>117</v>
      </c>
    </row>
    <row r="8" spans="1:32">
      <c r="A8" s="307">
        <v>3</v>
      </c>
      <c r="B8" s="342"/>
      <c r="C8" s="342" t="s">
        <v>179</v>
      </c>
      <c r="D8" s="340" t="s">
        <v>428</v>
      </c>
      <c r="E8" s="342"/>
      <c r="F8" s="345" t="s">
        <v>426</v>
      </c>
      <c r="G8" s="308">
        <v>8</v>
      </c>
      <c r="H8" s="309">
        <v>33000</v>
      </c>
      <c r="I8" s="309">
        <v>264000</v>
      </c>
      <c r="J8" s="211"/>
      <c r="K8" s="212" t="str">
        <f>IF(OR(J8="",G8=J8),"","*")</f>
        <v/>
      </c>
      <c r="L8" s="338">
        <f>IF($A8&lt;=L$1,I8/I$4,"")</f>
        <v>2.2224830085281051E-2</v>
      </c>
      <c r="M8" s="343"/>
      <c r="N8" s="344"/>
      <c r="O8" s="346" t="s">
        <v>375</v>
      </c>
      <c r="P8" s="347" t="s">
        <v>375</v>
      </c>
      <c r="Q8" s="347" t="s">
        <v>375</v>
      </c>
      <c r="R8" s="348" t="s">
        <v>375</v>
      </c>
      <c r="S8" s="349"/>
      <c r="T8" s="343" t="s">
        <v>376</v>
      </c>
      <c r="U8" s="343"/>
      <c r="V8" s="344"/>
      <c r="W8" s="346" t="s">
        <v>375</v>
      </c>
      <c r="X8" s="347" t="s">
        <v>375</v>
      </c>
      <c r="Y8" s="347" t="s">
        <v>375</v>
      </c>
      <c r="Z8" s="348" t="s">
        <v>375</v>
      </c>
      <c r="AA8" s="349"/>
      <c r="AB8" s="343" t="s">
        <v>376</v>
      </c>
      <c r="AC8" s="343"/>
      <c r="AD8" s="344"/>
      <c r="AE8" s="342" t="s">
        <v>429</v>
      </c>
      <c r="AF8" s="341" t="s">
        <v>117</v>
      </c>
    </row>
    <row r="9" spans="1:32">
      <c r="A9" s="217"/>
      <c r="B9" s="217"/>
      <c r="C9" s="312"/>
      <c r="D9" s="217"/>
      <c r="E9" s="217"/>
      <c r="F9" s="218"/>
      <c r="G9" s="217"/>
      <c r="H9" s="217"/>
      <c r="I9" s="217"/>
      <c r="J9" s="217"/>
      <c r="K9" s="218"/>
      <c r="L9" s="217"/>
      <c r="M9" s="217"/>
      <c r="N9" s="217"/>
      <c r="O9" s="217"/>
      <c r="P9" s="217"/>
      <c r="Q9" s="217"/>
      <c r="R9" s="217"/>
      <c r="S9" s="218"/>
      <c r="T9" s="217"/>
      <c r="U9" s="217"/>
      <c r="V9" s="217"/>
      <c r="W9" s="217"/>
      <c r="X9" s="217"/>
      <c r="Y9" s="217"/>
      <c r="Z9" s="217"/>
      <c r="AA9" s="218"/>
      <c r="AB9" s="217"/>
      <c r="AC9" s="217"/>
      <c r="AD9" s="217"/>
      <c r="AE9" s="217"/>
      <c r="AF9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8 AF4:AF8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8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98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430</v>
      </c>
      <c r="C3" s="146" t="s">
        <v>431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432</v>
      </c>
      <c r="K4" s="69"/>
    </row>
    <row r="5" spans="1:11" ht="18" customHeight="1">
      <c r="A5" s="69"/>
      <c r="B5" s="574" t="s">
        <v>433</v>
      </c>
      <c r="C5" s="575"/>
      <c r="D5" s="153" t="s">
        <v>85</v>
      </c>
      <c r="E5" s="153" t="s">
        <v>434</v>
      </c>
      <c r="F5" s="153" t="s">
        <v>435</v>
      </c>
      <c r="G5" s="153" t="s">
        <v>436</v>
      </c>
      <c r="H5" s="154" t="s">
        <v>437</v>
      </c>
      <c r="I5" s="153" t="s">
        <v>438</v>
      </c>
      <c r="J5" s="155" t="s">
        <v>439</v>
      </c>
      <c r="K5" s="69"/>
    </row>
    <row r="6" spans="1:11" ht="10.5" customHeight="1">
      <c r="A6" s="69"/>
      <c r="B6" s="156" t="s">
        <v>440</v>
      </c>
      <c r="C6" s="157"/>
      <c r="D6" s="576" t="s">
        <v>441</v>
      </c>
      <c r="E6" s="578">
        <v>12</v>
      </c>
      <c r="F6" s="580">
        <v>800</v>
      </c>
      <c r="G6" s="582">
        <v>9600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442</v>
      </c>
      <c r="J7" s="161"/>
      <c r="K7" s="69" t="s">
        <v>96</v>
      </c>
    </row>
    <row r="8" spans="1:11" ht="10.5" customHeight="1">
      <c r="A8" s="69"/>
      <c r="B8" s="156" t="s">
        <v>443</v>
      </c>
      <c r="C8" s="157"/>
      <c r="D8" s="576" t="s">
        <v>444</v>
      </c>
      <c r="E8" s="578">
        <v>255</v>
      </c>
      <c r="F8" s="580">
        <v>2300</v>
      </c>
      <c r="G8" s="582">
        <v>586500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445</v>
      </c>
      <c r="C9" s="160"/>
      <c r="D9" s="577"/>
      <c r="E9" s="579"/>
      <c r="F9" s="581"/>
      <c r="G9" s="583"/>
      <c r="H9" s="356"/>
      <c r="I9" s="356" t="s">
        <v>442</v>
      </c>
      <c r="J9" s="162"/>
      <c r="K9" s="69" t="s">
        <v>96</v>
      </c>
    </row>
    <row r="10" spans="1:11" ht="10.5" customHeight="1">
      <c r="A10" s="69"/>
      <c r="B10" s="156" t="s">
        <v>443</v>
      </c>
      <c r="C10" s="157"/>
      <c r="D10" s="576" t="s">
        <v>444</v>
      </c>
      <c r="E10" s="578">
        <v>226</v>
      </c>
      <c r="F10" s="580">
        <v>3425</v>
      </c>
      <c r="G10" s="582">
        <v>774050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446</v>
      </c>
      <c r="C11" s="160"/>
      <c r="D11" s="577"/>
      <c r="E11" s="579"/>
      <c r="F11" s="581"/>
      <c r="G11" s="583"/>
      <c r="H11" s="356"/>
      <c r="I11" s="356" t="s">
        <v>442</v>
      </c>
      <c r="J11" s="161"/>
      <c r="K11" s="69" t="s">
        <v>96</v>
      </c>
    </row>
    <row r="12" spans="1:11" ht="10.5" customHeight="1">
      <c r="A12" s="69"/>
      <c r="B12" s="156" t="s">
        <v>447</v>
      </c>
      <c r="C12" s="157"/>
      <c r="D12" s="576" t="s">
        <v>441</v>
      </c>
      <c r="E12" s="584">
        <v>0.6</v>
      </c>
      <c r="F12" s="580">
        <v>214500</v>
      </c>
      <c r="G12" s="582">
        <v>128700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442</v>
      </c>
      <c r="J13" s="161"/>
      <c r="K13" s="69" t="s">
        <v>96</v>
      </c>
    </row>
    <row r="14" spans="1:11" ht="10.5" customHeight="1">
      <c r="A14" s="69"/>
      <c r="B14" s="156" t="s">
        <v>448</v>
      </c>
      <c r="C14" s="157"/>
      <c r="D14" s="576" t="s">
        <v>449</v>
      </c>
      <c r="E14" s="584">
        <v>3</v>
      </c>
      <c r="F14" s="580">
        <v>7300</v>
      </c>
      <c r="G14" s="582">
        <v>21900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442</v>
      </c>
      <c r="J15" s="161"/>
      <c r="K15" s="69" t="s">
        <v>96</v>
      </c>
    </row>
    <row r="16" spans="1:11" ht="10.5" customHeight="1">
      <c r="A16" s="69"/>
      <c r="B16" s="156" t="s">
        <v>450</v>
      </c>
      <c r="C16" s="157"/>
      <c r="D16" s="576" t="s">
        <v>451</v>
      </c>
      <c r="E16" s="584">
        <v>400</v>
      </c>
      <c r="F16" s="580">
        <v>150</v>
      </c>
      <c r="G16" s="582">
        <v>60000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442</v>
      </c>
      <c r="J17" s="161"/>
      <c r="K17" s="69" t="s">
        <v>96</v>
      </c>
    </row>
    <row r="18" spans="1:11" ht="10.5" customHeight="1">
      <c r="A18" s="69"/>
      <c r="B18" s="156" t="s">
        <v>452</v>
      </c>
      <c r="C18" s="157"/>
      <c r="D18" s="576" t="s">
        <v>441</v>
      </c>
      <c r="E18" s="584">
        <v>48</v>
      </c>
      <c r="F18" s="580">
        <v>8700</v>
      </c>
      <c r="G18" s="582">
        <v>417600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442</v>
      </c>
      <c r="J19" s="161"/>
      <c r="K19" s="69" t="s">
        <v>96</v>
      </c>
    </row>
    <row r="20" spans="1:11" ht="10.5" customHeight="1">
      <c r="A20" s="69"/>
      <c r="B20" s="156" t="s">
        <v>453</v>
      </c>
      <c r="C20" s="157"/>
      <c r="D20" s="576" t="s">
        <v>441</v>
      </c>
      <c r="E20" s="584">
        <v>72</v>
      </c>
      <c r="F20" s="580">
        <v>7900</v>
      </c>
      <c r="G20" s="582">
        <v>568800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442</v>
      </c>
      <c r="J21" s="161"/>
      <c r="K21" s="69" t="s">
        <v>96</v>
      </c>
    </row>
    <row r="22" spans="1:11" ht="10.5" customHeight="1">
      <c r="A22" s="69"/>
      <c r="B22" s="156" t="s">
        <v>453</v>
      </c>
      <c r="C22" s="157"/>
      <c r="D22" s="576" t="s">
        <v>441</v>
      </c>
      <c r="E22" s="584">
        <v>24</v>
      </c>
      <c r="F22" s="580">
        <v>9400</v>
      </c>
      <c r="G22" s="582">
        <v>225600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442</v>
      </c>
      <c r="J23" s="161"/>
      <c r="K23" s="69" t="s">
        <v>96</v>
      </c>
    </row>
    <row r="24" spans="1:11" ht="10.5" customHeight="1">
      <c r="A24" s="69"/>
      <c r="B24" s="156" t="s">
        <v>454</v>
      </c>
      <c r="C24" s="157"/>
      <c r="D24" s="576" t="s">
        <v>441</v>
      </c>
      <c r="E24" s="578">
        <v>9</v>
      </c>
      <c r="F24" s="580">
        <v>14000</v>
      </c>
      <c r="G24" s="582">
        <v>126000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455</v>
      </c>
      <c r="C25" s="160"/>
      <c r="D25" s="577"/>
      <c r="E25" s="579"/>
      <c r="F25" s="581"/>
      <c r="G25" s="583"/>
      <c r="H25" s="356"/>
      <c r="I25" s="356" t="s">
        <v>442</v>
      </c>
      <c r="J25" s="161"/>
      <c r="K25" s="69" t="s">
        <v>96</v>
      </c>
    </row>
    <row r="26" spans="1:11" ht="10.5" customHeight="1">
      <c r="A26" s="69"/>
      <c r="B26" s="156" t="s">
        <v>456</v>
      </c>
      <c r="C26" s="157"/>
      <c r="D26" s="576" t="s">
        <v>457</v>
      </c>
      <c r="E26" s="584">
        <v>1</v>
      </c>
      <c r="F26" s="580">
        <v>16000</v>
      </c>
      <c r="G26" s="582">
        <v>16000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442</v>
      </c>
      <c r="J27" s="161"/>
      <c r="K27" s="69" t="s">
        <v>96</v>
      </c>
    </row>
    <row r="28" spans="1:11" ht="10.5" customHeight="1">
      <c r="A28" s="69"/>
      <c r="B28" s="156" t="s">
        <v>456</v>
      </c>
      <c r="C28" s="157"/>
      <c r="D28" s="576" t="s">
        <v>457</v>
      </c>
      <c r="E28" s="584">
        <v>1</v>
      </c>
      <c r="F28" s="580">
        <v>14200</v>
      </c>
      <c r="G28" s="582">
        <v>14200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442</v>
      </c>
      <c r="J29" s="161"/>
      <c r="K29" s="69" t="s">
        <v>96</v>
      </c>
    </row>
    <row r="30" spans="1:11" ht="10.5" customHeight="1">
      <c r="A30" s="69"/>
      <c r="B30" s="156" t="s">
        <v>456</v>
      </c>
      <c r="C30" s="157"/>
      <c r="D30" s="576" t="s">
        <v>457</v>
      </c>
      <c r="E30" s="584">
        <v>1</v>
      </c>
      <c r="F30" s="580">
        <v>13135</v>
      </c>
      <c r="G30" s="582">
        <v>13135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442</v>
      </c>
      <c r="J31" s="161"/>
      <c r="K31" s="69" t="s">
        <v>96</v>
      </c>
    </row>
    <row r="32" spans="1:11" ht="10.5" customHeight="1">
      <c r="A32" s="69"/>
      <c r="B32" s="156" t="s">
        <v>456</v>
      </c>
      <c r="C32" s="157"/>
      <c r="D32" s="576" t="s">
        <v>457</v>
      </c>
      <c r="E32" s="584">
        <v>1</v>
      </c>
      <c r="F32" s="580">
        <v>11650</v>
      </c>
      <c r="G32" s="582">
        <v>11650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442</v>
      </c>
      <c r="J33" s="161"/>
      <c r="K33" s="69" t="s">
        <v>96</v>
      </c>
    </row>
    <row r="34" spans="1:11" ht="10.5" customHeight="1">
      <c r="A34" s="69"/>
      <c r="B34" s="156" t="s">
        <v>456</v>
      </c>
      <c r="C34" s="157"/>
      <c r="D34" s="576" t="s">
        <v>457</v>
      </c>
      <c r="E34" s="584">
        <v>1</v>
      </c>
      <c r="F34" s="580">
        <v>9000</v>
      </c>
      <c r="G34" s="582">
        <v>9000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442</v>
      </c>
      <c r="J35" s="161"/>
      <c r="K35" s="69" t="s">
        <v>96</v>
      </c>
    </row>
    <row r="36" spans="1:11" ht="10.5" customHeight="1">
      <c r="A36" s="69"/>
      <c r="B36" s="156" t="s">
        <v>456</v>
      </c>
      <c r="C36" s="157"/>
      <c r="D36" s="576" t="s">
        <v>457</v>
      </c>
      <c r="E36" s="584">
        <v>1</v>
      </c>
      <c r="F36" s="580">
        <v>8765</v>
      </c>
      <c r="G36" s="582">
        <v>8765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442</v>
      </c>
      <c r="J37" s="161"/>
      <c r="K37" s="69" t="s">
        <v>96</v>
      </c>
    </row>
    <row r="38" spans="1:11" ht="10.5" customHeight="1">
      <c r="A38" s="69"/>
      <c r="B38" s="156" t="s">
        <v>456</v>
      </c>
      <c r="C38" s="157"/>
      <c r="D38" s="576" t="s">
        <v>457</v>
      </c>
      <c r="E38" s="584">
        <v>1</v>
      </c>
      <c r="F38" s="580">
        <v>5710</v>
      </c>
      <c r="G38" s="582">
        <v>5710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442</v>
      </c>
      <c r="J39" s="161"/>
      <c r="K39" s="69" t="s">
        <v>96</v>
      </c>
    </row>
    <row r="40" spans="1:11" ht="10.5" customHeight="1">
      <c r="A40" s="69"/>
      <c r="B40" s="156" t="s">
        <v>456</v>
      </c>
      <c r="C40" s="157"/>
      <c r="D40" s="576" t="s">
        <v>457</v>
      </c>
      <c r="E40" s="584">
        <v>1</v>
      </c>
      <c r="F40" s="580">
        <v>5000</v>
      </c>
      <c r="G40" s="582">
        <v>5000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442</v>
      </c>
      <c r="J41" s="161"/>
      <c r="K41" s="69" t="s">
        <v>96</v>
      </c>
    </row>
    <row r="42" spans="1:11" ht="10.5" customHeight="1">
      <c r="A42" s="69"/>
      <c r="B42" s="156" t="s">
        <v>456</v>
      </c>
      <c r="C42" s="157"/>
      <c r="D42" s="576" t="s">
        <v>457</v>
      </c>
      <c r="E42" s="584">
        <v>1</v>
      </c>
      <c r="F42" s="580">
        <v>56950</v>
      </c>
      <c r="G42" s="582">
        <v>56950</v>
      </c>
      <c r="H42" s="355"/>
      <c r="I42" s="355"/>
      <c r="J42" s="158"/>
      <c r="K42" s="69" t="s">
        <v>96</v>
      </c>
    </row>
    <row r="43" spans="1:11" ht="10.5" customHeight="1">
      <c r="A43" s="69"/>
      <c r="B43" s="159" t="s">
        <v>458</v>
      </c>
      <c r="C43" s="160"/>
      <c r="D43" s="577"/>
      <c r="E43" s="585"/>
      <c r="F43" s="581"/>
      <c r="G43" s="583"/>
      <c r="H43" s="356"/>
      <c r="I43" s="356" t="s">
        <v>442</v>
      </c>
      <c r="J43" s="161"/>
      <c r="K43" s="69" t="s">
        <v>96</v>
      </c>
    </row>
    <row r="44" spans="1:11" ht="10.5" customHeight="1">
      <c r="A44" s="69"/>
      <c r="B44" s="156" t="s">
        <v>456</v>
      </c>
      <c r="C44" s="157"/>
      <c r="D44" s="576" t="s">
        <v>457</v>
      </c>
      <c r="E44" s="584">
        <v>1</v>
      </c>
      <c r="F44" s="580">
        <v>54500</v>
      </c>
      <c r="G44" s="582">
        <v>54500</v>
      </c>
      <c r="H44" s="355"/>
      <c r="I44" s="355"/>
      <c r="J44" s="158"/>
      <c r="K44" s="69" t="s">
        <v>96</v>
      </c>
    </row>
    <row r="45" spans="1:11" ht="10.5" customHeight="1">
      <c r="A45" s="69"/>
      <c r="B45" s="159" t="s">
        <v>458</v>
      </c>
      <c r="C45" s="160"/>
      <c r="D45" s="577"/>
      <c r="E45" s="585"/>
      <c r="F45" s="581"/>
      <c r="G45" s="583"/>
      <c r="H45" s="356"/>
      <c r="I45" s="356" t="s">
        <v>442</v>
      </c>
      <c r="J45" s="161"/>
      <c r="K45" s="69" t="s">
        <v>96</v>
      </c>
    </row>
    <row r="46" spans="1:11" ht="10.5" customHeight="1">
      <c r="A46" s="69"/>
      <c r="B46" s="156" t="s">
        <v>459</v>
      </c>
      <c r="C46" s="157"/>
      <c r="D46" s="586" t="s">
        <v>441</v>
      </c>
      <c r="E46" s="588">
        <v>0.22</v>
      </c>
      <c r="F46" s="590">
        <v>105000</v>
      </c>
      <c r="G46" s="592">
        <v>23100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442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460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430</v>
      </c>
      <c r="C52" s="146" t="s">
        <v>431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432</v>
      </c>
      <c r="K53" s="69"/>
    </row>
    <row r="54" spans="1:11" ht="18" customHeight="1">
      <c r="A54" s="69"/>
      <c r="B54" s="574" t="s">
        <v>433</v>
      </c>
      <c r="C54" s="575"/>
      <c r="D54" s="153" t="s">
        <v>85</v>
      </c>
      <c r="E54" s="153" t="s">
        <v>434</v>
      </c>
      <c r="F54" s="153" t="s">
        <v>435</v>
      </c>
      <c r="G54" s="153" t="s">
        <v>436</v>
      </c>
      <c r="H54" s="154" t="s">
        <v>437</v>
      </c>
      <c r="I54" s="153" t="s">
        <v>438</v>
      </c>
      <c r="J54" s="155" t="s">
        <v>439</v>
      </c>
      <c r="K54" s="69"/>
    </row>
    <row r="55" spans="1:11" ht="10.5" customHeight="1">
      <c r="A55" s="69"/>
      <c r="B55" s="156" t="s">
        <v>461</v>
      </c>
      <c r="C55" s="157"/>
      <c r="D55" s="576" t="s">
        <v>441</v>
      </c>
      <c r="E55" s="578">
        <v>86</v>
      </c>
      <c r="F55" s="580">
        <v>12500</v>
      </c>
      <c r="G55" s="582">
        <v>1075000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442</v>
      </c>
      <c r="J56" s="161"/>
      <c r="K56" s="69" t="s">
        <v>96</v>
      </c>
    </row>
    <row r="57" spans="1:11" ht="10.5" customHeight="1">
      <c r="A57" s="69"/>
      <c r="B57" s="156"/>
      <c r="C57" s="157"/>
      <c r="D57" s="576"/>
      <c r="E57" s="578"/>
      <c r="F57" s="580"/>
      <c r="G57" s="582"/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/>
      <c r="J58" s="162"/>
      <c r="K58" s="69" t="s">
        <v>96</v>
      </c>
    </row>
    <row r="59" spans="1:11" ht="10.5" customHeight="1">
      <c r="A59" s="69"/>
      <c r="B59" s="156" t="s">
        <v>462</v>
      </c>
      <c r="C59" s="157"/>
      <c r="D59" s="576"/>
      <c r="E59" s="578"/>
      <c r="F59" s="580"/>
      <c r="G59" s="582">
        <v>4211760</v>
      </c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/>
      <c r="J60" s="161"/>
      <c r="K60" s="69" t="s">
        <v>96</v>
      </c>
    </row>
    <row r="61" spans="1:11" ht="10.5" customHeight="1">
      <c r="A61" s="69"/>
      <c r="B61" s="156"/>
      <c r="C61" s="157"/>
      <c r="D61" s="576"/>
      <c r="E61" s="584"/>
      <c r="F61" s="580"/>
      <c r="G61" s="582"/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/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430</v>
      </c>
      <c r="C3" s="146" t="s">
        <v>431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432</v>
      </c>
      <c r="K4" s="69"/>
    </row>
    <row r="5" spans="1:11" ht="18" customHeight="1">
      <c r="A5" s="69"/>
      <c r="B5" s="574" t="s">
        <v>433</v>
      </c>
      <c r="C5" s="575"/>
      <c r="D5" s="153" t="s">
        <v>85</v>
      </c>
      <c r="E5" s="153" t="s">
        <v>434</v>
      </c>
      <c r="F5" s="153" t="s">
        <v>435</v>
      </c>
      <c r="G5" s="153" t="s">
        <v>436</v>
      </c>
      <c r="H5" s="154" t="s">
        <v>437</v>
      </c>
      <c r="I5" s="153" t="s">
        <v>438</v>
      </c>
      <c r="J5" s="155" t="s">
        <v>439</v>
      </c>
      <c r="K5" s="69"/>
    </row>
    <row r="6" spans="1:11" ht="10.5" customHeight="1">
      <c r="A6" s="69"/>
      <c r="B6" s="156" t="s">
        <v>463</v>
      </c>
      <c r="C6" s="157"/>
      <c r="D6" s="576" t="s">
        <v>464</v>
      </c>
      <c r="E6" s="578">
        <v>6</v>
      </c>
      <c r="F6" s="580">
        <v>21000</v>
      </c>
      <c r="G6" s="582">
        <v>126000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465</v>
      </c>
      <c r="J7" s="161"/>
      <c r="K7" s="69" t="s">
        <v>96</v>
      </c>
    </row>
    <row r="8" spans="1:11" ht="10.5" customHeight="1">
      <c r="A8" s="69"/>
      <c r="B8" s="156" t="s">
        <v>466</v>
      </c>
      <c r="C8" s="157"/>
      <c r="D8" s="576" t="s">
        <v>464</v>
      </c>
      <c r="E8" s="578">
        <v>56</v>
      </c>
      <c r="F8" s="580">
        <v>26000</v>
      </c>
      <c r="G8" s="582">
        <v>1456000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467</v>
      </c>
      <c r="C9" s="160"/>
      <c r="D9" s="577"/>
      <c r="E9" s="579"/>
      <c r="F9" s="581"/>
      <c r="G9" s="583"/>
      <c r="H9" s="356"/>
      <c r="I9" s="356" t="s">
        <v>465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462</v>
      </c>
      <c r="C12" s="157"/>
      <c r="D12" s="576"/>
      <c r="E12" s="584"/>
      <c r="F12" s="580"/>
      <c r="G12" s="582">
        <v>1582000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430</v>
      </c>
      <c r="C3" s="146" t="s">
        <v>431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432</v>
      </c>
      <c r="K4" s="69"/>
    </row>
    <row r="5" spans="1:11" ht="18" customHeight="1">
      <c r="A5" s="69"/>
      <c r="B5" s="574" t="s">
        <v>433</v>
      </c>
      <c r="C5" s="575"/>
      <c r="D5" s="153" t="s">
        <v>85</v>
      </c>
      <c r="E5" s="153" t="s">
        <v>434</v>
      </c>
      <c r="F5" s="153" t="s">
        <v>435</v>
      </c>
      <c r="G5" s="153" t="s">
        <v>436</v>
      </c>
      <c r="H5" s="154" t="s">
        <v>437</v>
      </c>
      <c r="I5" s="153" t="s">
        <v>438</v>
      </c>
      <c r="J5" s="155" t="s">
        <v>439</v>
      </c>
      <c r="K5" s="69"/>
    </row>
    <row r="6" spans="1:11" ht="10.5" customHeight="1">
      <c r="A6" s="69"/>
      <c r="B6" s="156" t="s">
        <v>468</v>
      </c>
      <c r="C6" s="157"/>
      <c r="D6" s="576" t="s">
        <v>457</v>
      </c>
      <c r="E6" s="578">
        <v>1</v>
      </c>
      <c r="F6" s="580">
        <v>40000</v>
      </c>
      <c r="G6" s="582">
        <v>40000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469</v>
      </c>
      <c r="J7" s="161"/>
      <c r="K7" s="69" t="s">
        <v>96</v>
      </c>
    </row>
    <row r="8" spans="1:11" ht="10.5" customHeight="1">
      <c r="A8" s="69"/>
      <c r="B8" s="156" t="s">
        <v>470</v>
      </c>
      <c r="C8" s="157"/>
      <c r="D8" s="576" t="s">
        <v>457</v>
      </c>
      <c r="E8" s="578">
        <v>1</v>
      </c>
      <c r="F8" s="580">
        <v>30000</v>
      </c>
      <c r="G8" s="582">
        <v>30000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469</v>
      </c>
      <c r="J9" s="162"/>
      <c r="K9" s="69" t="s">
        <v>96</v>
      </c>
    </row>
    <row r="10" spans="1:11" ht="10.5" customHeight="1">
      <c r="A10" s="69"/>
      <c r="B10" s="156" t="s">
        <v>471</v>
      </c>
      <c r="C10" s="157"/>
      <c r="D10" s="576" t="s">
        <v>457</v>
      </c>
      <c r="E10" s="578">
        <v>1</v>
      </c>
      <c r="F10" s="580">
        <v>10000</v>
      </c>
      <c r="G10" s="582">
        <v>10000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469</v>
      </c>
      <c r="J11" s="161"/>
      <c r="K11" s="69" t="s">
        <v>96</v>
      </c>
    </row>
    <row r="12" spans="1:11" ht="10.5" customHeight="1">
      <c r="A12" s="69"/>
      <c r="B12" s="156" t="s">
        <v>472</v>
      </c>
      <c r="C12" s="157"/>
      <c r="D12" s="576" t="s">
        <v>457</v>
      </c>
      <c r="E12" s="584">
        <v>1</v>
      </c>
      <c r="F12" s="580">
        <v>12000</v>
      </c>
      <c r="G12" s="582">
        <v>12000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473</v>
      </c>
      <c r="C13" s="160"/>
      <c r="D13" s="577"/>
      <c r="E13" s="585"/>
      <c r="F13" s="581"/>
      <c r="G13" s="583"/>
      <c r="H13" s="356"/>
      <c r="I13" s="356" t="s">
        <v>469</v>
      </c>
      <c r="J13" s="161"/>
      <c r="K13" s="69" t="s">
        <v>96</v>
      </c>
    </row>
    <row r="14" spans="1:11" ht="10.5" customHeight="1">
      <c r="A14" s="69"/>
      <c r="B14" s="156" t="s">
        <v>474</v>
      </c>
      <c r="C14" s="157"/>
      <c r="D14" s="576" t="s">
        <v>457</v>
      </c>
      <c r="E14" s="584">
        <v>1</v>
      </c>
      <c r="F14" s="580">
        <v>600000</v>
      </c>
      <c r="G14" s="582">
        <v>600000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469</v>
      </c>
      <c r="J15" s="161"/>
      <c r="K15" s="69" t="s">
        <v>96</v>
      </c>
    </row>
    <row r="16" spans="1:11" ht="10.5" customHeight="1">
      <c r="A16" s="69"/>
      <c r="B16" s="156" t="s">
        <v>475</v>
      </c>
      <c r="C16" s="157"/>
      <c r="D16" s="576" t="s">
        <v>476</v>
      </c>
      <c r="E16" s="584">
        <v>320</v>
      </c>
      <c r="F16" s="580">
        <v>350</v>
      </c>
      <c r="G16" s="582">
        <v>112000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477</v>
      </c>
      <c r="C17" s="160"/>
      <c r="D17" s="577"/>
      <c r="E17" s="585"/>
      <c r="F17" s="581"/>
      <c r="G17" s="583"/>
      <c r="H17" s="356"/>
      <c r="I17" s="356" t="s">
        <v>469</v>
      </c>
      <c r="J17" s="161"/>
      <c r="K17" s="69" t="s">
        <v>96</v>
      </c>
    </row>
    <row r="18" spans="1:11" ht="10.5" customHeight="1">
      <c r="A18" s="69"/>
      <c r="B18" s="156" t="s">
        <v>475</v>
      </c>
      <c r="C18" s="157"/>
      <c r="D18" s="576" t="s">
        <v>476</v>
      </c>
      <c r="E18" s="584">
        <v>7</v>
      </c>
      <c r="F18" s="580">
        <v>730</v>
      </c>
      <c r="G18" s="582">
        <v>5110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478</v>
      </c>
      <c r="C19" s="160"/>
      <c r="D19" s="577"/>
      <c r="E19" s="585"/>
      <c r="F19" s="581"/>
      <c r="G19" s="583"/>
      <c r="H19" s="356"/>
      <c r="I19" s="356" t="s">
        <v>469</v>
      </c>
      <c r="J19" s="161"/>
      <c r="K19" s="69" t="s">
        <v>96</v>
      </c>
    </row>
    <row r="20" spans="1:11" ht="10.5" customHeight="1">
      <c r="A20" s="69"/>
      <c r="B20" s="156" t="s">
        <v>479</v>
      </c>
      <c r="C20" s="157"/>
      <c r="D20" s="576" t="s">
        <v>476</v>
      </c>
      <c r="E20" s="584">
        <v>6</v>
      </c>
      <c r="F20" s="580">
        <v>390</v>
      </c>
      <c r="G20" s="582">
        <v>2340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477</v>
      </c>
      <c r="C21" s="160"/>
      <c r="D21" s="577"/>
      <c r="E21" s="585"/>
      <c r="F21" s="581"/>
      <c r="G21" s="583"/>
      <c r="H21" s="356"/>
      <c r="I21" s="356" t="s">
        <v>469</v>
      </c>
      <c r="J21" s="161"/>
      <c r="K21" s="69" t="s">
        <v>96</v>
      </c>
    </row>
    <row r="22" spans="1:11" ht="10.5" customHeight="1">
      <c r="A22" s="69"/>
      <c r="B22" s="156" t="s">
        <v>480</v>
      </c>
      <c r="C22" s="157"/>
      <c r="D22" s="576" t="s">
        <v>464</v>
      </c>
      <c r="E22" s="584">
        <v>6</v>
      </c>
      <c r="F22" s="580">
        <v>20000</v>
      </c>
      <c r="G22" s="582">
        <v>120000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469</v>
      </c>
      <c r="J23" s="161"/>
      <c r="K23" s="69" t="s">
        <v>96</v>
      </c>
    </row>
    <row r="24" spans="1:11" ht="10.5" customHeight="1">
      <c r="A24" s="69"/>
      <c r="B24" s="156" t="s">
        <v>481</v>
      </c>
      <c r="C24" s="157"/>
      <c r="D24" s="576" t="s">
        <v>464</v>
      </c>
      <c r="E24" s="578">
        <v>50</v>
      </c>
      <c r="F24" s="580">
        <v>24000</v>
      </c>
      <c r="G24" s="582">
        <v>1200000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469</v>
      </c>
      <c r="J25" s="161"/>
      <c r="K25" s="69" t="s">
        <v>96</v>
      </c>
    </row>
    <row r="26" spans="1:11" ht="10.5" customHeight="1">
      <c r="A26" s="69"/>
      <c r="B26" s="156" t="s">
        <v>482</v>
      </c>
      <c r="C26" s="157"/>
      <c r="D26" s="576" t="s">
        <v>457</v>
      </c>
      <c r="E26" s="584">
        <v>1</v>
      </c>
      <c r="F26" s="580">
        <v>30000</v>
      </c>
      <c r="G26" s="582">
        <v>30000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469</v>
      </c>
      <c r="J27" s="161"/>
      <c r="K27" s="69" t="s">
        <v>96</v>
      </c>
    </row>
    <row r="28" spans="1:11" ht="10.5" customHeight="1">
      <c r="A28" s="69"/>
      <c r="B28" s="156" t="s">
        <v>483</v>
      </c>
      <c r="C28" s="157"/>
      <c r="D28" s="576" t="s">
        <v>457</v>
      </c>
      <c r="E28" s="584">
        <v>1</v>
      </c>
      <c r="F28" s="580">
        <v>50000</v>
      </c>
      <c r="G28" s="582">
        <v>50000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473</v>
      </c>
      <c r="C29" s="160"/>
      <c r="D29" s="577"/>
      <c r="E29" s="585"/>
      <c r="F29" s="581"/>
      <c r="G29" s="583"/>
      <c r="H29" s="356"/>
      <c r="I29" s="356" t="s">
        <v>469</v>
      </c>
      <c r="J29" s="161"/>
      <c r="K29" s="69" t="s">
        <v>96</v>
      </c>
    </row>
    <row r="30" spans="1:11" ht="10.5" customHeight="1">
      <c r="A30" s="69"/>
      <c r="B30" s="156" t="s">
        <v>484</v>
      </c>
      <c r="C30" s="157"/>
      <c r="D30" s="576" t="s">
        <v>457</v>
      </c>
      <c r="E30" s="584">
        <v>1</v>
      </c>
      <c r="F30" s="580">
        <v>220000</v>
      </c>
      <c r="G30" s="582">
        <v>220000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485</v>
      </c>
      <c r="C31" s="160"/>
      <c r="D31" s="577"/>
      <c r="E31" s="585"/>
      <c r="F31" s="581"/>
      <c r="G31" s="583"/>
      <c r="H31" s="356"/>
      <c r="I31" s="356" t="s">
        <v>469</v>
      </c>
      <c r="J31" s="161"/>
      <c r="K31" s="69" t="s">
        <v>96</v>
      </c>
    </row>
    <row r="32" spans="1:11" ht="10.5" customHeight="1">
      <c r="A32" s="69"/>
      <c r="B32" s="156" t="s">
        <v>486</v>
      </c>
      <c r="C32" s="157"/>
      <c r="D32" s="576" t="s">
        <v>476</v>
      </c>
      <c r="E32" s="584">
        <v>31</v>
      </c>
      <c r="F32" s="580">
        <v>740</v>
      </c>
      <c r="G32" s="582">
        <v>22940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469</v>
      </c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 t="s">
        <v>462</v>
      </c>
      <c r="C36" s="157"/>
      <c r="D36" s="576"/>
      <c r="E36" s="584"/>
      <c r="F36" s="580"/>
      <c r="G36" s="582">
        <v>2454390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98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430</v>
      </c>
      <c r="C3" s="146" t="s">
        <v>431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432</v>
      </c>
      <c r="K4" s="69"/>
    </row>
    <row r="5" spans="1:11" ht="18" customHeight="1">
      <c r="A5" s="69"/>
      <c r="B5" s="574" t="s">
        <v>433</v>
      </c>
      <c r="C5" s="575"/>
      <c r="D5" s="153" t="s">
        <v>85</v>
      </c>
      <c r="E5" s="153" t="s">
        <v>434</v>
      </c>
      <c r="F5" s="153" t="s">
        <v>435</v>
      </c>
      <c r="G5" s="153" t="s">
        <v>436</v>
      </c>
      <c r="H5" s="154" t="s">
        <v>437</v>
      </c>
      <c r="I5" s="153" t="s">
        <v>438</v>
      </c>
      <c r="J5" s="155" t="s">
        <v>439</v>
      </c>
      <c r="K5" s="69"/>
    </row>
    <row r="6" spans="1:11" ht="10.5" customHeight="1">
      <c r="A6" s="69"/>
      <c r="B6" s="156" t="s">
        <v>487</v>
      </c>
      <c r="C6" s="157"/>
      <c r="D6" s="576" t="s">
        <v>488</v>
      </c>
      <c r="E6" s="578">
        <v>2</v>
      </c>
      <c r="F6" s="580">
        <v>111000</v>
      </c>
      <c r="G6" s="582">
        <v>222000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489</v>
      </c>
      <c r="C7" s="160"/>
      <c r="D7" s="577"/>
      <c r="E7" s="579"/>
      <c r="F7" s="581"/>
      <c r="G7" s="583"/>
      <c r="H7" s="356"/>
      <c r="I7" s="356" t="s">
        <v>490</v>
      </c>
      <c r="J7" s="161"/>
      <c r="K7" s="69" t="s">
        <v>96</v>
      </c>
    </row>
    <row r="8" spans="1:11" ht="10.5" customHeight="1">
      <c r="A8" s="69"/>
      <c r="B8" s="156" t="s">
        <v>491</v>
      </c>
      <c r="C8" s="157"/>
      <c r="D8" s="576" t="s">
        <v>488</v>
      </c>
      <c r="E8" s="578">
        <v>1</v>
      </c>
      <c r="F8" s="580">
        <v>8000</v>
      </c>
      <c r="G8" s="582">
        <v>8000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490</v>
      </c>
      <c r="J9" s="162"/>
      <c r="K9" s="69" t="s">
        <v>96</v>
      </c>
    </row>
    <row r="10" spans="1:11" ht="10.5" customHeight="1">
      <c r="A10" s="69"/>
      <c r="B10" s="156" t="s">
        <v>492</v>
      </c>
      <c r="C10" s="157"/>
      <c r="D10" s="576" t="s">
        <v>488</v>
      </c>
      <c r="E10" s="578">
        <v>1</v>
      </c>
      <c r="F10" s="580">
        <v>1600</v>
      </c>
      <c r="G10" s="582">
        <v>1600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490</v>
      </c>
      <c r="J11" s="161"/>
      <c r="K11" s="69" t="s">
        <v>96</v>
      </c>
    </row>
    <row r="12" spans="1:11" ht="10.5" customHeight="1">
      <c r="A12" s="69"/>
      <c r="B12" s="156" t="s">
        <v>493</v>
      </c>
      <c r="C12" s="157"/>
      <c r="D12" s="576" t="s">
        <v>488</v>
      </c>
      <c r="E12" s="584">
        <v>4</v>
      </c>
      <c r="F12" s="580">
        <v>8000</v>
      </c>
      <c r="G12" s="582">
        <v>32000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490</v>
      </c>
      <c r="J13" s="161"/>
      <c r="K13" s="69" t="s">
        <v>96</v>
      </c>
    </row>
    <row r="14" spans="1:11" ht="10.5" customHeight="1">
      <c r="A14" s="69"/>
      <c r="B14" s="156" t="s">
        <v>494</v>
      </c>
      <c r="C14" s="157"/>
      <c r="D14" s="576" t="s">
        <v>488</v>
      </c>
      <c r="E14" s="584">
        <v>2</v>
      </c>
      <c r="F14" s="580">
        <v>90000</v>
      </c>
      <c r="G14" s="582">
        <v>180000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495</v>
      </c>
      <c r="C15" s="160"/>
      <c r="D15" s="577"/>
      <c r="E15" s="585"/>
      <c r="F15" s="581"/>
      <c r="G15" s="583"/>
      <c r="H15" s="356"/>
      <c r="I15" s="356" t="s">
        <v>490</v>
      </c>
      <c r="J15" s="161"/>
      <c r="K15" s="69" t="s">
        <v>96</v>
      </c>
    </row>
    <row r="16" spans="1:11" ht="10.5" customHeight="1">
      <c r="A16" s="69"/>
      <c r="B16" s="156" t="s">
        <v>496</v>
      </c>
      <c r="C16" s="157"/>
      <c r="D16" s="576" t="s">
        <v>488</v>
      </c>
      <c r="E16" s="584">
        <v>2</v>
      </c>
      <c r="F16" s="580">
        <v>4300</v>
      </c>
      <c r="G16" s="582">
        <v>8600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490</v>
      </c>
      <c r="J17" s="161"/>
      <c r="K17" s="69" t="s">
        <v>96</v>
      </c>
    </row>
    <row r="18" spans="1:11" ht="10.5" customHeight="1">
      <c r="A18" s="69"/>
      <c r="B18" s="156" t="s">
        <v>497</v>
      </c>
      <c r="C18" s="157"/>
      <c r="D18" s="576" t="s">
        <v>488</v>
      </c>
      <c r="E18" s="584">
        <v>1</v>
      </c>
      <c r="F18" s="580">
        <v>90000</v>
      </c>
      <c r="G18" s="582">
        <v>90000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498</v>
      </c>
      <c r="C19" s="160"/>
      <c r="D19" s="577"/>
      <c r="E19" s="585"/>
      <c r="F19" s="581"/>
      <c r="G19" s="583"/>
      <c r="H19" s="356"/>
      <c r="I19" s="356" t="s">
        <v>490</v>
      </c>
      <c r="J19" s="161"/>
      <c r="K19" s="69" t="s">
        <v>96</v>
      </c>
    </row>
    <row r="20" spans="1:11" ht="10.5" customHeight="1">
      <c r="A20" s="69"/>
      <c r="B20" s="156" t="s">
        <v>499</v>
      </c>
      <c r="C20" s="157"/>
      <c r="D20" s="576" t="s">
        <v>488</v>
      </c>
      <c r="E20" s="584">
        <v>2</v>
      </c>
      <c r="F20" s="580">
        <v>4000</v>
      </c>
      <c r="G20" s="582">
        <v>8000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500</v>
      </c>
      <c r="C21" s="160"/>
      <c r="D21" s="577"/>
      <c r="E21" s="585"/>
      <c r="F21" s="581"/>
      <c r="G21" s="583"/>
      <c r="H21" s="356"/>
      <c r="I21" s="356" t="s">
        <v>490</v>
      </c>
      <c r="J21" s="161"/>
      <c r="K21" s="69" t="s">
        <v>96</v>
      </c>
    </row>
    <row r="22" spans="1:11" ht="10.5" customHeight="1">
      <c r="A22" s="69"/>
      <c r="B22" s="156" t="s">
        <v>499</v>
      </c>
      <c r="C22" s="157"/>
      <c r="D22" s="576" t="s">
        <v>488</v>
      </c>
      <c r="E22" s="584">
        <v>2</v>
      </c>
      <c r="F22" s="580">
        <v>5500</v>
      </c>
      <c r="G22" s="582">
        <v>11000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501</v>
      </c>
      <c r="C23" s="160"/>
      <c r="D23" s="577"/>
      <c r="E23" s="585"/>
      <c r="F23" s="581"/>
      <c r="G23" s="583"/>
      <c r="H23" s="356"/>
      <c r="I23" s="356" t="s">
        <v>490</v>
      </c>
      <c r="J23" s="161"/>
      <c r="K23" s="69" t="s">
        <v>96</v>
      </c>
    </row>
    <row r="24" spans="1:11" ht="10.5" customHeight="1">
      <c r="A24" s="69"/>
      <c r="B24" s="156" t="s">
        <v>502</v>
      </c>
      <c r="C24" s="157"/>
      <c r="D24" s="576" t="s">
        <v>488</v>
      </c>
      <c r="E24" s="578">
        <v>5</v>
      </c>
      <c r="F24" s="580">
        <v>4000</v>
      </c>
      <c r="G24" s="582">
        <v>20000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503</v>
      </c>
      <c r="C25" s="160"/>
      <c r="D25" s="577"/>
      <c r="E25" s="579"/>
      <c r="F25" s="581"/>
      <c r="G25" s="583"/>
      <c r="H25" s="356"/>
      <c r="I25" s="356" t="s">
        <v>490</v>
      </c>
      <c r="J25" s="161"/>
      <c r="K25" s="69" t="s">
        <v>96</v>
      </c>
    </row>
    <row r="26" spans="1:11" ht="10.5" customHeight="1">
      <c r="A26" s="69"/>
      <c r="B26" s="156" t="s">
        <v>504</v>
      </c>
      <c r="C26" s="157"/>
      <c r="D26" s="576" t="s">
        <v>488</v>
      </c>
      <c r="E26" s="584">
        <v>1.5</v>
      </c>
      <c r="F26" s="580">
        <v>65000</v>
      </c>
      <c r="G26" s="582">
        <v>97500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490</v>
      </c>
      <c r="J27" s="161"/>
      <c r="K27" s="69" t="s">
        <v>96</v>
      </c>
    </row>
    <row r="28" spans="1:11" ht="10.5" customHeight="1">
      <c r="A28" s="69"/>
      <c r="B28" s="156" t="s">
        <v>505</v>
      </c>
      <c r="C28" s="157"/>
      <c r="D28" s="576" t="s">
        <v>488</v>
      </c>
      <c r="E28" s="584">
        <v>1</v>
      </c>
      <c r="F28" s="580">
        <v>12000</v>
      </c>
      <c r="G28" s="582">
        <v>12000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506</v>
      </c>
      <c r="C29" s="160"/>
      <c r="D29" s="577"/>
      <c r="E29" s="585"/>
      <c r="F29" s="581"/>
      <c r="G29" s="583"/>
      <c r="H29" s="356"/>
      <c r="I29" s="356" t="s">
        <v>490</v>
      </c>
      <c r="J29" s="161"/>
      <c r="K29" s="69" t="s">
        <v>96</v>
      </c>
    </row>
    <row r="30" spans="1:11" ht="10.5" customHeight="1">
      <c r="A30" s="69"/>
      <c r="B30" s="156" t="s">
        <v>507</v>
      </c>
      <c r="C30" s="157"/>
      <c r="D30" s="576" t="s">
        <v>488</v>
      </c>
      <c r="E30" s="584">
        <v>30</v>
      </c>
      <c r="F30" s="580">
        <v>4500</v>
      </c>
      <c r="G30" s="582">
        <v>135000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490</v>
      </c>
      <c r="J31" s="161"/>
      <c r="K31" s="69" t="s">
        <v>96</v>
      </c>
    </row>
    <row r="32" spans="1:11" ht="10.5" customHeight="1">
      <c r="A32" s="69"/>
      <c r="B32" s="156" t="s">
        <v>508</v>
      </c>
      <c r="C32" s="157"/>
      <c r="D32" s="576" t="s">
        <v>488</v>
      </c>
      <c r="E32" s="584">
        <v>6</v>
      </c>
      <c r="F32" s="580">
        <v>10000</v>
      </c>
      <c r="G32" s="582">
        <v>60000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490</v>
      </c>
      <c r="J33" s="161"/>
      <c r="K33" s="69" t="s">
        <v>96</v>
      </c>
    </row>
    <row r="34" spans="1:11" ht="10.5" customHeight="1">
      <c r="A34" s="69"/>
      <c r="B34" s="156" t="s">
        <v>509</v>
      </c>
      <c r="C34" s="157"/>
      <c r="D34" s="576" t="s">
        <v>488</v>
      </c>
      <c r="E34" s="584">
        <v>2</v>
      </c>
      <c r="F34" s="580">
        <v>1000</v>
      </c>
      <c r="G34" s="582">
        <v>2000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490</v>
      </c>
      <c r="J35" s="161"/>
      <c r="K35" s="69" t="s">
        <v>96</v>
      </c>
    </row>
    <row r="36" spans="1:11" ht="10.5" customHeight="1">
      <c r="A36" s="69"/>
      <c r="B36" s="156" t="s">
        <v>510</v>
      </c>
      <c r="C36" s="157"/>
      <c r="D36" s="576" t="s">
        <v>488</v>
      </c>
      <c r="E36" s="584">
        <v>1.5</v>
      </c>
      <c r="F36" s="580">
        <v>5500</v>
      </c>
      <c r="G36" s="582">
        <v>8250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490</v>
      </c>
      <c r="J37" s="161"/>
      <c r="K37" s="69" t="s">
        <v>96</v>
      </c>
    </row>
    <row r="38" spans="1:11" ht="10.5" customHeight="1">
      <c r="A38" s="69"/>
      <c r="B38" s="156" t="s">
        <v>511</v>
      </c>
      <c r="C38" s="157"/>
      <c r="D38" s="576" t="s">
        <v>457</v>
      </c>
      <c r="E38" s="584">
        <v>1</v>
      </c>
      <c r="F38" s="580">
        <v>250000</v>
      </c>
      <c r="G38" s="582">
        <v>250000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490</v>
      </c>
      <c r="J39" s="161"/>
      <c r="K39" s="69" t="s">
        <v>96</v>
      </c>
    </row>
    <row r="40" spans="1:11" ht="10.5" customHeight="1">
      <c r="A40" s="69"/>
      <c r="B40" s="156" t="s">
        <v>512</v>
      </c>
      <c r="C40" s="157"/>
      <c r="D40" s="576" t="s">
        <v>488</v>
      </c>
      <c r="E40" s="584">
        <v>4</v>
      </c>
      <c r="F40" s="580">
        <v>10000</v>
      </c>
      <c r="G40" s="582">
        <v>40000</v>
      </c>
      <c r="H40" s="355"/>
      <c r="I40" s="355"/>
      <c r="J40" s="158"/>
      <c r="K40" s="69" t="s">
        <v>96</v>
      </c>
    </row>
    <row r="41" spans="1:11" ht="10.5" customHeight="1">
      <c r="A41" s="69"/>
      <c r="B41" s="159" t="s">
        <v>513</v>
      </c>
      <c r="C41" s="160"/>
      <c r="D41" s="577"/>
      <c r="E41" s="585"/>
      <c r="F41" s="581"/>
      <c r="G41" s="583"/>
      <c r="H41" s="356"/>
      <c r="I41" s="356" t="s">
        <v>490</v>
      </c>
      <c r="J41" s="161"/>
      <c r="K41" s="69" t="s">
        <v>96</v>
      </c>
    </row>
    <row r="42" spans="1:11" ht="10.5" customHeight="1">
      <c r="A42" s="69"/>
      <c r="B42" s="156" t="s">
        <v>514</v>
      </c>
      <c r="C42" s="157"/>
      <c r="D42" s="576" t="s">
        <v>488</v>
      </c>
      <c r="E42" s="584">
        <v>4</v>
      </c>
      <c r="F42" s="580">
        <v>3000</v>
      </c>
      <c r="G42" s="582">
        <v>12000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490</v>
      </c>
      <c r="J43" s="161"/>
      <c r="K43" s="69" t="s">
        <v>96</v>
      </c>
    </row>
    <row r="44" spans="1:11" ht="10.5" customHeight="1">
      <c r="A44" s="69"/>
      <c r="B44" s="156" t="s">
        <v>515</v>
      </c>
      <c r="C44" s="157"/>
      <c r="D44" s="576" t="s">
        <v>488</v>
      </c>
      <c r="E44" s="584">
        <v>1</v>
      </c>
      <c r="F44" s="580">
        <v>25000</v>
      </c>
      <c r="G44" s="582">
        <v>25000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490</v>
      </c>
      <c r="J45" s="161"/>
      <c r="K45" s="69" t="s">
        <v>96</v>
      </c>
    </row>
    <row r="46" spans="1:11" ht="10.5" customHeight="1">
      <c r="A46" s="69"/>
      <c r="B46" s="156" t="s">
        <v>516</v>
      </c>
      <c r="C46" s="157"/>
      <c r="D46" s="586" t="s">
        <v>488</v>
      </c>
      <c r="E46" s="588">
        <v>1</v>
      </c>
      <c r="F46" s="590">
        <v>300000</v>
      </c>
      <c r="G46" s="592">
        <v>300000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 t="s">
        <v>517</v>
      </c>
      <c r="C47" s="164"/>
      <c r="D47" s="587"/>
      <c r="E47" s="589"/>
      <c r="F47" s="591"/>
      <c r="G47" s="593"/>
      <c r="H47" s="357"/>
      <c r="I47" s="357" t="s">
        <v>490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518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430</v>
      </c>
      <c r="C52" s="146" t="s">
        <v>431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432</v>
      </c>
      <c r="K53" s="69"/>
    </row>
    <row r="54" spans="1:11" ht="18" customHeight="1">
      <c r="A54" s="69"/>
      <c r="B54" s="574" t="s">
        <v>433</v>
      </c>
      <c r="C54" s="575"/>
      <c r="D54" s="153" t="s">
        <v>85</v>
      </c>
      <c r="E54" s="153" t="s">
        <v>434</v>
      </c>
      <c r="F54" s="153" t="s">
        <v>435</v>
      </c>
      <c r="G54" s="153" t="s">
        <v>436</v>
      </c>
      <c r="H54" s="154" t="s">
        <v>437</v>
      </c>
      <c r="I54" s="153" t="s">
        <v>438</v>
      </c>
      <c r="J54" s="155" t="s">
        <v>439</v>
      </c>
      <c r="K54" s="69"/>
    </row>
    <row r="55" spans="1:11" ht="10.5" customHeight="1">
      <c r="A55" s="69"/>
      <c r="B55" s="156" t="s">
        <v>519</v>
      </c>
      <c r="C55" s="157"/>
      <c r="D55" s="576" t="s">
        <v>488</v>
      </c>
      <c r="E55" s="578">
        <v>4</v>
      </c>
      <c r="F55" s="580">
        <v>80000</v>
      </c>
      <c r="G55" s="582">
        <v>320000</v>
      </c>
      <c r="H55" s="355"/>
      <c r="I55" s="355"/>
      <c r="J55" s="158"/>
      <c r="K55" s="69" t="s">
        <v>96</v>
      </c>
    </row>
    <row r="56" spans="1:11" ht="10.5" customHeight="1">
      <c r="A56" s="69"/>
      <c r="B56" s="159" t="s">
        <v>520</v>
      </c>
      <c r="C56" s="160"/>
      <c r="D56" s="577"/>
      <c r="E56" s="579"/>
      <c r="F56" s="581"/>
      <c r="G56" s="583"/>
      <c r="H56" s="356"/>
      <c r="I56" s="356" t="s">
        <v>490</v>
      </c>
      <c r="J56" s="161"/>
      <c r="K56" s="69" t="s">
        <v>96</v>
      </c>
    </row>
    <row r="57" spans="1:11" ht="10.5" customHeight="1">
      <c r="A57" s="69"/>
      <c r="B57" s="156"/>
      <c r="C57" s="157"/>
      <c r="D57" s="576"/>
      <c r="E57" s="578"/>
      <c r="F57" s="580"/>
      <c r="G57" s="582"/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/>
      <c r="J58" s="162"/>
      <c r="K58" s="69" t="s">
        <v>96</v>
      </c>
    </row>
    <row r="59" spans="1:11" ht="10.5" customHeight="1">
      <c r="A59" s="69"/>
      <c r="B59" s="156" t="s">
        <v>462</v>
      </c>
      <c r="C59" s="157"/>
      <c r="D59" s="576"/>
      <c r="E59" s="578"/>
      <c r="F59" s="580"/>
      <c r="G59" s="582">
        <v>1842950</v>
      </c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/>
      <c r="J60" s="161"/>
      <c r="K60" s="69" t="s">
        <v>96</v>
      </c>
    </row>
    <row r="61" spans="1:11" ht="10.5" customHeight="1">
      <c r="A61" s="69"/>
      <c r="B61" s="156"/>
      <c r="C61" s="157"/>
      <c r="D61" s="576"/>
      <c r="E61" s="584"/>
      <c r="F61" s="580"/>
      <c r="G61" s="582"/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/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430</v>
      </c>
      <c r="C3" s="146" t="s">
        <v>431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432</v>
      </c>
      <c r="K4" s="69"/>
    </row>
    <row r="5" spans="1:11" ht="18" customHeight="1">
      <c r="A5" s="69"/>
      <c r="B5" s="574" t="s">
        <v>433</v>
      </c>
      <c r="C5" s="575"/>
      <c r="D5" s="153" t="s">
        <v>85</v>
      </c>
      <c r="E5" s="153" t="s">
        <v>434</v>
      </c>
      <c r="F5" s="153" t="s">
        <v>435</v>
      </c>
      <c r="G5" s="153" t="s">
        <v>436</v>
      </c>
      <c r="H5" s="154" t="s">
        <v>437</v>
      </c>
      <c r="I5" s="153" t="s">
        <v>438</v>
      </c>
      <c r="J5" s="155" t="s">
        <v>439</v>
      </c>
      <c r="K5" s="69"/>
    </row>
    <row r="6" spans="1:11" ht="10.5" customHeight="1">
      <c r="A6" s="69"/>
      <c r="B6" s="156" t="s">
        <v>521</v>
      </c>
      <c r="C6" s="157"/>
      <c r="D6" s="576" t="s">
        <v>488</v>
      </c>
      <c r="E6" s="578">
        <v>15</v>
      </c>
      <c r="F6" s="580">
        <v>5000</v>
      </c>
      <c r="G6" s="582">
        <v>75000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522</v>
      </c>
      <c r="J7" s="161"/>
      <c r="K7" s="69" t="s">
        <v>96</v>
      </c>
    </row>
    <row r="8" spans="1:11" ht="10.5" customHeight="1">
      <c r="A8" s="69"/>
      <c r="B8" s="156" t="s">
        <v>523</v>
      </c>
      <c r="C8" s="157"/>
      <c r="D8" s="576" t="s">
        <v>524</v>
      </c>
      <c r="E8" s="578">
        <v>2</v>
      </c>
      <c r="F8" s="580">
        <v>35000</v>
      </c>
      <c r="G8" s="582">
        <v>70000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525</v>
      </c>
      <c r="C9" s="160"/>
      <c r="D9" s="577"/>
      <c r="E9" s="579"/>
      <c r="F9" s="581"/>
      <c r="G9" s="583"/>
      <c r="H9" s="356"/>
      <c r="I9" s="356" t="s">
        <v>522</v>
      </c>
      <c r="J9" s="162"/>
      <c r="K9" s="69" t="s">
        <v>96</v>
      </c>
    </row>
    <row r="10" spans="1:11" ht="10.5" customHeight="1">
      <c r="A10" s="69"/>
      <c r="B10" s="156" t="s">
        <v>526</v>
      </c>
      <c r="C10" s="157"/>
      <c r="D10" s="576" t="s">
        <v>441</v>
      </c>
      <c r="E10" s="578">
        <v>9</v>
      </c>
      <c r="F10" s="580">
        <v>500</v>
      </c>
      <c r="G10" s="582">
        <v>4500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522</v>
      </c>
      <c r="J11" s="161"/>
      <c r="K11" s="69" t="s">
        <v>96</v>
      </c>
    </row>
    <row r="12" spans="1:11" ht="10.5" customHeight="1">
      <c r="A12" s="69"/>
      <c r="B12" s="156" t="s">
        <v>527</v>
      </c>
      <c r="C12" s="157"/>
      <c r="D12" s="576" t="s">
        <v>441</v>
      </c>
      <c r="E12" s="584">
        <v>222</v>
      </c>
      <c r="F12" s="580">
        <v>1200</v>
      </c>
      <c r="G12" s="582">
        <v>266400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522</v>
      </c>
      <c r="J13" s="161"/>
      <c r="K13" s="69" t="s">
        <v>96</v>
      </c>
    </row>
    <row r="14" spans="1:11" ht="10.5" customHeight="1">
      <c r="A14" s="69"/>
      <c r="B14" s="156" t="s">
        <v>528</v>
      </c>
      <c r="C14" s="157"/>
      <c r="D14" s="576" t="s">
        <v>488</v>
      </c>
      <c r="E14" s="584">
        <v>9</v>
      </c>
      <c r="F14" s="580">
        <v>43000</v>
      </c>
      <c r="G14" s="582">
        <v>387000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529</v>
      </c>
      <c r="C15" s="160"/>
      <c r="D15" s="577"/>
      <c r="E15" s="585"/>
      <c r="F15" s="581"/>
      <c r="G15" s="583"/>
      <c r="H15" s="356"/>
      <c r="I15" s="356" t="s">
        <v>522</v>
      </c>
      <c r="J15" s="161"/>
      <c r="K15" s="69" t="s">
        <v>96</v>
      </c>
    </row>
    <row r="16" spans="1:11" ht="10.5" customHeight="1">
      <c r="A16" s="69"/>
      <c r="B16" s="156" t="s">
        <v>530</v>
      </c>
      <c r="C16" s="157"/>
      <c r="D16" s="576" t="s">
        <v>488</v>
      </c>
      <c r="E16" s="584">
        <v>2</v>
      </c>
      <c r="F16" s="580">
        <v>14000</v>
      </c>
      <c r="G16" s="582">
        <v>28000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531</v>
      </c>
      <c r="C17" s="160"/>
      <c r="D17" s="577"/>
      <c r="E17" s="585"/>
      <c r="F17" s="581"/>
      <c r="G17" s="583"/>
      <c r="H17" s="356"/>
      <c r="I17" s="356" t="s">
        <v>522</v>
      </c>
      <c r="J17" s="161"/>
      <c r="K17" s="69" t="s">
        <v>96</v>
      </c>
    </row>
    <row r="18" spans="1:11" ht="10.5" customHeight="1">
      <c r="A18" s="69"/>
      <c r="B18" s="156" t="s">
        <v>532</v>
      </c>
      <c r="C18" s="157"/>
      <c r="D18" s="576" t="s">
        <v>524</v>
      </c>
      <c r="E18" s="584">
        <v>8</v>
      </c>
      <c r="F18" s="580">
        <v>10000</v>
      </c>
      <c r="G18" s="582">
        <v>80000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533</v>
      </c>
      <c r="C19" s="160"/>
      <c r="D19" s="577"/>
      <c r="E19" s="585"/>
      <c r="F19" s="581"/>
      <c r="G19" s="583"/>
      <c r="H19" s="356"/>
      <c r="I19" s="356" t="s">
        <v>522</v>
      </c>
      <c r="J19" s="161"/>
      <c r="K19" s="69" t="s">
        <v>96</v>
      </c>
    </row>
    <row r="20" spans="1:11" ht="10.5" customHeight="1">
      <c r="A20" s="69"/>
      <c r="B20" s="156" t="s">
        <v>534</v>
      </c>
      <c r="C20" s="157"/>
      <c r="D20" s="576" t="s">
        <v>524</v>
      </c>
      <c r="E20" s="584">
        <v>4</v>
      </c>
      <c r="F20" s="580">
        <v>20000</v>
      </c>
      <c r="G20" s="582">
        <v>80000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535</v>
      </c>
      <c r="C21" s="160"/>
      <c r="D21" s="577"/>
      <c r="E21" s="585"/>
      <c r="F21" s="581"/>
      <c r="G21" s="583"/>
      <c r="H21" s="356"/>
      <c r="I21" s="356" t="s">
        <v>522</v>
      </c>
      <c r="J21" s="161"/>
      <c r="K21" s="69" t="s">
        <v>96</v>
      </c>
    </row>
    <row r="22" spans="1:11" ht="10.5" customHeight="1">
      <c r="A22" s="69"/>
      <c r="B22" s="156" t="s">
        <v>536</v>
      </c>
      <c r="C22" s="157"/>
      <c r="D22" s="576" t="s">
        <v>524</v>
      </c>
      <c r="E22" s="584">
        <v>2</v>
      </c>
      <c r="F22" s="580">
        <v>60000</v>
      </c>
      <c r="G22" s="582">
        <v>120000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522</v>
      </c>
      <c r="J23" s="161"/>
      <c r="K23" s="69" t="s">
        <v>96</v>
      </c>
    </row>
    <row r="24" spans="1:11" ht="10.5" customHeight="1">
      <c r="A24" s="69"/>
      <c r="B24" s="156" t="s">
        <v>537</v>
      </c>
      <c r="C24" s="157"/>
      <c r="D24" s="576" t="s">
        <v>488</v>
      </c>
      <c r="E24" s="578">
        <v>12</v>
      </c>
      <c r="F24" s="580">
        <v>4000</v>
      </c>
      <c r="G24" s="582">
        <v>48000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538</v>
      </c>
      <c r="C25" s="160"/>
      <c r="D25" s="577"/>
      <c r="E25" s="579"/>
      <c r="F25" s="581"/>
      <c r="G25" s="583"/>
      <c r="H25" s="356"/>
      <c r="I25" s="356" t="s">
        <v>522</v>
      </c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 t="s">
        <v>462</v>
      </c>
      <c r="C28" s="157"/>
      <c r="D28" s="576"/>
      <c r="E28" s="584"/>
      <c r="F28" s="580"/>
      <c r="G28" s="582">
        <v>1158900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2025-12-16T01:57:28Z</dcterms:modified>
  <cp:category/>
  <cp:contentStatus/>
</cp:coreProperties>
</file>