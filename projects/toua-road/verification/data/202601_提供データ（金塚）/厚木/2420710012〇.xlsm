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3FBC25DB-9903-4866-9D2C-971A7C7C29A2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'工事費一覧表(共通仮設費)'!$A$1:$AF$18</definedName>
    <definedName name="_xlnm.Print_Area" localSheetId="11">'工事費一覧表(現場経費)'!$A$1:$AF$11</definedName>
    <definedName name="_xlnm.Print_Area" localSheetId="6">'工事費一覧表(直接工事費)'!$A$1:$AF$190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<sst xmlns="http://schemas.openxmlformats.org/spreadsheetml/2006/main" count="2313" uniqueCount="503">
  <si>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</si>
  <si>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</si>
  <si>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</si>
  <si>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</si>
  <si>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</si>
  <si>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</si>
  <si>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</si>
  <si>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</si>
  <si>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</si>
  <si>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</si>
  <si>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</si>
  <si>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</si>
  <si>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</si>
  <si>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</si>
  <si>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</si>
  <si>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</si>
  <si>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</si>
  <si>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</si>
  <si>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</si>
  <si>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</si>
  <si>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</si>
  <si>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</si>
  <si>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</si>
  <si>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</si>
  <si>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</si>
  <si>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</si>
  <si>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</si>
  <si>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</si>
  <si>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</si>
  <si>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</si>
  <si>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</si>
  <si>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</si>
  <si>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</si>
  <si>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</si>
  <si>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</si>
  <si>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</si>
  <si>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</si>
  <si>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</si>
  <si>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</si>
  <si>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</si>
  <si>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</si>
  <si>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</si>
  <si>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</si>
  <si>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</si>
  <si>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</si>
  <si>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</si>
  <si>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</si>
  <si>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</si>
  <si>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</si>
  <si>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</si>
  <si>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</si>
  <si>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</si>
  <si>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</si>
  <si>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</si>
  <si>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</si>
  <si>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</si>
  <si>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</si>
  <si>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</si>
  <si>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</si>
  <si>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</si>
  <si>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</si>
  <si>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</si>
  <si>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</si>
  <si>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</si>
  <si>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</si>
  <si>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</si>
  <si>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</si>
  <si>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</si>
  <si>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</si>
  <si>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</si>
  <si>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</si>
  <si>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</si>
  <si>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</si>
  <si>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</si>
  <si>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</si>
  <si>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</si>
  <si>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</si>
  <si>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</si>
  <si>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</si>
  <si>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</si>
  <si>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</si>
  <si>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</si>
  <si>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</si>
  <si>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</si>
  <si>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</si>
  <si>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</si>
  <si>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</si>
  <si>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</si>
  <si>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</si>
  <si>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</si>
  <si>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</si>
  <si>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</si>
  <si>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</si>
  <si>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</si>
  <si>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</si>
  <si>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</si>
  <si>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</si>
  <si>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</si>
  <si>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</si>
  <si>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</si>
  <si>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</si>
  <si>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</si>
  <si>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</si>
  <si>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</si>
  <si>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</si>
  <si>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</si>
  <si>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</si>
  <si>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</si>
  <si>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</si>
  <si>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</si>
  <si>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</si>
  <si>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</si>
  <si>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</si>
  <si>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</si>
  <si>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</si>
  <si>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</si>
  <si>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</si>
  <si>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</si>
  <si>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</si>
  <si>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</si>
  <si>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</si>
  <si>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</si>
  <si>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</si>
  <si>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</si>
  <si>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</si>
  <si>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</si>
  <si>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</si>
  <si>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</si>
  <si>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</si>
  <si>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</si>
  <si>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</si>
  <si>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</si>
  <si>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</si>
  <si>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</si>
  <si>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</si>
  <si>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</si>
  <si>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</si>
  <si>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</si>
  <si>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</si>
  <si>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</si>
  <si>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</si>
  <si>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</si>
  <si>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</si>
  <si>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</si>
  <si>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</si>
  <si>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2420710012 F</t>
  </si>
  <si>
    <t>（第1回変更予算）</t>
  </si>
  <si>
    <t>平野　裕貴</t>
  </si>
  <si>
    <t>24-012★(仮称)上郷河原口線道路新設工事(本線部)</t>
  </si>
  <si>
    <t>鈴商建設株式会社</t>
  </si>
  <si>
    <t>横浜支店</t>
  </si>
  <si>
    <t>海老名市上郷地内</t>
  </si>
  <si>
    <t>2024年4月15日</t>
  </si>
  <si>
    <t>2024年6月28日</t>
  </si>
  <si>
    <t>下層路盤</t>
  </si>
  <si>
    <t>上層路盤</t>
  </si>
  <si>
    <t>基層</t>
  </si>
  <si>
    <t>表層</t>
  </si>
  <si>
    <t>路床整正</t>
  </si>
  <si>
    <t>透水性舗装</t>
  </si>
  <si>
    <t>法定福利費</t>
  </si>
  <si>
    <t>不陸整正、補足材(RC-40) t=30</t>
  </si>
  <si>
    <t>m2</t>
  </si>
  <si>
    <t>RM-40 t=250</t>
  </si>
  <si>
    <t>再生粗粒(20) t=50</t>
  </si>
  <si>
    <t>再生密粒(20) t=50</t>
  </si>
  <si>
    <t>RM-40 t=100</t>
  </si>
  <si>
    <t>RC-40 t=100</t>
  </si>
  <si>
    <t>再生密粒(13) t=30</t>
  </si>
  <si>
    <t>不陸整正、RC-40 t=30</t>
  </si>
  <si>
    <t>開粒(13) t=40</t>
  </si>
  <si>
    <t>再生密粒(13) t=50</t>
  </si>
  <si>
    <t>式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</si>
  <si>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</si>
  <si>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</si>
  <si>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</si>
  <si>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</si>
  <si>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</si>
  <si>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</si>
  <si>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</si>
  <si>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24-012★上郷河原口線道路新設工事</t>
  </si>
  <si>
    <t>関東支社</t>
  </si>
  <si>
    <t>厚木出張所</t>
  </si>
  <si>
    <t>単独</t>
  </si>
  <si>
    <t>F</t>
  </si>
  <si>
    <t>2024年4月5日</t>
  </si>
  <si>
    <t>2024年4月15日 ～ 2024年6月28日</t>
  </si>
  <si>
    <t>直接工事費</t>
  </si>
  <si>
    <t xml:space="preserve">  車道舗装（本線）</t>
  </si>
  <si>
    <t xml:space="preserve">  </t>
  </si>
  <si>
    <t>1号</t>
  </si>
  <si>
    <t>内訳書</t>
  </si>
  <si>
    <t xml:space="preserve">  車道舗装（取付）</t>
  </si>
  <si>
    <t>2号</t>
  </si>
  <si>
    <t xml:space="preserve">  歩道舗装（アンダーパス部）</t>
  </si>
  <si>
    <t>3号</t>
  </si>
  <si>
    <t xml:space="preserve">  歩道舗装（透水性舗装）</t>
  </si>
  <si>
    <t>4号</t>
  </si>
  <si>
    <t xml:space="preserve">  歩道舗装（車両乗入）</t>
  </si>
  <si>
    <t>5号</t>
  </si>
  <si>
    <t xml:space="preserve">  法定福利費</t>
  </si>
  <si>
    <t>6号</t>
  </si>
  <si>
    <t xml:space="preserve">  諸経費</t>
  </si>
  <si>
    <t>7号</t>
  </si>
  <si>
    <t xml:space="preserve">  調整費</t>
  </si>
  <si>
    <t>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</si>
  <si>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</si>
  <si>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</si>
  <si>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</si>
  <si>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</si>
  <si>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</si>
  <si>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</si>
  <si>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</si>
  <si>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車道舗装（本線）</t>
  </si>
  <si>
    <t>車道舗装（取付）</t>
  </si>
  <si>
    <t>歩道舗装（アンダーパス部）</t>
  </si>
  <si>
    <t>歩道舗装（透水性舗装）</t>
  </si>
  <si>
    <t>歩道舗装（車両乗入）</t>
  </si>
  <si>
    <t>諸経費</t>
  </si>
  <si>
    <t>調整費</t>
  </si>
  <si>
    <t>計</t>
  </si>
  <si>
    <t>24-012★(仮称)上郷河原口線道路新設工事(本線部)</t>
    <phoneticPr fontId="4"/>
  </si>
  <si>
    <t>総括</t>
  </si>
  <si>
    <t>集計行</t>
  </si>
  <si>
    <t>｜直接工事費</t>
  </si>
  <si>
    <t>内訳代価</t>
  </si>
  <si>
    <t>｜｜車道舗装（本線）</t>
  </si>
  <si>
    <t>1号内訳書</t>
  </si>
  <si>
    <t>｜｜｜下層路盤</t>
  </si>
  <si>
    <t>9号内訳書</t>
  </si>
  <si>
    <t>｜｜｜｜RC-40(t)</t>
  </si>
  <si>
    <t>引取</t>
  </si>
  <si>
    <t>t</t>
  </si>
  <si>
    <t xml:space="preserve">s00328271 </t>
  </si>
  <si>
    <t xml:space="preserve">{数量=2,208*0.03*1.8} </t>
  </si>
  <si>
    <t>｜｜｜｜ﾀﾞﾝﾌﾟﾄﾗｯｸ常用10ｔ</t>
  </si>
  <si>
    <t>ｵﾍﾟ燃料付</t>
  </si>
  <si>
    <t>台</t>
  </si>
  <si>
    <t xml:space="preserve">u00328003 </t>
  </si>
  <si>
    <t>｜｜｜｜技工</t>
  </si>
  <si>
    <t>人</t>
  </si>
  <si>
    <t xml:space="preserve">r00328003 </t>
  </si>
  <si>
    <t xml:space="preserve">{数量=6*2} </t>
  </si>
  <si>
    <t>｜｜｜｜ﾓｰﾀｰｸﾞﾚｰﾀﾞ</t>
  </si>
  <si>
    <t>3.1m</t>
  </si>
  <si>
    <t xml:space="preserve">k00328024 </t>
  </si>
  <si>
    <t xml:space="preserve">{数量=1*2} </t>
  </si>
  <si>
    <t>｜｜｜｜BH0.15ｸﾚｰﾝ</t>
  </si>
  <si>
    <t xml:space="preserve">k00328016 </t>
  </si>
  <si>
    <t>｜｜｜｜ﾀｲﾔｼｮﾍﾞﾙ0.4</t>
  </si>
  <si>
    <t xml:space="preserve">k00328021 </t>
  </si>
  <si>
    <t>｜｜｜｜ﾏｶﾀﾞﾑﾛｰﾗ</t>
  </si>
  <si>
    <t xml:space="preserve">k00328003 </t>
  </si>
  <si>
    <t>｜｜｜｜ﾀｲﾔﾛｰﾗ</t>
  </si>
  <si>
    <t>8t</t>
  </si>
  <si>
    <t xml:space="preserve">k00328002 </t>
  </si>
  <si>
    <t>｜｜｜｜ﾀﾝﾃﾞﾑﾛｰﾗ</t>
  </si>
  <si>
    <t>3ｔ、4ｔ</t>
  </si>
  <si>
    <t xml:space="preserve">k00328004 </t>
  </si>
  <si>
    <t>｜｜｜｜ﾋﾞﾌﾞﾛﾌﾟﾚｰﾄ</t>
  </si>
  <si>
    <t xml:space="preserve">k00328008 </t>
  </si>
  <si>
    <t>｜｜｜｜ﾗﾝﾏｰ</t>
  </si>
  <si>
    <t xml:space="preserve">k00328009 </t>
  </si>
  <si>
    <t>｜｜｜｜4ｔﾀﾞﾝﾌﾟ</t>
  </si>
  <si>
    <t xml:space="preserve">u00328022 </t>
  </si>
  <si>
    <t>｜｜｜｜2ｔﾀﾞﾝﾌﾟ</t>
  </si>
  <si>
    <t xml:space="preserve">u00328020 </t>
  </si>
  <si>
    <t xml:space="preserve">{数量=2*2} </t>
  </si>
  <si>
    <t>｜｜｜｜労務運搬(Wｷｬﾌﾞ)</t>
  </si>
  <si>
    <t>燃料込</t>
  </si>
  <si>
    <t xml:space="preserve">u00328036 </t>
  </si>
  <si>
    <t>｜｜｜｜軽油</t>
  </si>
  <si>
    <t>L</t>
  </si>
  <si>
    <t xml:space="preserve">s00328123 </t>
  </si>
  <si>
    <t>｜｜｜｜雑材</t>
  </si>
  <si>
    <t xml:space="preserve">s00328386 </t>
  </si>
  <si>
    <t>｜｜｜上層路盤</t>
  </si>
  <si>
    <t>10号内訳書</t>
  </si>
  <si>
    <t>｜｜｜｜RM-40(t)</t>
  </si>
  <si>
    <t xml:space="preserve">s00328277 </t>
  </si>
  <si>
    <t xml:space="preserve">{数量=2,207*0.25*1.8*1.27} </t>
  </si>
  <si>
    <t xml:space="preserve">{数量=7*3} </t>
  </si>
  <si>
    <t xml:space="preserve">{数量=6*4} </t>
  </si>
  <si>
    <t xml:space="preserve">{数量=1*4} </t>
  </si>
  <si>
    <t xml:space="preserve">{数量=2*4} </t>
  </si>
  <si>
    <t>｜｜｜基層</t>
  </si>
  <si>
    <t>11号内訳書</t>
  </si>
  <si>
    <t>｜｜｜｜ペネトールS</t>
  </si>
  <si>
    <t xml:space="preserve">s00328286 </t>
  </si>
  <si>
    <t xml:space="preserve">{数量=2,391*1.26} </t>
  </si>
  <si>
    <t>｜｜｜｜ﾃﾞｨｽﾄﾘﾋﾞｭｰﾀ(昼)</t>
  </si>
  <si>
    <t xml:space="preserve">k00328061 </t>
  </si>
  <si>
    <t>｜｜｜｜再生粗粒As</t>
  </si>
  <si>
    <t xml:space="preserve">s00328255 </t>
  </si>
  <si>
    <t xml:space="preserve">{数量=2,391*0.05*2.389*1.07} </t>
  </si>
  <si>
    <t>｜｜｜｜ﾀﾞﾝﾌﾟﾄﾗｯｸ常用8ｔ</t>
  </si>
  <si>
    <t xml:space="preserve">u00328005 </t>
  </si>
  <si>
    <t>｜｜｜｜ASﾌｨﾆｯｼｬｰ6.0m</t>
  </si>
  <si>
    <t>低騒音OPAJ付</t>
  </si>
  <si>
    <t xml:space="preserve">k00328036 </t>
  </si>
  <si>
    <t xml:space="preserve">{数量=2*1} </t>
  </si>
  <si>
    <t>｜｜｜｜散水車</t>
  </si>
  <si>
    <t>4ｔ</t>
  </si>
  <si>
    <t xml:space="preserve">k00328059 </t>
  </si>
  <si>
    <t>｜｜｜表層</t>
  </si>
  <si>
    <t>12号内訳書</t>
  </si>
  <si>
    <t>｜｜｜｜ﾀｯｸﾌｧｲﾝSQ</t>
  </si>
  <si>
    <t xml:space="preserve">s00328284 </t>
  </si>
  <si>
    <t xml:space="preserve">{数量=(2,417*0.43)/1,000} </t>
  </si>
  <si>
    <t>｜｜｜｜ﾃﾞｨｽﾄﾘﾋﾞｭｰﾀ(昼)SQ</t>
  </si>
  <si>
    <t xml:space="preserve">k00328109 </t>
  </si>
  <si>
    <t>｜｜｜｜再生密粒As</t>
  </si>
  <si>
    <t xml:space="preserve">s00328259 </t>
  </si>
  <si>
    <t xml:space="preserve">{数量=2,417*0.05*2.375*1.07} </t>
  </si>
  <si>
    <t xml:space="preserve">{数量=8*2} </t>
  </si>
  <si>
    <t>｜｜車道舗装（取付）</t>
  </si>
  <si>
    <t>2号内訳書</t>
  </si>
  <si>
    <t>13号内訳書</t>
  </si>
  <si>
    <t xml:space="preserve">{数量=163*0.03*1.8} </t>
  </si>
  <si>
    <t>｜｜｜｜ﾀﾞﾝﾌﾟﾄﾗｯｸ常用4ｔ</t>
  </si>
  <si>
    <t xml:space="preserve">u00328001 </t>
  </si>
  <si>
    <t>3t</t>
  </si>
  <si>
    <t xml:space="preserve">k00328001 </t>
  </si>
  <si>
    <t>14号内訳書</t>
  </si>
  <si>
    <t xml:space="preserve">{数量=163*0.1*1.8*1.27} </t>
  </si>
  <si>
    <t>15号内訳書</t>
  </si>
  <si>
    <t xml:space="preserve">{数量=166*1.26} </t>
  </si>
  <si>
    <t xml:space="preserve">{数量=166*0.05*2.375*1.07} </t>
  </si>
  <si>
    <t>｜｜歩道舗装（アンダーパス部）</t>
  </si>
  <si>
    <t>3号内訳書</t>
  </si>
  <si>
    <t>｜｜｜路床整正</t>
  </si>
  <si>
    <t>16号内訳書</t>
  </si>
  <si>
    <t xml:space="preserve">{数量=6*3} </t>
  </si>
  <si>
    <t xml:space="preserve">{数量=1*3} </t>
  </si>
  <si>
    <t xml:space="preserve">{数量=2*3} </t>
  </si>
  <si>
    <t>17号内訳書</t>
  </si>
  <si>
    <t xml:space="preserve">{数量=1,953*0.1*1.8} </t>
  </si>
  <si>
    <t>18号内訳書</t>
  </si>
  <si>
    <t xml:space="preserve">{数量=1,953*1.26} </t>
  </si>
  <si>
    <t xml:space="preserve">{数量=1,953*0.03*2.369*1.07} </t>
  </si>
  <si>
    <t xml:space="preserve">{数量=5*2} </t>
  </si>
  <si>
    <t>｜｜｜｜ASﾌｨﾆｯｼｬｰ4.3m</t>
  </si>
  <si>
    <t>ﾜﾝﾏﾝ仕様  低騒音OP付</t>
  </si>
  <si>
    <t xml:space="preserve">k00328034 </t>
  </si>
  <si>
    <t>｜｜歩道舗装（透水性舗装）</t>
  </si>
  <si>
    <t>4号内訳書</t>
  </si>
  <si>
    <t>19号内訳書</t>
  </si>
  <si>
    <t xml:space="preserve">{数量=323*0.03*1.8} </t>
  </si>
  <si>
    <t>｜｜｜透水性舗装</t>
  </si>
  <si>
    <t>20号内訳書</t>
  </si>
  <si>
    <t>｜｜｜｜開粒As</t>
  </si>
  <si>
    <t xml:space="preserve">s00328252 </t>
  </si>
  <si>
    <t xml:space="preserve">{数量=323*0.04*2.12*1.07} </t>
  </si>
  <si>
    <t>｜｜歩道舗装（車両乗入）</t>
  </si>
  <si>
    <t>5号内訳書</t>
  </si>
  <si>
    <t>21号内訳書</t>
  </si>
  <si>
    <t xml:space="preserve">{数量=17*0.03*1.8} </t>
  </si>
  <si>
    <t>22号内訳書</t>
  </si>
  <si>
    <t xml:space="preserve">{数量=17*1.26} </t>
  </si>
  <si>
    <t xml:space="preserve">{数量=17*0.05*2.369*1.07} </t>
  </si>
  <si>
    <t>｜｜法定福利費</t>
  </si>
  <si>
    <t>6号内訳書</t>
  </si>
  <si>
    <t>｜｜｜法定福利費</t>
  </si>
  <si>
    <t>舗装班</t>
  </si>
  <si>
    <t>｜｜諸経費</t>
  </si>
  <si>
    <t>7号内訳書</t>
  </si>
  <si>
    <t>｜｜｜諸経費</t>
  </si>
  <si>
    <t>｜｜調整費</t>
  </si>
  <si>
    <t>8号内訳書</t>
  </si>
  <si>
    <t>｜｜｜調整費</t>
  </si>
  <si>
    <t>予算2</t>
    <phoneticPr fontId="6"/>
  </si>
  <si>
    <t>重機運搬費</t>
  </si>
  <si>
    <t>社員給料</t>
  </si>
  <si>
    <t>技術管理費</t>
  </si>
  <si>
    <t>雑費</t>
  </si>
  <si>
    <t>0</t>
  </si>
  <si>
    <t>#DIV/0!</t>
  </si>
  <si>
    <t>｜共通仮設費</t>
  </si>
  <si>
    <t>｜｜重機運搬費</t>
  </si>
  <si>
    <t>23号内訳書</t>
  </si>
  <si>
    <t>｜｜｜回送  4ｔｾﾙﾌ</t>
  </si>
  <si>
    <t>BH,TR,TD,TS</t>
  </si>
  <si>
    <t>回</t>
  </si>
  <si>
    <t xml:space="preserve">u00328008 </t>
  </si>
  <si>
    <t>｜｜｜回送  大型ｾﾙﾌ</t>
  </si>
  <si>
    <t>MR,TR</t>
  </si>
  <si>
    <t xml:space="preserve">u00328009 </t>
  </si>
  <si>
    <t>｜｜｜回送  ﾄﾚｰﾗｰ</t>
  </si>
  <si>
    <t>MG</t>
  </si>
  <si>
    <t xml:space="preserve">u00328010 </t>
  </si>
  <si>
    <t>｜｜｜AF回送  大型ｾﾙﾌ</t>
  </si>
  <si>
    <t>4.3m級</t>
  </si>
  <si>
    <t xml:space="preserve">u00328014 </t>
  </si>
  <si>
    <t>4.4m～6.0m級</t>
  </si>
  <si>
    <t xml:space="preserve">u00328015 </t>
  </si>
  <si>
    <t>｜｜技術管理費</t>
  </si>
  <si>
    <t>(土質試験・ASP・MC施工関係・完成図書 等)</t>
  </si>
  <si>
    <t>24号内訳書</t>
  </si>
  <si>
    <t>｜｜｜現場密度試験</t>
  </si>
  <si>
    <t xml:space="preserve">g00328042 </t>
  </si>
  <si>
    <t>｜｜｜平坦性試験</t>
  </si>
  <si>
    <t>｜｜｜ｺｱｰ採取</t>
  </si>
  <si>
    <t>最低補償</t>
  </si>
  <si>
    <t xml:space="preserve">g00328039 </t>
  </si>
  <si>
    <t>｜｜｜汚泥処分費</t>
  </si>
  <si>
    <t xml:space="preserve">g00328024 </t>
  </si>
  <si>
    <t>｜｜｜汚泥運搬費</t>
  </si>
  <si>
    <t xml:space="preserve">g00328025 </t>
  </si>
  <si>
    <t>25号</t>
  </si>
  <si>
    <t>(現場特有で発生が見込まれる費用　等)</t>
  </si>
  <si>
    <t>26号</t>
  </si>
  <si>
    <t>｜現場経費</t>
  </si>
  <si>
    <t>｜｜社員給料</t>
  </si>
  <si>
    <t>25号内訳書</t>
  </si>
  <si>
    <t>｜｜｜現場代理人(3級)昼</t>
  </si>
  <si>
    <t>日</t>
  </si>
  <si>
    <t xml:space="preserve">m00328015 </t>
  </si>
  <si>
    <t>｜｜｜現場代理人(1級)昼</t>
  </si>
  <si>
    <t xml:space="preserve">m00328023 </t>
  </si>
  <si>
    <t>｜｜雑費</t>
  </si>
  <si>
    <t>26号内訳書</t>
  </si>
  <si>
    <t>｜｜｜雑材</t>
  </si>
  <si>
    <t>養生関係他</t>
  </si>
  <si>
    <t>工事名称</t>
    <phoneticPr fontId="6"/>
  </si>
  <si>
    <t>24-012★(仮称)上郷河原口線道路新設工事(本線部)</t>
    <phoneticPr fontId="6"/>
  </si>
  <si>
    <t>2420710012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</si>
  <si>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</si>
  <si>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</si>
  <si>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</si>
  <si>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</si>
  <si>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</si>
  <si>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</si>
  <si>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</si>
  <si>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RC-40(t)</t>
    <phoneticPr fontId="6"/>
  </si>
  <si>
    <t>t</t>
    <phoneticPr fontId="6"/>
  </si>
  <si>
    <t>引取</t>
    <phoneticPr fontId="6"/>
  </si>
  <si>
    <t>材料費</t>
    <phoneticPr fontId="6"/>
  </si>
  <si>
    <t>RM-40(t)</t>
    <phoneticPr fontId="6"/>
  </si>
  <si>
    <t>ﾀｯｸﾌｧｲﾝSQ</t>
    <phoneticPr fontId="6"/>
  </si>
  <si>
    <t>ペネトールS</t>
    <phoneticPr fontId="6"/>
  </si>
  <si>
    <t>L</t>
    <phoneticPr fontId="6"/>
  </si>
  <si>
    <t>開粒As</t>
    <phoneticPr fontId="6"/>
  </si>
  <si>
    <t>軽油</t>
    <phoneticPr fontId="6"/>
  </si>
  <si>
    <t>再生粗粒As</t>
    <phoneticPr fontId="6"/>
  </si>
  <si>
    <t>再生密粒As</t>
    <phoneticPr fontId="6"/>
  </si>
  <si>
    <t>雑材</t>
    <phoneticPr fontId="6"/>
  </si>
  <si>
    <t>式</t>
    <phoneticPr fontId="6"/>
  </si>
  <si>
    <t>材料調書</t>
    <phoneticPr fontId="6"/>
  </si>
  <si>
    <t>養生関係他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</si>
  <si>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</si>
  <si>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</si>
  <si>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</si>
  <si>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</si>
  <si>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</si>
  <si>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</si>
  <si>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</si>
  <si>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</si>
  <si>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</si>
  <si>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現場密度試験</t>
    <phoneticPr fontId="6"/>
  </si>
  <si>
    <t>諸経費</t>
    <phoneticPr fontId="6"/>
  </si>
  <si>
    <t>舗装班</t>
    <phoneticPr fontId="6"/>
  </si>
  <si>
    <t>平坦性試験</t>
    <phoneticPr fontId="6"/>
  </si>
  <si>
    <t>ASﾌｨﾆｯｼｬｰ4.3m</t>
    <phoneticPr fontId="6"/>
  </si>
  <si>
    <t>台</t>
    <phoneticPr fontId="6"/>
  </si>
  <si>
    <t>ﾜﾝﾏﾝ仕様  低騒音OP付</t>
    <phoneticPr fontId="6"/>
  </si>
  <si>
    <t>機械費</t>
    <phoneticPr fontId="6"/>
  </si>
  <si>
    <t>ASﾌｨﾆｯｼｬｰ6.0m</t>
    <phoneticPr fontId="6"/>
  </si>
  <si>
    <t>低騒音OPAJ付</t>
    <phoneticPr fontId="6"/>
  </si>
  <si>
    <t>BH0.15ｸﾚｰﾝ</t>
    <phoneticPr fontId="6"/>
  </si>
  <si>
    <t>ﾀｲﾔｼｮﾍﾞﾙ0.4</t>
    <phoneticPr fontId="6"/>
  </si>
  <si>
    <t>ﾀｲﾔﾛｰﾗ</t>
    <phoneticPr fontId="6"/>
  </si>
  <si>
    <t>3t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</si>
  <si>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</si>
  <si>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</si>
  <si>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</si>
  <si>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</t>
    <phoneticPr fontId="6"/>
  </si>
  <si>
    <t>ﾃﾞｨｽﾄﾘﾋﾞｭｰﾀ(昼)SQ</t>
    <phoneticPr fontId="6"/>
  </si>
  <si>
    <t>ﾋﾞﾌﾞﾛﾌﾟﾚｰﾄ</t>
    <phoneticPr fontId="6"/>
  </si>
  <si>
    <t>ﾏｶﾀﾞﾑﾛｰﾗ</t>
    <phoneticPr fontId="6"/>
  </si>
  <si>
    <t>ﾓｰﾀｰｸﾞﾚｰﾀﾞ</t>
    <phoneticPr fontId="6"/>
  </si>
  <si>
    <t>3.1m</t>
    <phoneticPr fontId="6"/>
  </si>
  <si>
    <t>ﾗﾝﾏｰ</t>
    <phoneticPr fontId="6"/>
  </si>
  <si>
    <t>散水車</t>
    <phoneticPr fontId="6"/>
  </si>
  <si>
    <t>4ｔ</t>
    <phoneticPr fontId="6"/>
  </si>
  <si>
    <t>2ｔﾀﾞﾝﾌﾟ</t>
    <phoneticPr fontId="6"/>
  </si>
  <si>
    <t>運搬費</t>
    <phoneticPr fontId="6"/>
  </si>
  <si>
    <t>4ｔﾀﾞﾝﾌﾟ</t>
    <phoneticPr fontId="6"/>
  </si>
  <si>
    <t>AF回送  大型ｾﾙﾌ</t>
    <phoneticPr fontId="6"/>
  </si>
  <si>
    <t>回</t>
    <phoneticPr fontId="6"/>
  </si>
  <si>
    <t>4.3m級</t>
    <phoneticPr fontId="6"/>
  </si>
  <si>
    <t>4.4m～6.0m級</t>
    <phoneticPr fontId="6"/>
  </si>
  <si>
    <t>ﾀﾞﾝﾌﾟﾄﾗｯｸ常用10ｔ</t>
    <phoneticPr fontId="6"/>
  </si>
  <si>
    <t>ｵﾍﾟ燃料付</t>
    <phoneticPr fontId="6"/>
  </si>
  <si>
    <t>ﾀﾞﾝﾌﾟﾄﾗｯｸ常用4ｔ</t>
    <phoneticPr fontId="6"/>
  </si>
  <si>
    <t>ﾀﾞﾝﾌﾟﾄﾗｯｸ常用8ｔ</t>
    <phoneticPr fontId="6"/>
  </si>
  <si>
    <t>回送  4ｔｾﾙﾌ</t>
    <phoneticPr fontId="6"/>
  </si>
  <si>
    <t>BH,TR,TD,TS</t>
    <phoneticPr fontId="6"/>
  </si>
  <si>
    <t>回送  ﾄﾚｰﾗｰ</t>
    <phoneticPr fontId="6"/>
  </si>
  <si>
    <t>MG</t>
    <phoneticPr fontId="6"/>
  </si>
  <si>
    <t>回送  大型ｾﾙﾌ</t>
    <phoneticPr fontId="6"/>
  </si>
  <si>
    <t>MR,TR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</si>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</sst>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22200000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18570000</v>
      </c>
      <c r="J16" s="420"/>
      <c r="K16" s="420"/>
      <c r="L16" s="420"/>
      <c r="M16" s="420"/>
      <c r="N16" s="420"/>
      <c r="O16" s="420"/>
      <c r="P16" s="420"/>
      <c r="Q16" s="416">
        <v>0.83650000000000002</v>
      </c>
      <c r="R16" s="416"/>
      <c r="S16" s="416"/>
      <c r="U16" s="417" t="s">
        <v>16</v>
      </c>
      <c r="V16" s="418"/>
      <c r="W16" s="418"/>
      <c r="X16" s="418"/>
      <c r="Y16" s="419">
        <v>3630000</v>
      </c>
      <c r="Z16" s="420"/>
      <c r="AA16" s="420"/>
      <c r="AB16" s="420"/>
      <c r="AC16" s="420"/>
      <c r="AD16" s="420"/>
      <c r="AE16" s="420"/>
      <c r="AF16" s="420"/>
      <c r="AG16" s="416">
        <v>0.16350000000000001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45397</v>
      </c>
      <c r="D3" s="458"/>
      <c r="E3" s="272" t="s">
        <v>139</v>
      </c>
      <c r="F3" s="459">
        <v>45471</v>
      </c>
      <c r="G3" s="459"/>
      <c r="H3" s="459"/>
      <c r="I3" s="273"/>
      <c r="J3" s="273"/>
      <c r="K3" s="460" t="s">
        <v>30</v>
      </c>
      <c r="L3" s="461"/>
      <c r="M3" s="462"/>
      <c r="N3" s="449">
        <v>22200000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558624</v>
      </c>
      <c r="D5" s="335">
        <f>IF(C5&lt;&gt;"",C5/$C$20,"")</f>
        <v>3.3827328776185758E-2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2748960</v>
      </c>
      <c r="D6" s="336">
        <f t="shared" ref="D6:D17" si="0">IF(C6&lt;&gt;"",C6/$C$20,"")</f>
        <v>0.16646254674447142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3309144</v>
      </c>
      <c r="D7" s="336">
        <f t="shared" si="0"/>
        <v>0.20038434090862986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3939710</v>
      </c>
      <c r="D8" s="336">
        <f t="shared" si="0"/>
        <v>0.23856809849348901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154</v>
      </c>
      <c r="C9" s="277">
        <v>129911</v>
      </c>
      <c r="D9" s="336">
        <f t="shared" si="0"/>
        <v>7.8667262928965968E-3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155</v>
      </c>
      <c r="C10" s="277">
        <v>149960</v>
      </c>
      <c r="D10" s="336">
        <f t="shared" si="0"/>
        <v>9.0807881925531603E-3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157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158</v>
      </c>
      <c r="C12" s="277">
        <v>529263</v>
      </c>
      <c r="D12" s="336">
        <f t="shared" si="0"/>
        <v>3.2049381176015357E-2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154</v>
      </c>
      <c r="C13" s="277">
        <v>1349523</v>
      </c>
      <c r="D13" s="336">
        <f t="shared" si="0"/>
        <v>8.1720008828880489E-2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157</v>
      </c>
      <c r="C14" s="277">
        <v>2368989</v>
      </c>
      <c r="D14" s="336">
        <f t="shared" si="0"/>
        <v>0.14345350319744143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154</v>
      </c>
      <c r="C15" s="277">
        <v>219963</v>
      </c>
      <c r="D15" s="336">
        <f t="shared" si="0"/>
        <v>1.3319801368355366E-2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159</v>
      </c>
      <c r="C16" s="277">
        <v>709954</v>
      </c>
      <c r="D16" s="336">
        <f t="shared" si="0"/>
        <v>4.2991076956894414E-2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154</v>
      </c>
      <c r="C17" s="278">
        <v>9996</v>
      </c>
      <c r="D17" s="336">
        <f t="shared" si="0"/>
        <v>6.0530513985570416E-4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157</v>
      </c>
      <c r="C18" s="278">
        <v>29988</v>
      </c>
      <c r="D18" s="336">
        <f>IF(C18&lt;&gt;"",C18/$C$20,"")</f>
        <v>1.8159154195671124E-3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160</v>
      </c>
      <c r="C19" s="278">
        <v>460000</v>
      </c>
      <c r="D19" s="336">
        <f>IF(C19&lt;&gt;"",C19/$C$20,"")</f>
        <v>2.7855178504764294E-2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16513985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161</v>
      </c>
      <c r="L5" s="283" t="s">
        <v>162</v>
      </c>
      <c r="M5" s="284">
        <v>2208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163</v>
      </c>
      <c r="L6" s="290" t="s">
        <v>162</v>
      </c>
      <c r="M6" s="291">
        <v>2208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164</v>
      </c>
      <c r="L7" s="290" t="s">
        <v>162</v>
      </c>
      <c r="M7" s="291">
        <v>2391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165</v>
      </c>
      <c r="L8" s="290" t="s">
        <v>162</v>
      </c>
      <c r="M8" s="291">
        <v>2417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154</v>
      </c>
      <c r="K9" s="289" t="s">
        <v>161</v>
      </c>
      <c r="L9" s="290" t="s">
        <v>162</v>
      </c>
      <c r="M9" s="291">
        <v>163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155</v>
      </c>
      <c r="K10" s="289" t="s">
        <v>166</v>
      </c>
      <c r="L10" s="290" t="s">
        <v>162</v>
      </c>
      <c r="M10" s="291">
        <v>163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157</v>
      </c>
      <c r="K11" s="289" t="s">
        <v>165</v>
      </c>
      <c r="L11" s="290" t="s">
        <v>162</v>
      </c>
      <c r="M11" s="291"/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158</v>
      </c>
      <c r="K12" s="289"/>
      <c r="L12" s="290" t="s">
        <v>162</v>
      </c>
      <c r="M12" s="291">
        <v>1953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154</v>
      </c>
      <c r="K13" s="289" t="s">
        <v>167</v>
      </c>
      <c r="L13" s="290" t="s">
        <v>162</v>
      </c>
      <c r="M13" s="291">
        <v>1953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157</v>
      </c>
      <c r="K14" s="289" t="s">
        <v>168</v>
      </c>
      <c r="L14" s="290" t="s">
        <v>162</v>
      </c>
      <c r="M14" s="291">
        <v>1953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154</v>
      </c>
      <c r="K15" s="289" t="s">
        <v>169</v>
      </c>
      <c r="L15" s="290" t="s">
        <v>162</v>
      </c>
      <c r="M15" s="291">
        <v>323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159</v>
      </c>
      <c r="K16" s="289" t="s">
        <v>170</v>
      </c>
      <c r="L16" s="290" t="s">
        <v>162</v>
      </c>
      <c r="M16" s="291">
        <v>323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154</v>
      </c>
      <c r="K17" s="289" t="s">
        <v>169</v>
      </c>
      <c r="L17" s="290" t="s">
        <v>162</v>
      </c>
      <c r="M17" s="291">
        <v>17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157</v>
      </c>
      <c r="K18" s="289" t="s">
        <v>171</v>
      </c>
      <c r="L18" s="290" t="s">
        <v>162</v>
      </c>
      <c r="M18" s="291">
        <v>17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160</v>
      </c>
      <c r="K19" s="295"/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180</v>
      </c>
      <c r="D5" s="512"/>
      <c r="E5" s="246" t="s">
        <v>133</v>
      </c>
      <c r="F5" s="513" t="s">
        <v>181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182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173</v>
      </c>
      <c r="I6" s="110" t="s">
        <v>174</v>
      </c>
      <c r="J6" s="110" t="s">
        <v>175</v>
      </c>
      <c r="K6" s="110" t="s">
        <v>176</v>
      </c>
      <c r="L6" s="110" t="s">
        <v>177</v>
      </c>
      <c r="M6" s="111" t="s">
        <v>178</v>
      </c>
      <c r="N6" s="110" t="s">
        <v>179</v>
      </c>
      <c r="O6" s="112" t="s">
        <v>160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22200000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18570000</v>
      </c>
      <c r="G8" s="334">
        <v>0.83650000000000002</v>
      </c>
      <c r="H8" s="250">
        <v>8480700</v>
      </c>
      <c r="I8" s="251">
        <v>2898000</v>
      </c>
      <c r="J8" s="251">
        <v>852000</v>
      </c>
      <c r="K8" s="251">
        <v>1365300</v>
      </c>
      <c r="L8" s="252">
        <v>3884000</v>
      </c>
      <c r="M8" s="252"/>
      <c r="N8" s="253">
        <v>630000</v>
      </c>
      <c r="O8" s="254">
        <v>460000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17240000</v>
      </c>
      <c r="G9" s="334">
        <v>0.77659999999999996</v>
      </c>
      <c r="H9" s="250">
        <v>8446700</v>
      </c>
      <c r="I9" s="251">
        <v>2898000</v>
      </c>
      <c r="J9" s="251">
        <v>720000</v>
      </c>
      <c r="K9" s="251">
        <v>1365300</v>
      </c>
      <c r="L9" s="252">
        <v>3350000</v>
      </c>
      <c r="M9" s="252"/>
      <c r="N9" s="253"/>
      <c r="O9" s="254">
        <v>460000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666000</v>
      </c>
      <c r="G10" s="334">
        <v>0.03</v>
      </c>
      <c r="H10" s="250"/>
      <c r="I10" s="253"/>
      <c r="J10" s="253">
        <v>132000</v>
      </c>
      <c r="K10" s="253"/>
      <c r="L10" s="251">
        <v>534000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664000</v>
      </c>
      <c r="G11" s="334">
        <v>2.9899999999999999E-2</v>
      </c>
      <c r="H11" s="250">
        <v>34000</v>
      </c>
      <c r="I11" s="253"/>
      <c r="J11" s="253"/>
      <c r="K11" s="253"/>
      <c r="L11" s="251"/>
      <c r="M11" s="252"/>
      <c r="N11" s="253">
        <v>630000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183</v>
      </c>
      <c r="D12" s="492"/>
      <c r="E12" s="113" t="s">
        <v>66</v>
      </c>
      <c r="F12" s="249">
        <v>3630000</v>
      </c>
      <c r="G12" s="334">
        <v>0.16350000000000001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184</v>
      </c>
      <c r="D13" s="492"/>
      <c r="E13" s="169" t="s">
        <v>110</v>
      </c>
      <c r="F13" s="249">
        <v>1443000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185</v>
      </c>
      <c r="D14" s="493"/>
      <c r="E14" s="114" t="s">
        <v>111</v>
      </c>
      <c r="F14" s="249">
        <v>1110000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186</v>
      </c>
      <c r="D15" s="495"/>
      <c r="E15" s="114" t="s">
        <v>112</v>
      </c>
      <c r="F15" s="249">
        <v>333000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186</v>
      </c>
      <c r="D16" s="493"/>
      <c r="E16" s="113" t="s">
        <v>113</v>
      </c>
      <c r="F16" s="249">
        <v>2187000</v>
      </c>
      <c r="G16" s="334">
        <v>9.8500000000000004E-2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222000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1965000</v>
      </c>
      <c r="G18" s="334">
        <v>8.8499999999999995E-2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188</v>
      </c>
      <c r="C8" s="166"/>
      <c r="D8" s="517" t="s">
        <v>172</v>
      </c>
      <c r="E8" s="519">
        <v>1</v>
      </c>
      <c r="F8" s="521">
        <v>10556438</v>
      </c>
      <c r="G8" s="523">
        <v>10556438</v>
      </c>
      <c r="H8" s="351" t="s">
        <v>190</v>
      </c>
      <c r="I8" s="525">
        <v>0.47549999999999998</v>
      </c>
      <c r="J8" s="227"/>
      <c r="K8" s="69" t="s">
        <v>96</v>
      </c>
    </row>
    <row r="9" spans="1:11" ht="15.6" customHeight="1">
      <c r="A9" s="69"/>
      <c r="B9" s="224" t="s">
        <v>189</v>
      </c>
      <c r="C9" s="225"/>
      <c r="D9" s="518"/>
      <c r="E9" s="520"/>
      <c r="F9" s="522"/>
      <c r="G9" s="524"/>
      <c r="H9" s="352" t="s">
        <v>191</v>
      </c>
      <c r="I9" s="526"/>
      <c r="J9" s="227"/>
      <c r="K9" s="69" t="s">
        <v>96</v>
      </c>
    </row>
    <row r="10" spans="1:11" ht="15.6" customHeight="1">
      <c r="A10" s="69"/>
      <c r="B10" s="222" t="s">
        <v>192</v>
      </c>
      <c r="C10" s="166"/>
      <c r="D10" s="517" t="s">
        <v>172</v>
      </c>
      <c r="E10" s="519">
        <v>1</v>
      </c>
      <c r="F10" s="521">
        <v>279871</v>
      </c>
      <c r="G10" s="523">
        <v>279871</v>
      </c>
      <c r="H10" s="351" t="s">
        <v>193</v>
      </c>
      <c r="I10" s="525">
        <v>1.26E-2</v>
      </c>
      <c r="J10" s="223"/>
      <c r="K10" s="69" t="s">
        <v>96</v>
      </c>
    </row>
    <row r="11" spans="1:11" ht="15.6" customHeight="1">
      <c r="A11" s="69"/>
      <c r="B11" s="224" t="s">
        <v>189</v>
      </c>
      <c r="C11" s="225"/>
      <c r="D11" s="518"/>
      <c r="E11" s="520"/>
      <c r="F11" s="522"/>
      <c r="G11" s="524"/>
      <c r="H11" s="352" t="s">
        <v>191</v>
      </c>
      <c r="I11" s="526"/>
      <c r="J11" s="226"/>
      <c r="K11" s="69" t="s">
        <v>96</v>
      </c>
    </row>
    <row r="12" spans="1:11" ht="15.6" customHeight="1">
      <c r="A12" s="69"/>
      <c r="B12" s="222" t="s">
        <v>194</v>
      </c>
      <c r="C12" s="166"/>
      <c r="D12" s="517" t="s">
        <v>172</v>
      </c>
      <c r="E12" s="519">
        <v>1</v>
      </c>
      <c r="F12" s="521">
        <v>4247775</v>
      </c>
      <c r="G12" s="523">
        <v>4247775</v>
      </c>
      <c r="H12" s="351" t="s">
        <v>195</v>
      </c>
      <c r="I12" s="525">
        <v>0.1913</v>
      </c>
      <c r="J12" s="223"/>
      <c r="K12" s="69" t="s">
        <v>96</v>
      </c>
    </row>
    <row r="13" spans="1:11" ht="15.6" customHeight="1">
      <c r="A13" s="69"/>
      <c r="B13" s="224" t="s">
        <v>189</v>
      </c>
      <c r="C13" s="225"/>
      <c r="D13" s="518"/>
      <c r="E13" s="520"/>
      <c r="F13" s="522"/>
      <c r="G13" s="524"/>
      <c r="H13" s="352" t="s">
        <v>191</v>
      </c>
      <c r="I13" s="526"/>
      <c r="J13" s="226"/>
      <c r="K13" s="69" t="s">
        <v>96</v>
      </c>
    </row>
    <row r="14" spans="1:11" ht="15.6" customHeight="1">
      <c r="A14" s="69"/>
      <c r="B14" s="222" t="s">
        <v>196</v>
      </c>
      <c r="C14" s="166"/>
      <c r="D14" s="517" t="s">
        <v>172</v>
      </c>
      <c r="E14" s="519">
        <v>1</v>
      </c>
      <c r="F14" s="521">
        <v>929917</v>
      </c>
      <c r="G14" s="523">
        <v>929917</v>
      </c>
      <c r="H14" s="351" t="s">
        <v>197</v>
      </c>
      <c r="I14" s="525">
        <v>4.1799999999999997E-2</v>
      </c>
      <c r="J14" s="223"/>
      <c r="K14" s="69" t="s">
        <v>96</v>
      </c>
    </row>
    <row r="15" spans="1:11" ht="15.6" customHeight="1">
      <c r="A15" s="69"/>
      <c r="B15" s="224" t="s">
        <v>189</v>
      </c>
      <c r="C15" s="225"/>
      <c r="D15" s="518"/>
      <c r="E15" s="520"/>
      <c r="F15" s="522"/>
      <c r="G15" s="524"/>
      <c r="H15" s="352" t="s">
        <v>191</v>
      </c>
      <c r="I15" s="526"/>
      <c r="J15" s="226"/>
      <c r="K15" s="69" t="s">
        <v>96</v>
      </c>
    </row>
    <row r="16" spans="1:11" ht="15.6" customHeight="1">
      <c r="A16" s="69"/>
      <c r="B16" s="222" t="s">
        <v>198</v>
      </c>
      <c r="C16" s="166"/>
      <c r="D16" s="517" t="s">
        <v>172</v>
      </c>
      <c r="E16" s="519">
        <v>1</v>
      </c>
      <c r="F16" s="521">
        <v>39984</v>
      </c>
      <c r="G16" s="523">
        <v>39984</v>
      </c>
      <c r="H16" s="351" t="s">
        <v>199</v>
      </c>
      <c r="I16" s="525">
        <v>1.8E-3</v>
      </c>
      <c r="J16" s="223"/>
      <c r="K16" s="69" t="s">
        <v>96</v>
      </c>
    </row>
    <row r="17" spans="1:11" ht="15.6" customHeight="1">
      <c r="A17" s="69"/>
      <c r="B17" s="224" t="s">
        <v>189</v>
      </c>
      <c r="C17" s="225"/>
      <c r="D17" s="518"/>
      <c r="E17" s="520"/>
      <c r="F17" s="522"/>
      <c r="G17" s="524"/>
      <c r="H17" s="352" t="s">
        <v>191</v>
      </c>
      <c r="I17" s="526"/>
      <c r="J17" s="226"/>
      <c r="K17" s="69" t="s">
        <v>96</v>
      </c>
    </row>
    <row r="18" spans="1:11" ht="15.6" customHeight="1">
      <c r="A18" s="69"/>
      <c r="B18" s="222" t="s">
        <v>200</v>
      </c>
      <c r="C18" s="166"/>
      <c r="D18" s="517" t="s">
        <v>172</v>
      </c>
      <c r="E18" s="519">
        <v>1</v>
      </c>
      <c r="F18" s="521">
        <v>460000</v>
      </c>
      <c r="G18" s="523">
        <v>460000</v>
      </c>
      <c r="H18" s="351" t="s">
        <v>201</v>
      </c>
      <c r="I18" s="525">
        <v>2.07E-2</v>
      </c>
      <c r="J18" s="223"/>
      <c r="K18" s="69" t="s">
        <v>96</v>
      </c>
    </row>
    <row r="19" spans="1:11" ht="15.6" customHeight="1">
      <c r="A19" s="69"/>
      <c r="B19" s="224" t="s">
        <v>189</v>
      </c>
      <c r="C19" s="225"/>
      <c r="D19" s="518"/>
      <c r="E19" s="520"/>
      <c r="F19" s="522"/>
      <c r="G19" s="524"/>
      <c r="H19" s="352" t="s">
        <v>191</v>
      </c>
      <c r="I19" s="526"/>
      <c r="J19" s="226"/>
      <c r="K19" s="69" t="s">
        <v>96</v>
      </c>
    </row>
    <row r="20" spans="1:11" ht="15.6" customHeight="1">
      <c r="A20" s="69"/>
      <c r="B20" s="222" t="s">
        <v>202</v>
      </c>
      <c r="C20" s="166"/>
      <c r="D20" s="517" t="s">
        <v>172</v>
      </c>
      <c r="E20" s="519">
        <v>1</v>
      </c>
      <c r="F20" s="521">
        <v>720000</v>
      </c>
      <c r="G20" s="523">
        <v>720000</v>
      </c>
      <c r="H20" s="351" t="s">
        <v>203</v>
      </c>
      <c r="I20" s="525">
        <v>3.2399999999999998E-2</v>
      </c>
      <c r="J20" s="223"/>
      <c r="K20" s="69" t="s">
        <v>96</v>
      </c>
    </row>
    <row r="21" spans="1:11" ht="15.6" customHeight="1">
      <c r="A21" s="69"/>
      <c r="B21" s="224" t="s">
        <v>189</v>
      </c>
      <c r="C21" s="225"/>
      <c r="D21" s="518"/>
      <c r="E21" s="520"/>
      <c r="F21" s="522"/>
      <c r="G21" s="524"/>
      <c r="H21" s="352" t="s">
        <v>191</v>
      </c>
      <c r="I21" s="526"/>
      <c r="J21" s="226"/>
      <c r="K21" s="69" t="s">
        <v>96</v>
      </c>
    </row>
    <row r="22" spans="1:11" ht="15.6" customHeight="1">
      <c r="A22" s="69"/>
      <c r="B22" s="222" t="s">
        <v>204</v>
      </c>
      <c r="C22" s="166"/>
      <c r="D22" s="517" t="s">
        <v>172</v>
      </c>
      <c r="E22" s="519">
        <v>1</v>
      </c>
      <c r="F22" s="521">
        <v>6015</v>
      </c>
      <c r="G22" s="523">
        <v>6015</v>
      </c>
      <c r="H22" s="351" t="s">
        <v>205</v>
      </c>
      <c r="I22" s="525">
        <v>2.0000000000000001E-4</v>
      </c>
      <c r="J22" s="223"/>
      <c r="K22" s="69" t="s">
        <v>96</v>
      </c>
    </row>
    <row r="23" spans="1:11" ht="15.6" customHeight="1">
      <c r="A23" s="69"/>
      <c r="B23" s="224" t="s">
        <v>189</v>
      </c>
      <c r="C23" s="225"/>
      <c r="D23" s="518"/>
      <c r="E23" s="520"/>
      <c r="F23" s="522"/>
      <c r="G23" s="524"/>
      <c r="H23" s="352" t="s">
        <v>191</v>
      </c>
      <c r="I23" s="526"/>
      <c r="J23" s="226"/>
      <c r="K23" s="69" t="s">
        <v>96</v>
      </c>
    </row>
    <row r="24" spans="1:11" ht="15.6" customHeight="1">
      <c r="A24" s="69"/>
      <c r="B24" s="222" t="s">
        <v>206</v>
      </c>
      <c r="C24" s="166"/>
      <c r="D24" s="517"/>
      <c r="E24" s="519"/>
      <c r="F24" s="521"/>
      <c r="G24" s="523">
        <v>17240000</v>
      </c>
      <c r="H24" s="351"/>
      <c r="I24" s="525">
        <v>0.77659999999999996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207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208</v>
      </c>
      <c r="C30" s="166"/>
      <c r="D30" s="517" t="s">
        <v>172</v>
      </c>
      <c r="E30" s="519">
        <v>1</v>
      </c>
      <c r="F30" s="521">
        <v>666000</v>
      </c>
      <c r="G30" s="523">
        <v>666000</v>
      </c>
      <c r="H30" s="351"/>
      <c r="I30" s="525">
        <v>0.03</v>
      </c>
      <c r="J30" s="223"/>
      <c r="K30" s="69" t="s">
        <v>96</v>
      </c>
    </row>
    <row r="31" spans="1:11" ht="15.6" customHeight="1">
      <c r="A31" s="69"/>
      <c r="B31" s="224" t="s">
        <v>189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209</v>
      </c>
      <c r="C32" s="166"/>
      <c r="D32" s="532" t="s">
        <v>172</v>
      </c>
      <c r="E32" s="519">
        <v>1</v>
      </c>
      <c r="F32" s="521">
        <v>664000</v>
      </c>
      <c r="G32" s="523">
        <v>664000</v>
      </c>
      <c r="H32" s="351"/>
      <c r="I32" s="525">
        <v>2.9899999999999999E-2</v>
      </c>
      <c r="J32" s="223"/>
      <c r="K32" s="69" t="s">
        <v>96</v>
      </c>
    </row>
    <row r="33" spans="1:11" ht="15.6" customHeight="1">
      <c r="A33" s="69"/>
      <c r="B33" s="224" t="s">
        <v>189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210</v>
      </c>
      <c r="C34" s="166"/>
      <c r="D34" s="517"/>
      <c r="E34" s="519"/>
      <c r="F34" s="521"/>
      <c r="G34" s="523">
        <v>1330000</v>
      </c>
      <c r="H34" s="351"/>
      <c r="I34" s="525">
        <v>5.9900000000000002E-2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211</v>
      </c>
      <c r="C43" s="166"/>
      <c r="D43" s="517"/>
      <c r="E43" s="519"/>
      <c r="F43" s="521"/>
      <c r="G43" s="523">
        <v>18570000</v>
      </c>
      <c r="H43" s="351"/>
      <c r="I43" s="525">
        <v>0.83650000000000002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212</v>
      </c>
      <c r="C47" s="166"/>
      <c r="D47" s="517"/>
      <c r="E47" s="519"/>
      <c r="F47" s="521"/>
      <c r="G47" s="523">
        <v>3630000</v>
      </c>
      <c r="H47" s="351"/>
      <c r="I47" s="525">
        <v>0.16350000000000001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131</v>
      </c>
      <c r="C51" s="166"/>
      <c r="D51" s="517"/>
      <c r="E51" s="519"/>
      <c r="F51" s="521"/>
      <c r="G51" s="523">
        <v>22200000</v>
      </c>
      <c r="H51" s="351"/>
      <c r="I51" s="525">
        <v>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CB88-7F79-4CEC-9196-68011D20375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213</v>
      </c>
      <c r="C6" s="166"/>
      <c r="D6" s="517" t="s">
        <v>172</v>
      </c>
      <c r="E6" s="519">
        <v>1</v>
      </c>
      <c r="F6" s="521">
        <v>10556438</v>
      </c>
      <c r="G6" s="523">
        <v>10556438</v>
      </c>
      <c r="H6" s="351" t="s">
        <v>190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191</v>
      </c>
      <c r="I7" s="352"/>
      <c r="J7" s="226"/>
      <c r="K7" s="69" t="s">
        <v>96</v>
      </c>
    </row>
    <row r="8" spans="1:11" ht="15.6" customHeight="1">
      <c r="A8" s="69"/>
      <c r="B8" s="222" t="s">
        <v>214</v>
      </c>
      <c r="C8" s="166"/>
      <c r="D8" s="517" t="s">
        <v>172</v>
      </c>
      <c r="E8" s="519">
        <v>1</v>
      </c>
      <c r="F8" s="521">
        <v>279871</v>
      </c>
      <c r="G8" s="523">
        <v>279871</v>
      </c>
      <c r="H8" s="351" t="s">
        <v>193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191</v>
      </c>
      <c r="I9" s="352"/>
      <c r="J9" s="227"/>
      <c r="K9" s="69" t="s">
        <v>96</v>
      </c>
    </row>
    <row r="10" spans="1:11" ht="15.6" customHeight="1">
      <c r="A10" s="69"/>
      <c r="B10" s="222" t="s">
        <v>215</v>
      </c>
      <c r="C10" s="166"/>
      <c r="D10" s="517" t="s">
        <v>172</v>
      </c>
      <c r="E10" s="519">
        <v>1</v>
      </c>
      <c r="F10" s="521">
        <v>4247775</v>
      </c>
      <c r="G10" s="523">
        <v>4247775</v>
      </c>
      <c r="H10" s="351" t="s">
        <v>195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191</v>
      </c>
      <c r="I11" s="352"/>
      <c r="J11" s="226"/>
      <c r="K11" s="69" t="s">
        <v>96</v>
      </c>
    </row>
    <row r="12" spans="1:11" ht="15.6" customHeight="1">
      <c r="A12" s="69"/>
      <c r="B12" s="222" t="s">
        <v>216</v>
      </c>
      <c r="C12" s="166"/>
      <c r="D12" s="517" t="s">
        <v>172</v>
      </c>
      <c r="E12" s="519">
        <v>1</v>
      </c>
      <c r="F12" s="521">
        <v>929917</v>
      </c>
      <c r="G12" s="523">
        <v>929917</v>
      </c>
      <c r="H12" s="351" t="s">
        <v>197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191</v>
      </c>
      <c r="I13" s="352"/>
      <c r="J13" s="226"/>
      <c r="K13" s="69" t="s">
        <v>96</v>
      </c>
    </row>
    <row r="14" spans="1:11" ht="15.6" customHeight="1">
      <c r="A14" s="69"/>
      <c r="B14" s="222" t="s">
        <v>217</v>
      </c>
      <c r="C14" s="166"/>
      <c r="D14" s="517" t="s">
        <v>172</v>
      </c>
      <c r="E14" s="519">
        <v>1</v>
      </c>
      <c r="F14" s="521">
        <v>39984</v>
      </c>
      <c r="G14" s="523">
        <v>39984</v>
      </c>
      <c r="H14" s="351" t="s">
        <v>199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191</v>
      </c>
      <c r="I15" s="352"/>
      <c r="J15" s="226"/>
      <c r="K15" s="69" t="s">
        <v>96</v>
      </c>
    </row>
    <row r="16" spans="1:11" ht="15.6" customHeight="1">
      <c r="A16" s="69"/>
      <c r="B16" s="222" t="s">
        <v>160</v>
      </c>
      <c r="C16" s="166"/>
      <c r="D16" s="517" t="s">
        <v>172</v>
      </c>
      <c r="E16" s="519">
        <v>1</v>
      </c>
      <c r="F16" s="521">
        <v>460000</v>
      </c>
      <c r="G16" s="523">
        <v>460000</v>
      </c>
      <c r="H16" s="351" t="s">
        <v>201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191</v>
      </c>
      <c r="I17" s="352"/>
      <c r="J17" s="226"/>
      <c r="K17" s="69" t="s">
        <v>96</v>
      </c>
    </row>
    <row r="18" spans="1:11" ht="15.6" customHeight="1">
      <c r="A18" s="69"/>
      <c r="B18" s="222" t="s">
        <v>218</v>
      </c>
      <c r="C18" s="166"/>
      <c r="D18" s="517" t="s">
        <v>172</v>
      </c>
      <c r="E18" s="519">
        <v>1</v>
      </c>
      <c r="F18" s="521">
        <v>720000</v>
      </c>
      <c r="G18" s="523">
        <v>720000</v>
      </c>
      <c r="H18" s="351" t="s">
        <v>203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191</v>
      </c>
      <c r="I19" s="352"/>
      <c r="J19" s="226"/>
      <c r="K19" s="69" t="s">
        <v>96</v>
      </c>
    </row>
    <row r="20" spans="1:11" ht="15.6" customHeight="1">
      <c r="A20" s="69"/>
      <c r="B20" s="222" t="s">
        <v>219</v>
      </c>
      <c r="C20" s="166"/>
      <c r="D20" s="517" t="s">
        <v>172</v>
      </c>
      <c r="E20" s="519">
        <v>1</v>
      </c>
      <c r="F20" s="521">
        <v>6015</v>
      </c>
      <c r="G20" s="523">
        <v>6015</v>
      </c>
      <c r="H20" s="351" t="s">
        <v>205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191</v>
      </c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220</v>
      </c>
      <c r="C24" s="166"/>
      <c r="D24" s="517"/>
      <c r="E24" s="519"/>
      <c r="F24" s="521"/>
      <c r="G24" s="523">
        <v>17240000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90"/>
  <sheetViews>
    <sheetView tabSelected="1" zoomScaleNormal="100" zoomScaleSheetLayoutView="85" workbookViewId="0">
      <pane xSplit="4" ySplit="4" topLeftCell="E5" activePane="bottomRight" state="frozen"/>
      <selection pane="topRight"/>
      <selection pane="bottomLeft"/>
      <selection pane="bottomRight" activeCell="AG190" sqref="AG190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24-012★(仮称)上郷河原口線道路新設工事(本線部)</v>
      </c>
      <c r="G1" s="306"/>
      <c r="H1" s="190" t="s">
        <v>140</v>
      </c>
      <c r="I1" s="333">
        <v>22200000</v>
      </c>
      <c r="J1" s="339">
        <f>I4/I$1</f>
        <v>0.83648648648648649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180</v>
      </c>
      <c r="E4" s="342"/>
      <c r="F4" s="345" t="s">
        <v>172</v>
      </c>
      <c r="G4" s="308">
        <v>1</v>
      </c>
      <c r="H4" s="309">
        <v>18570000</v>
      </c>
      <c r="I4" s="309">
        <v>18570000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223</v>
      </c>
      <c r="D5" s="340" t="s">
        <v>224</v>
      </c>
      <c r="E5" s="342"/>
      <c r="F5" s="345" t="s">
        <v>172</v>
      </c>
      <c r="G5" s="308">
        <v>1</v>
      </c>
      <c r="H5" s="309">
        <v>17240000</v>
      </c>
      <c r="I5" s="309">
        <v>17240000</v>
      </c>
      <c r="J5" s="211"/>
      <c r="K5" s="212" t="str">
        <f>IF(OR(J5="",G5=J5),"","*")</f>
        <v/>
      </c>
      <c r="L5" s="338">
        <f>IF($A5&lt;=L$1,I5/I$4,"")</f>
        <v>0.92837910608508345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225</v>
      </c>
      <c r="D6" s="340" t="s">
        <v>226</v>
      </c>
      <c r="E6" s="342"/>
      <c r="F6" s="345" t="s">
        <v>172</v>
      </c>
      <c r="G6" s="308">
        <v>1</v>
      </c>
      <c r="H6" s="309">
        <v>10556438</v>
      </c>
      <c r="I6" s="309">
        <v>10556438</v>
      </c>
      <c r="J6" s="211">
        <v>1</v>
      </c>
      <c r="K6" s="212" t="str">
        <f>IF(OR(J6="",G6=J6),"","*")</f>
        <v/>
      </c>
      <c r="L6" s="338">
        <f>IF($A6&lt;=L$1,I6/I$4,"")</f>
        <v>0.56846731287022079</v>
      </c>
      <c r="M6" s="343"/>
      <c r="N6" s="344" t="s">
        <v>227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225</v>
      </c>
      <c r="D7" s="340" t="s">
        <v>228</v>
      </c>
      <c r="E7" s="342" t="s">
        <v>161</v>
      </c>
      <c r="F7" s="345" t="s">
        <v>162</v>
      </c>
      <c r="G7" s="308">
        <v>2208</v>
      </c>
      <c r="H7" s="309">
        <v>253</v>
      </c>
      <c r="I7" s="309">
        <v>558624</v>
      </c>
      <c r="J7" s="211">
        <v>2208</v>
      </c>
      <c r="K7" s="212" t="str">
        <f>IF(OR(J7="",G7=J7),"","*")</f>
        <v/>
      </c>
      <c r="L7" s="338">
        <f>IF($A7&lt;=L$1,I7/I$4,"")</f>
        <v>3.0082067851373184E-2</v>
      </c>
      <c r="M7" s="343"/>
      <c r="N7" s="344" t="s">
        <v>229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173</v>
      </c>
      <c r="D8" s="340" t="s">
        <v>230</v>
      </c>
      <c r="E8" s="342" t="s">
        <v>231</v>
      </c>
      <c r="F8" s="345" t="s">
        <v>232</v>
      </c>
      <c r="G8" s="308">
        <v>120</v>
      </c>
      <c r="H8" s="309">
        <v>500</v>
      </c>
      <c r="I8" s="309">
        <v>60000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233</v>
      </c>
      <c r="AF8" s="341" t="s">
        <v>234</v>
      </c>
    </row>
    <row r="9" spans="1:32">
      <c r="A9" s="307">
        <v>4</v>
      </c>
      <c r="B9" s="342"/>
      <c r="C9" s="342" t="s">
        <v>177</v>
      </c>
      <c r="D9" s="340" t="s">
        <v>235</v>
      </c>
      <c r="E9" s="342" t="s">
        <v>236</v>
      </c>
      <c r="F9" s="345" t="s">
        <v>237</v>
      </c>
      <c r="G9" s="308">
        <v>2</v>
      </c>
      <c r="H9" s="309">
        <v>44000</v>
      </c>
      <c r="I9" s="309">
        <v>88000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238</v>
      </c>
      <c r="AF9" s="341"/>
    </row>
    <row r="10" spans="1:32">
      <c r="A10" s="307">
        <v>4</v>
      </c>
      <c r="B10" s="342"/>
      <c r="C10" s="342" t="s">
        <v>174</v>
      </c>
      <c r="D10" s="340" t="s">
        <v>239</v>
      </c>
      <c r="E10" s="342"/>
      <c r="F10" s="345" t="s">
        <v>240</v>
      </c>
      <c r="G10" s="308">
        <v>12</v>
      </c>
      <c r="H10" s="309">
        <v>21000</v>
      </c>
      <c r="I10" s="309">
        <v>252000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241</v>
      </c>
      <c r="AF10" s="341" t="s">
        <v>242</v>
      </c>
    </row>
    <row r="11" spans="1:32">
      <c r="A11" s="307">
        <v>4</v>
      </c>
      <c r="B11" s="342"/>
      <c r="C11" s="342" t="s">
        <v>176</v>
      </c>
      <c r="D11" s="340" t="s">
        <v>243</v>
      </c>
      <c r="E11" s="342" t="s">
        <v>244</v>
      </c>
      <c r="F11" s="345" t="s">
        <v>237</v>
      </c>
      <c r="G11" s="308">
        <v>2</v>
      </c>
      <c r="H11" s="309">
        <v>12000</v>
      </c>
      <c r="I11" s="309">
        <v>24000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245</v>
      </c>
      <c r="AF11" s="341" t="s">
        <v>246</v>
      </c>
    </row>
    <row r="12" spans="1:32">
      <c r="A12" s="307">
        <v>4</v>
      </c>
      <c r="B12" s="342"/>
      <c r="C12" s="342" t="s">
        <v>176</v>
      </c>
      <c r="D12" s="340" t="s">
        <v>247</v>
      </c>
      <c r="E12" s="342"/>
      <c r="F12" s="345" t="s">
        <v>237</v>
      </c>
      <c r="G12" s="308">
        <v>2</v>
      </c>
      <c r="H12" s="309">
        <v>8000</v>
      </c>
      <c r="I12" s="309">
        <v>16000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248</v>
      </c>
      <c r="AF12" s="341" t="s">
        <v>246</v>
      </c>
    </row>
    <row r="13" spans="1:32">
      <c r="A13" s="307">
        <v>4</v>
      </c>
      <c r="B13" s="342"/>
      <c r="C13" s="342" t="s">
        <v>176</v>
      </c>
      <c r="D13" s="340" t="s">
        <v>249</v>
      </c>
      <c r="E13" s="342"/>
      <c r="F13" s="345" t="s">
        <v>237</v>
      </c>
      <c r="G13" s="308">
        <v>2</v>
      </c>
      <c r="H13" s="309">
        <v>4300</v>
      </c>
      <c r="I13" s="309">
        <v>8600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250</v>
      </c>
      <c r="AF13" s="341" t="s">
        <v>246</v>
      </c>
    </row>
    <row r="14" spans="1:32">
      <c r="A14" s="307">
        <v>4</v>
      </c>
      <c r="B14" s="342"/>
      <c r="C14" s="342" t="s">
        <v>176</v>
      </c>
      <c r="D14" s="340" t="s">
        <v>251</v>
      </c>
      <c r="E14" s="342"/>
      <c r="F14" s="345" t="s">
        <v>237</v>
      </c>
      <c r="G14" s="308">
        <v>2</v>
      </c>
      <c r="H14" s="309">
        <v>5500</v>
      </c>
      <c r="I14" s="309">
        <v>11000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252</v>
      </c>
      <c r="AF14" s="341" t="s">
        <v>246</v>
      </c>
    </row>
    <row r="15" spans="1:32">
      <c r="A15" s="307">
        <v>4</v>
      </c>
      <c r="B15" s="342"/>
      <c r="C15" s="342" t="s">
        <v>176</v>
      </c>
      <c r="D15" s="340" t="s">
        <v>253</v>
      </c>
      <c r="E15" s="342" t="s">
        <v>254</v>
      </c>
      <c r="F15" s="345" t="s">
        <v>237</v>
      </c>
      <c r="G15" s="308">
        <v>2</v>
      </c>
      <c r="H15" s="309">
        <v>5500</v>
      </c>
      <c r="I15" s="309">
        <v>11000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255</v>
      </c>
      <c r="AF15" s="341" t="s">
        <v>246</v>
      </c>
    </row>
    <row r="16" spans="1:32">
      <c r="A16" s="307">
        <v>4</v>
      </c>
      <c r="B16" s="342"/>
      <c r="C16" s="342" t="s">
        <v>176</v>
      </c>
      <c r="D16" s="340" t="s">
        <v>256</v>
      </c>
      <c r="E16" s="342" t="s">
        <v>257</v>
      </c>
      <c r="F16" s="345" t="s">
        <v>237</v>
      </c>
      <c r="G16" s="308">
        <v>2</v>
      </c>
      <c r="H16" s="309">
        <v>4000</v>
      </c>
      <c r="I16" s="309">
        <v>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258</v>
      </c>
      <c r="AF16" s="341" t="s">
        <v>246</v>
      </c>
    </row>
    <row r="17" spans="1:32">
      <c r="A17" s="307">
        <v>4</v>
      </c>
      <c r="B17" s="342"/>
      <c r="C17" s="342" t="s">
        <v>176</v>
      </c>
      <c r="D17" s="340" t="s">
        <v>259</v>
      </c>
      <c r="E17" s="342"/>
      <c r="F17" s="345" t="s">
        <v>237</v>
      </c>
      <c r="G17" s="308">
        <v>2</v>
      </c>
      <c r="H17" s="309">
        <v>1000</v>
      </c>
      <c r="I17" s="309">
        <v>2000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260</v>
      </c>
      <c r="AF17" s="341" t="s">
        <v>246</v>
      </c>
    </row>
    <row r="18" spans="1:32">
      <c r="A18" s="307">
        <v>4</v>
      </c>
      <c r="B18" s="342"/>
      <c r="C18" s="342" t="s">
        <v>176</v>
      </c>
      <c r="D18" s="340" t="s">
        <v>261</v>
      </c>
      <c r="E18" s="342"/>
      <c r="F18" s="345" t="s">
        <v>237</v>
      </c>
      <c r="G18" s="308">
        <v>2</v>
      </c>
      <c r="H18" s="309">
        <v>1000</v>
      </c>
      <c r="I18" s="309">
        <v>2000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262</v>
      </c>
      <c r="AF18" s="341" t="s">
        <v>246</v>
      </c>
    </row>
    <row r="19" spans="1:32">
      <c r="A19" s="307">
        <v>4</v>
      </c>
      <c r="B19" s="342"/>
      <c r="C19" s="342" t="s">
        <v>177</v>
      </c>
      <c r="D19" s="340" t="s">
        <v>263</v>
      </c>
      <c r="E19" s="342"/>
      <c r="F19" s="345" t="s">
        <v>237</v>
      </c>
      <c r="G19" s="308">
        <v>1</v>
      </c>
      <c r="H19" s="309">
        <v>7000</v>
      </c>
      <c r="I19" s="309">
        <v>7000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264</v>
      </c>
      <c r="AF19" s="341"/>
    </row>
    <row r="20" spans="1:32">
      <c r="A20" s="307">
        <v>4</v>
      </c>
      <c r="B20" s="342"/>
      <c r="C20" s="342" t="s">
        <v>177</v>
      </c>
      <c r="D20" s="340" t="s">
        <v>265</v>
      </c>
      <c r="E20" s="342"/>
      <c r="F20" s="345" t="s">
        <v>237</v>
      </c>
      <c r="G20" s="308">
        <v>4</v>
      </c>
      <c r="H20" s="309">
        <v>5000</v>
      </c>
      <c r="I20" s="309">
        <v>20000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266</v>
      </c>
      <c r="AF20" s="341" t="s">
        <v>267</v>
      </c>
    </row>
    <row r="21" spans="1:32">
      <c r="A21" s="307">
        <v>4</v>
      </c>
      <c r="B21" s="342"/>
      <c r="C21" s="342" t="s">
        <v>177</v>
      </c>
      <c r="D21" s="340" t="s">
        <v>268</v>
      </c>
      <c r="E21" s="342" t="s">
        <v>269</v>
      </c>
      <c r="F21" s="345" t="s">
        <v>237</v>
      </c>
      <c r="G21" s="308">
        <v>4</v>
      </c>
      <c r="H21" s="309">
        <v>4000</v>
      </c>
      <c r="I21" s="309">
        <v>16000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270</v>
      </c>
      <c r="AF21" s="341" t="s">
        <v>267</v>
      </c>
    </row>
    <row r="22" spans="1:32">
      <c r="A22" s="307">
        <v>4</v>
      </c>
      <c r="B22" s="342"/>
      <c r="C22" s="342" t="s">
        <v>173</v>
      </c>
      <c r="D22" s="340" t="s">
        <v>271</v>
      </c>
      <c r="E22" s="342"/>
      <c r="F22" s="345" t="s">
        <v>272</v>
      </c>
      <c r="G22" s="308">
        <v>200</v>
      </c>
      <c r="H22" s="309">
        <v>150</v>
      </c>
      <c r="I22" s="309">
        <v>30000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273</v>
      </c>
      <c r="AF22" s="341"/>
    </row>
    <row r="23" spans="1:32">
      <c r="A23" s="307">
        <v>4</v>
      </c>
      <c r="B23" s="342"/>
      <c r="C23" s="342" t="s">
        <v>173</v>
      </c>
      <c r="D23" s="340" t="s">
        <v>274</v>
      </c>
      <c r="E23" s="342"/>
      <c r="F23" s="345" t="s">
        <v>172</v>
      </c>
      <c r="G23" s="308">
        <v>1</v>
      </c>
      <c r="H23" s="309">
        <v>4400</v>
      </c>
      <c r="I23" s="309">
        <v>4400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275</v>
      </c>
      <c r="AF23" s="341"/>
    </row>
    <row r="24" spans="1:32">
      <c r="A24" s="307">
        <v>3</v>
      </c>
      <c r="B24" s="342"/>
      <c r="C24" s="342" t="s">
        <v>225</v>
      </c>
      <c r="D24" s="340" t="s">
        <v>276</v>
      </c>
      <c r="E24" s="342" t="s">
        <v>163</v>
      </c>
      <c r="F24" s="345" t="s">
        <v>162</v>
      </c>
      <c r="G24" s="308">
        <v>2208</v>
      </c>
      <c r="H24" s="309">
        <v>1245</v>
      </c>
      <c r="I24" s="309">
        <v>2748960</v>
      </c>
      <c r="J24" s="211">
        <v>2208</v>
      </c>
      <c r="K24" s="212" t="str">
        <f>IF(OR(J24="",G24=J24),"","*")</f>
        <v/>
      </c>
      <c r="L24" s="338">
        <f>IF($A24&lt;=L$1,I24/I$4,"")</f>
        <v>0.14803231017770599</v>
      </c>
      <c r="M24" s="343"/>
      <c r="N24" s="344" t="s">
        <v>277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173</v>
      </c>
      <c r="D25" s="340" t="s">
        <v>278</v>
      </c>
      <c r="E25" s="342" t="s">
        <v>231</v>
      </c>
      <c r="F25" s="345" t="s">
        <v>232</v>
      </c>
      <c r="G25" s="308">
        <v>1262</v>
      </c>
      <c r="H25" s="309">
        <v>800</v>
      </c>
      <c r="I25" s="309">
        <v>1009600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279</v>
      </c>
      <c r="AF25" s="341" t="s">
        <v>280</v>
      </c>
    </row>
    <row r="26" spans="1:32">
      <c r="A26" s="307">
        <v>4</v>
      </c>
      <c r="B26" s="342"/>
      <c r="C26" s="342" t="s">
        <v>177</v>
      </c>
      <c r="D26" s="340" t="s">
        <v>235</v>
      </c>
      <c r="E26" s="342" t="s">
        <v>236</v>
      </c>
      <c r="F26" s="345" t="s">
        <v>237</v>
      </c>
      <c r="G26" s="308">
        <v>21</v>
      </c>
      <c r="H26" s="309">
        <v>44000</v>
      </c>
      <c r="I26" s="309">
        <v>924000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238</v>
      </c>
      <c r="AF26" s="341" t="s">
        <v>281</v>
      </c>
    </row>
    <row r="27" spans="1:32">
      <c r="A27" s="307">
        <v>4</v>
      </c>
      <c r="B27" s="342"/>
      <c r="C27" s="342" t="s">
        <v>174</v>
      </c>
      <c r="D27" s="340" t="s">
        <v>239</v>
      </c>
      <c r="E27" s="342"/>
      <c r="F27" s="345" t="s">
        <v>240</v>
      </c>
      <c r="G27" s="308">
        <v>24</v>
      </c>
      <c r="H27" s="309">
        <v>21000</v>
      </c>
      <c r="I27" s="309">
        <v>504000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241</v>
      </c>
      <c r="AF27" s="341" t="s">
        <v>282</v>
      </c>
    </row>
    <row r="28" spans="1:32">
      <c r="A28" s="307">
        <v>4</v>
      </c>
      <c r="B28" s="342"/>
      <c r="C28" s="342" t="s">
        <v>176</v>
      </c>
      <c r="D28" s="340" t="s">
        <v>243</v>
      </c>
      <c r="E28" s="342" t="s">
        <v>244</v>
      </c>
      <c r="F28" s="345" t="s">
        <v>237</v>
      </c>
      <c r="G28" s="308">
        <v>4</v>
      </c>
      <c r="H28" s="309">
        <v>12000</v>
      </c>
      <c r="I28" s="309">
        <v>48000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245</v>
      </c>
      <c r="AF28" s="341" t="s">
        <v>283</v>
      </c>
    </row>
    <row r="29" spans="1:32">
      <c r="A29" s="307">
        <v>4</v>
      </c>
      <c r="B29" s="342"/>
      <c r="C29" s="342" t="s">
        <v>176</v>
      </c>
      <c r="D29" s="340" t="s">
        <v>247</v>
      </c>
      <c r="E29" s="342"/>
      <c r="F29" s="345" t="s">
        <v>237</v>
      </c>
      <c r="G29" s="308">
        <v>4</v>
      </c>
      <c r="H29" s="309">
        <v>8000</v>
      </c>
      <c r="I29" s="309">
        <v>32000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248</v>
      </c>
      <c r="AF29" s="341" t="s">
        <v>283</v>
      </c>
    </row>
    <row r="30" spans="1:32">
      <c r="A30" s="307">
        <v>4</v>
      </c>
      <c r="B30" s="342"/>
      <c r="C30" s="342" t="s">
        <v>176</v>
      </c>
      <c r="D30" s="340" t="s">
        <v>249</v>
      </c>
      <c r="E30" s="342"/>
      <c r="F30" s="345" t="s">
        <v>237</v>
      </c>
      <c r="G30" s="308">
        <v>4</v>
      </c>
      <c r="H30" s="309">
        <v>4300</v>
      </c>
      <c r="I30" s="309">
        <v>17200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250</v>
      </c>
      <c r="AF30" s="341" t="s">
        <v>283</v>
      </c>
    </row>
    <row r="31" spans="1:32">
      <c r="A31" s="307">
        <v>4</v>
      </c>
      <c r="B31" s="342"/>
      <c r="C31" s="342" t="s">
        <v>176</v>
      </c>
      <c r="D31" s="340" t="s">
        <v>251</v>
      </c>
      <c r="E31" s="342"/>
      <c r="F31" s="345" t="s">
        <v>237</v>
      </c>
      <c r="G31" s="308">
        <v>4</v>
      </c>
      <c r="H31" s="309">
        <v>5500</v>
      </c>
      <c r="I31" s="309">
        <v>22000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252</v>
      </c>
      <c r="AF31" s="341" t="s">
        <v>283</v>
      </c>
    </row>
    <row r="32" spans="1:32">
      <c r="A32" s="307">
        <v>4</v>
      </c>
      <c r="B32" s="342"/>
      <c r="C32" s="342" t="s">
        <v>176</v>
      </c>
      <c r="D32" s="340" t="s">
        <v>253</v>
      </c>
      <c r="E32" s="342" t="s">
        <v>254</v>
      </c>
      <c r="F32" s="345" t="s">
        <v>237</v>
      </c>
      <c r="G32" s="308">
        <v>4</v>
      </c>
      <c r="H32" s="309">
        <v>5500</v>
      </c>
      <c r="I32" s="309">
        <v>22000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255</v>
      </c>
      <c r="AF32" s="341" t="s">
        <v>283</v>
      </c>
    </row>
    <row r="33" spans="1:32">
      <c r="A33" s="307">
        <v>4</v>
      </c>
      <c r="B33" s="342"/>
      <c r="C33" s="342" t="s">
        <v>176</v>
      </c>
      <c r="D33" s="340" t="s">
        <v>256</v>
      </c>
      <c r="E33" s="342" t="s">
        <v>257</v>
      </c>
      <c r="F33" s="345" t="s">
        <v>237</v>
      </c>
      <c r="G33" s="308">
        <v>4</v>
      </c>
      <c r="H33" s="309">
        <v>4000</v>
      </c>
      <c r="I33" s="309">
        <v>16000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258</v>
      </c>
      <c r="AF33" s="341" t="s">
        <v>283</v>
      </c>
    </row>
    <row r="34" spans="1:32">
      <c r="A34" s="307">
        <v>4</v>
      </c>
      <c r="B34" s="342"/>
      <c r="C34" s="342" t="s">
        <v>176</v>
      </c>
      <c r="D34" s="340" t="s">
        <v>259</v>
      </c>
      <c r="E34" s="342"/>
      <c r="F34" s="345" t="s">
        <v>237</v>
      </c>
      <c r="G34" s="308">
        <v>4</v>
      </c>
      <c r="H34" s="309">
        <v>1000</v>
      </c>
      <c r="I34" s="309">
        <v>4000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260</v>
      </c>
      <c r="AF34" s="341" t="s">
        <v>283</v>
      </c>
    </row>
    <row r="35" spans="1:32">
      <c r="A35" s="307">
        <v>4</v>
      </c>
      <c r="B35" s="342"/>
      <c r="C35" s="342" t="s">
        <v>176</v>
      </c>
      <c r="D35" s="340" t="s">
        <v>261</v>
      </c>
      <c r="E35" s="342"/>
      <c r="F35" s="345" t="s">
        <v>237</v>
      </c>
      <c r="G35" s="308">
        <v>4</v>
      </c>
      <c r="H35" s="309">
        <v>1000</v>
      </c>
      <c r="I35" s="309">
        <v>4000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262</v>
      </c>
      <c r="AF35" s="341" t="s">
        <v>283</v>
      </c>
    </row>
    <row r="36" spans="1:32">
      <c r="A36" s="307">
        <v>4</v>
      </c>
      <c r="B36" s="342"/>
      <c r="C36" s="342" t="s">
        <v>177</v>
      </c>
      <c r="D36" s="340" t="s">
        <v>263</v>
      </c>
      <c r="E36" s="342"/>
      <c r="F36" s="345" t="s">
        <v>237</v>
      </c>
      <c r="G36" s="308">
        <v>1</v>
      </c>
      <c r="H36" s="309">
        <v>7000</v>
      </c>
      <c r="I36" s="309">
        <v>7000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264</v>
      </c>
      <c r="AF36" s="341"/>
    </row>
    <row r="37" spans="1:32">
      <c r="A37" s="307">
        <v>4</v>
      </c>
      <c r="B37" s="342"/>
      <c r="C37" s="342" t="s">
        <v>177</v>
      </c>
      <c r="D37" s="340" t="s">
        <v>265</v>
      </c>
      <c r="E37" s="342"/>
      <c r="F37" s="345" t="s">
        <v>237</v>
      </c>
      <c r="G37" s="308">
        <v>8</v>
      </c>
      <c r="H37" s="309">
        <v>5000</v>
      </c>
      <c r="I37" s="309">
        <v>40000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266</v>
      </c>
      <c r="AF37" s="341" t="s">
        <v>284</v>
      </c>
    </row>
    <row r="38" spans="1:32">
      <c r="A38" s="307">
        <v>4</v>
      </c>
      <c r="B38" s="342"/>
      <c r="C38" s="342" t="s">
        <v>177</v>
      </c>
      <c r="D38" s="340" t="s">
        <v>268</v>
      </c>
      <c r="E38" s="342" t="s">
        <v>269</v>
      </c>
      <c r="F38" s="345" t="s">
        <v>237</v>
      </c>
      <c r="G38" s="308">
        <v>8</v>
      </c>
      <c r="H38" s="309">
        <v>4000</v>
      </c>
      <c r="I38" s="309">
        <v>32000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270</v>
      </c>
      <c r="AF38" s="341" t="s">
        <v>284</v>
      </c>
    </row>
    <row r="39" spans="1:32">
      <c r="A39" s="307">
        <v>4</v>
      </c>
      <c r="B39" s="342"/>
      <c r="C39" s="342" t="s">
        <v>173</v>
      </c>
      <c r="D39" s="340" t="s">
        <v>271</v>
      </c>
      <c r="E39" s="342"/>
      <c r="F39" s="345" t="s">
        <v>272</v>
      </c>
      <c r="G39" s="308">
        <v>400</v>
      </c>
      <c r="H39" s="309">
        <v>150</v>
      </c>
      <c r="I39" s="309">
        <v>60000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273</v>
      </c>
      <c r="AF39" s="341"/>
    </row>
    <row r="40" spans="1:32">
      <c r="A40" s="307">
        <v>4</v>
      </c>
      <c r="B40" s="342"/>
      <c r="C40" s="342" t="s">
        <v>173</v>
      </c>
      <c r="D40" s="340" t="s">
        <v>274</v>
      </c>
      <c r="E40" s="342"/>
      <c r="F40" s="345" t="s">
        <v>172</v>
      </c>
      <c r="G40" s="308">
        <v>1</v>
      </c>
      <c r="H40" s="309">
        <v>8200</v>
      </c>
      <c r="I40" s="309">
        <v>8200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275</v>
      </c>
      <c r="AF40" s="341"/>
    </row>
    <row r="41" spans="1:32">
      <c r="A41" s="307">
        <v>3</v>
      </c>
      <c r="B41" s="342"/>
      <c r="C41" s="342" t="s">
        <v>225</v>
      </c>
      <c r="D41" s="340" t="s">
        <v>285</v>
      </c>
      <c r="E41" s="342" t="s">
        <v>164</v>
      </c>
      <c r="F41" s="345" t="s">
        <v>162</v>
      </c>
      <c r="G41" s="308">
        <v>2391</v>
      </c>
      <c r="H41" s="309">
        <v>1384</v>
      </c>
      <c r="I41" s="309">
        <v>3309144</v>
      </c>
      <c r="J41" s="211">
        <v>2391</v>
      </c>
      <c r="K41" s="212" t="str">
        <f>IF(OR(J41="",G41=J41),"","*")</f>
        <v/>
      </c>
      <c r="L41" s="338">
        <f>IF($A41&lt;=L$1,I41/I$4,"")</f>
        <v>0.17819838449111469</v>
      </c>
      <c r="M41" s="343"/>
      <c r="N41" s="344" t="s">
        <v>286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173</v>
      </c>
      <c r="D42" s="340" t="s">
        <v>287</v>
      </c>
      <c r="E42" s="342"/>
      <c r="F42" s="345" t="s">
        <v>272</v>
      </c>
      <c r="G42" s="308">
        <v>3010</v>
      </c>
      <c r="H42" s="309">
        <v>109</v>
      </c>
      <c r="I42" s="309">
        <v>328090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288</v>
      </c>
      <c r="AF42" s="341" t="s">
        <v>289</v>
      </c>
    </row>
    <row r="43" spans="1:32">
      <c r="A43" s="307">
        <v>4</v>
      </c>
      <c r="B43" s="342"/>
      <c r="C43" s="342" t="s">
        <v>176</v>
      </c>
      <c r="D43" s="340" t="s">
        <v>290</v>
      </c>
      <c r="E43" s="342"/>
      <c r="F43" s="345" t="s">
        <v>237</v>
      </c>
      <c r="G43" s="308">
        <v>1</v>
      </c>
      <c r="H43" s="309">
        <v>45000</v>
      </c>
      <c r="I43" s="309">
        <v>45000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291</v>
      </c>
      <c r="AF43" s="341"/>
    </row>
    <row r="44" spans="1:32">
      <c r="A44" s="307">
        <v>4</v>
      </c>
      <c r="B44" s="342"/>
      <c r="C44" s="342" t="s">
        <v>173</v>
      </c>
      <c r="D44" s="340" t="s">
        <v>292</v>
      </c>
      <c r="E44" s="342" t="s">
        <v>231</v>
      </c>
      <c r="F44" s="345" t="s">
        <v>232</v>
      </c>
      <c r="G44" s="308">
        <v>306</v>
      </c>
      <c r="H44" s="309">
        <v>7400</v>
      </c>
      <c r="I44" s="309">
        <v>2264400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293</v>
      </c>
      <c r="AF44" s="341" t="s">
        <v>294</v>
      </c>
    </row>
    <row r="45" spans="1:32">
      <c r="A45" s="307">
        <v>4</v>
      </c>
      <c r="B45" s="342"/>
      <c r="C45" s="342" t="s">
        <v>177</v>
      </c>
      <c r="D45" s="340" t="s">
        <v>295</v>
      </c>
      <c r="E45" s="342" t="s">
        <v>236</v>
      </c>
      <c r="F45" s="345" t="s">
        <v>237</v>
      </c>
      <c r="G45" s="308">
        <v>8</v>
      </c>
      <c r="H45" s="309">
        <v>40000</v>
      </c>
      <c r="I45" s="309">
        <v>320000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296</v>
      </c>
      <c r="AF45" s="341"/>
    </row>
    <row r="46" spans="1:32">
      <c r="A46" s="307">
        <v>4</v>
      </c>
      <c r="B46" s="342"/>
      <c r="C46" s="342" t="s">
        <v>174</v>
      </c>
      <c r="D46" s="340" t="s">
        <v>239</v>
      </c>
      <c r="E46" s="342"/>
      <c r="F46" s="345" t="s">
        <v>240</v>
      </c>
      <c r="G46" s="308">
        <v>8</v>
      </c>
      <c r="H46" s="309">
        <v>21000</v>
      </c>
      <c r="I46" s="309">
        <v>168000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241</v>
      </c>
      <c r="AF46" s="341"/>
    </row>
    <row r="47" spans="1:32">
      <c r="A47" s="307">
        <v>4</v>
      </c>
      <c r="B47" s="342"/>
      <c r="C47" s="342" t="s">
        <v>176</v>
      </c>
      <c r="D47" s="340" t="s">
        <v>297</v>
      </c>
      <c r="E47" s="342" t="s">
        <v>298</v>
      </c>
      <c r="F47" s="345" t="s">
        <v>237</v>
      </c>
      <c r="G47" s="308">
        <v>1</v>
      </c>
      <c r="H47" s="309">
        <v>111000</v>
      </c>
      <c r="I47" s="309">
        <v>111000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299</v>
      </c>
      <c r="AF47" s="341"/>
    </row>
    <row r="48" spans="1:32">
      <c r="A48" s="307">
        <v>4</v>
      </c>
      <c r="B48" s="342"/>
      <c r="C48" s="342" t="s">
        <v>176</v>
      </c>
      <c r="D48" s="340" t="s">
        <v>251</v>
      </c>
      <c r="E48" s="342"/>
      <c r="F48" s="345" t="s">
        <v>237</v>
      </c>
      <c r="G48" s="308">
        <v>1</v>
      </c>
      <c r="H48" s="309">
        <v>5500</v>
      </c>
      <c r="I48" s="309">
        <v>5500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252</v>
      </c>
      <c r="AF48" s="341"/>
    </row>
    <row r="49" spans="1:32">
      <c r="A49" s="307">
        <v>4</v>
      </c>
      <c r="B49" s="342"/>
      <c r="C49" s="342" t="s">
        <v>176</v>
      </c>
      <c r="D49" s="340" t="s">
        <v>253</v>
      </c>
      <c r="E49" s="342" t="s">
        <v>254</v>
      </c>
      <c r="F49" s="345" t="s">
        <v>237</v>
      </c>
      <c r="G49" s="308">
        <v>1</v>
      </c>
      <c r="H49" s="309">
        <v>5500</v>
      </c>
      <c r="I49" s="309">
        <v>5500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255</v>
      </c>
      <c r="AF49" s="341"/>
    </row>
    <row r="50" spans="1:32">
      <c r="A50" s="307">
        <v>4</v>
      </c>
      <c r="B50" s="342"/>
      <c r="C50" s="342" t="s">
        <v>176</v>
      </c>
      <c r="D50" s="340" t="s">
        <v>256</v>
      </c>
      <c r="E50" s="342" t="s">
        <v>257</v>
      </c>
      <c r="F50" s="345" t="s">
        <v>237</v>
      </c>
      <c r="G50" s="308">
        <v>1</v>
      </c>
      <c r="H50" s="309">
        <v>4000</v>
      </c>
      <c r="I50" s="309">
        <v>4000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258</v>
      </c>
      <c r="AF50" s="341"/>
    </row>
    <row r="51" spans="1:32">
      <c r="A51" s="307">
        <v>4</v>
      </c>
      <c r="B51" s="342"/>
      <c r="C51" s="342" t="s">
        <v>176</v>
      </c>
      <c r="D51" s="340" t="s">
        <v>247</v>
      </c>
      <c r="E51" s="342"/>
      <c r="F51" s="345" t="s">
        <v>237</v>
      </c>
      <c r="G51" s="308">
        <v>1</v>
      </c>
      <c r="H51" s="309">
        <v>8000</v>
      </c>
      <c r="I51" s="309">
        <v>8000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248</v>
      </c>
      <c r="AF51" s="341"/>
    </row>
    <row r="52" spans="1:32">
      <c r="A52" s="307">
        <v>4</v>
      </c>
      <c r="B52" s="342"/>
      <c r="C52" s="342" t="s">
        <v>176</v>
      </c>
      <c r="D52" s="340" t="s">
        <v>249</v>
      </c>
      <c r="E52" s="342"/>
      <c r="F52" s="345" t="s">
        <v>237</v>
      </c>
      <c r="G52" s="308">
        <v>1</v>
      </c>
      <c r="H52" s="309">
        <v>4300</v>
      </c>
      <c r="I52" s="309">
        <v>4300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250</v>
      </c>
      <c r="AF52" s="341"/>
    </row>
    <row r="53" spans="1:32">
      <c r="A53" s="307">
        <v>4</v>
      </c>
      <c r="B53" s="342"/>
      <c r="C53" s="342" t="s">
        <v>176</v>
      </c>
      <c r="D53" s="340" t="s">
        <v>259</v>
      </c>
      <c r="E53" s="342"/>
      <c r="F53" s="345" t="s">
        <v>237</v>
      </c>
      <c r="G53" s="308">
        <v>2</v>
      </c>
      <c r="H53" s="309">
        <v>1000</v>
      </c>
      <c r="I53" s="309">
        <v>2000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260</v>
      </c>
      <c r="AF53" s="341" t="s">
        <v>300</v>
      </c>
    </row>
    <row r="54" spans="1:32">
      <c r="A54" s="307">
        <v>4</v>
      </c>
      <c r="B54" s="342"/>
      <c r="C54" s="342" t="s">
        <v>176</v>
      </c>
      <c r="D54" s="340" t="s">
        <v>301</v>
      </c>
      <c r="E54" s="342" t="s">
        <v>302</v>
      </c>
      <c r="F54" s="345" t="s">
        <v>237</v>
      </c>
      <c r="G54" s="308">
        <v>1</v>
      </c>
      <c r="H54" s="309">
        <v>10000</v>
      </c>
      <c r="I54" s="309">
        <v>10000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303</v>
      </c>
      <c r="AF54" s="341"/>
    </row>
    <row r="55" spans="1:32">
      <c r="A55" s="307">
        <v>4</v>
      </c>
      <c r="B55" s="342"/>
      <c r="C55" s="342" t="s">
        <v>177</v>
      </c>
      <c r="D55" s="340" t="s">
        <v>265</v>
      </c>
      <c r="E55" s="342"/>
      <c r="F55" s="345" t="s">
        <v>237</v>
      </c>
      <c r="G55" s="308">
        <v>2</v>
      </c>
      <c r="H55" s="309">
        <v>5000</v>
      </c>
      <c r="I55" s="309">
        <v>10000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266</v>
      </c>
      <c r="AF55" s="341"/>
    </row>
    <row r="56" spans="1:32">
      <c r="A56" s="307">
        <v>4</v>
      </c>
      <c r="B56" s="342"/>
      <c r="C56" s="342" t="s">
        <v>177</v>
      </c>
      <c r="D56" s="340" t="s">
        <v>268</v>
      </c>
      <c r="E56" s="342" t="s">
        <v>269</v>
      </c>
      <c r="F56" s="345" t="s">
        <v>237</v>
      </c>
      <c r="G56" s="308">
        <v>2</v>
      </c>
      <c r="H56" s="309">
        <v>4000</v>
      </c>
      <c r="I56" s="309">
        <v>8000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270</v>
      </c>
      <c r="AF56" s="341"/>
    </row>
    <row r="57" spans="1:32">
      <c r="A57" s="307">
        <v>4</v>
      </c>
      <c r="B57" s="342"/>
      <c r="C57" s="342" t="s">
        <v>173</v>
      </c>
      <c r="D57" s="340" t="s">
        <v>271</v>
      </c>
      <c r="E57" s="342"/>
      <c r="F57" s="345" t="s">
        <v>272</v>
      </c>
      <c r="G57" s="308">
        <v>100</v>
      </c>
      <c r="H57" s="309">
        <v>150</v>
      </c>
      <c r="I57" s="309">
        <v>15000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273</v>
      </c>
      <c r="AF57" s="341"/>
    </row>
    <row r="58" spans="1:32">
      <c r="A58" s="307">
        <v>4</v>
      </c>
      <c r="B58" s="342"/>
      <c r="C58" s="342" t="s">
        <v>173</v>
      </c>
      <c r="D58" s="340" t="s">
        <v>274</v>
      </c>
      <c r="E58" s="342"/>
      <c r="F58" s="345" t="s">
        <v>172</v>
      </c>
      <c r="G58" s="308">
        <v>1</v>
      </c>
      <c r="H58" s="309">
        <v>1210</v>
      </c>
      <c r="I58" s="309">
        <v>1210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275</v>
      </c>
      <c r="AF58" s="341"/>
    </row>
    <row r="59" spans="1:32">
      <c r="A59" s="307">
        <v>3</v>
      </c>
      <c r="B59" s="342"/>
      <c r="C59" s="342" t="s">
        <v>225</v>
      </c>
      <c r="D59" s="340" t="s">
        <v>304</v>
      </c>
      <c r="E59" s="342" t="s">
        <v>165</v>
      </c>
      <c r="F59" s="345" t="s">
        <v>162</v>
      </c>
      <c r="G59" s="308">
        <v>2417</v>
      </c>
      <c r="H59" s="309">
        <v>1630</v>
      </c>
      <c r="I59" s="309">
        <v>3939710</v>
      </c>
      <c r="J59" s="211">
        <v>2417</v>
      </c>
      <c r="K59" s="212" t="str">
        <f>IF(OR(J59="",G59=J59),"","*")</f>
        <v/>
      </c>
      <c r="L59" s="338">
        <f>IF($A59&lt;=L$1,I59/I$4,"")</f>
        <v>0.21215455035002692</v>
      </c>
      <c r="M59" s="343"/>
      <c r="N59" s="344" t="s">
        <v>305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4</v>
      </c>
      <c r="B60" s="342"/>
      <c r="C60" s="342" t="s">
        <v>173</v>
      </c>
      <c r="D60" s="340" t="s">
        <v>306</v>
      </c>
      <c r="E60" s="342"/>
      <c r="F60" s="345" t="s">
        <v>232</v>
      </c>
      <c r="G60" s="308">
        <v>1.04</v>
      </c>
      <c r="H60" s="309">
        <v>219500</v>
      </c>
      <c r="I60" s="309">
        <v>228280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307</v>
      </c>
      <c r="AF60" s="341" t="s">
        <v>308</v>
      </c>
    </row>
    <row r="61" spans="1:32">
      <c r="A61" s="307">
        <v>4</v>
      </c>
      <c r="B61" s="342"/>
      <c r="C61" s="342" t="s">
        <v>176</v>
      </c>
      <c r="D61" s="340" t="s">
        <v>309</v>
      </c>
      <c r="E61" s="342"/>
      <c r="F61" s="345" t="s">
        <v>237</v>
      </c>
      <c r="G61" s="308">
        <v>1</v>
      </c>
      <c r="H61" s="309">
        <v>55000</v>
      </c>
      <c r="I61" s="309">
        <v>55000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310</v>
      </c>
      <c r="AF61" s="341"/>
    </row>
    <row r="62" spans="1:32">
      <c r="A62" s="307">
        <v>4</v>
      </c>
      <c r="B62" s="342"/>
      <c r="C62" s="342" t="s">
        <v>173</v>
      </c>
      <c r="D62" s="340" t="s">
        <v>311</v>
      </c>
      <c r="E62" s="342" t="s">
        <v>231</v>
      </c>
      <c r="F62" s="345" t="s">
        <v>232</v>
      </c>
      <c r="G62" s="308">
        <v>308</v>
      </c>
      <c r="H62" s="309">
        <v>7500</v>
      </c>
      <c r="I62" s="309">
        <v>2310000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312</v>
      </c>
      <c r="AF62" s="341" t="s">
        <v>313</v>
      </c>
    </row>
    <row r="63" spans="1:32">
      <c r="A63" s="307">
        <v>4</v>
      </c>
      <c r="B63" s="342"/>
      <c r="C63" s="342" t="s">
        <v>177</v>
      </c>
      <c r="D63" s="340" t="s">
        <v>295</v>
      </c>
      <c r="E63" s="342" t="s">
        <v>236</v>
      </c>
      <c r="F63" s="345" t="s">
        <v>237</v>
      </c>
      <c r="G63" s="308">
        <v>16</v>
      </c>
      <c r="H63" s="309">
        <v>40000</v>
      </c>
      <c r="I63" s="309">
        <v>640000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296</v>
      </c>
      <c r="AF63" s="341" t="s">
        <v>314</v>
      </c>
    </row>
    <row r="64" spans="1:32">
      <c r="A64" s="307">
        <v>4</v>
      </c>
      <c r="B64" s="342"/>
      <c r="C64" s="342" t="s">
        <v>174</v>
      </c>
      <c r="D64" s="340" t="s">
        <v>239</v>
      </c>
      <c r="E64" s="342"/>
      <c r="F64" s="345" t="s">
        <v>240</v>
      </c>
      <c r="G64" s="308">
        <v>16</v>
      </c>
      <c r="H64" s="309">
        <v>21000</v>
      </c>
      <c r="I64" s="309">
        <v>336000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241</v>
      </c>
      <c r="AF64" s="341" t="s">
        <v>314</v>
      </c>
    </row>
    <row r="65" spans="1:32">
      <c r="A65" s="307">
        <v>4</v>
      </c>
      <c r="B65" s="342"/>
      <c r="C65" s="342" t="s">
        <v>176</v>
      </c>
      <c r="D65" s="340" t="s">
        <v>297</v>
      </c>
      <c r="E65" s="342" t="s">
        <v>298</v>
      </c>
      <c r="F65" s="345" t="s">
        <v>237</v>
      </c>
      <c r="G65" s="308">
        <v>2</v>
      </c>
      <c r="H65" s="309">
        <v>111000</v>
      </c>
      <c r="I65" s="309">
        <v>222000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299</v>
      </c>
      <c r="AF65" s="341" t="s">
        <v>246</v>
      </c>
    </row>
    <row r="66" spans="1:32">
      <c r="A66" s="307">
        <v>4</v>
      </c>
      <c r="B66" s="342"/>
      <c r="C66" s="342" t="s">
        <v>176</v>
      </c>
      <c r="D66" s="340" t="s">
        <v>251</v>
      </c>
      <c r="E66" s="342"/>
      <c r="F66" s="345" t="s">
        <v>237</v>
      </c>
      <c r="G66" s="308">
        <v>2</v>
      </c>
      <c r="H66" s="309">
        <v>5500</v>
      </c>
      <c r="I66" s="309">
        <v>11000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252</v>
      </c>
      <c r="AF66" s="341" t="s">
        <v>246</v>
      </c>
    </row>
    <row r="67" spans="1:32">
      <c r="A67" s="307">
        <v>4</v>
      </c>
      <c r="B67" s="342"/>
      <c r="C67" s="342" t="s">
        <v>176</v>
      </c>
      <c r="D67" s="340" t="s">
        <v>253</v>
      </c>
      <c r="E67" s="342" t="s">
        <v>254</v>
      </c>
      <c r="F67" s="345" t="s">
        <v>237</v>
      </c>
      <c r="G67" s="308">
        <v>2</v>
      </c>
      <c r="H67" s="309">
        <v>5500</v>
      </c>
      <c r="I67" s="309">
        <v>11000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255</v>
      </c>
      <c r="AF67" s="341" t="s">
        <v>246</v>
      </c>
    </row>
    <row r="68" spans="1:32">
      <c r="A68" s="307">
        <v>4</v>
      </c>
      <c r="B68" s="342"/>
      <c r="C68" s="342" t="s">
        <v>176</v>
      </c>
      <c r="D68" s="340" t="s">
        <v>256</v>
      </c>
      <c r="E68" s="342" t="s">
        <v>257</v>
      </c>
      <c r="F68" s="345" t="s">
        <v>237</v>
      </c>
      <c r="G68" s="308">
        <v>2</v>
      </c>
      <c r="H68" s="309">
        <v>4000</v>
      </c>
      <c r="I68" s="309">
        <v>8000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258</v>
      </c>
      <c r="AF68" s="341" t="s">
        <v>246</v>
      </c>
    </row>
    <row r="69" spans="1:32">
      <c r="A69" s="307">
        <v>4</v>
      </c>
      <c r="B69" s="342"/>
      <c r="C69" s="342" t="s">
        <v>176</v>
      </c>
      <c r="D69" s="340" t="s">
        <v>247</v>
      </c>
      <c r="E69" s="342"/>
      <c r="F69" s="345" t="s">
        <v>237</v>
      </c>
      <c r="G69" s="308">
        <v>2</v>
      </c>
      <c r="H69" s="309">
        <v>8000</v>
      </c>
      <c r="I69" s="309">
        <v>16000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248</v>
      </c>
      <c r="AF69" s="341" t="s">
        <v>246</v>
      </c>
    </row>
    <row r="70" spans="1:32">
      <c r="A70" s="307">
        <v>4</v>
      </c>
      <c r="B70" s="342"/>
      <c r="C70" s="342" t="s">
        <v>176</v>
      </c>
      <c r="D70" s="340" t="s">
        <v>249</v>
      </c>
      <c r="E70" s="342"/>
      <c r="F70" s="345" t="s">
        <v>237</v>
      </c>
      <c r="G70" s="308">
        <v>2</v>
      </c>
      <c r="H70" s="309">
        <v>4300</v>
      </c>
      <c r="I70" s="309">
        <v>8600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250</v>
      </c>
      <c r="AF70" s="341" t="s">
        <v>246</v>
      </c>
    </row>
    <row r="71" spans="1:32">
      <c r="A71" s="307">
        <v>4</v>
      </c>
      <c r="B71" s="342"/>
      <c r="C71" s="342" t="s">
        <v>176</v>
      </c>
      <c r="D71" s="340" t="s">
        <v>259</v>
      </c>
      <c r="E71" s="342"/>
      <c r="F71" s="345" t="s">
        <v>237</v>
      </c>
      <c r="G71" s="308">
        <v>2</v>
      </c>
      <c r="H71" s="309">
        <v>1000</v>
      </c>
      <c r="I71" s="309">
        <v>2000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260</v>
      </c>
      <c r="AF71" s="341" t="s">
        <v>300</v>
      </c>
    </row>
    <row r="72" spans="1:32">
      <c r="A72" s="307">
        <v>4</v>
      </c>
      <c r="B72" s="342"/>
      <c r="C72" s="342" t="s">
        <v>177</v>
      </c>
      <c r="D72" s="340" t="s">
        <v>265</v>
      </c>
      <c r="E72" s="342"/>
      <c r="F72" s="345" t="s">
        <v>237</v>
      </c>
      <c r="G72" s="308">
        <v>4</v>
      </c>
      <c r="H72" s="309">
        <v>5000</v>
      </c>
      <c r="I72" s="309">
        <v>20000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266</v>
      </c>
      <c r="AF72" s="341" t="s">
        <v>267</v>
      </c>
    </row>
    <row r="73" spans="1:32">
      <c r="A73" s="307">
        <v>4</v>
      </c>
      <c r="B73" s="342"/>
      <c r="C73" s="342" t="s">
        <v>176</v>
      </c>
      <c r="D73" s="340" t="s">
        <v>301</v>
      </c>
      <c r="E73" s="342" t="s">
        <v>302</v>
      </c>
      <c r="F73" s="345" t="s">
        <v>237</v>
      </c>
      <c r="G73" s="308">
        <v>2</v>
      </c>
      <c r="H73" s="309">
        <v>10000</v>
      </c>
      <c r="I73" s="309">
        <v>20000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303</v>
      </c>
      <c r="AF73" s="341" t="s">
        <v>300</v>
      </c>
    </row>
    <row r="74" spans="1:32">
      <c r="A74" s="307">
        <v>4</v>
      </c>
      <c r="B74" s="342"/>
      <c r="C74" s="342" t="s">
        <v>177</v>
      </c>
      <c r="D74" s="340" t="s">
        <v>268</v>
      </c>
      <c r="E74" s="342" t="s">
        <v>269</v>
      </c>
      <c r="F74" s="345" t="s">
        <v>237</v>
      </c>
      <c r="G74" s="308">
        <v>4</v>
      </c>
      <c r="H74" s="309">
        <v>4000</v>
      </c>
      <c r="I74" s="309">
        <v>16000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270</v>
      </c>
      <c r="AF74" s="341" t="s">
        <v>267</v>
      </c>
    </row>
    <row r="75" spans="1:32">
      <c r="A75" s="307">
        <v>4</v>
      </c>
      <c r="B75" s="342"/>
      <c r="C75" s="342" t="s">
        <v>173</v>
      </c>
      <c r="D75" s="340" t="s">
        <v>271</v>
      </c>
      <c r="E75" s="342"/>
      <c r="F75" s="345" t="s">
        <v>272</v>
      </c>
      <c r="G75" s="308">
        <v>200</v>
      </c>
      <c r="H75" s="309">
        <v>150</v>
      </c>
      <c r="I75" s="309">
        <v>30000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273</v>
      </c>
      <c r="AF75" s="341"/>
    </row>
    <row r="76" spans="1:32">
      <c r="A76" s="307">
        <v>4</v>
      </c>
      <c r="B76" s="342"/>
      <c r="C76" s="342" t="s">
        <v>173</v>
      </c>
      <c r="D76" s="340" t="s">
        <v>274</v>
      </c>
      <c r="E76" s="342"/>
      <c r="F76" s="345" t="s">
        <v>172</v>
      </c>
      <c r="G76" s="308">
        <v>1</v>
      </c>
      <c r="H76" s="309">
        <v>6120</v>
      </c>
      <c r="I76" s="309">
        <v>6120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275</v>
      </c>
      <c r="AF76" s="341"/>
    </row>
    <row r="77" spans="1:32">
      <c r="A77" s="307">
        <v>2</v>
      </c>
      <c r="B77" s="342"/>
      <c r="C77" s="342" t="s">
        <v>225</v>
      </c>
      <c r="D77" s="340" t="s">
        <v>315</v>
      </c>
      <c r="E77" s="342"/>
      <c r="F77" s="345" t="s">
        <v>172</v>
      </c>
      <c r="G77" s="308">
        <v>1</v>
      </c>
      <c r="H77" s="309">
        <v>279871</v>
      </c>
      <c r="I77" s="309">
        <v>279871</v>
      </c>
      <c r="J77" s="211">
        <v>1</v>
      </c>
      <c r="K77" s="212" t="str">
        <f>IF(OR(J77="",G77=J77),"","*")</f>
        <v/>
      </c>
      <c r="L77" s="338">
        <f>IF($A77&lt;=L$1,I77/I$4,"")</f>
        <v>1.5071136241249327E-2</v>
      </c>
      <c r="M77" s="343"/>
      <c r="N77" s="344" t="s">
        <v>316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3</v>
      </c>
      <c r="B78" s="342"/>
      <c r="C78" s="342" t="s">
        <v>225</v>
      </c>
      <c r="D78" s="340" t="s">
        <v>228</v>
      </c>
      <c r="E78" s="342" t="s">
        <v>161</v>
      </c>
      <c r="F78" s="345" t="s">
        <v>162</v>
      </c>
      <c r="G78" s="308">
        <v>163</v>
      </c>
      <c r="H78" s="309">
        <v>797</v>
      </c>
      <c r="I78" s="309">
        <v>129911</v>
      </c>
      <c r="J78" s="211">
        <v>163</v>
      </c>
      <c r="K78" s="212" t="str">
        <f>IF(OR(J78="",G78=J78),"","*")</f>
        <v/>
      </c>
      <c r="L78" s="338">
        <f>IF($A78&lt;=L$1,I78/I$4,"")</f>
        <v>6.9957458266020466E-3</v>
      </c>
      <c r="M78" s="343"/>
      <c r="N78" s="344" t="s">
        <v>317</v>
      </c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4</v>
      </c>
      <c r="B79" s="342"/>
      <c r="C79" s="342" t="s">
        <v>173</v>
      </c>
      <c r="D79" s="340" t="s">
        <v>230</v>
      </c>
      <c r="E79" s="342" t="s">
        <v>231</v>
      </c>
      <c r="F79" s="345" t="s">
        <v>232</v>
      </c>
      <c r="G79" s="308">
        <v>9</v>
      </c>
      <c r="H79" s="309">
        <v>500</v>
      </c>
      <c r="I79" s="309">
        <v>4500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233</v>
      </c>
      <c r="AF79" s="341" t="s">
        <v>318</v>
      </c>
    </row>
    <row r="80" spans="1:32">
      <c r="A80" s="307">
        <v>4</v>
      </c>
      <c r="B80" s="342"/>
      <c r="C80" s="342" t="s">
        <v>177</v>
      </c>
      <c r="D80" s="340" t="s">
        <v>319</v>
      </c>
      <c r="E80" s="342" t="s">
        <v>236</v>
      </c>
      <c r="F80" s="345" t="s">
        <v>237</v>
      </c>
      <c r="G80" s="308">
        <v>1</v>
      </c>
      <c r="H80" s="309">
        <v>31000</v>
      </c>
      <c r="I80" s="309">
        <v>31000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320</v>
      </c>
      <c r="AF80" s="341"/>
    </row>
    <row r="81" spans="1:32">
      <c r="A81" s="307">
        <v>4</v>
      </c>
      <c r="B81" s="342"/>
      <c r="C81" s="342" t="s">
        <v>174</v>
      </c>
      <c r="D81" s="340" t="s">
        <v>239</v>
      </c>
      <c r="E81" s="342"/>
      <c r="F81" s="345" t="s">
        <v>240</v>
      </c>
      <c r="G81" s="308">
        <v>3</v>
      </c>
      <c r="H81" s="309">
        <v>21000</v>
      </c>
      <c r="I81" s="309">
        <v>63000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241</v>
      </c>
      <c r="AF81" s="341"/>
    </row>
    <row r="82" spans="1:32">
      <c r="A82" s="307">
        <v>4</v>
      </c>
      <c r="B82" s="342"/>
      <c r="C82" s="342" t="s">
        <v>176</v>
      </c>
      <c r="D82" s="340" t="s">
        <v>247</v>
      </c>
      <c r="E82" s="342"/>
      <c r="F82" s="345" t="s">
        <v>237</v>
      </c>
      <c r="G82" s="308">
        <v>1</v>
      </c>
      <c r="H82" s="309">
        <v>8000</v>
      </c>
      <c r="I82" s="309">
        <v>8000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248</v>
      </c>
      <c r="AF82" s="341"/>
    </row>
    <row r="83" spans="1:32">
      <c r="A83" s="307">
        <v>4</v>
      </c>
      <c r="B83" s="342"/>
      <c r="C83" s="342" t="s">
        <v>176</v>
      </c>
      <c r="D83" s="340" t="s">
        <v>253</v>
      </c>
      <c r="E83" s="342" t="s">
        <v>321</v>
      </c>
      <c r="F83" s="345" t="s">
        <v>237</v>
      </c>
      <c r="G83" s="308">
        <v>1</v>
      </c>
      <c r="H83" s="309">
        <v>4000</v>
      </c>
      <c r="I83" s="309">
        <v>4000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322</v>
      </c>
      <c r="AF83" s="341"/>
    </row>
    <row r="84" spans="1:32">
      <c r="A84" s="307">
        <v>4</v>
      </c>
      <c r="B84" s="342"/>
      <c r="C84" s="342" t="s">
        <v>176</v>
      </c>
      <c r="D84" s="340" t="s">
        <v>259</v>
      </c>
      <c r="E84" s="342"/>
      <c r="F84" s="345" t="s">
        <v>237</v>
      </c>
      <c r="G84" s="308">
        <v>1</v>
      </c>
      <c r="H84" s="309">
        <v>1000</v>
      </c>
      <c r="I84" s="309">
        <v>1000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260</v>
      </c>
      <c r="AF84" s="341"/>
    </row>
    <row r="85" spans="1:32">
      <c r="A85" s="307">
        <v>4</v>
      </c>
      <c r="B85" s="342"/>
      <c r="C85" s="342" t="s">
        <v>177</v>
      </c>
      <c r="D85" s="340" t="s">
        <v>265</v>
      </c>
      <c r="E85" s="342"/>
      <c r="F85" s="345" t="s">
        <v>237</v>
      </c>
      <c r="G85" s="308">
        <v>2</v>
      </c>
      <c r="H85" s="309">
        <v>5000</v>
      </c>
      <c r="I85" s="309">
        <v>10000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266</v>
      </c>
      <c r="AF85" s="341"/>
    </row>
    <row r="86" spans="1:32">
      <c r="A86" s="307">
        <v>4</v>
      </c>
      <c r="B86" s="342"/>
      <c r="C86" s="342" t="s">
        <v>173</v>
      </c>
      <c r="D86" s="340" t="s">
        <v>274</v>
      </c>
      <c r="E86" s="342"/>
      <c r="F86" s="345" t="s">
        <v>172</v>
      </c>
      <c r="G86" s="308">
        <v>1</v>
      </c>
      <c r="H86" s="309">
        <v>8500</v>
      </c>
      <c r="I86" s="309">
        <v>8500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275</v>
      </c>
      <c r="AF86" s="341"/>
    </row>
    <row r="87" spans="1:32">
      <c r="A87" s="307">
        <v>3</v>
      </c>
      <c r="B87" s="342"/>
      <c r="C87" s="342" t="s">
        <v>225</v>
      </c>
      <c r="D87" s="340" t="s">
        <v>276</v>
      </c>
      <c r="E87" s="342" t="s">
        <v>166</v>
      </c>
      <c r="F87" s="345" t="s">
        <v>162</v>
      </c>
      <c r="G87" s="308">
        <v>163</v>
      </c>
      <c r="H87" s="309">
        <v>920</v>
      </c>
      <c r="I87" s="309">
        <v>149960</v>
      </c>
      <c r="J87" s="211">
        <v>163</v>
      </c>
      <c r="K87" s="212" t="str">
        <f>IF(OR(J87="",G87=J87),"","*")</f>
        <v/>
      </c>
      <c r="L87" s="338">
        <f>IF($A87&lt;=L$1,I87/I$4,"")</f>
        <v>8.0753904146472801E-3</v>
      </c>
      <c r="M87" s="343"/>
      <c r="N87" s="344" t="s">
        <v>323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4</v>
      </c>
      <c r="B88" s="342"/>
      <c r="C88" s="342" t="s">
        <v>173</v>
      </c>
      <c r="D88" s="340" t="s">
        <v>278</v>
      </c>
      <c r="E88" s="342" t="s">
        <v>231</v>
      </c>
      <c r="F88" s="345" t="s">
        <v>232</v>
      </c>
      <c r="G88" s="308">
        <v>38</v>
      </c>
      <c r="H88" s="309">
        <v>800</v>
      </c>
      <c r="I88" s="309">
        <v>30400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279</v>
      </c>
      <c r="AF88" s="341" t="s">
        <v>324</v>
      </c>
    </row>
    <row r="89" spans="1:32">
      <c r="A89" s="307">
        <v>4</v>
      </c>
      <c r="B89" s="342"/>
      <c r="C89" s="342" t="s">
        <v>177</v>
      </c>
      <c r="D89" s="340" t="s">
        <v>319</v>
      </c>
      <c r="E89" s="342" t="s">
        <v>236</v>
      </c>
      <c r="F89" s="345" t="s">
        <v>237</v>
      </c>
      <c r="G89" s="308">
        <v>1</v>
      </c>
      <c r="H89" s="309">
        <v>31000</v>
      </c>
      <c r="I89" s="309">
        <v>31000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320</v>
      </c>
      <c r="AF89" s="341"/>
    </row>
    <row r="90" spans="1:32">
      <c r="A90" s="307">
        <v>4</v>
      </c>
      <c r="B90" s="342"/>
      <c r="C90" s="342" t="s">
        <v>174</v>
      </c>
      <c r="D90" s="340" t="s">
        <v>239</v>
      </c>
      <c r="E90" s="342"/>
      <c r="F90" s="345" t="s">
        <v>240</v>
      </c>
      <c r="G90" s="308">
        <v>3</v>
      </c>
      <c r="H90" s="309">
        <v>21000</v>
      </c>
      <c r="I90" s="309">
        <v>63000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241</v>
      </c>
      <c r="AF90" s="341"/>
    </row>
    <row r="91" spans="1:32">
      <c r="A91" s="307">
        <v>4</v>
      </c>
      <c r="B91" s="342"/>
      <c r="C91" s="342" t="s">
        <v>176</v>
      </c>
      <c r="D91" s="340" t="s">
        <v>247</v>
      </c>
      <c r="E91" s="342"/>
      <c r="F91" s="345" t="s">
        <v>237</v>
      </c>
      <c r="G91" s="308">
        <v>1</v>
      </c>
      <c r="H91" s="309">
        <v>8000</v>
      </c>
      <c r="I91" s="309">
        <v>8000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248</v>
      </c>
      <c r="AF91" s="341"/>
    </row>
    <row r="92" spans="1:32">
      <c r="A92" s="307">
        <v>4</v>
      </c>
      <c r="B92" s="342"/>
      <c r="C92" s="342" t="s">
        <v>176</v>
      </c>
      <c r="D92" s="340" t="s">
        <v>249</v>
      </c>
      <c r="E92" s="342"/>
      <c r="F92" s="345" t="s">
        <v>237</v>
      </c>
      <c r="G92" s="308">
        <v>1</v>
      </c>
      <c r="H92" s="309">
        <v>4300</v>
      </c>
      <c r="I92" s="309">
        <v>4300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250</v>
      </c>
      <c r="AF92" s="341"/>
    </row>
    <row r="93" spans="1:32">
      <c r="A93" s="307">
        <v>4</v>
      </c>
      <c r="B93" s="342"/>
      <c r="C93" s="342" t="s">
        <v>176</v>
      </c>
      <c r="D93" s="340" t="s">
        <v>256</v>
      </c>
      <c r="E93" s="342" t="s">
        <v>257</v>
      </c>
      <c r="F93" s="345" t="s">
        <v>237</v>
      </c>
      <c r="G93" s="308">
        <v>1</v>
      </c>
      <c r="H93" s="309">
        <v>4000</v>
      </c>
      <c r="I93" s="309">
        <v>4000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258</v>
      </c>
      <c r="AF93" s="341"/>
    </row>
    <row r="94" spans="1:32">
      <c r="A94" s="307">
        <v>4</v>
      </c>
      <c r="B94" s="342"/>
      <c r="C94" s="342" t="s">
        <v>176</v>
      </c>
      <c r="D94" s="340" t="s">
        <v>261</v>
      </c>
      <c r="E94" s="342"/>
      <c r="F94" s="345" t="s">
        <v>237</v>
      </c>
      <c r="G94" s="308">
        <v>1</v>
      </c>
      <c r="H94" s="309">
        <v>1000</v>
      </c>
      <c r="I94" s="309">
        <v>1000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262</v>
      </c>
      <c r="AF94" s="341"/>
    </row>
    <row r="95" spans="1:32">
      <c r="A95" s="307">
        <v>4</v>
      </c>
      <c r="B95" s="342"/>
      <c r="C95" s="342" t="s">
        <v>177</v>
      </c>
      <c r="D95" s="340" t="s">
        <v>268</v>
      </c>
      <c r="E95" s="342" t="s">
        <v>269</v>
      </c>
      <c r="F95" s="345" t="s">
        <v>237</v>
      </c>
      <c r="G95" s="308">
        <v>2</v>
      </c>
      <c r="H95" s="309">
        <v>4000</v>
      </c>
      <c r="I95" s="309">
        <v>8000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270</v>
      </c>
      <c r="AF95" s="341"/>
    </row>
    <row r="96" spans="1:32">
      <c r="A96" s="307">
        <v>4</v>
      </c>
      <c r="B96" s="342"/>
      <c r="C96" s="342" t="s">
        <v>173</v>
      </c>
      <c r="D96" s="340" t="s">
        <v>274</v>
      </c>
      <c r="E96" s="342"/>
      <c r="F96" s="345" t="s">
        <v>172</v>
      </c>
      <c r="G96" s="308">
        <v>1</v>
      </c>
      <c r="H96" s="309">
        <v>300</v>
      </c>
      <c r="I96" s="309">
        <v>300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275</v>
      </c>
      <c r="AF96" s="341"/>
    </row>
    <row r="97" spans="1:32">
      <c r="A97" s="307">
        <v>3</v>
      </c>
      <c r="B97" s="342"/>
      <c r="C97" s="342" t="s">
        <v>225</v>
      </c>
      <c r="D97" s="340" t="s">
        <v>304</v>
      </c>
      <c r="E97" s="342" t="s">
        <v>165</v>
      </c>
      <c r="F97" s="345" t="s">
        <v>162</v>
      </c>
      <c r="G97" s="308">
        <v>0</v>
      </c>
      <c r="H97" s="309">
        <v>0</v>
      </c>
      <c r="I97" s="309">
        <v>0</v>
      </c>
      <c r="J97" s="211">
        <v>0</v>
      </c>
      <c r="K97" s="212" t="str">
        <f>IF(OR(J97="",G97=J97),"","*")</f>
        <v/>
      </c>
      <c r="L97" s="338">
        <f>IF($A97&lt;=L$1,I97/I$4,"")</f>
        <v>0</v>
      </c>
      <c r="M97" s="343"/>
      <c r="N97" s="344" t="s">
        <v>325</v>
      </c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307">
        <v>4</v>
      </c>
      <c r="B98" s="342"/>
      <c r="C98" s="342" t="s">
        <v>173</v>
      </c>
      <c r="D98" s="340" t="s">
        <v>287</v>
      </c>
      <c r="E98" s="342"/>
      <c r="F98" s="345" t="s">
        <v>272</v>
      </c>
      <c r="G98" s="308">
        <v>210</v>
      </c>
      <c r="H98" s="309">
        <v>109</v>
      </c>
      <c r="I98" s="309">
        <v>22890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288</v>
      </c>
      <c r="AF98" s="341" t="s">
        <v>326</v>
      </c>
    </row>
    <row r="99" spans="1:32">
      <c r="A99" s="307">
        <v>4</v>
      </c>
      <c r="B99" s="342"/>
      <c r="C99" s="342" t="s">
        <v>173</v>
      </c>
      <c r="D99" s="340" t="s">
        <v>311</v>
      </c>
      <c r="E99" s="342" t="s">
        <v>231</v>
      </c>
      <c r="F99" s="345" t="s">
        <v>232</v>
      </c>
      <c r="G99" s="308">
        <v>22</v>
      </c>
      <c r="H99" s="309">
        <v>7500</v>
      </c>
      <c r="I99" s="309">
        <v>165000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312</v>
      </c>
      <c r="AF99" s="341" t="s">
        <v>327</v>
      </c>
    </row>
    <row r="100" spans="1:32">
      <c r="A100" s="307">
        <v>4</v>
      </c>
      <c r="B100" s="342"/>
      <c r="C100" s="342" t="s">
        <v>173</v>
      </c>
      <c r="D100" s="340" t="s">
        <v>274</v>
      </c>
      <c r="E100" s="342"/>
      <c r="F100" s="345" t="s">
        <v>172</v>
      </c>
      <c r="G100" s="308">
        <v>1</v>
      </c>
      <c r="H100" s="309">
        <v>2110</v>
      </c>
      <c r="I100" s="309">
        <v>2110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275</v>
      </c>
      <c r="AF100" s="341"/>
    </row>
    <row r="101" spans="1:32">
      <c r="A101" s="307">
        <v>2</v>
      </c>
      <c r="B101" s="342"/>
      <c r="C101" s="342" t="s">
        <v>225</v>
      </c>
      <c r="D101" s="340" t="s">
        <v>328</v>
      </c>
      <c r="E101" s="342"/>
      <c r="F101" s="345" t="s">
        <v>172</v>
      </c>
      <c r="G101" s="308">
        <v>1</v>
      </c>
      <c r="H101" s="309">
        <v>4247775</v>
      </c>
      <c r="I101" s="309">
        <v>4247775</v>
      </c>
      <c r="J101" s="211">
        <v>1</v>
      </c>
      <c r="K101" s="212" t="str">
        <f>IF(OR(J101="",G101=J101),"","*")</f>
        <v/>
      </c>
      <c r="L101" s="338">
        <f>IF($A101&lt;=L$1,I101/I$4,"")</f>
        <v>0.22874394184168012</v>
      </c>
      <c r="M101" s="343"/>
      <c r="N101" s="344" t="s">
        <v>329</v>
      </c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3</v>
      </c>
      <c r="B102" s="342"/>
      <c r="C102" s="342" t="s">
        <v>225</v>
      </c>
      <c r="D102" s="340" t="s">
        <v>330</v>
      </c>
      <c r="E102" s="342"/>
      <c r="F102" s="345" t="s">
        <v>162</v>
      </c>
      <c r="G102" s="308">
        <v>1953</v>
      </c>
      <c r="H102" s="309">
        <v>271</v>
      </c>
      <c r="I102" s="309">
        <v>529263</v>
      </c>
      <c r="J102" s="211">
        <v>1953</v>
      </c>
      <c r="K102" s="212" t="str">
        <f>IF(OR(J102="",G102=J102),"","*")</f>
        <v/>
      </c>
      <c r="L102" s="338">
        <f>IF($A102&lt;=L$1,I102/I$4,"")</f>
        <v>2.8500969305331178E-2</v>
      </c>
      <c r="M102" s="343"/>
      <c r="N102" s="344" t="s">
        <v>331</v>
      </c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/>
      <c r="AF102" s="341"/>
    </row>
    <row r="103" spans="1:32">
      <c r="A103" s="307">
        <v>4</v>
      </c>
      <c r="B103" s="342"/>
      <c r="C103" s="342" t="s">
        <v>174</v>
      </c>
      <c r="D103" s="340" t="s">
        <v>239</v>
      </c>
      <c r="E103" s="342"/>
      <c r="F103" s="345" t="s">
        <v>240</v>
      </c>
      <c r="G103" s="308">
        <v>18</v>
      </c>
      <c r="H103" s="309">
        <v>21000</v>
      </c>
      <c r="I103" s="309">
        <v>378000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241</v>
      </c>
      <c r="AF103" s="341" t="s">
        <v>332</v>
      </c>
    </row>
    <row r="104" spans="1:32">
      <c r="A104" s="307">
        <v>4</v>
      </c>
      <c r="B104" s="342"/>
      <c r="C104" s="342" t="s">
        <v>176</v>
      </c>
      <c r="D104" s="340" t="s">
        <v>247</v>
      </c>
      <c r="E104" s="342"/>
      <c r="F104" s="345" t="s">
        <v>237</v>
      </c>
      <c r="G104" s="308">
        <v>3</v>
      </c>
      <c r="H104" s="309">
        <v>8000</v>
      </c>
      <c r="I104" s="309">
        <v>24000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248</v>
      </c>
      <c r="AF104" s="341" t="s">
        <v>333</v>
      </c>
    </row>
    <row r="105" spans="1:32">
      <c r="A105" s="307">
        <v>4</v>
      </c>
      <c r="B105" s="342"/>
      <c r="C105" s="342" t="s">
        <v>176</v>
      </c>
      <c r="D105" s="340" t="s">
        <v>249</v>
      </c>
      <c r="E105" s="342"/>
      <c r="F105" s="345" t="s">
        <v>237</v>
      </c>
      <c r="G105" s="308">
        <v>3</v>
      </c>
      <c r="H105" s="309">
        <v>4300</v>
      </c>
      <c r="I105" s="309">
        <v>12900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250</v>
      </c>
      <c r="AF105" s="341" t="s">
        <v>333</v>
      </c>
    </row>
    <row r="106" spans="1:32">
      <c r="A106" s="307">
        <v>4</v>
      </c>
      <c r="B106" s="342"/>
      <c r="C106" s="342" t="s">
        <v>176</v>
      </c>
      <c r="D106" s="340" t="s">
        <v>253</v>
      </c>
      <c r="E106" s="342" t="s">
        <v>321</v>
      </c>
      <c r="F106" s="345" t="s">
        <v>237</v>
      </c>
      <c r="G106" s="308">
        <v>3</v>
      </c>
      <c r="H106" s="309">
        <v>4000</v>
      </c>
      <c r="I106" s="309">
        <v>12000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322</v>
      </c>
      <c r="AF106" s="341" t="s">
        <v>333</v>
      </c>
    </row>
    <row r="107" spans="1:32">
      <c r="A107" s="307">
        <v>4</v>
      </c>
      <c r="B107" s="342"/>
      <c r="C107" s="342" t="s">
        <v>176</v>
      </c>
      <c r="D107" s="340" t="s">
        <v>256</v>
      </c>
      <c r="E107" s="342" t="s">
        <v>257</v>
      </c>
      <c r="F107" s="345" t="s">
        <v>237</v>
      </c>
      <c r="G107" s="308">
        <v>3</v>
      </c>
      <c r="H107" s="309">
        <v>4000</v>
      </c>
      <c r="I107" s="309">
        <v>12000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258</v>
      </c>
      <c r="AF107" s="341" t="s">
        <v>333</v>
      </c>
    </row>
    <row r="108" spans="1:32">
      <c r="A108" s="307">
        <v>4</v>
      </c>
      <c r="B108" s="342"/>
      <c r="C108" s="342" t="s">
        <v>176</v>
      </c>
      <c r="D108" s="340" t="s">
        <v>259</v>
      </c>
      <c r="E108" s="342"/>
      <c r="F108" s="345" t="s">
        <v>237</v>
      </c>
      <c r="G108" s="308">
        <v>3</v>
      </c>
      <c r="H108" s="309">
        <v>1000</v>
      </c>
      <c r="I108" s="309">
        <v>3000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260</v>
      </c>
      <c r="AF108" s="341" t="s">
        <v>333</v>
      </c>
    </row>
    <row r="109" spans="1:32">
      <c r="A109" s="307">
        <v>4</v>
      </c>
      <c r="B109" s="342"/>
      <c r="C109" s="342" t="s">
        <v>176</v>
      </c>
      <c r="D109" s="340" t="s">
        <v>261</v>
      </c>
      <c r="E109" s="342"/>
      <c r="F109" s="345" t="s">
        <v>237</v>
      </c>
      <c r="G109" s="308">
        <v>3</v>
      </c>
      <c r="H109" s="309">
        <v>1000</v>
      </c>
      <c r="I109" s="309">
        <v>3000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262</v>
      </c>
      <c r="AF109" s="341" t="s">
        <v>333</v>
      </c>
    </row>
    <row r="110" spans="1:32">
      <c r="A110" s="307">
        <v>4</v>
      </c>
      <c r="B110" s="342"/>
      <c r="C110" s="342" t="s">
        <v>177</v>
      </c>
      <c r="D110" s="340" t="s">
        <v>265</v>
      </c>
      <c r="E110" s="342"/>
      <c r="F110" s="345" t="s">
        <v>237</v>
      </c>
      <c r="G110" s="308">
        <v>6</v>
      </c>
      <c r="H110" s="309">
        <v>5000</v>
      </c>
      <c r="I110" s="309">
        <v>30000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266</v>
      </c>
      <c r="AF110" s="341" t="s">
        <v>334</v>
      </c>
    </row>
    <row r="111" spans="1:32">
      <c r="A111" s="307">
        <v>4</v>
      </c>
      <c r="B111" s="342"/>
      <c r="C111" s="342" t="s">
        <v>177</v>
      </c>
      <c r="D111" s="340" t="s">
        <v>268</v>
      </c>
      <c r="E111" s="342" t="s">
        <v>269</v>
      </c>
      <c r="F111" s="345" t="s">
        <v>237</v>
      </c>
      <c r="G111" s="308">
        <v>6</v>
      </c>
      <c r="H111" s="309">
        <v>4000</v>
      </c>
      <c r="I111" s="309">
        <v>24000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 t="s">
        <v>270</v>
      </c>
      <c r="AF111" s="341" t="s">
        <v>334</v>
      </c>
    </row>
    <row r="112" spans="1:32">
      <c r="A112" s="307">
        <v>4</v>
      </c>
      <c r="B112" s="342"/>
      <c r="C112" s="342" t="s">
        <v>173</v>
      </c>
      <c r="D112" s="340" t="s">
        <v>271</v>
      </c>
      <c r="E112" s="342"/>
      <c r="F112" s="345" t="s">
        <v>272</v>
      </c>
      <c r="G112" s="308">
        <v>200</v>
      </c>
      <c r="H112" s="309">
        <v>150</v>
      </c>
      <c r="I112" s="309">
        <v>30000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 t="s">
        <v>273</v>
      </c>
      <c r="AF112" s="341"/>
    </row>
    <row r="113" spans="1:32">
      <c r="A113" s="307">
        <v>4</v>
      </c>
      <c r="B113" s="342"/>
      <c r="C113" s="342" t="s">
        <v>173</v>
      </c>
      <c r="D113" s="340" t="s">
        <v>274</v>
      </c>
      <c r="E113" s="342"/>
      <c r="F113" s="345" t="s">
        <v>172</v>
      </c>
      <c r="G113" s="308">
        <v>1</v>
      </c>
      <c r="H113" s="309">
        <v>1100</v>
      </c>
      <c r="I113" s="309">
        <v>1100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275</v>
      </c>
      <c r="AF113" s="341"/>
    </row>
    <row r="114" spans="1:32">
      <c r="A114" s="307">
        <v>3</v>
      </c>
      <c r="B114" s="342"/>
      <c r="C114" s="342" t="s">
        <v>225</v>
      </c>
      <c r="D114" s="340" t="s">
        <v>228</v>
      </c>
      <c r="E114" s="342" t="s">
        <v>167</v>
      </c>
      <c r="F114" s="345" t="s">
        <v>162</v>
      </c>
      <c r="G114" s="308">
        <v>1953</v>
      </c>
      <c r="H114" s="309">
        <v>691</v>
      </c>
      <c r="I114" s="309">
        <v>1349523</v>
      </c>
      <c r="J114" s="211">
        <v>1953</v>
      </c>
      <c r="K114" s="212" t="str">
        <f>IF(OR(J114="",G114=J114),"","*")</f>
        <v/>
      </c>
      <c r="L114" s="338">
        <f>IF($A114&lt;=L$1,I114/I$4,"")</f>
        <v>7.2672213247172865E-2</v>
      </c>
      <c r="M114" s="343"/>
      <c r="N114" s="344" t="s">
        <v>335</v>
      </c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/>
      <c r="AF114" s="341"/>
    </row>
    <row r="115" spans="1:32">
      <c r="A115" s="307">
        <v>4</v>
      </c>
      <c r="B115" s="342"/>
      <c r="C115" s="342" t="s">
        <v>173</v>
      </c>
      <c r="D115" s="340" t="s">
        <v>230</v>
      </c>
      <c r="E115" s="342" t="s">
        <v>231</v>
      </c>
      <c r="F115" s="345" t="s">
        <v>232</v>
      </c>
      <c r="G115" s="308">
        <v>352</v>
      </c>
      <c r="H115" s="309">
        <v>500</v>
      </c>
      <c r="I115" s="309">
        <v>176000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233</v>
      </c>
      <c r="AF115" s="341" t="s">
        <v>336</v>
      </c>
    </row>
    <row r="116" spans="1:32">
      <c r="A116" s="307">
        <v>4</v>
      </c>
      <c r="B116" s="342"/>
      <c r="C116" s="342" t="s">
        <v>177</v>
      </c>
      <c r="D116" s="340" t="s">
        <v>319</v>
      </c>
      <c r="E116" s="342" t="s">
        <v>236</v>
      </c>
      <c r="F116" s="345" t="s">
        <v>237</v>
      </c>
      <c r="G116" s="308">
        <v>4</v>
      </c>
      <c r="H116" s="309">
        <v>31000</v>
      </c>
      <c r="I116" s="309">
        <v>124000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320</v>
      </c>
      <c r="AF116" s="341" t="s">
        <v>283</v>
      </c>
    </row>
    <row r="117" spans="1:32">
      <c r="A117" s="307">
        <v>4</v>
      </c>
      <c r="B117" s="342"/>
      <c r="C117" s="342" t="s">
        <v>177</v>
      </c>
      <c r="D117" s="340" t="s">
        <v>235</v>
      </c>
      <c r="E117" s="342" t="s">
        <v>236</v>
      </c>
      <c r="F117" s="345" t="s">
        <v>237</v>
      </c>
      <c r="G117" s="308">
        <v>8</v>
      </c>
      <c r="H117" s="309">
        <v>44000</v>
      </c>
      <c r="I117" s="309">
        <v>352000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238</v>
      </c>
      <c r="AF117" s="341" t="s">
        <v>284</v>
      </c>
    </row>
    <row r="118" spans="1:32">
      <c r="A118" s="307">
        <v>4</v>
      </c>
      <c r="B118" s="342"/>
      <c r="C118" s="342" t="s">
        <v>174</v>
      </c>
      <c r="D118" s="340" t="s">
        <v>239</v>
      </c>
      <c r="E118" s="342"/>
      <c r="F118" s="345" t="s">
        <v>240</v>
      </c>
      <c r="G118" s="308">
        <v>24</v>
      </c>
      <c r="H118" s="309">
        <v>21000</v>
      </c>
      <c r="I118" s="309">
        <v>504000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241</v>
      </c>
      <c r="AF118" s="341" t="s">
        <v>282</v>
      </c>
    </row>
    <row r="119" spans="1:32">
      <c r="A119" s="307">
        <v>4</v>
      </c>
      <c r="B119" s="342"/>
      <c r="C119" s="342" t="s">
        <v>176</v>
      </c>
      <c r="D119" s="340" t="s">
        <v>247</v>
      </c>
      <c r="E119" s="342"/>
      <c r="F119" s="345" t="s">
        <v>237</v>
      </c>
      <c r="G119" s="308">
        <v>4</v>
      </c>
      <c r="H119" s="309">
        <v>8000</v>
      </c>
      <c r="I119" s="309">
        <v>32000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 t="s">
        <v>248</v>
      </c>
      <c r="AF119" s="341" t="s">
        <v>283</v>
      </c>
    </row>
    <row r="120" spans="1:32">
      <c r="A120" s="307">
        <v>4</v>
      </c>
      <c r="B120" s="342"/>
      <c r="C120" s="342" t="s">
        <v>176</v>
      </c>
      <c r="D120" s="340" t="s">
        <v>249</v>
      </c>
      <c r="E120" s="342"/>
      <c r="F120" s="345" t="s">
        <v>237</v>
      </c>
      <c r="G120" s="308">
        <v>4</v>
      </c>
      <c r="H120" s="309">
        <v>4300</v>
      </c>
      <c r="I120" s="309">
        <v>17200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 t="s">
        <v>250</v>
      </c>
      <c r="AF120" s="341" t="s">
        <v>283</v>
      </c>
    </row>
    <row r="121" spans="1:32">
      <c r="A121" s="307">
        <v>4</v>
      </c>
      <c r="B121" s="342"/>
      <c r="C121" s="342" t="s">
        <v>176</v>
      </c>
      <c r="D121" s="340" t="s">
        <v>253</v>
      </c>
      <c r="E121" s="342" t="s">
        <v>321</v>
      </c>
      <c r="F121" s="345" t="s">
        <v>237</v>
      </c>
      <c r="G121" s="308">
        <v>4</v>
      </c>
      <c r="H121" s="309">
        <v>4000</v>
      </c>
      <c r="I121" s="309">
        <v>16000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322</v>
      </c>
      <c r="AF121" s="341" t="s">
        <v>283</v>
      </c>
    </row>
    <row r="122" spans="1:32">
      <c r="A122" s="307">
        <v>4</v>
      </c>
      <c r="B122" s="342"/>
      <c r="C122" s="342" t="s">
        <v>176</v>
      </c>
      <c r="D122" s="340" t="s">
        <v>256</v>
      </c>
      <c r="E122" s="342" t="s">
        <v>257</v>
      </c>
      <c r="F122" s="345" t="s">
        <v>237</v>
      </c>
      <c r="G122" s="308">
        <v>4</v>
      </c>
      <c r="H122" s="309">
        <v>4000</v>
      </c>
      <c r="I122" s="309">
        <v>16000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 t="s">
        <v>258</v>
      </c>
      <c r="AF122" s="341" t="s">
        <v>283</v>
      </c>
    </row>
    <row r="123" spans="1:32">
      <c r="A123" s="307">
        <v>4</v>
      </c>
      <c r="B123" s="342"/>
      <c r="C123" s="342" t="s">
        <v>176</v>
      </c>
      <c r="D123" s="340" t="s">
        <v>259</v>
      </c>
      <c r="E123" s="342"/>
      <c r="F123" s="345" t="s">
        <v>237</v>
      </c>
      <c r="G123" s="308">
        <v>4</v>
      </c>
      <c r="H123" s="309">
        <v>1000</v>
      </c>
      <c r="I123" s="309">
        <v>4000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 t="s">
        <v>260</v>
      </c>
      <c r="AF123" s="341" t="s">
        <v>283</v>
      </c>
    </row>
    <row r="124" spans="1:32">
      <c r="A124" s="307">
        <v>4</v>
      </c>
      <c r="B124" s="342"/>
      <c r="C124" s="342" t="s">
        <v>176</v>
      </c>
      <c r="D124" s="340" t="s">
        <v>261</v>
      </c>
      <c r="E124" s="342"/>
      <c r="F124" s="345" t="s">
        <v>237</v>
      </c>
      <c r="G124" s="308">
        <v>4</v>
      </c>
      <c r="H124" s="309">
        <v>1000</v>
      </c>
      <c r="I124" s="309">
        <v>4000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 t="s">
        <v>262</v>
      </c>
      <c r="AF124" s="341" t="s">
        <v>283</v>
      </c>
    </row>
    <row r="125" spans="1:32">
      <c r="A125" s="307">
        <v>4</v>
      </c>
      <c r="B125" s="342"/>
      <c r="C125" s="342" t="s">
        <v>177</v>
      </c>
      <c r="D125" s="340" t="s">
        <v>265</v>
      </c>
      <c r="E125" s="342"/>
      <c r="F125" s="345" t="s">
        <v>237</v>
      </c>
      <c r="G125" s="308">
        <v>8</v>
      </c>
      <c r="H125" s="309">
        <v>5000</v>
      </c>
      <c r="I125" s="309">
        <v>40000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266</v>
      </c>
      <c r="AF125" s="341" t="s">
        <v>284</v>
      </c>
    </row>
    <row r="126" spans="1:32">
      <c r="A126" s="307">
        <v>4</v>
      </c>
      <c r="B126" s="342"/>
      <c r="C126" s="342" t="s">
        <v>177</v>
      </c>
      <c r="D126" s="340" t="s">
        <v>268</v>
      </c>
      <c r="E126" s="342" t="s">
        <v>269</v>
      </c>
      <c r="F126" s="345" t="s">
        <v>237</v>
      </c>
      <c r="G126" s="308">
        <v>8</v>
      </c>
      <c r="H126" s="309">
        <v>4000</v>
      </c>
      <c r="I126" s="309">
        <v>32000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 t="s">
        <v>270</v>
      </c>
      <c r="AF126" s="341" t="s">
        <v>284</v>
      </c>
    </row>
    <row r="127" spans="1:32">
      <c r="A127" s="307">
        <v>4</v>
      </c>
      <c r="B127" s="342"/>
      <c r="C127" s="342" t="s">
        <v>173</v>
      </c>
      <c r="D127" s="340" t="s">
        <v>271</v>
      </c>
      <c r="E127" s="342"/>
      <c r="F127" s="345" t="s">
        <v>272</v>
      </c>
      <c r="G127" s="308">
        <v>200</v>
      </c>
      <c r="H127" s="309">
        <v>150</v>
      </c>
      <c r="I127" s="309">
        <v>30000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273</v>
      </c>
      <c r="AF127" s="341"/>
    </row>
    <row r="128" spans="1:32">
      <c r="A128" s="307">
        <v>4</v>
      </c>
      <c r="B128" s="342"/>
      <c r="C128" s="342" t="s">
        <v>173</v>
      </c>
      <c r="D128" s="340" t="s">
        <v>274</v>
      </c>
      <c r="E128" s="342"/>
      <c r="F128" s="345" t="s">
        <v>172</v>
      </c>
      <c r="G128" s="308">
        <v>1</v>
      </c>
      <c r="H128" s="309">
        <v>2800</v>
      </c>
      <c r="I128" s="309">
        <v>2800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275</v>
      </c>
      <c r="AF128" s="341"/>
    </row>
    <row r="129" spans="1:32">
      <c r="A129" s="307">
        <v>3</v>
      </c>
      <c r="B129" s="342"/>
      <c r="C129" s="342" t="s">
        <v>225</v>
      </c>
      <c r="D129" s="340" t="s">
        <v>304</v>
      </c>
      <c r="E129" s="342" t="s">
        <v>168</v>
      </c>
      <c r="F129" s="345" t="s">
        <v>162</v>
      </c>
      <c r="G129" s="308">
        <v>1953</v>
      </c>
      <c r="H129" s="309">
        <v>1213</v>
      </c>
      <c r="I129" s="309">
        <v>2368989</v>
      </c>
      <c r="J129" s="211">
        <v>1953</v>
      </c>
      <c r="K129" s="212" t="str">
        <f>IF(OR(J129="",G129=J129),"","*")</f>
        <v/>
      </c>
      <c r="L129" s="338">
        <f>IF($A129&lt;=L$1,I129/I$4,"")</f>
        <v>0.12757075928917608</v>
      </c>
      <c r="M129" s="343"/>
      <c r="N129" s="344" t="s">
        <v>337</v>
      </c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/>
      <c r="AF129" s="341"/>
    </row>
    <row r="130" spans="1:32">
      <c r="A130" s="307">
        <v>4</v>
      </c>
      <c r="B130" s="342"/>
      <c r="C130" s="342" t="s">
        <v>173</v>
      </c>
      <c r="D130" s="340" t="s">
        <v>287</v>
      </c>
      <c r="E130" s="342"/>
      <c r="F130" s="345" t="s">
        <v>272</v>
      </c>
      <c r="G130" s="308">
        <v>2470</v>
      </c>
      <c r="H130" s="309">
        <v>109</v>
      </c>
      <c r="I130" s="309">
        <v>269230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288</v>
      </c>
      <c r="AF130" s="341" t="s">
        <v>338</v>
      </c>
    </row>
    <row r="131" spans="1:32">
      <c r="A131" s="307">
        <v>4</v>
      </c>
      <c r="B131" s="342"/>
      <c r="C131" s="342" t="s">
        <v>176</v>
      </c>
      <c r="D131" s="340" t="s">
        <v>290</v>
      </c>
      <c r="E131" s="342"/>
      <c r="F131" s="345" t="s">
        <v>237</v>
      </c>
      <c r="G131" s="308">
        <v>1</v>
      </c>
      <c r="H131" s="309">
        <v>45000</v>
      </c>
      <c r="I131" s="309">
        <v>45000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291</v>
      </c>
      <c r="AF131" s="341"/>
    </row>
    <row r="132" spans="1:32">
      <c r="A132" s="307">
        <v>4</v>
      </c>
      <c r="B132" s="342"/>
      <c r="C132" s="342" t="s">
        <v>173</v>
      </c>
      <c r="D132" s="340" t="s">
        <v>311</v>
      </c>
      <c r="E132" s="342"/>
      <c r="F132" s="345" t="s">
        <v>232</v>
      </c>
      <c r="G132" s="308">
        <v>150</v>
      </c>
      <c r="H132" s="309">
        <v>7500</v>
      </c>
      <c r="I132" s="309">
        <v>1125000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312</v>
      </c>
      <c r="AF132" s="341" t="s">
        <v>339</v>
      </c>
    </row>
    <row r="133" spans="1:32">
      <c r="A133" s="307">
        <v>4</v>
      </c>
      <c r="B133" s="342"/>
      <c r="C133" s="342" t="s">
        <v>177</v>
      </c>
      <c r="D133" s="340" t="s">
        <v>319</v>
      </c>
      <c r="E133" s="342" t="s">
        <v>236</v>
      </c>
      <c r="F133" s="345" t="s">
        <v>237</v>
      </c>
      <c r="G133" s="308">
        <v>10</v>
      </c>
      <c r="H133" s="309">
        <v>31000</v>
      </c>
      <c r="I133" s="309">
        <v>310000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320</v>
      </c>
      <c r="AF133" s="341" t="s">
        <v>340</v>
      </c>
    </row>
    <row r="134" spans="1:32">
      <c r="A134" s="307">
        <v>4</v>
      </c>
      <c r="B134" s="342"/>
      <c r="C134" s="342" t="s">
        <v>174</v>
      </c>
      <c r="D134" s="340" t="s">
        <v>239</v>
      </c>
      <c r="E134" s="342"/>
      <c r="F134" s="345" t="s">
        <v>240</v>
      </c>
      <c r="G134" s="308">
        <v>16</v>
      </c>
      <c r="H134" s="309">
        <v>21000</v>
      </c>
      <c r="I134" s="309">
        <v>336000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241</v>
      </c>
      <c r="AF134" s="341" t="s">
        <v>314</v>
      </c>
    </row>
    <row r="135" spans="1:32">
      <c r="A135" s="307">
        <v>4</v>
      </c>
      <c r="B135" s="342"/>
      <c r="C135" s="342" t="s">
        <v>176</v>
      </c>
      <c r="D135" s="340" t="s">
        <v>341</v>
      </c>
      <c r="E135" s="342" t="s">
        <v>342</v>
      </c>
      <c r="F135" s="345" t="s">
        <v>237</v>
      </c>
      <c r="G135" s="308">
        <v>2</v>
      </c>
      <c r="H135" s="309">
        <v>73000</v>
      </c>
      <c r="I135" s="309">
        <v>146000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 t="s">
        <v>343</v>
      </c>
      <c r="AF135" s="341" t="s">
        <v>246</v>
      </c>
    </row>
    <row r="136" spans="1:32">
      <c r="A136" s="307">
        <v>4</v>
      </c>
      <c r="B136" s="342"/>
      <c r="C136" s="342" t="s">
        <v>176</v>
      </c>
      <c r="D136" s="340" t="s">
        <v>256</v>
      </c>
      <c r="E136" s="342" t="s">
        <v>257</v>
      </c>
      <c r="F136" s="345" t="s">
        <v>237</v>
      </c>
      <c r="G136" s="308">
        <v>2</v>
      </c>
      <c r="H136" s="309">
        <v>4000</v>
      </c>
      <c r="I136" s="309">
        <v>8000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 t="s">
        <v>258</v>
      </c>
      <c r="AF136" s="341" t="s">
        <v>246</v>
      </c>
    </row>
    <row r="137" spans="1:32">
      <c r="A137" s="307">
        <v>4</v>
      </c>
      <c r="B137" s="342"/>
      <c r="C137" s="342" t="s">
        <v>176</v>
      </c>
      <c r="D137" s="340" t="s">
        <v>253</v>
      </c>
      <c r="E137" s="342" t="s">
        <v>321</v>
      </c>
      <c r="F137" s="345" t="s">
        <v>237</v>
      </c>
      <c r="G137" s="308">
        <v>2</v>
      </c>
      <c r="H137" s="309">
        <v>4000</v>
      </c>
      <c r="I137" s="309">
        <v>8000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322</v>
      </c>
      <c r="AF137" s="341" t="s">
        <v>246</v>
      </c>
    </row>
    <row r="138" spans="1:32">
      <c r="A138" s="307">
        <v>4</v>
      </c>
      <c r="B138" s="342"/>
      <c r="C138" s="342" t="s">
        <v>176</v>
      </c>
      <c r="D138" s="340" t="s">
        <v>247</v>
      </c>
      <c r="E138" s="342"/>
      <c r="F138" s="345" t="s">
        <v>237</v>
      </c>
      <c r="G138" s="308">
        <v>2</v>
      </c>
      <c r="H138" s="309">
        <v>8000</v>
      </c>
      <c r="I138" s="309">
        <v>16000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 t="s">
        <v>248</v>
      </c>
      <c r="AF138" s="341" t="s">
        <v>246</v>
      </c>
    </row>
    <row r="139" spans="1:32">
      <c r="A139" s="307">
        <v>4</v>
      </c>
      <c r="B139" s="342"/>
      <c r="C139" s="342" t="s">
        <v>176</v>
      </c>
      <c r="D139" s="340" t="s">
        <v>249</v>
      </c>
      <c r="E139" s="342"/>
      <c r="F139" s="345" t="s">
        <v>237</v>
      </c>
      <c r="G139" s="308">
        <v>2</v>
      </c>
      <c r="H139" s="309">
        <v>4300</v>
      </c>
      <c r="I139" s="309">
        <v>8600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 t="s">
        <v>250</v>
      </c>
      <c r="AF139" s="341" t="s">
        <v>246</v>
      </c>
    </row>
    <row r="140" spans="1:32">
      <c r="A140" s="307">
        <v>4</v>
      </c>
      <c r="B140" s="342"/>
      <c r="C140" s="342" t="s">
        <v>176</v>
      </c>
      <c r="D140" s="340" t="s">
        <v>259</v>
      </c>
      <c r="E140" s="342"/>
      <c r="F140" s="345" t="s">
        <v>237</v>
      </c>
      <c r="G140" s="308">
        <v>4</v>
      </c>
      <c r="H140" s="309">
        <v>1000</v>
      </c>
      <c r="I140" s="309">
        <v>4000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260</v>
      </c>
      <c r="AF140" s="341" t="s">
        <v>267</v>
      </c>
    </row>
    <row r="141" spans="1:32">
      <c r="A141" s="307">
        <v>4</v>
      </c>
      <c r="B141" s="342"/>
      <c r="C141" s="342" t="s">
        <v>177</v>
      </c>
      <c r="D141" s="340" t="s">
        <v>265</v>
      </c>
      <c r="E141" s="342"/>
      <c r="F141" s="345" t="s">
        <v>237</v>
      </c>
      <c r="G141" s="308">
        <v>4</v>
      </c>
      <c r="H141" s="309">
        <v>5000</v>
      </c>
      <c r="I141" s="309">
        <v>20000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266</v>
      </c>
      <c r="AF141" s="341" t="s">
        <v>267</v>
      </c>
    </row>
    <row r="142" spans="1:32">
      <c r="A142" s="307">
        <v>4</v>
      </c>
      <c r="B142" s="342"/>
      <c r="C142" s="342" t="s">
        <v>176</v>
      </c>
      <c r="D142" s="340" t="s">
        <v>301</v>
      </c>
      <c r="E142" s="342" t="s">
        <v>302</v>
      </c>
      <c r="F142" s="345" t="s">
        <v>237</v>
      </c>
      <c r="G142" s="308">
        <v>2</v>
      </c>
      <c r="H142" s="309">
        <v>10000</v>
      </c>
      <c r="I142" s="309">
        <v>20000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 t="s">
        <v>303</v>
      </c>
      <c r="AF142" s="341" t="s">
        <v>300</v>
      </c>
    </row>
    <row r="143" spans="1:32">
      <c r="A143" s="307">
        <v>4</v>
      </c>
      <c r="B143" s="342"/>
      <c r="C143" s="342" t="s">
        <v>177</v>
      </c>
      <c r="D143" s="340" t="s">
        <v>268</v>
      </c>
      <c r="E143" s="342" t="s">
        <v>269</v>
      </c>
      <c r="F143" s="345" t="s">
        <v>237</v>
      </c>
      <c r="G143" s="308">
        <v>4</v>
      </c>
      <c r="H143" s="309">
        <v>4000</v>
      </c>
      <c r="I143" s="309">
        <v>16000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 t="s">
        <v>270</v>
      </c>
      <c r="AF143" s="341" t="s">
        <v>267</v>
      </c>
    </row>
    <row r="144" spans="1:32">
      <c r="A144" s="307">
        <v>4</v>
      </c>
      <c r="B144" s="342"/>
      <c r="C144" s="342" t="s">
        <v>173</v>
      </c>
      <c r="D144" s="340" t="s">
        <v>271</v>
      </c>
      <c r="E144" s="342"/>
      <c r="F144" s="345" t="s">
        <v>272</v>
      </c>
      <c r="G144" s="308">
        <v>200</v>
      </c>
      <c r="H144" s="309">
        <v>150</v>
      </c>
      <c r="I144" s="309">
        <v>30000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273</v>
      </c>
      <c r="AF144" s="341"/>
    </row>
    <row r="145" spans="1:32">
      <c r="A145" s="307">
        <v>4</v>
      </c>
      <c r="B145" s="342"/>
      <c r="C145" s="342" t="s">
        <v>173</v>
      </c>
      <c r="D145" s="340" t="s">
        <v>274</v>
      </c>
      <c r="E145" s="342"/>
      <c r="F145" s="345" t="s">
        <v>172</v>
      </c>
      <c r="G145" s="308">
        <v>1</v>
      </c>
      <c r="H145" s="309">
        <v>8170</v>
      </c>
      <c r="I145" s="309">
        <v>8170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 t="s">
        <v>275</v>
      </c>
      <c r="AF145" s="341"/>
    </row>
    <row r="146" spans="1:32">
      <c r="A146" s="307">
        <v>2</v>
      </c>
      <c r="B146" s="342"/>
      <c r="C146" s="342" t="s">
        <v>225</v>
      </c>
      <c r="D146" s="340" t="s">
        <v>344</v>
      </c>
      <c r="E146" s="342"/>
      <c r="F146" s="345" t="s">
        <v>172</v>
      </c>
      <c r="G146" s="308">
        <v>1</v>
      </c>
      <c r="H146" s="309">
        <v>929917</v>
      </c>
      <c r="I146" s="309">
        <v>929917</v>
      </c>
      <c r="J146" s="211">
        <v>1</v>
      </c>
      <c r="K146" s="212" t="str">
        <f>IF(OR(J146="",G146=J146),"","*")</f>
        <v/>
      </c>
      <c r="L146" s="338">
        <f>IF($A146&lt;=L$1,I146/I$4,"")</f>
        <v>5.0076305869682286E-2</v>
      </c>
      <c r="M146" s="343"/>
      <c r="N146" s="344" t="s">
        <v>345</v>
      </c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3</v>
      </c>
      <c r="B147" s="342"/>
      <c r="C147" s="342" t="s">
        <v>225</v>
      </c>
      <c r="D147" s="340" t="s">
        <v>228</v>
      </c>
      <c r="E147" s="342" t="s">
        <v>169</v>
      </c>
      <c r="F147" s="345" t="s">
        <v>162</v>
      </c>
      <c r="G147" s="308">
        <v>323</v>
      </c>
      <c r="H147" s="309">
        <v>681</v>
      </c>
      <c r="I147" s="309">
        <v>219963</v>
      </c>
      <c r="J147" s="211">
        <v>323</v>
      </c>
      <c r="K147" s="212" t="str">
        <f>IF(OR(J147="",G147=J147),"","*")</f>
        <v/>
      </c>
      <c r="L147" s="338">
        <f>IF($A147&lt;=L$1,I147/I$4,"")</f>
        <v>1.1845072697899839E-2</v>
      </c>
      <c r="M147" s="343"/>
      <c r="N147" s="344" t="s">
        <v>346</v>
      </c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4</v>
      </c>
      <c r="B148" s="342"/>
      <c r="C148" s="342" t="s">
        <v>173</v>
      </c>
      <c r="D148" s="340" t="s">
        <v>230</v>
      </c>
      <c r="E148" s="342" t="s">
        <v>231</v>
      </c>
      <c r="F148" s="345" t="s">
        <v>232</v>
      </c>
      <c r="G148" s="308">
        <v>18</v>
      </c>
      <c r="H148" s="309">
        <v>500</v>
      </c>
      <c r="I148" s="309">
        <v>9000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 t="s">
        <v>233</v>
      </c>
      <c r="AF148" s="341" t="s">
        <v>347</v>
      </c>
    </row>
    <row r="149" spans="1:32">
      <c r="A149" s="307">
        <v>4</v>
      </c>
      <c r="B149" s="342"/>
      <c r="C149" s="342" t="s">
        <v>177</v>
      </c>
      <c r="D149" s="340" t="s">
        <v>319</v>
      </c>
      <c r="E149" s="342" t="s">
        <v>236</v>
      </c>
      <c r="F149" s="345" t="s">
        <v>237</v>
      </c>
      <c r="G149" s="308">
        <v>1</v>
      </c>
      <c r="H149" s="309">
        <v>31000</v>
      </c>
      <c r="I149" s="309">
        <v>31000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320</v>
      </c>
      <c r="AF149" s="341"/>
    </row>
    <row r="150" spans="1:32">
      <c r="A150" s="307">
        <v>4</v>
      </c>
      <c r="B150" s="342"/>
      <c r="C150" s="342" t="s">
        <v>174</v>
      </c>
      <c r="D150" s="340" t="s">
        <v>239</v>
      </c>
      <c r="E150" s="342"/>
      <c r="F150" s="345" t="s">
        <v>240</v>
      </c>
      <c r="G150" s="308">
        <v>6</v>
      </c>
      <c r="H150" s="309">
        <v>21000</v>
      </c>
      <c r="I150" s="309">
        <v>126000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241</v>
      </c>
      <c r="AF150" s="341"/>
    </row>
    <row r="151" spans="1:32">
      <c r="A151" s="307">
        <v>4</v>
      </c>
      <c r="B151" s="342"/>
      <c r="C151" s="342" t="s">
        <v>176</v>
      </c>
      <c r="D151" s="340" t="s">
        <v>247</v>
      </c>
      <c r="E151" s="342"/>
      <c r="F151" s="345" t="s">
        <v>237</v>
      </c>
      <c r="G151" s="308">
        <v>1</v>
      </c>
      <c r="H151" s="309">
        <v>8000</v>
      </c>
      <c r="I151" s="309">
        <v>8000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248</v>
      </c>
      <c r="AF151" s="341"/>
    </row>
    <row r="152" spans="1:32">
      <c r="A152" s="307">
        <v>4</v>
      </c>
      <c r="B152" s="342"/>
      <c r="C152" s="342" t="s">
        <v>176</v>
      </c>
      <c r="D152" s="340" t="s">
        <v>249</v>
      </c>
      <c r="E152" s="342"/>
      <c r="F152" s="345" t="s">
        <v>237</v>
      </c>
      <c r="G152" s="308">
        <v>1</v>
      </c>
      <c r="H152" s="309">
        <v>4300</v>
      </c>
      <c r="I152" s="309">
        <v>4300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 t="s">
        <v>250</v>
      </c>
      <c r="AF152" s="341"/>
    </row>
    <row r="153" spans="1:32">
      <c r="A153" s="307">
        <v>4</v>
      </c>
      <c r="B153" s="342"/>
      <c r="C153" s="342" t="s">
        <v>176</v>
      </c>
      <c r="D153" s="340" t="s">
        <v>253</v>
      </c>
      <c r="E153" s="342" t="s">
        <v>321</v>
      </c>
      <c r="F153" s="345" t="s">
        <v>237</v>
      </c>
      <c r="G153" s="308">
        <v>1</v>
      </c>
      <c r="H153" s="309">
        <v>4000</v>
      </c>
      <c r="I153" s="309">
        <v>4000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322</v>
      </c>
      <c r="AF153" s="341"/>
    </row>
    <row r="154" spans="1:32">
      <c r="A154" s="307">
        <v>4</v>
      </c>
      <c r="B154" s="342"/>
      <c r="C154" s="342" t="s">
        <v>176</v>
      </c>
      <c r="D154" s="340" t="s">
        <v>256</v>
      </c>
      <c r="E154" s="342" t="s">
        <v>257</v>
      </c>
      <c r="F154" s="345" t="s">
        <v>237</v>
      </c>
      <c r="G154" s="308">
        <v>1</v>
      </c>
      <c r="H154" s="309">
        <v>4000</v>
      </c>
      <c r="I154" s="309">
        <v>4000</v>
      </c>
      <c r="J154" s="211"/>
      <c r="K154" s="212" t="str">
        <f>IF(OR(J154="",G154=J154),"","*")</f>
        <v/>
      </c>
      <c r="L154" s="338" t="str">
        <f>IF($A154&lt;=L$1,I154/I$4,"")</f>
        <v/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 t="s">
        <v>258</v>
      </c>
      <c r="AF154" s="341"/>
    </row>
    <row r="155" spans="1:32">
      <c r="A155" s="307">
        <v>4</v>
      </c>
      <c r="B155" s="342"/>
      <c r="C155" s="342" t="s">
        <v>176</v>
      </c>
      <c r="D155" s="340" t="s">
        <v>259</v>
      </c>
      <c r="E155" s="342"/>
      <c r="F155" s="345" t="s">
        <v>237</v>
      </c>
      <c r="G155" s="308">
        <v>1</v>
      </c>
      <c r="H155" s="309">
        <v>1000</v>
      </c>
      <c r="I155" s="309">
        <v>1000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 t="s">
        <v>260</v>
      </c>
      <c r="AF155" s="341"/>
    </row>
    <row r="156" spans="1:32">
      <c r="A156" s="307">
        <v>4</v>
      </c>
      <c r="B156" s="342"/>
      <c r="C156" s="342" t="s">
        <v>176</v>
      </c>
      <c r="D156" s="340" t="s">
        <v>261</v>
      </c>
      <c r="E156" s="342"/>
      <c r="F156" s="345" t="s">
        <v>237</v>
      </c>
      <c r="G156" s="308">
        <v>1</v>
      </c>
      <c r="H156" s="309">
        <v>1000</v>
      </c>
      <c r="I156" s="309">
        <v>1000</v>
      </c>
      <c r="J156" s="211"/>
      <c r="K156" s="212" t="str">
        <f>IF(OR(J156="",G156=J156),"","*")</f>
        <v/>
      </c>
      <c r="L156" s="338" t="str">
        <f>IF($A156&lt;=L$1,I156/I$4,"")</f>
        <v/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 t="s">
        <v>262</v>
      </c>
      <c r="AF156" s="341"/>
    </row>
    <row r="157" spans="1:32">
      <c r="A157" s="307">
        <v>4</v>
      </c>
      <c r="B157" s="342"/>
      <c r="C157" s="342" t="s">
        <v>177</v>
      </c>
      <c r="D157" s="340" t="s">
        <v>263</v>
      </c>
      <c r="E157" s="342"/>
      <c r="F157" s="345" t="s">
        <v>237</v>
      </c>
      <c r="G157" s="308">
        <v>1</v>
      </c>
      <c r="H157" s="309">
        <v>7000</v>
      </c>
      <c r="I157" s="309">
        <v>7000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 t="s">
        <v>264</v>
      </c>
      <c r="AF157" s="341"/>
    </row>
    <row r="158" spans="1:32">
      <c r="A158" s="307">
        <v>4</v>
      </c>
      <c r="B158" s="342"/>
      <c r="C158" s="342" t="s">
        <v>177</v>
      </c>
      <c r="D158" s="340" t="s">
        <v>265</v>
      </c>
      <c r="E158" s="342"/>
      <c r="F158" s="345" t="s">
        <v>237</v>
      </c>
      <c r="G158" s="308">
        <v>2</v>
      </c>
      <c r="H158" s="309">
        <v>5000</v>
      </c>
      <c r="I158" s="309">
        <v>10000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 t="s">
        <v>266</v>
      </c>
      <c r="AF158" s="341"/>
    </row>
    <row r="159" spans="1:32">
      <c r="A159" s="307">
        <v>4</v>
      </c>
      <c r="B159" s="342"/>
      <c r="C159" s="342" t="s">
        <v>177</v>
      </c>
      <c r="D159" s="340" t="s">
        <v>268</v>
      </c>
      <c r="E159" s="342" t="s">
        <v>269</v>
      </c>
      <c r="F159" s="345" t="s">
        <v>237</v>
      </c>
      <c r="G159" s="308">
        <v>2</v>
      </c>
      <c r="H159" s="309">
        <v>4000</v>
      </c>
      <c r="I159" s="309">
        <v>8000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 t="s">
        <v>270</v>
      </c>
      <c r="AF159" s="341"/>
    </row>
    <row r="160" spans="1:32">
      <c r="A160" s="307">
        <v>4</v>
      </c>
      <c r="B160" s="342"/>
      <c r="C160" s="342" t="s">
        <v>173</v>
      </c>
      <c r="D160" s="340" t="s">
        <v>274</v>
      </c>
      <c r="E160" s="342"/>
      <c r="F160" s="345" t="s">
        <v>172</v>
      </c>
      <c r="G160" s="308">
        <v>1</v>
      </c>
      <c r="H160" s="309">
        <v>6700</v>
      </c>
      <c r="I160" s="309">
        <v>6700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 t="s">
        <v>275</v>
      </c>
      <c r="AF160" s="341"/>
    </row>
    <row r="161" spans="1:32">
      <c r="A161" s="307">
        <v>3</v>
      </c>
      <c r="B161" s="342"/>
      <c r="C161" s="342" t="s">
        <v>225</v>
      </c>
      <c r="D161" s="340" t="s">
        <v>348</v>
      </c>
      <c r="E161" s="342" t="s">
        <v>170</v>
      </c>
      <c r="F161" s="345" t="s">
        <v>162</v>
      </c>
      <c r="G161" s="308">
        <v>323</v>
      </c>
      <c r="H161" s="309">
        <v>2198</v>
      </c>
      <c r="I161" s="309">
        <v>709954</v>
      </c>
      <c r="J161" s="211">
        <v>323</v>
      </c>
      <c r="K161" s="212" t="str">
        <f>IF(OR(J161="",G161=J161),"","*")</f>
        <v/>
      </c>
      <c r="L161" s="338">
        <f>IF($A161&lt;=L$1,I161/I$4,"")</f>
        <v>3.8231233171782446E-2</v>
      </c>
      <c r="M161" s="343"/>
      <c r="N161" s="344" t="s">
        <v>349</v>
      </c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/>
    </row>
    <row r="162" spans="1:32">
      <c r="A162" s="307">
        <v>4</v>
      </c>
      <c r="B162" s="342"/>
      <c r="C162" s="342" t="s">
        <v>173</v>
      </c>
      <c r="D162" s="340" t="s">
        <v>350</v>
      </c>
      <c r="E162" s="342" t="s">
        <v>231</v>
      </c>
      <c r="F162" s="345" t="s">
        <v>232</v>
      </c>
      <c r="G162" s="308">
        <v>30</v>
      </c>
      <c r="H162" s="309">
        <v>10500</v>
      </c>
      <c r="I162" s="309">
        <v>315000</v>
      </c>
      <c r="J162" s="211"/>
      <c r="K162" s="212" t="str">
        <f>IF(OR(J162="",G162=J162),"","*")</f>
        <v/>
      </c>
      <c r="L162" s="338" t="str">
        <f>IF($A162&lt;=L$1,I162/I$4,"")</f>
        <v/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 t="s">
        <v>351</v>
      </c>
      <c r="AF162" s="341" t="s">
        <v>352</v>
      </c>
    </row>
    <row r="163" spans="1:32">
      <c r="A163" s="307">
        <v>4</v>
      </c>
      <c r="B163" s="342"/>
      <c r="C163" s="342" t="s">
        <v>177</v>
      </c>
      <c r="D163" s="340" t="s">
        <v>319</v>
      </c>
      <c r="E163" s="342" t="s">
        <v>236</v>
      </c>
      <c r="F163" s="345" t="s">
        <v>237</v>
      </c>
      <c r="G163" s="308">
        <v>3</v>
      </c>
      <c r="H163" s="309">
        <v>31000</v>
      </c>
      <c r="I163" s="309">
        <v>93000</v>
      </c>
      <c r="J163" s="211"/>
      <c r="K163" s="212" t="str">
        <f>IF(OR(J163="",G163=J163),"","*")</f>
        <v/>
      </c>
      <c r="L163" s="338" t="str">
        <f>IF($A163&lt;=L$1,I163/I$4,"")</f>
        <v/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 t="s">
        <v>320</v>
      </c>
      <c r="AF163" s="341"/>
    </row>
    <row r="164" spans="1:32">
      <c r="A164" s="307">
        <v>4</v>
      </c>
      <c r="B164" s="342"/>
      <c r="C164" s="342" t="s">
        <v>174</v>
      </c>
      <c r="D164" s="340" t="s">
        <v>239</v>
      </c>
      <c r="E164" s="342"/>
      <c r="F164" s="345" t="s">
        <v>240</v>
      </c>
      <c r="G164" s="308">
        <v>8</v>
      </c>
      <c r="H164" s="309">
        <v>21000</v>
      </c>
      <c r="I164" s="309">
        <v>168000</v>
      </c>
      <c r="J164" s="211"/>
      <c r="K164" s="212" t="str">
        <f>IF(OR(J164="",G164=J164),"","*")</f>
        <v/>
      </c>
      <c r="L164" s="338" t="str">
        <f>IF($A164&lt;=L$1,I164/I$4,"")</f>
        <v/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 t="s">
        <v>241</v>
      </c>
      <c r="AF164" s="341"/>
    </row>
    <row r="165" spans="1:32">
      <c r="A165" s="307">
        <v>4</v>
      </c>
      <c r="B165" s="342"/>
      <c r="C165" s="342" t="s">
        <v>176</v>
      </c>
      <c r="D165" s="340" t="s">
        <v>341</v>
      </c>
      <c r="E165" s="342" t="s">
        <v>342</v>
      </c>
      <c r="F165" s="345" t="s">
        <v>237</v>
      </c>
      <c r="G165" s="308">
        <v>1</v>
      </c>
      <c r="H165" s="309">
        <v>73000</v>
      </c>
      <c r="I165" s="309">
        <v>73000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 t="s">
        <v>343</v>
      </c>
      <c r="AF165" s="341"/>
    </row>
    <row r="166" spans="1:32">
      <c r="A166" s="307">
        <v>4</v>
      </c>
      <c r="B166" s="342"/>
      <c r="C166" s="342" t="s">
        <v>176</v>
      </c>
      <c r="D166" s="340" t="s">
        <v>256</v>
      </c>
      <c r="E166" s="342" t="s">
        <v>257</v>
      </c>
      <c r="F166" s="345" t="s">
        <v>237</v>
      </c>
      <c r="G166" s="308">
        <v>1</v>
      </c>
      <c r="H166" s="309">
        <v>4000</v>
      </c>
      <c r="I166" s="309">
        <v>4000</v>
      </c>
      <c r="J166" s="211"/>
      <c r="K166" s="212" t="str">
        <f>IF(OR(J166="",G166=J166),"","*")</f>
        <v/>
      </c>
      <c r="L166" s="338" t="str">
        <f>IF($A166&lt;=L$1,I166/I$4,"")</f>
        <v/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 t="s">
        <v>258</v>
      </c>
      <c r="AF166" s="341"/>
    </row>
    <row r="167" spans="1:32">
      <c r="A167" s="307">
        <v>4</v>
      </c>
      <c r="B167" s="342"/>
      <c r="C167" s="342" t="s">
        <v>176</v>
      </c>
      <c r="D167" s="340" t="s">
        <v>253</v>
      </c>
      <c r="E167" s="342" t="s">
        <v>321</v>
      </c>
      <c r="F167" s="345" t="s">
        <v>237</v>
      </c>
      <c r="G167" s="308">
        <v>1</v>
      </c>
      <c r="H167" s="309">
        <v>4000</v>
      </c>
      <c r="I167" s="309">
        <v>4000</v>
      </c>
      <c r="J167" s="211"/>
      <c r="K167" s="212" t="str">
        <f>IF(OR(J167="",G167=J167),"","*")</f>
        <v/>
      </c>
      <c r="L167" s="338" t="str">
        <f>IF($A167&lt;=L$1,I167/I$4,"")</f>
        <v/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 t="s">
        <v>322</v>
      </c>
      <c r="AF167" s="341"/>
    </row>
    <row r="168" spans="1:32">
      <c r="A168" s="307">
        <v>4</v>
      </c>
      <c r="B168" s="342"/>
      <c r="C168" s="342" t="s">
        <v>176</v>
      </c>
      <c r="D168" s="340" t="s">
        <v>247</v>
      </c>
      <c r="E168" s="342"/>
      <c r="F168" s="345" t="s">
        <v>237</v>
      </c>
      <c r="G168" s="308">
        <v>1</v>
      </c>
      <c r="H168" s="309">
        <v>8000</v>
      </c>
      <c r="I168" s="309">
        <v>8000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 t="s">
        <v>248</v>
      </c>
      <c r="AF168" s="341"/>
    </row>
    <row r="169" spans="1:32">
      <c r="A169" s="307">
        <v>4</v>
      </c>
      <c r="B169" s="342"/>
      <c r="C169" s="342" t="s">
        <v>176</v>
      </c>
      <c r="D169" s="340" t="s">
        <v>249</v>
      </c>
      <c r="E169" s="342"/>
      <c r="F169" s="345" t="s">
        <v>237</v>
      </c>
      <c r="G169" s="308">
        <v>1</v>
      </c>
      <c r="H169" s="309">
        <v>4300</v>
      </c>
      <c r="I169" s="309">
        <v>4300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 t="s">
        <v>250</v>
      </c>
      <c r="AF169" s="341"/>
    </row>
    <row r="170" spans="1:32">
      <c r="A170" s="307">
        <v>4</v>
      </c>
      <c r="B170" s="342"/>
      <c r="C170" s="342" t="s">
        <v>176</v>
      </c>
      <c r="D170" s="340" t="s">
        <v>259</v>
      </c>
      <c r="E170" s="342"/>
      <c r="F170" s="345" t="s">
        <v>237</v>
      </c>
      <c r="G170" s="308">
        <v>1</v>
      </c>
      <c r="H170" s="309">
        <v>1000</v>
      </c>
      <c r="I170" s="309">
        <v>1000</v>
      </c>
      <c r="J170" s="211"/>
      <c r="K170" s="212" t="str">
        <f>IF(OR(J170="",G170=J170),"","*")</f>
        <v/>
      </c>
      <c r="L170" s="338" t="str">
        <f>IF($A170&lt;=L$1,I170/I$4,"")</f>
        <v/>
      </c>
      <c r="M170" s="343"/>
      <c r="N170" s="344"/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 t="s">
        <v>260</v>
      </c>
      <c r="AF170" s="341"/>
    </row>
    <row r="171" spans="1:32">
      <c r="A171" s="307">
        <v>4</v>
      </c>
      <c r="B171" s="342"/>
      <c r="C171" s="342" t="s">
        <v>177</v>
      </c>
      <c r="D171" s="340" t="s">
        <v>263</v>
      </c>
      <c r="E171" s="342"/>
      <c r="F171" s="345" t="s">
        <v>237</v>
      </c>
      <c r="G171" s="308">
        <v>1</v>
      </c>
      <c r="H171" s="309">
        <v>7000</v>
      </c>
      <c r="I171" s="309">
        <v>7000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 t="s">
        <v>264</v>
      </c>
      <c r="AF171" s="341"/>
    </row>
    <row r="172" spans="1:32">
      <c r="A172" s="307">
        <v>4</v>
      </c>
      <c r="B172" s="342"/>
      <c r="C172" s="342" t="s">
        <v>176</v>
      </c>
      <c r="D172" s="340" t="s">
        <v>301</v>
      </c>
      <c r="E172" s="342" t="s">
        <v>302</v>
      </c>
      <c r="F172" s="345" t="s">
        <v>237</v>
      </c>
      <c r="G172" s="308">
        <v>1</v>
      </c>
      <c r="H172" s="309">
        <v>10000</v>
      </c>
      <c r="I172" s="309">
        <v>10000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 t="s">
        <v>303</v>
      </c>
      <c r="AF172" s="341"/>
    </row>
    <row r="173" spans="1:32">
      <c r="A173" s="307">
        <v>4</v>
      </c>
      <c r="B173" s="342"/>
      <c r="C173" s="342" t="s">
        <v>177</v>
      </c>
      <c r="D173" s="340" t="s">
        <v>265</v>
      </c>
      <c r="E173" s="342"/>
      <c r="F173" s="345" t="s">
        <v>237</v>
      </c>
      <c r="G173" s="308">
        <v>2</v>
      </c>
      <c r="H173" s="309">
        <v>5000</v>
      </c>
      <c r="I173" s="309">
        <v>10000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 t="s">
        <v>266</v>
      </c>
      <c r="AF173" s="341"/>
    </row>
    <row r="174" spans="1:32">
      <c r="A174" s="307">
        <v>4</v>
      </c>
      <c r="B174" s="342"/>
      <c r="C174" s="342" t="s">
        <v>177</v>
      </c>
      <c r="D174" s="340" t="s">
        <v>268</v>
      </c>
      <c r="E174" s="342" t="s">
        <v>269</v>
      </c>
      <c r="F174" s="345" t="s">
        <v>237</v>
      </c>
      <c r="G174" s="308">
        <v>2</v>
      </c>
      <c r="H174" s="309">
        <v>4000</v>
      </c>
      <c r="I174" s="309">
        <v>8000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 t="s">
        <v>270</v>
      </c>
      <c r="AF174" s="341"/>
    </row>
    <row r="175" spans="1:32">
      <c r="A175" s="307">
        <v>4</v>
      </c>
      <c r="B175" s="342"/>
      <c r="C175" s="342" t="s">
        <v>173</v>
      </c>
      <c r="D175" s="340" t="s">
        <v>274</v>
      </c>
      <c r="E175" s="342"/>
      <c r="F175" s="345" t="s">
        <v>172</v>
      </c>
      <c r="G175" s="308">
        <v>1</v>
      </c>
      <c r="H175" s="309">
        <v>4700</v>
      </c>
      <c r="I175" s="309">
        <v>4700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 t="s">
        <v>275</v>
      </c>
      <c r="AF175" s="341"/>
    </row>
    <row r="176" spans="1:32">
      <c r="A176" s="307">
        <v>2</v>
      </c>
      <c r="B176" s="342"/>
      <c r="C176" s="342" t="s">
        <v>225</v>
      </c>
      <c r="D176" s="340" t="s">
        <v>353</v>
      </c>
      <c r="E176" s="342"/>
      <c r="F176" s="345" t="s">
        <v>172</v>
      </c>
      <c r="G176" s="308">
        <v>1</v>
      </c>
      <c r="H176" s="309">
        <v>39984</v>
      </c>
      <c r="I176" s="309">
        <v>39984</v>
      </c>
      <c r="J176" s="211">
        <v>1</v>
      </c>
      <c r="K176" s="212" t="str">
        <f>IF(OR(J176="",G176=J176),"","*")</f>
        <v/>
      </c>
      <c r="L176" s="338">
        <f>IF($A176&lt;=L$1,I176/I$4,"")</f>
        <v>2.153150242326333E-3</v>
      </c>
      <c r="M176" s="343"/>
      <c r="N176" s="344" t="s">
        <v>354</v>
      </c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/>
      <c r="AF176" s="341"/>
    </row>
    <row r="177" spans="1:32">
      <c r="A177" s="307">
        <v>3</v>
      </c>
      <c r="B177" s="342"/>
      <c r="C177" s="342" t="s">
        <v>225</v>
      </c>
      <c r="D177" s="340" t="s">
        <v>228</v>
      </c>
      <c r="E177" s="342" t="s">
        <v>169</v>
      </c>
      <c r="F177" s="345" t="s">
        <v>162</v>
      </c>
      <c r="G177" s="308">
        <v>17</v>
      </c>
      <c r="H177" s="309">
        <v>588</v>
      </c>
      <c r="I177" s="309">
        <v>9996</v>
      </c>
      <c r="J177" s="211">
        <v>17</v>
      </c>
      <c r="K177" s="212" t="str">
        <f>IF(OR(J177="",G177=J177),"","*")</f>
        <v/>
      </c>
      <c r="L177" s="338">
        <f>IF($A177&lt;=L$1,I177/I$4,"")</f>
        <v>5.3828756058158325E-4</v>
      </c>
      <c r="M177" s="343"/>
      <c r="N177" s="344" t="s">
        <v>355</v>
      </c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/>
      <c r="AF177" s="341"/>
    </row>
    <row r="178" spans="1:32">
      <c r="A178" s="307">
        <v>4</v>
      </c>
      <c r="B178" s="342"/>
      <c r="C178" s="342" t="s">
        <v>173</v>
      </c>
      <c r="D178" s="340" t="s">
        <v>230</v>
      </c>
      <c r="E178" s="342" t="s">
        <v>231</v>
      </c>
      <c r="F178" s="345" t="s">
        <v>232</v>
      </c>
      <c r="G178" s="308">
        <v>1</v>
      </c>
      <c r="H178" s="309">
        <v>500</v>
      </c>
      <c r="I178" s="309">
        <v>500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 t="s">
        <v>233</v>
      </c>
      <c r="AF178" s="341" t="s">
        <v>356</v>
      </c>
    </row>
    <row r="179" spans="1:32">
      <c r="A179" s="307">
        <v>4</v>
      </c>
      <c r="B179" s="342"/>
      <c r="C179" s="342" t="s">
        <v>173</v>
      </c>
      <c r="D179" s="340" t="s">
        <v>274</v>
      </c>
      <c r="E179" s="342"/>
      <c r="F179" s="345" t="s">
        <v>172</v>
      </c>
      <c r="G179" s="308">
        <v>1</v>
      </c>
      <c r="H179" s="309">
        <v>9500</v>
      </c>
      <c r="I179" s="309">
        <v>9500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 t="s">
        <v>275</v>
      </c>
      <c r="AF179" s="341"/>
    </row>
    <row r="180" spans="1:32">
      <c r="A180" s="307">
        <v>3</v>
      </c>
      <c r="B180" s="342"/>
      <c r="C180" s="342" t="s">
        <v>225</v>
      </c>
      <c r="D180" s="340" t="s">
        <v>304</v>
      </c>
      <c r="E180" s="342" t="s">
        <v>171</v>
      </c>
      <c r="F180" s="345" t="s">
        <v>162</v>
      </c>
      <c r="G180" s="308">
        <v>17</v>
      </c>
      <c r="H180" s="309">
        <v>1764</v>
      </c>
      <c r="I180" s="309">
        <v>29988</v>
      </c>
      <c r="J180" s="211">
        <v>17</v>
      </c>
      <c r="K180" s="212" t="str">
        <f>IF(OR(J180="",G180=J180),"","*")</f>
        <v/>
      </c>
      <c r="L180" s="338">
        <f>IF($A180&lt;=L$1,I180/I$4,"")</f>
        <v>1.6148626817447495E-3</v>
      </c>
      <c r="M180" s="343"/>
      <c r="N180" s="344" t="s">
        <v>357</v>
      </c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/>
      <c r="AF180" s="341"/>
    </row>
    <row r="181" spans="1:32">
      <c r="A181" s="307">
        <v>4</v>
      </c>
      <c r="B181" s="342"/>
      <c r="C181" s="342" t="s">
        <v>173</v>
      </c>
      <c r="D181" s="340" t="s">
        <v>287</v>
      </c>
      <c r="E181" s="342"/>
      <c r="F181" s="345" t="s">
        <v>272</v>
      </c>
      <c r="G181" s="308">
        <v>22</v>
      </c>
      <c r="H181" s="309">
        <v>109</v>
      </c>
      <c r="I181" s="309">
        <v>2398</v>
      </c>
      <c r="J181" s="211"/>
      <c r="K181" s="212" t="str">
        <f>IF(OR(J181="",G181=J181),"","*")</f>
        <v/>
      </c>
      <c r="L181" s="338" t="str">
        <f>IF($A181&lt;=L$1,I181/I$4,"")</f>
        <v/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 t="s">
        <v>288</v>
      </c>
      <c r="AF181" s="341" t="s">
        <v>358</v>
      </c>
    </row>
    <row r="182" spans="1:32">
      <c r="A182" s="307">
        <v>4</v>
      </c>
      <c r="B182" s="342"/>
      <c r="C182" s="342" t="s">
        <v>173</v>
      </c>
      <c r="D182" s="340" t="s">
        <v>311</v>
      </c>
      <c r="E182" s="342"/>
      <c r="F182" s="345" t="s">
        <v>232</v>
      </c>
      <c r="G182" s="308">
        <v>2.5</v>
      </c>
      <c r="H182" s="309">
        <v>7500</v>
      </c>
      <c r="I182" s="309">
        <v>18750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 t="s">
        <v>312</v>
      </c>
      <c r="AF182" s="341" t="s">
        <v>359</v>
      </c>
    </row>
    <row r="183" spans="1:32">
      <c r="A183" s="307">
        <v>4</v>
      </c>
      <c r="B183" s="342"/>
      <c r="C183" s="342" t="s">
        <v>173</v>
      </c>
      <c r="D183" s="340" t="s">
        <v>274</v>
      </c>
      <c r="E183" s="342"/>
      <c r="F183" s="345" t="s">
        <v>172</v>
      </c>
      <c r="G183" s="308">
        <v>1</v>
      </c>
      <c r="H183" s="309">
        <v>8852</v>
      </c>
      <c r="I183" s="309">
        <v>8852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 t="s">
        <v>275</v>
      </c>
      <c r="AF183" s="341"/>
    </row>
    <row r="184" spans="1:32">
      <c r="A184" s="307">
        <v>2</v>
      </c>
      <c r="B184" s="342"/>
      <c r="C184" s="342" t="s">
        <v>225</v>
      </c>
      <c r="D184" s="340" t="s">
        <v>360</v>
      </c>
      <c r="E184" s="342"/>
      <c r="F184" s="345" t="s">
        <v>172</v>
      </c>
      <c r="G184" s="308">
        <v>1</v>
      </c>
      <c r="H184" s="309">
        <v>460000</v>
      </c>
      <c r="I184" s="309">
        <v>460000</v>
      </c>
      <c r="J184" s="211">
        <v>1</v>
      </c>
      <c r="K184" s="212" t="str">
        <f>IF(OR(J184="",G184=J184),"","*")</f>
        <v/>
      </c>
      <c r="L184" s="338">
        <f>IF($A184&lt;=L$1,I184/I$4,"")</f>
        <v>2.4771136241249325E-2</v>
      </c>
      <c r="M184" s="343"/>
      <c r="N184" s="344" t="s">
        <v>361</v>
      </c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/>
    </row>
    <row r="185" spans="1:32">
      <c r="A185" s="307">
        <v>3</v>
      </c>
      <c r="B185" s="342"/>
      <c r="C185" s="342" t="s">
        <v>160</v>
      </c>
      <c r="D185" s="340" t="s">
        <v>362</v>
      </c>
      <c r="E185" s="342" t="s">
        <v>363</v>
      </c>
      <c r="F185" s="345" t="s">
        <v>172</v>
      </c>
      <c r="G185" s="308">
        <v>1</v>
      </c>
      <c r="H185" s="309">
        <v>460000</v>
      </c>
      <c r="I185" s="309">
        <v>460000</v>
      </c>
      <c r="J185" s="211"/>
      <c r="K185" s="212" t="str">
        <f>IF(OR(J185="",G185=J185),"","*")</f>
        <v/>
      </c>
      <c r="L185" s="338">
        <f>IF($A185&lt;=L$1,I185/I$4,"")</f>
        <v>2.4771136241249325E-2</v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/>
      <c r="AF185" s="341"/>
    </row>
    <row r="186" spans="1:32">
      <c r="A186" s="307">
        <v>2</v>
      </c>
      <c r="B186" s="342"/>
      <c r="C186" s="342" t="s">
        <v>225</v>
      </c>
      <c r="D186" s="340" t="s">
        <v>364</v>
      </c>
      <c r="E186" s="342"/>
      <c r="F186" s="345" t="s">
        <v>172</v>
      </c>
      <c r="G186" s="308">
        <v>1</v>
      </c>
      <c r="H186" s="309">
        <v>720000</v>
      </c>
      <c r="I186" s="309">
        <v>720000</v>
      </c>
      <c r="J186" s="211">
        <v>1</v>
      </c>
      <c r="K186" s="212" t="str">
        <f>IF(OR(J186="",G186=J186),"","*")</f>
        <v/>
      </c>
      <c r="L186" s="338">
        <f>IF($A186&lt;=L$1,I186/I$4,"")</f>
        <v>3.8772213247172858E-2</v>
      </c>
      <c r="M186" s="343"/>
      <c r="N186" s="344" t="s">
        <v>365</v>
      </c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/>
      <c r="AF186" s="341"/>
    </row>
    <row r="187" spans="1:32">
      <c r="A187" s="307">
        <v>3</v>
      </c>
      <c r="B187" s="342"/>
      <c r="C187" s="342" t="s">
        <v>175</v>
      </c>
      <c r="D187" s="340" t="s">
        <v>366</v>
      </c>
      <c r="E187" s="342" t="s">
        <v>363</v>
      </c>
      <c r="F187" s="345" t="s">
        <v>172</v>
      </c>
      <c r="G187" s="308">
        <v>1</v>
      </c>
      <c r="H187" s="309">
        <v>720000</v>
      </c>
      <c r="I187" s="309">
        <v>720000</v>
      </c>
      <c r="J187" s="211"/>
      <c r="K187" s="212" t="str">
        <f>IF(OR(J187="",G187=J187),"","*")</f>
        <v/>
      </c>
      <c r="L187" s="338">
        <f>IF($A187&lt;=L$1,I187/I$4,"")</f>
        <v>3.8772213247172858E-2</v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/>
    </row>
    <row r="188" spans="1:32">
      <c r="A188" s="307">
        <v>2</v>
      </c>
      <c r="B188" s="342"/>
      <c r="C188" s="342" t="s">
        <v>225</v>
      </c>
      <c r="D188" s="340" t="s">
        <v>367</v>
      </c>
      <c r="E188" s="342"/>
      <c r="F188" s="345" t="s">
        <v>172</v>
      </c>
      <c r="G188" s="308">
        <v>1</v>
      </c>
      <c r="H188" s="309">
        <v>6015</v>
      </c>
      <c r="I188" s="309">
        <v>6015</v>
      </c>
      <c r="J188" s="211">
        <v>1</v>
      </c>
      <c r="K188" s="212" t="str">
        <f>IF(OR(J188="",G188=J188),"","*")</f>
        <v/>
      </c>
      <c r="L188" s="338">
        <f>IF($A188&lt;=L$1,I188/I$4,"")</f>
        <v>3.2390953150242328E-4</v>
      </c>
      <c r="M188" s="343"/>
      <c r="N188" s="344" t="s">
        <v>368</v>
      </c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/>
      <c r="AF188" s="341"/>
    </row>
    <row r="189" spans="1:32">
      <c r="A189" s="307">
        <v>3</v>
      </c>
      <c r="B189" s="342"/>
      <c r="C189" s="342"/>
      <c r="D189" s="340" t="s">
        <v>369</v>
      </c>
      <c r="E189" s="342"/>
      <c r="F189" s="345" t="s">
        <v>172</v>
      </c>
      <c r="G189" s="308">
        <v>1</v>
      </c>
      <c r="H189" s="309">
        <v>6015</v>
      </c>
      <c r="I189" s="309">
        <v>6015</v>
      </c>
      <c r="J189" s="211"/>
      <c r="K189" s="212" t="str">
        <f>IF(OR(J189="",G189=J189),"","*")</f>
        <v/>
      </c>
      <c r="L189" s="338">
        <f>IF($A189&lt;=L$1,I189/I$4,"")</f>
        <v>3.2390953150242328E-4</v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/>
    </row>
    <row r="190" spans="1:32">
      <c r="A190" s="217"/>
      <c r="B190" s="217"/>
      <c r="C190" s="312"/>
      <c r="D190" s="217"/>
      <c r="E190" s="217"/>
      <c r="F190" s="218"/>
      <c r="G190" s="217"/>
      <c r="H190" s="217"/>
      <c r="I190" s="217"/>
      <c r="J190" s="217"/>
      <c r="K190" s="218"/>
      <c r="L190" s="217"/>
      <c r="M190" s="217"/>
      <c r="N190" s="217"/>
      <c r="O190" s="217"/>
      <c r="P190" s="217"/>
      <c r="Q190" s="217"/>
      <c r="R190" s="217"/>
      <c r="S190" s="218"/>
      <c r="T190" s="217"/>
      <c r="U190" s="217"/>
      <c r="V190" s="217"/>
      <c r="W190" s="217"/>
      <c r="X190" s="217"/>
      <c r="Y190" s="217"/>
      <c r="Z190" s="217"/>
      <c r="AA190" s="218"/>
      <c r="AB190" s="217"/>
      <c r="AC190" s="217"/>
      <c r="AD190" s="217"/>
      <c r="AE190" s="217"/>
      <c r="AF190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89 AF4:AF189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89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371</v>
      </c>
      <c r="D4" s="315">
        <v>534000</v>
      </c>
      <c r="E4" s="120"/>
      <c r="F4" s="119" t="s">
        <v>372</v>
      </c>
      <c r="G4" s="316">
        <v>630000</v>
      </c>
      <c r="H4" s="69"/>
    </row>
    <row r="5" spans="1:8" ht="27" customHeight="1">
      <c r="A5" s="69"/>
      <c r="B5" s="118"/>
      <c r="C5" s="119" t="s">
        <v>373</v>
      </c>
      <c r="D5" s="315">
        <v>132000</v>
      </c>
      <c r="E5" s="120"/>
      <c r="F5" s="119" t="s">
        <v>374</v>
      </c>
      <c r="G5" s="316">
        <v>34000</v>
      </c>
      <c r="H5" s="69"/>
    </row>
    <row r="6" spans="1:8" ht="27" customHeight="1">
      <c r="A6" s="69"/>
      <c r="B6" s="118"/>
      <c r="C6" s="119"/>
      <c r="D6" s="315"/>
      <c r="E6" s="120"/>
      <c r="F6" s="119"/>
      <c r="G6" s="316"/>
      <c r="H6" s="69"/>
    </row>
    <row r="7" spans="1:8" ht="27" customHeight="1">
      <c r="A7" s="69"/>
      <c r="B7" s="118"/>
      <c r="C7" s="119" t="s">
        <v>220</v>
      </c>
      <c r="D7" s="315">
        <v>666000</v>
      </c>
      <c r="E7" s="120"/>
      <c r="F7" s="119" t="s">
        <v>220</v>
      </c>
      <c r="G7" s="316">
        <v>664000</v>
      </c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173</v>
      </c>
      <c r="H3" s="128" t="s">
        <v>174</v>
      </c>
      <c r="I3" s="128" t="s">
        <v>175</v>
      </c>
      <c r="J3" s="128" t="s">
        <v>176</v>
      </c>
      <c r="K3" s="128" t="s">
        <v>177</v>
      </c>
      <c r="L3" s="128" t="s">
        <v>178</v>
      </c>
      <c r="M3" s="128" t="s">
        <v>179</v>
      </c>
      <c r="N3" s="129" t="s">
        <v>160</v>
      </c>
      <c r="O3" s="69"/>
    </row>
    <row r="4" spans="1:15" ht="30" customHeight="1">
      <c r="A4" s="69"/>
      <c r="B4" s="130" t="s">
        <v>371</v>
      </c>
      <c r="C4" s="131" t="s">
        <v>172</v>
      </c>
      <c r="D4" s="320">
        <v>1</v>
      </c>
      <c r="E4" s="321">
        <v>534000</v>
      </c>
      <c r="F4" s="322">
        <v>534000</v>
      </c>
      <c r="G4" s="323"/>
      <c r="H4" s="324"/>
      <c r="I4" s="324"/>
      <c r="J4" s="324"/>
      <c r="K4" s="324">
        <v>534000</v>
      </c>
      <c r="L4" s="324"/>
      <c r="M4" s="324"/>
      <c r="N4" s="325"/>
      <c r="O4" s="69"/>
    </row>
    <row r="5" spans="1:15" ht="30" customHeight="1">
      <c r="A5" s="69"/>
      <c r="B5" s="130" t="s">
        <v>373</v>
      </c>
      <c r="C5" s="131" t="s">
        <v>172</v>
      </c>
      <c r="D5" s="326">
        <v>1</v>
      </c>
      <c r="E5" s="321">
        <v>132000</v>
      </c>
      <c r="F5" s="322">
        <v>132000</v>
      </c>
      <c r="G5" s="323"/>
      <c r="H5" s="324"/>
      <c r="I5" s="324">
        <v>132000</v>
      </c>
      <c r="J5" s="324"/>
      <c r="K5" s="324"/>
      <c r="L5" s="324"/>
      <c r="M5" s="324"/>
      <c r="N5" s="325"/>
      <c r="O5" s="69"/>
    </row>
    <row r="6" spans="1:15" ht="30" customHeight="1">
      <c r="A6" s="69"/>
      <c r="B6" s="130"/>
      <c r="C6" s="131"/>
      <c r="D6" s="326"/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220</v>
      </c>
      <c r="C7" s="131"/>
      <c r="D7" s="326"/>
      <c r="E7" s="321"/>
      <c r="F7" s="322">
        <v>666000</v>
      </c>
      <c r="G7" s="323"/>
      <c r="H7" s="324"/>
      <c r="I7" s="324">
        <v>132000</v>
      </c>
      <c r="J7" s="324"/>
      <c r="K7" s="324">
        <v>534000</v>
      </c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24-012★(仮称)上郷河原口線道路新設工事(本線部)</v>
      </c>
      <c r="G1" s="306"/>
      <c r="H1" s="190" t="s">
        <v>131</v>
      </c>
      <c r="I1" s="333">
        <v>22200000</v>
      </c>
      <c r="J1" s="339">
        <f>I4/I$1</f>
        <v>0.83648648648648649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180</v>
      </c>
      <c r="E4" s="342"/>
      <c r="F4" s="345" t="s">
        <v>172</v>
      </c>
      <c r="G4" s="308">
        <v>1</v>
      </c>
      <c r="H4" s="309">
        <v>18570000</v>
      </c>
      <c r="I4" s="309">
        <v>18570000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375</v>
      </c>
      <c r="P4" s="347" t="s">
        <v>375</v>
      </c>
      <c r="Q4" s="347" t="s">
        <v>375</v>
      </c>
      <c r="R4" s="348" t="s">
        <v>375</v>
      </c>
      <c r="S4" s="349"/>
      <c r="T4" s="343" t="s">
        <v>376</v>
      </c>
      <c r="U4" s="343"/>
      <c r="V4" s="344"/>
      <c r="W4" s="346" t="s">
        <v>375</v>
      </c>
      <c r="X4" s="347" t="s">
        <v>375</v>
      </c>
      <c r="Y4" s="347" t="s">
        <v>375</v>
      </c>
      <c r="Z4" s="348" t="s">
        <v>375</v>
      </c>
      <c r="AA4" s="349"/>
      <c r="AB4" s="343" t="s">
        <v>376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223</v>
      </c>
      <c r="D5" s="340" t="s">
        <v>377</v>
      </c>
      <c r="E5" s="342"/>
      <c r="F5" s="345" t="s">
        <v>172</v>
      </c>
      <c r="G5" s="308">
        <v>1</v>
      </c>
      <c r="H5" s="309">
        <v>666000</v>
      </c>
      <c r="I5" s="309">
        <v>666000</v>
      </c>
      <c r="J5" s="211"/>
      <c r="K5" s="212" t="str">
        <f>IF(OR(J5="",G5=J5),"","*")</f>
        <v/>
      </c>
      <c r="L5" s="338">
        <f>IF($A5&lt;=L$1,I5/I$4,"")</f>
        <v>3.5864297253634894E-2</v>
      </c>
      <c r="M5" s="343"/>
      <c r="N5" s="344"/>
      <c r="O5" s="346" t="s">
        <v>375</v>
      </c>
      <c r="P5" s="347" t="s">
        <v>375</v>
      </c>
      <c r="Q5" s="347" t="s">
        <v>375</v>
      </c>
      <c r="R5" s="348" t="s">
        <v>375</v>
      </c>
      <c r="S5" s="349"/>
      <c r="T5" s="343" t="s">
        <v>376</v>
      </c>
      <c r="U5" s="343"/>
      <c r="V5" s="344"/>
      <c r="W5" s="346" t="s">
        <v>375</v>
      </c>
      <c r="X5" s="347" t="s">
        <v>375</v>
      </c>
      <c r="Y5" s="347" t="s">
        <v>375</v>
      </c>
      <c r="Z5" s="348" t="s">
        <v>375</v>
      </c>
      <c r="AA5" s="349"/>
      <c r="AB5" s="343" t="s">
        <v>376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225</v>
      </c>
      <c r="D6" s="340" t="s">
        <v>378</v>
      </c>
      <c r="E6" s="342"/>
      <c r="F6" s="345" t="s">
        <v>172</v>
      </c>
      <c r="G6" s="308">
        <v>1</v>
      </c>
      <c r="H6" s="309">
        <v>534000</v>
      </c>
      <c r="I6" s="309">
        <v>534000</v>
      </c>
      <c r="J6" s="211">
        <v>1</v>
      </c>
      <c r="K6" s="212" t="str">
        <f>IF(OR(J6="",G6=J6),"","*")</f>
        <v/>
      </c>
      <c r="L6" s="338">
        <f>IF($A6&lt;=L$1,I6/I$4,"")</f>
        <v>2.8756058158319872E-2</v>
      </c>
      <c r="M6" s="343"/>
      <c r="N6" s="344" t="s">
        <v>379</v>
      </c>
      <c r="O6" s="346" t="s">
        <v>375</v>
      </c>
      <c r="P6" s="347" t="s">
        <v>375</v>
      </c>
      <c r="Q6" s="347" t="s">
        <v>375</v>
      </c>
      <c r="R6" s="348" t="s">
        <v>375</v>
      </c>
      <c r="S6" s="349"/>
      <c r="T6" s="343" t="s">
        <v>376</v>
      </c>
      <c r="U6" s="343"/>
      <c r="V6" s="344"/>
      <c r="W6" s="346" t="s">
        <v>375</v>
      </c>
      <c r="X6" s="347" t="s">
        <v>375</v>
      </c>
      <c r="Y6" s="347" t="s">
        <v>375</v>
      </c>
      <c r="Z6" s="348" t="s">
        <v>375</v>
      </c>
      <c r="AA6" s="349"/>
      <c r="AB6" s="343" t="s">
        <v>376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177</v>
      </c>
      <c r="D7" s="340" t="s">
        <v>380</v>
      </c>
      <c r="E7" s="342" t="s">
        <v>381</v>
      </c>
      <c r="F7" s="345" t="s">
        <v>382</v>
      </c>
      <c r="G7" s="308">
        <v>16</v>
      </c>
      <c r="H7" s="309">
        <v>10000</v>
      </c>
      <c r="I7" s="309">
        <v>160000</v>
      </c>
      <c r="J7" s="211"/>
      <c r="K7" s="212" t="str">
        <f>IF(OR(J7="",G7=J7),"","*")</f>
        <v/>
      </c>
      <c r="L7" s="338">
        <f>IF($A7&lt;=L$1,I7/I$4,"")</f>
        <v>8.6160473882606354E-3</v>
      </c>
      <c r="M7" s="343"/>
      <c r="N7" s="344"/>
      <c r="O7" s="346" t="s">
        <v>375</v>
      </c>
      <c r="P7" s="347" t="s">
        <v>375</v>
      </c>
      <c r="Q7" s="347" t="s">
        <v>375</v>
      </c>
      <c r="R7" s="348" t="s">
        <v>375</v>
      </c>
      <c r="S7" s="349"/>
      <c r="T7" s="343" t="s">
        <v>376</v>
      </c>
      <c r="U7" s="343"/>
      <c r="V7" s="344"/>
      <c r="W7" s="346" t="s">
        <v>375</v>
      </c>
      <c r="X7" s="347" t="s">
        <v>375</v>
      </c>
      <c r="Y7" s="347" t="s">
        <v>375</v>
      </c>
      <c r="Z7" s="348" t="s">
        <v>375</v>
      </c>
      <c r="AA7" s="349"/>
      <c r="AB7" s="343" t="s">
        <v>376</v>
      </c>
      <c r="AC7" s="343"/>
      <c r="AD7" s="344"/>
      <c r="AE7" s="342" t="s">
        <v>383</v>
      </c>
      <c r="AF7" s="341" t="s">
        <v>117</v>
      </c>
    </row>
    <row r="8" spans="1:32">
      <c r="A8" s="307">
        <v>3</v>
      </c>
      <c r="B8" s="342"/>
      <c r="C8" s="342" t="s">
        <v>177</v>
      </c>
      <c r="D8" s="340" t="s">
        <v>384</v>
      </c>
      <c r="E8" s="342" t="s">
        <v>385</v>
      </c>
      <c r="F8" s="345" t="s">
        <v>382</v>
      </c>
      <c r="G8" s="308">
        <v>8</v>
      </c>
      <c r="H8" s="309">
        <v>18000</v>
      </c>
      <c r="I8" s="309">
        <v>144000</v>
      </c>
      <c r="J8" s="211"/>
      <c r="K8" s="212" t="str">
        <f>IF(OR(J8="",G8=J8),"","*")</f>
        <v/>
      </c>
      <c r="L8" s="338">
        <f>IF($A8&lt;=L$1,I8/I$4,"")</f>
        <v>7.7544426494345715E-3</v>
      </c>
      <c r="M8" s="343"/>
      <c r="N8" s="344"/>
      <c r="O8" s="346" t="s">
        <v>375</v>
      </c>
      <c r="P8" s="347" t="s">
        <v>375</v>
      </c>
      <c r="Q8" s="347" t="s">
        <v>375</v>
      </c>
      <c r="R8" s="348" t="s">
        <v>375</v>
      </c>
      <c r="S8" s="349"/>
      <c r="T8" s="343" t="s">
        <v>376</v>
      </c>
      <c r="U8" s="343"/>
      <c r="V8" s="344"/>
      <c r="W8" s="346" t="s">
        <v>375</v>
      </c>
      <c r="X8" s="347" t="s">
        <v>375</v>
      </c>
      <c r="Y8" s="347" t="s">
        <v>375</v>
      </c>
      <c r="Z8" s="348" t="s">
        <v>375</v>
      </c>
      <c r="AA8" s="349"/>
      <c r="AB8" s="343" t="s">
        <v>376</v>
      </c>
      <c r="AC8" s="343"/>
      <c r="AD8" s="344"/>
      <c r="AE8" s="342" t="s">
        <v>386</v>
      </c>
      <c r="AF8" s="341" t="s">
        <v>117</v>
      </c>
    </row>
    <row r="9" spans="1:32">
      <c r="A9" s="307">
        <v>3</v>
      </c>
      <c r="B9" s="342"/>
      <c r="C9" s="342" t="s">
        <v>177</v>
      </c>
      <c r="D9" s="340" t="s">
        <v>387</v>
      </c>
      <c r="E9" s="342" t="s">
        <v>388</v>
      </c>
      <c r="F9" s="345" t="s">
        <v>382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3.2310177705977385E-3</v>
      </c>
      <c r="M9" s="343"/>
      <c r="N9" s="344"/>
      <c r="O9" s="346" t="s">
        <v>375</v>
      </c>
      <c r="P9" s="347" t="s">
        <v>375</v>
      </c>
      <c r="Q9" s="347" t="s">
        <v>375</v>
      </c>
      <c r="R9" s="348" t="s">
        <v>375</v>
      </c>
      <c r="S9" s="349"/>
      <c r="T9" s="343" t="s">
        <v>376</v>
      </c>
      <c r="U9" s="343"/>
      <c r="V9" s="344"/>
      <c r="W9" s="346" t="s">
        <v>375</v>
      </c>
      <c r="X9" s="347" t="s">
        <v>375</v>
      </c>
      <c r="Y9" s="347" t="s">
        <v>375</v>
      </c>
      <c r="Z9" s="348" t="s">
        <v>375</v>
      </c>
      <c r="AA9" s="349"/>
      <c r="AB9" s="343" t="s">
        <v>376</v>
      </c>
      <c r="AC9" s="343"/>
      <c r="AD9" s="344"/>
      <c r="AE9" s="342" t="s">
        <v>389</v>
      </c>
      <c r="AF9" s="341" t="s">
        <v>117</v>
      </c>
    </row>
    <row r="10" spans="1:32">
      <c r="A10" s="307">
        <v>3</v>
      </c>
      <c r="B10" s="342"/>
      <c r="C10" s="342" t="s">
        <v>177</v>
      </c>
      <c r="D10" s="340" t="s">
        <v>390</v>
      </c>
      <c r="E10" s="342" t="s">
        <v>391</v>
      </c>
      <c r="F10" s="345" t="s">
        <v>382</v>
      </c>
      <c r="G10" s="308">
        <v>2</v>
      </c>
      <c r="H10" s="309">
        <v>25000</v>
      </c>
      <c r="I10" s="309">
        <v>50000</v>
      </c>
      <c r="J10" s="211"/>
      <c r="K10" s="212" t="str">
        <f>IF(OR(J10="",G10=J10),"","*")</f>
        <v/>
      </c>
      <c r="L10" s="338">
        <f>IF($A10&lt;=L$1,I10/I$4,"")</f>
        <v>2.6925148088314485E-3</v>
      </c>
      <c r="M10" s="343"/>
      <c r="N10" s="344"/>
      <c r="O10" s="346" t="s">
        <v>375</v>
      </c>
      <c r="P10" s="347" t="s">
        <v>375</v>
      </c>
      <c r="Q10" s="347" t="s">
        <v>375</v>
      </c>
      <c r="R10" s="348" t="s">
        <v>375</v>
      </c>
      <c r="S10" s="349"/>
      <c r="T10" s="343" t="s">
        <v>376</v>
      </c>
      <c r="U10" s="343"/>
      <c r="V10" s="344"/>
      <c r="W10" s="346" t="s">
        <v>375</v>
      </c>
      <c r="X10" s="347" t="s">
        <v>375</v>
      </c>
      <c r="Y10" s="347" t="s">
        <v>375</v>
      </c>
      <c r="Z10" s="348" t="s">
        <v>375</v>
      </c>
      <c r="AA10" s="349"/>
      <c r="AB10" s="343" t="s">
        <v>376</v>
      </c>
      <c r="AC10" s="343"/>
      <c r="AD10" s="344"/>
      <c r="AE10" s="342" t="s">
        <v>392</v>
      </c>
      <c r="AF10" s="341" t="s">
        <v>117</v>
      </c>
    </row>
    <row r="11" spans="1:32">
      <c r="A11" s="307">
        <v>3</v>
      </c>
      <c r="B11" s="342"/>
      <c r="C11" s="342" t="s">
        <v>177</v>
      </c>
      <c r="D11" s="340" t="s">
        <v>390</v>
      </c>
      <c r="E11" s="342" t="s">
        <v>393</v>
      </c>
      <c r="F11" s="345" t="s">
        <v>382</v>
      </c>
      <c r="G11" s="308">
        <v>4</v>
      </c>
      <c r="H11" s="309">
        <v>30000</v>
      </c>
      <c r="I11" s="309">
        <v>120000</v>
      </c>
      <c r="J11" s="211"/>
      <c r="K11" s="212" t="str">
        <f>IF(OR(J11="",G11=J11),"","*")</f>
        <v/>
      </c>
      <c r="L11" s="338">
        <f>IF($A11&lt;=L$1,I11/I$4,"")</f>
        <v>6.462035541195477E-3</v>
      </c>
      <c r="M11" s="343"/>
      <c r="N11" s="344"/>
      <c r="O11" s="346" t="s">
        <v>375</v>
      </c>
      <c r="P11" s="347" t="s">
        <v>375</v>
      </c>
      <c r="Q11" s="347" t="s">
        <v>375</v>
      </c>
      <c r="R11" s="348" t="s">
        <v>375</v>
      </c>
      <c r="S11" s="349"/>
      <c r="T11" s="343" t="s">
        <v>376</v>
      </c>
      <c r="U11" s="343"/>
      <c r="V11" s="344"/>
      <c r="W11" s="346" t="s">
        <v>375</v>
      </c>
      <c r="X11" s="347" t="s">
        <v>375</v>
      </c>
      <c r="Y11" s="347" t="s">
        <v>375</v>
      </c>
      <c r="Z11" s="348" t="s">
        <v>375</v>
      </c>
      <c r="AA11" s="349"/>
      <c r="AB11" s="343" t="s">
        <v>376</v>
      </c>
      <c r="AC11" s="343"/>
      <c r="AD11" s="344"/>
      <c r="AE11" s="342" t="s">
        <v>394</v>
      </c>
      <c r="AF11" s="341" t="s">
        <v>117</v>
      </c>
    </row>
    <row r="12" spans="1:32">
      <c r="A12" s="307">
        <v>2</v>
      </c>
      <c r="B12" s="342"/>
      <c r="C12" s="342" t="s">
        <v>225</v>
      </c>
      <c r="D12" s="340" t="s">
        <v>395</v>
      </c>
      <c r="E12" s="342" t="s">
        <v>396</v>
      </c>
      <c r="F12" s="345" t="s">
        <v>172</v>
      </c>
      <c r="G12" s="308">
        <v>1</v>
      </c>
      <c r="H12" s="309">
        <v>132000</v>
      </c>
      <c r="I12" s="309">
        <v>132000</v>
      </c>
      <c r="J12" s="211">
        <v>1</v>
      </c>
      <c r="K12" s="212" t="str">
        <f>IF(OR(J12="",G12=J12),"","*")</f>
        <v/>
      </c>
      <c r="L12" s="338">
        <f>IF($A12&lt;=L$1,I12/I$4,"")</f>
        <v>7.1082390953150238E-3</v>
      </c>
      <c r="M12" s="343"/>
      <c r="N12" s="344" t="s">
        <v>397</v>
      </c>
      <c r="O12" s="346" t="s">
        <v>375</v>
      </c>
      <c r="P12" s="347" t="s">
        <v>375</v>
      </c>
      <c r="Q12" s="347" t="s">
        <v>375</v>
      </c>
      <c r="R12" s="348" t="s">
        <v>375</v>
      </c>
      <c r="S12" s="349"/>
      <c r="T12" s="343" t="s">
        <v>376</v>
      </c>
      <c r="U12" s="343"/>
      <c r="V12" s="344"/>
      <c r="W12" s="346" t="s">
        <v>375</v>
      </c>
      <c r="X12" s="347" t="s">
        <v>375</v>
      </c>
      <c r="Y12" s="347" t="s">
        <v>375</v>
      </c>
      <c r="Z12" s="348" t="s">
        <v>375</v>
      </c>
      <c r="AA12" s="349"/>
      <c r="AB12" s="343" t="s">
        <v>376</v>
      </c>
      <c r="AC12" s="343"/>
      <c r="AD12" s="344"/>
      <c r="AE12" s="342"/>
      <c r="AF12" s="341" t="s">
        <v>117</v>
      </c>
    </row>
    <row r="13" spans="1:32">
      <c r="A13" s="307">
        <v>3</v>
      </c>
      <c r="B13" s="342"/>
      <c r="C13" s="342" t="s">
        <v>175</v>
      </c>
      <c r="D13" s="340" t="s">
        <v>398</v>
      </c>
      <c r="E13" s="342"/>
      <c r="F13" s="345" t="s">
        <v>172</v>
      </c>
      <c r="G13" s="308">
        <v>2</v>
      </c>
      <c r="H13" s="309">
        <v>30000</v>
      </c>
      <c r="I13" s="309">
        <v>60000</v>
      </c>
      <c r="J13" s="211"/>
      <c r="K13" s="212" t="str">
        <f>IF(OR(J13="",G13=J13),"","*")</f>
        <v/>
      </c>
      <c r="L13" s="338">
        <f>IF($A13&lt;=L$1,I13/I$4,"")</f>
        <v>3.2310177705977385E-3</v>
      </c>
      <c r="M13" s="343"/>
      <c r="N13" s="344"/>
      <c r="O13" s="346" t="s">
        <v>375</v>
      </c>
      <c r="P13" s="347" t="s">
        <v>375</v>
      </c>
      <c r="Q13" s="347" t="s">
        <v>375</v>
      </c>
      <c r="R13" s="348" t="s">
        <v>375</v>
      </c>
      <c r="S13" s="349"/>
      <c r="T13" s="343" t="s">
        <v>376</v>
      </c>
      <c r="U13" s="343"/>
      <c r="V13" s="344"/>
      <c r="W13" s="346" t="s">
        <v>375</v>
      </c>
      <c r="X13" s="347" t="s">
        <v>375</v>
      </c>
      <c r="Y13" s="347" t="s">
        <v>375</v>
      </c>
      <c r="Z13" s="348" t="s">
        <v>375</v>
      </c>
      <c r="AA13" s="349"/>
      <c r="AB13" s="343" t="s">
        <v>376</v>
      </c>
      <c r="AC13" s="343"/>
      <c r="AD13" s="344"/>
      <c r="AE13" s="342" t="s">
        <v>399</v>
      </c>
      <c r="AF13" s="341" t="s">
        <v>117</v>
      </c>
    </row>
    <row r="14" spans="1:32">
      <c r="A14" s="307">
        <v>3</v>
      </c>
      <c r="B14" s="342"/>
      <c r="C14" s="342" t="s">
        <v>175</v>
      </c>
      <c r="D14" s="340" t="s">
        <v>400</v>
      </c>
      <c r="E14" s="342"/>
      <c r="F14" s="345" t="s">
        <v>172</v>
      </c>
      <c r="G14" s="308">
        <v>1</v>
      </c>
      <c r="H14" s="309">
        <v>30000</v>
      </c>
      <c r="I14" s="309">
        <v>30000</v>
      </c>
      <c r="J14" s="211"/>
      <c r="K14" s="212" t="str">
        <f>IF(OR(J14="",G14=J14),"","*")</f>
        <v/>
      </c>
      <c r="L14" s="338">
        <f>IF($A14&lt;=L$1,I14/I$4,"")</f>
        <v>1.6155088852988692E-3</v>
      </c>
      <c r="M14" s="343"/>
      <c r="N14" s="344"/>
      <c r="O14" s="346" t="s">
        <v>375</v>
      </c>
      <c r="P14" s="347" t="s">
        <v>375</v>
      </c>
      <c r="Q14" s="347" t="s">
        <v>375</v>
      </c>
      <c r="R14" s="348" t="s">
        <v>375</v>
      </c>
      <c r="S14" s="349"/>
      <c r="T14" s="343" t="s">
        <v>376</v>
      </c>
      <c r="U14" s="343"/>
      <c r="V14" s="344"/>
      <c r="W14" s="346" t="s">
        <v>375</v>
      </c>
      <c r="X14" s="347" t="s">
        <v>375</v>
      </c>
      <c r="Y14" s="347" t="s">
        <v>375</v>
      </c>
      <c r="Z14" s="348" t="s">
        <v>375</v>
      </c>
      <c r="AA14" s="349"/>
      <c r="AB14" s="343" t="s">
        <v>376</v>
      </c>
      <c r="AC14" s="343"/>
      <c r="AD14" s="344"/>
      <c r="AE14" s="342" t="s">
        <v>399</v>
      </c>
      <c r="AF14" s="341" t="s">
        <v>117</v>
      </c>
    </row>
    <row r="15" spans="1:32">
      <c r="A15" s="307">
        <v>3</v>
      </c>
      <c r="B15" s="342"/>
      <c r="C15" s="342" t="s">
        <v>175</v>
      </c>
      <c r="D15" s="340" t="s">
        <v>401</v>
      </c>
      <c r="E15" s="342" t="s">
        <v>402</v>
      </c>
      <c r="F15" s="345" t="s">
        <v>172</v>
      </c>
      <c r="G15" s="308">
        <v>1</v>
      </c>
      <c r="H15" s="309">
        <v>20000</v>
      </c>
      <c r="I15" s="309">
        <v>20000</v>
      </c>
      <c r="J15" s="211"/>
      <c r="K15" s="212" t="str">
        <f>IF(OR(J15="",G15=J15),"","*")</f>
        <v/>
      </c>
      <c r="L15" s="338">
        <f>IF($A15&lt;=L$1,I15/I$4,"")</f>
        <v>1.0770059235325794E-3</v>
      </c>
      <c r="M15" s="343"/>
      <c r="N15" s="344"/>
      <c r="O15" s="346" t="s">
        <v>375</v>
      </c>
      <c r="P15" s="347" t="s">
        <v>375</v>
      </c>
      <c r="Q15" s="347" t="s">
        <v>375</v>
      </c>
      <c r="R15" s="348" t="s">
        <v>375</v>
      </c>
      <c r="S15" s="349"/>
      <c r="T15" s="343" t="s">
        <v>376</v>
      </c>
      <c r="U15" s="343"/>
      <c r="V15" s="344"/>
      <c r="W15" s="346" t="s">
        <v>375</v>
      </c>
      <c r="X15" s="347" t="s">
        <v>375</v>
      </c>
      <c r="Y15" s="347" t="s">
        <v>375</v>
      </c>
      <c r="Z15" s="348" t="s">
        <v>375</v>
      </c>
      <c r="AA15" s="349"/>
      <c r="AB15" s="343" t="s">
        <v>376</v>
      </c>
      <c r="AC15" s="343"/>
      <c r="AD15" s="344"/>
      <c r="AE15" s="342" t="s">
        <v>403</v>
      </c>
      <c r="AF15" s="341" t="s">
        <v>117</v>
      </c>
    </row>
    <row r="16" spans="1:32">
      <c r="A16" s="307">
        <v>3</v>
      </c>
      <c r="B16" s="342"/>
      <c r="C16" s="342" t="s">
        <v>175</v>
      </c>
      <c r="D16" s="340" t="s">
        <v>404</v>
      </c>
      <c r="E16" s="342" t="s">
        <v>402</v>
      </c>
      <c r="F16" s="345" t="s">
        <v>172</v>
      </c>
      <c r="G16" s="308">
        <v>1</v>
      </c>
      <c r="H16" s="309">
        <v>12000</v>
      </c>
      <c r="I16" s="309">
        <v>12000</v>
      </c>
      <c r="J16" s="211"/>
      <c r="K16" s="212" t="str">
        <f>IF(OR(J16="",G16=J16),"","*")</f>
        <v/>
      </c>
      <c r="L16" s="338">
        <f>IF($A16&lt;=L$1,I16/I$4,"")</f>
        <v>6.462035541195477E-4</v>
      </c>
      <c r="M16" s="343"/>
      <c r="N16" s="344"/>
      <c r="O16" s="346" t="s">
        <v>375</v>
      </c>
      <c r="P16" s="347" t="s">
        <v>375</v>
      </c>
      <c r="Q16" s="347" t="s">
        <v>375</v>
      </c>
      <c r="R16" s="348" t="s">
        <v>375</v>
      </c>
      <c r="S16" s="349"/>
      <c r="T16" s="343" t="s">
        <v>376</v>
      </c>
      <c r="U16" s="343"/>
      <c r="V16" s="344"/>
      <c r="W16" s="346" t="s">
        <v>375</v>
      </c>
      <c r="X16" s="347" t="s">
        <v>375</v>
      </c>
      <c r="Y16" s="347" t="s">
        <v>375</v>
      </c>
      <c r="Z16" s="348" t="s">
        <v>375</v>
      </c>
      <c r="AA16" s="349"/>
      <c r="AB16" s="343" t="s">
        <v>376</v>
      </c>
      <c r="AC16" s="343"/>
      <c r="AD16" s="344"/>
      <c r="AE16" s="342" t="s">
        <v>405</v>
      </c>
      <c r="AF16" s="341" t="s">
        <v>117</v>
      </c>
    </row>
    <row r="17" spans="1:32">
      <c r="A17" s="307">
        <v>3</v>
      </c>
      <c r="B17" s="342"/>
      <c r="C17" s="342" t="s">
        <v>175</v>
      </c>
      <c r="D17" s="340" t="s">
        <v>406</v>
      </c>
      <c r="E17" s="342"/>
      <c r="F17" s="345" t="s">
        <v>172</v>
      </c>
      <c r="G17" s="308">
        <v>1</v>
      </c>
      <c r="H17" s="309">
        <v>10000</v>
      </c>
      <c r="I17" s="309">
        <v>10000</v>
      </c>
      <c r="J17" s="211"/>
      <c r="K17" s="212" t="str">
        <f>IF(OR(J17="",G17=J17),"","*")</f>
        <v/>
      </c>
      <c r="L17" s="338">
        <f>IF($A17&lt;=L$1,I17/I$4,"")</f>
        <v>5.3850296176628971E-4</v>
      </c>
      <c r="M17" s="343"/>
      <c r="N17" s="344"/>
      <c r="O17" s="346" t="s">
        <v>375</v>
      </c>
      <c r="P17" s="347" t="s">
        <v>375</v>
      </c>
      <c r="Q17" s="347" t="s">
        <v>375</v>
      </c>
      <c r="R17" s="348" t="s">
        <v>375</v>
      </c>
      <c r="S17" s="349"/>
      <c r="T17" s="343" t="s">
        <v>376</v>
      </c>
      <c r="U17" s="343"/>
      <c r="V17" s="344"/>
      <c r="W17" s="346" t="s">
        <v>375</v>
      </c>
      <c r="X17" s="347" t="s">
        <v>375</v>
      </c>
      <c r="Y17" s="347" t="s">
        <v>375</v>
      </c>
      <c r="Z17" s="348" t="s">
        <v>375</v>
      </c>
      <c r="AA17" s="349"/>
      <c r="AB17" s="343" t="s">
        <v>376</v>
      </c>
      <c r="AC17" s="343"/>
      <c r="AD17" s="344"/>
      <c r="AE17" s="342" t="s">
        <v>407</v>
      </c>
      <c r="AF17" s="341" t="s">
        <v>117</v>
      </c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7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372</v>
      </c>
      <c r="C3" s="561"/>
      <c r="D3" s="563" t="s">
        <v>172</v>
      </c>
      <c r="E3" s="565">
        <v>1</v>
      </c>
      <c r="F3" s="521">
        <v>630000</v>
      </c>
      <c r="G3" s="557">
        <v>630000</v>
      </c>
      <c r="H3" s="138" t="s">
        <v>408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191</v>
      </c>
      <c r="I4" s="69"/>
    </row>
    <row r="5" spans="1:9" ht="15.75" customHeight="1">
      <c r="A5" s="69"/>
      <c r="B5" s="559" t="s">
        <v>374</v>
      </c>
      <c r="C5" s="561" t="s">
        <v>409</v>
      </c>
      <c r="D5" s="563" t="s">
        <v>172</v>
      </c>
      <c r="E5" s="565">
        <v>1</v>
      </c>
      <c r="F5" s="521">
        <v>34000</v>
      </c>
      <c r="G5" s="557">
        <v>34000</v>
      </c>
      <c r="H5" s="138" t="s">
        <v>410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191</v>
      </c>
      <c r="I6" s="69"/>
    </row>
    <row r="7" spans="1:9" ht="15.75" customHeight="1">
      <c r="A7" s="69"/>
      <c r="B7" s="559"/>
      <c r="C7" s="561"/>
      <c r="D7" s="563"/>
      <c r="E7" s="565"/>
      <c r="F7" s="521"/>
      <c r="G7" s="557"/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 t="s">
        <v>220</v>
      </c>
      <c r="C9" s="561"/>
      <c r="D9" s="563"/>
      <c r="E9" s="565"/>
      <c r="F9" s="521"/>
      <c r="G9" s="557">
        <v>664000</v>
      </c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1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24-012★(仮称)上郷河原口線道路新設工事(本線部)</v>
      </c>
      <c r="G1" s="306"/>
      <c r="H1" s="190" t="s">
        <v>131</v>
      </c>
      <c r="I1" s="333">
        <v>22200000</v>
      </c>
      <c r="J1" s="339">
        <f>I4/I$1</f>
        <v>0.83648648648648649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180</v>
      </c>
      <c r="E4" s="342"/>
      <c r="F4" s="345" t="s">
        <v>172</v>
      </c>
      <c r="G4" s="308">
        <v>1</v>
      </c>
      <c r="H4" s="309">
        <v>18570000</v>
      </c>
      <c r="I4" s="309">
        <v>18570000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375</v>
      </c>
      <c r="P4" s="347" t="s">
        <v>375</v>
      </c>
      <c r="Q4" s="347" t="s">
        <v>375</v>
      </c>
      <c r="R4" s="348" t="s">
        <v>375</v>
      </c>
      <c r="S4" s="349"/>
      <c r="T4" s="343" t="s">
        <v>376</v>
      </c>
      <c r="U4" s="343"/>
      <c r="V4" s="344"/>
      <c r="W4" s="346" t="s">
        <v>375</v>
      </c>
      <c r="X4" s="347" t="s">
        <v>375</v>
      </c>
      <c r="Y4" s="347" t="s">
        <v>375</v>
      </c>
      <c r="Z4" s="348" t="s">
        <v>375</v>
      </c>
      <c r="AA4" s="349"/>
      <c r="AB4" s="343" t="s">
        <v>376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223</v>
      </c>
      <c r="D5" s="340" t="s">
        <v>411</v>
      </c>
      <c r="E5" s="342"/>
      <c r="F5" s="345" t="s">
        <v>172</v>
      </c>
      <c r="G5" s="308">
        <v>1</v>
      </c>
      <c r="H5" s="309">
        <v>664000</v>
      </c>
      <c r="I5" s="309">
        <v>664000</v>
      </c>
      <c r="J5" s="211"/>
      <c r="K5" s="212" t="str">
        <f>IF(OR(J5="",G5=J5),"","*")</f>
        <v/>
      </c>
      <c r="L5" s="338">
        <f>IF($A5&lt;=L$1,I5/I$4,"")</f>
        <v>3.5756596661281635E-2</v>
      </c>
      <c r="M5" s="343"/>
      <c r="N5" s="344"/>
      <c r="O5" s="346" t="s">
        <v>375</v>
      </c>
      <c r="P5" s="347" t="s">
        <v>375</v>
      </c>
      <c r="Q5" s="347" t="s">
        <v>375</v>
      </c>
      <c r="R5" s="348" t="s">
        <v>375</v>
      </c>
      <c r="S5" s="349"/>
      <c r="T5" s="343" t="s">
        <v>376</v>
      </c>
      <c r="U5" s="343"/>
      <c r="V5" s="344"/>
      <c r="W5" s="346" t="s">
        <v>375</v>
      </c>
      <c r="X5" s="347" t="s">
        <v>375</v>
      </c>
      <c r="Y5" s="347" t="s">
        <v>375</v>
      </c>
      <c r="Z5" s="348" t="s">
        <v>375</v>
      </c>
      <c r="AA5" s="349"/>
      <c r="AB5" s="343" t="s">
        <v>376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225</v>
      </c>
      <c r="D6" s="340" t="s">
        <v>412</v>
      </c>
      <c r="E6" s="342"/>
      <c r="F6" s="345" t="s">
        <v>172</v>
      </c>
      <c r="G6" s="308">
        <v>1</v>
      </c>
      <c r="H6" s="309">
        <v>630000</v>
      </c>
      <c r="I6" s="309">
        <v>630000</v>
      </c>
      <c r="J6" s="211">
        <v>1</v>
      </c>
      <c r="K6" s="212" t="str">
        <f>IF(OR(J6="",G6=J6),"","*")</f>
        <v/>
      </c>
      <c r="L6" s="338">
        <f>IF($A6&lt;=L$1,I6/I$4,"")</f>
        <v>3.3925686591276254E-2</v>
      </c>
      <c r="M6" s="343"/>
      <c r="N6" s="344" t="s">
        <v>413</v>
      </c>
      <c r="O6" s="346" t="s">
        <v>375</v>
      </c>
      <c r="P6" s="347" t="s">
        <v>375</v>
      </c>
      <c r="Q6" s="347" t="s">
        <v>375</v>
      </c>
      <c r="R6" s="348" t="s">
        <v>375</v>
      </c>
      <c r="S6" s="349"/>
      <c r="T6" s="343" t="s">
        <v>376</v>
      </c>
      <c r="U6" s="343"/>
      <c r="V6" s="344"/>
      <c r="W6" s="346" t="s">
        <v>375</v>
      </c>
      <c r="X6" s="347" t="s">
        <v>375</v>
      </c>
      <c r="Y6" s="347" t="s">
        <v>375</v>
      </c>
      <c r="Z6" s="348" t="s">
        <v>375</v>
      </c>
      <c r="AA6" s="349"/>
      <c r="AB6" s="343" t="s">
        <v>376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179</v>
      </c>
      <c r="D7" s="340" t="s">
        <v>414</v>
      </c>
      <c r="E7" s="342"/>
      <c r="F7" s="345" t="s">
        <v>415</v>
      </c>
      <c r="G7" s="308">
        <v>10</v>
      </c>
      <c r="H7" s="309">
        <v>37000</v>
      </c>
      <c r="I7" s="309">
        <v>370000</v>
      </c>
      <c r="J7" s="211"/>
      <c r="K7" s="212" t="str">
        <f>IF(OR(J7="",G7=J7),"","*")</f>
        <v/>
      </c>
      <c r="L7" s="338">
        <f>IF($A7&lt;=L$1,I7/I$4,"")</f>
        <v>1.9924609585352721E-2</v>
      </c>
      <c r="M7" s="343"/>
      <c r="N7" s="344"/>
      <c r="O7" s="346" t="s">
        <v>375</v>
      </c>
      <c r="P7" s="347" t="s">
        <v>375</v>
      </c>
      <c r="Q7" s="347" t="s">
        <v>375</v>
      </c>
      <c r="R7" s="348" t="s">
        <v>375</v>
      </c>
      <c r="S7" s="349"/>
      <c r="T7" s="343" t="s">
        <v>376</v>
      </c>
      <c r="U7" s="343"/>
      <c r="V7" s="344"/>
      <c r="W7" s="346" t="s">
        <v>375</v>
      </c>
      <c r="X7" s="347" t="s">
        <v>375</v>
      </c>
      <c r="Y7" s="347" t="s">
        <v>375</v>
      </c>
      <c r="Z7" s="348" t="s">
        <v>375</v>
      </c>
      <c r="AA7" s="349"/>
      <c r="AB7" s="343" t="s">
        <v>376</v>
      </c>
      <c r="AC7" s="343"/>
      <c r="AD7" s="344"/>
      <c r="AE7" s="342" t="s">
        <v>416</v>
      </c>
      <c r="AF7" s="341" t="s">
        <v>117</v>
      </c>
    </row>
    <row r="8" spans="1:32">
      <c r="A8" s="307">
        <v>3</v>
      </c>
      <c r="B8" s="342"/>
      <c r="C8" s="342" t="s">
        <v>179</v>
      </c>
      <c r="D8" s="340" t="s">
        <v>417</v>
      </c>
      <c r="E8" s="342"/>
      <c r="F8" s="345" t="s">
        <v>415</v>
      </c>
      <c r="G8" s="308">
        <v>10</v>
      </c>
      <c r="H8" s="309">
        <v>26000</v>
      </c>
      <c r="I8" s="309">
        <v>260000</v>
      </c>
      <c r="J8" s="211"/>
      <c r="K8" s="212" t="str">
        <f>IF(OR(J8="",G8=J8),"","*")</f>
        <v/>
      </c>
      <c r="L8" s="338">
        <f>IF($A8&lt;=L$1,I8/I$4,"")</f>
        <v>1.4001077005923533E-2</v>
      </c>
      <c r="M8" s="343"/>
      <c r="N8" s="344"/>
      <c r="O8" s="346" t="s">
        <v>375</v>
      </c>
      <c r="P8" s="347" t="s">
        <v>375</v>
      </c>
      <c r="Q8" s="347" t="s">
        <v>375</v>
      </c>
      <c r="R8" s="348" t="s">
        <v>375</v>
      </c>
      <c r="S8" s="349"/>
      <c r="T8" s="343" t="s">
        <v>376</v>
      </c>
      <c r="U8" s="343"/>
      <c r="V8" s="344"/>
      <c r="W8" s="346" t="s">
        <v>375</v>
      </c>
      <c r="X8" s="347" t="s">
        <v>375</v>
      </c>
      <c r="Y8" s="347" t="s">
        <v>375</v>
      </c>
      <c r="Z8" s="348" t="s">
        <v>375</v>
      </c>
      <c r="AA8" s="349"/>
      <c r="AB8" s="343" t="s">
        <v>376</v>
      </c>
      <c r="AC8" s="343"/>
      <c r="AD8" s="344"/>
      <c r="AE8" s="342" t="s">
        <v>418</v>
      </c>
      <c r="AF8" s="341" t="s">
        <v>117</v>
      </c>
    </row>
    <row r="9" spans="1:32">
      <c r="A9" s="307">
        <v>2</v>
      </c>
      <c r="B9" s="342"/>
      <c r="C9" s="342" t="s">
        <v>225</v>
      </c>
      <c r="D9" s="340" t="s">
        <v>419</v>
      </c>
      <c r="E9" s="342" t="s">
        <v>409</v>
      </c>
      <c r="F9" s="345" t="s">
        <v>172</v>
      </c>
      <c r="G9" s="308">
        <v>1</v>
      </c>
      <c r="H9" s="309">
        <v>34000</v>
      </c>
      <c r="I9" s="309">
        <v>34000</v>
      </c>
      <c r="J9" s="211">
        <v>1</v>
      </c>
      <c r="K9" s="212" t="str">
        <f>IF(OR(J9="",G9=J9),"","*")</f>
        <v/>
      </c>
      <c r="L9" s="338">
        <f>IF($A9&lt;=L$1,I9/I$4,"")</f>
        <v>1.830910070005385E-3</v>
      </c>
      <c r="M9" s="343"/>
      <c r="N9" s="344" t="s">
        <v>420</v>
      </c>
      <c r="O9" s="346" t="s">
        <v>375</v>
      </c>
      <c r="P9" s="347" t="s">
        <v>375</v>
      </c>
      <c r="Q9" s="347" t="s">
        <v>375</v>
      </c>
      <c r="R9" s="348" t="s">
        <v>375</v>
      </c>
      <c r="S9" s="349"/>
      <c r="T9" s="343" t="s">
        <v>376</v>
      </c>
      <c r="U9" s="343"/>
      <c r="V9" s="344"/>
      <c r="W9" s="346" t="s">
        <v>375</v>
      </c>
      <c r="X9" s="347" t="s">
        <v>375</v>
      </c>
      <c r="Y9" s="347" t="s">
        <v>375</v>
      </c>
      <c r="Z9" s="348" t="s">
        <v>375</v>
      </c>
      <c r="AA9" s="349"/>
      <c r="AB9" s="343" t="s">
        <v>376</v>
      </c>
      <c r="AC9" s="343"/>
      <c r="AD9" s="344"/>
      <c r="AE9" s="342"/>
      <c r="AF9" s="341" t="s">
        <v>117</v>
      </c>
    </row>
    <row r="10" spans="1:32">
      <c r="A10" s="307">
        <v>3</v>
      </c>
      <c r="B10" s="342"/>
      <c r="C10" s="342" t="s">
        <v>173</v>
      </c>
      <c r="D10" s="340" t="s">
        <v>421</v>
      </c>
      <c r="E10" s="342" t="s">
        <v>422</v>
      </c>
      <c r="F10" s="345" t="s">
        <v>172</v>
      </c>
      <c r="G10" s="308">
        <v>1</v>
      </c>
      <c r="H10" s="309">
        <v>34000</v>
      </c>
      <c r="I10" s="309">
        <v>34000</v>
      </c>
      <c r="J10" s="211"/>
      <c r="K10" s="212" t="str">
        <f>IF(OR(J10="",G10=J10),"","*")</f>
        <v/>
      </c>
      <c r="L10" s="338">
        <f>IF($A10&lt;=L$1,I10/I$4,"")</f>
        <v>1.830910070005385E-3</v>
      </c>
      <c r="M10" s="343"/>
      <c r="N10" s="344"/>
      <c r="O10" s="346" t="s">
        <v>375</v>
      </c>
      <c r="P10" s="347" t="s">
        <v>375</v>
      </c>
      <c r="Q10" s="347" t="s">
        <v>375</v>
      </c>
      <c r="R10" s="348" t="s">
        <v>375</v>
      </c>
      <c r="S10" s="349"/>
      <c r="T10" s="343" t="s">
        <v>376</v>
      </c>
      <c r="U10" s="343"/>
      <c r="V10" s="344"/>
      <c r="W10" s="346" t="s">
        <v>375</v>
      </c>
      <c r="X10" s="347" t="s">
        <v>375</v>
      </c>
      <c r="Y10" s="347" t="s">
        <v>375</v>
      </c>
      <c r="Z10" s="348" t="s">
        <v>375</v>
      </c>
      <c r="AA10" s="349"/>
      <c r="AB10" s="343" t="s">
        <v>376</v>
      </c>
      <c r="AC10" s="343"/>
      <c r="AD10" s="344"/>
      <c r="AE10" s="342" t="s">
        <v>275</v>
      </c>
      <c r="AF10" s="341" t="s">
        <v>117</v>
      </c>
    </row>
    <row r="11" spans="1:32">
      <c r="A11" s="217"/>
      <c r="B11" s="217"/>
      <c r="C11" s="312"/>
      <c r="D11" s="217"/>
      <c r="E11" s="217"/>
      <c r="F11" s="218"/>
      <c r="G11" s="217"/>
      <c r="H11" s="217"/>
      <c r="I11" s="217"/>
      <c r="J11" s="217"/>
      <c r="K11" s="218"/>
      <c r="L11" s="217"/>
      <c r="M11" s="217"/>
      <c r="N11" s="217"/>
      <c r="O11" s="217"/>
      <c r="P11" s="217"/>
      <c r="Q11" s="217"/>
      <c r="R11" s="217"/>
      <c r="S11" s="218"/>
      <c r="T11" s="217"/>
      <c r="U11" s="217"/>
      <c r="V11" s="217"/>
      <c r="W11" s="217"/>
      <c r="X11" s="217"/>
      <c r="Y11" s="217"/>
      <c r="Z11" s="217"/>
      <c r="AA11" s="218"/>
      <c r="AB11" s="217"/>
      <c r="AC11" s="217"/>
      <c r="AD11" s="217"/>
      <c r="AE11" s="217"/>
      <c r="AF11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0 AF4:AF10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0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423</v>
      </c>
      <c r="C3" s="146" t="s">
        <v>424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425</v>
      </c>
      <c r="K4" s="69"/>
    </row>
    <row r="5" spans="1:11" ht="18" customHeight="1">
      <c r="A5" s="69"/>
      <c r="B5" s="574" t="s">
        <v>426</v>
      </c>
      <c r="C5" s="575"/>
      <c r="D5" s="153" t="s">
        <v>85</v>
      </c>
      <c r="E5" s="153" t="s">
        <v>427</v>
      </c>
      <c r="F5" s="153" t="s">
        <v>428</v>
      </c>
      <c r="G5" s="153" t="s">
        <v>429</v>
      </c>
      <c r="H5" s="154" t="s">
        <v>430</v>
      </c>
      <c r="I5" s="153" t="s">
        <v>431</v>
      </c>
      <c r="J5" s="155" t="s">
        <v>432</v>
      </c>
      <c r="K5" s="69"/>
    </row>
    <row r="6" spans="1:11" ht="10.5" customHeight="1">
      <c r="A6" s="69"/>
      <c r="B6" s="156" t="s">
        <v>433</v>
      </c>
      <c r="C6" s="157"/>
      <c r="D6" s="576" t="s">
        <v>434</v>
      </c>
      <c r="E6" s="578">
        <v>500</v>
      </c>
      <c r="F6" s="580">
        <v>500</v>
      </c>
      <c r="G6" s="582">
        <v>250000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435</v>
      </c>
      <c r="C7" s="160"/>
      <c r="D7" s="577"/>
      <c r="E7" s="579"/>
      <c r="F7" s="581"/>
      <c r="G7" s="583"/>
      <c r="H7" s="356"/>
      <c r="I7" s="356" t="s">
        <v>436</v>
      </c>
      <c r="J7" s="161"/>
      <c r="K7" s="69" t="s">
        <v>96</v>
      </c>
    </row>
    <row r="8" spans="1:11" ht="10.5" customHeight="1">
      <c r="A8" s="69"/>
      <c r="B8" s="156" t="s">
        <v>437</v>
      </c>
      <c r="C8" s="157"/>
      <c r="D8" s="576" t="s">
        <v>434</v>
      </c>
      <c r="E8" s="578">
        <v>1300</v>
      </c>
      <c r="F8" s="580">
        <v>800</v>
      </c>
      <c r="G8" s="582">
        <v>1040000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435</v>
      </c>
      <c r="C9" s="160"/>
      <c r="D9" s="577"/>
      <c r="E9" s="579"/>
      <c r="F9" s="581"/>
      <c r="G9" s="583"/>
      <c r="H9" s="356"/>
      <c r="I9" s="356" t="s">
        <v>436</v>
      </c>
      <c r="J9" s="162"/>
      <c r="K9" s="69" t="s">
        <v>96</v>
      </c>
    </row>
    <row r="10" spans="1:11" ht="10.5" customHeight="1">
      <c r="A10" s="69"/>
      <c r="B10" s="156" t="s">
        <v>438</v>
      </c>
      <c r="C10" s="157"/>
      <c r="D10" s="576" t="s">
        <v>434</v>
      </c>
      <c r="E10" s="578">
        <v>1.04</v>
      </c>
      <c r="F10" s="580">
        <v>219500</v>
      </c>
      <c r="G10" s="582">
        <v>228280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436</v>
      </c>
      <c r="J11" s="161"/>
      <c r="K11" s="69" t="s">
        <v>96</v>
      </c>
    </row>
    <row r="12" spans="1:11" ht="10.5" customHeight="1">
      <c r="A12" s="69"/>
      <c r="B12" s="156" t="s">
        <v>439</v>
      </c>
      <c r="C12" s="157"/>
      <c r="D12" s="576" t="s">
        <v>440</v>
      </c>
      <c r="E12" s="584">
        <v>5502</v>
      </c>
      <c r="F12" s="580">
        <v>109</v>
      </c>
      <c r="G12" s="582">
        <v>599718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436</v>
      </c>
      <c r="J13" s="161"/>
      <c r="K13" s="69" t="s">
        <v>96</v>
      </c>
    </row>
    <row r="14" spans="1:11" ht="10.5" customHeight="1">
      <c r="A14" s="69"/>
      <c r="B14" s="156" t="s">
        <v>441</v>
      </c>
      <c r="C14" s="157"/>
      <c r="D14" s="576" t="s">
        <v>434</v>
      </c>
      <c r="E14" s="584">
        <v>30</v>
      </c>
      <c r="F14" s="580">
        <v>10500</v>
      </c>
      <c r="G14" s="582">
        <v>315000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435</v>
      </c>
      <c r="C15" s="160"/>
      <c r="D15" s="577"/>
      <c r="E15" s="585"/>
      <c r="F15" s="581"/>
      <c r="G15" s="583"/>
      <c r="H15" s="356"/>
      <c r="I15" s="356" t="s">
        <v>436</v>
      </c>
      <c r="J15" s="161"/>
      <c r="K15" s="69" t="s">
        <v>96</v>
      </c>
    </row>
    <row r="16" spans="1:11" ht="10.5" customHeight="1">
      <c r="A16" s="69"/>
      <c r="B16" s="156" t="s">
        <v>442</v>
      </c>
      <c r="C16" s="157"/>
      <c r="D16" s="576" t="s">
        <v>440</v>
      </c>
      <c r="E16" s="584">
        <v>1500</v>
      </c>
      <c r="F16" s="580">
        <v>150</v>
      </c>
      <c r="G16" s="582">
        <v>225000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436</v>
      </c>
      <c r="J17" s="161"/>
      <c r="K17" s="69" t="s">
        <v>96</v>
      </c>
    </row>
    <row r="18" spans="1:11" ht="10.5" customHeight="1">
      <c r="A18" s="69"/>
      <c r="B18" s="156" t="s">
        <v>443</v>
      </c>
      <c r="C18" s="157"/>
      <c r="D18" s="576" t="s">
        <v>434</v>
      </c>
      <c r="E18" s="584">
        <v>306</v>
      </c>
      <c r="F18" s="580">
        <v>7400</v>
      </c>
      <c r="G18" s="582">
        <v>2264400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435</v>
      </c>
      <c r="C19" s="160"/>
      <c r="D19" s="577"/>
      <c r="E19" s="585"/>
      <c r="F19" s="581"/>
      <c r="G19" s="583"/>
      <c r="H19" s="356"/>
      <c r="I19" s="356" t="s">
        <v>436</v>
      </c>
      <c r="J19" s="161"/>
      <c r="K19" s="69" t="s">
        <v>96</v>
      </c>
    </row>
    <row r="20" spans="1:11" ht="10.5" customHeight="1">
      <c r="A20" s="69"/>
      <c r="B20" s="156" t="s">
        <v>444</v>
      </c>
      <c r="C20" s="157"/>
      <c r="D20" s="576" t="s">
        <v>434</v>
      </c>
      <c r="E20" s="584">
        <v>152.5</v>
      </c>
      <c r="F20" s="580">
        <v>7500</v>
      </c>
      <c r="G20" s="582">
        <v>1143750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436</v>
      </c>
      <c r="J21" s="161"/>
      <c r="K21" s="69" t="s">
        <v>96</v>
      </c>
    </row>
    <row r="22" spans="1:11" ht="10.5" customHeight="1">
      <c r="A22" s="69"/>
      <c r="B22" s="156" t="s">
        <v>444</v>
      </c>
      <c r="C22" s="157"/>
      <c r="D22" s="576" t="s">
        <v>434</v>
      </c>
      <c r="E22" s="584">
        <v>308</v>
      </c>
      <c r="F22" s="580">
        <v>7500</v>
      </c>
      <c r="G22" s="582">
        <v>2310000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435</v>
      </c>
      <c r="C23" s="160"/>
      <c r="D23" s="577"/>
      <c r="E23" s="585"/>
      <c r="F23" s="581"/>
      <c r="G23" s="583"/>
      <c r="H23" s="356"/>
      <c r="I23" s="356" t="s">
        <v>436</v>
      </c>
      <c r="J23" s="161"/>
      <c r="K23" s="69" t="s">
        <v>96</v>
      </c>
    </row>
    <row r="24" spans="1:11" ht="10.5" customHeight="1">
      <c r="A24" s="69"/>
      <c r="B24" s="156" t="s">
        <v>445</v>
      </c>
      <c r="C24" s="157"/>
      <c r="D24" s="576" t="s">
        <v>446</v>
      </c>
      <c r="E24" s="578">
        <v>1</v>
      </c>
      <c r="F24" s="580">
        <v>9500</v>
      </c>
      <c r="G24" s="582">
        <v>9500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436</v>
      </c>
      <c r="J25" s="161"/>
      <c r="K25" s="69" t="s">
        <v>96</v>
      </c>
    </row>
    <row r="26" spans="1:11" ht="10.5" customHeight="1">
      <c r="A26" s="69"/>
      <c r="B26" s="156" t="s">
        <v>445</v>
      </c>
      <c r="C26" s="157"/>
      <c r="D26" s="576" t="s">
        <v>446</v>
      </c>
      <c r="E26" s="584">
        <v>1</v>
      </c>
      <c r="F26" s="580">
        <v>8852</v>
      </c>
      <c r="G26" s="582">
        <v>8852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436</v>
      </c>
      <c r="J27" s="161"/>
      <c r="K27" s="69" t="s">
        <v>96</v>
      </c>
    </row>
    <row r="28" spans="1:11" ht="10.5" customHeight="1">
      <c r="A28" s="69"/>
      <c r="B28" s="156" t="s">
        <v>445</v>
      </c>
      <c r="C28" s="157"/>
      <c r="D28" s="576" t="s">
        <v>446</v>
      </c>
      <c r="E28" s="584">
        <v>1</v>
      </c>
      <c r="F28" s="580">
        <v>8500</v>
      </c>
      <c r="G28" s="582">
        <v>8500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436</v>
      </c>
      <c r="J29" s="161"/>
      <c r="K29" s="69" t="s">
        <v>96</v>
      </c>
    </row>
    <row r="30" spans="1:11" ht="10.5" customHeight="1">
      <c r="A30" s="69"/>
      <c r="B30" s="156" t="s">
        <v>445</v>
      </c>
      <c r="C30" s="157"/>
      <c r="D30" s="576" t="s">
        <v>446</v>
      </c>
      <c r="E30" s="584">
        <v>1</v>
      </c>
      <c r="F30" s="580">
        <v>8200</v>
      </c>
      <c r="G30" s="582">
        <v>8200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436</v>
      </c>
      <c r="J31" s="161"/>
      <c r="K31" s="69" t="s">
        <v>96</v>
      </c>
    </row>
    <row r="32" spans="1:11" ht="10.5" customHeight="1">
      <c r="A32" s="69"/>
      <c r="B32" s="156" t="s">
        <v>445</v>
      </c>
      <c r="C32" s="157"/>
      <c r="D32" s="576" t="s">
        <v>446</v>
      </c>
      <c r="E32" s="584">
        <v>1</v>
      </c>
      <c r="F32" s="580">
        <v>8170</v>
      </c>
      <c r="G32" s="582">
        <v>8170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436</v>
      </c>
      <c r="J33" s="161"/>
      <c r="K33" s="69" t="s">
        <v>96</v>
      </c>
    </row>
    <row r="34" spans="1:11" ht="10.5" customHeight="1">
      <c r="A34" s="69"/>
      <c r="B34" s="156" t="s">
        <v>445</v>
      </c>
      <c r="C34" s="157"/>
      <c r="D34" s="576" t="s">
        <v>446</v>
      </c>
      <c r="E34" s="584">
        <v>1</v>
      </c>
      <c r="F34" s="580">
        <v>6700</v>
      </c>
      <c r="G34" s="582">
        <v>6700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436</v>
      </c>
      <c r="J35" s="161"/>
      <c r="K35" s="69" t="s">
        <v>96</v>
      </c>
    </row>
    <row r="36" spans="1:11" ht="10.5" customHeight="1">
      <c r="A36" s="69"/>
      <c r="B36" s="156" t="s">
        <v>445</v>
      </c>
      <c r="C36" s="157"/>
      <c r="D36" s="576" t="s">
        <v>446</v>
      </c>
      <c r="E36" s="584">
        <v>1</v>
      </c>
      <c r="F36" s="580">
        <v>6120</v>
      </c>
      <c r="G36" s="582">
        <v>6120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436</v>
      </c>
      <c r="J37" s="161"/>
      <c r="K37" s="69" t="s">
        <v>96</v>
      </c>
    </row>
    <row r="38" spans="1:11" ht="10.5" customHeight="1">
      <c r="A38" s="69"/>
      <c r="B38" s="156" t="s">
        <v>445</v>
      </c>
      <c r="C38" s="157"/>
      <c r="D38" s="576" t="s">
        <v>446</v>
      </c>
      <c r="E38" s="584">
        <v>1</v>
      </c>
      <c r="F38" s="580">
        <v>4700</v>
      </c>
      <c r="G38" s="582">
        <v>4700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436</v>
      </c>
      <c r="J39" s="161"/>
      <c r="K39" s="69" t="s">
        <v>96</v>
      </c>
    </row>
    <row r="40" spans="1:11" ht="10.5" customHeight="1">
      <c r="A40" s="69"/>
      <c r="B40" s="156" t="s">
        <v>445</v>
      </c>
      <c r="C40" s="157"/>
      <c r="D40" s="576" t="s">
        <v>446</v>
      </c>
      <c r="E40" s="584">
        <v>1</v>
      </c>
      <c r="F40" s="580">
        <v>4400</v>
      </c>
      <c r="G40" s="582">
        <v>4400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436</v>
      </c>
      <c r="J41" s="161"/>
      <c r="K41" s="69" t="s">
        <v>96</v>
      </c>
    </row>
    <row r="42" spans="1:11" ht="10.5" customHeight="1">
      <c r="A42" s="69"/>
      <c r="B42" s="156" t="s">
        <v>445</v>
      </c>
      <c r="C42" s="157"/>
      <c r="D42" s="576" t="s">
        <v>446</v>
      </c>
      <c r="E42" s="584">
        <v>1</v>
      </c>
      <c r="F42" s="580">
        <v>2800</v>
      </c>
      <c r="G42" s="582">
        <v>2800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436</v>
      </c>
      <c r="J43" s="161"/>
      <c r="K43" s="69" t="s">
        <v>96</v>
      </c>
    </row>
    <row r="44" spans="1:11" ht="10.5" customHeight="1">
      <c r="A44" s="69"/>
      <c r="B44" s="156" t="s">
        <v>445</v>
      </c>
      <c r="C44" s="157"/>
      <c r="D44" s="576" t="s">
        <v>446</v>
      </c>
      <c r="E44" s="584">
        <v>1</v>
      </c>
      <c r="F44" s="580">
        <v>1210</v>
      </c>
      <c r="G44" s="582">
        <v>1210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436</v>
      </c>
      <c r="J45" s="161"/>
      <c r="K45" s="69" t="s">
        <v>96</v>
      </c>
    </row>
    <row r="46" spans="1:11" ht="10.5" customHeight="1">
      <c r="A46" s="69"/>
      <c r="B46" s="156" t="s">
        <v>445</v>
      </c>
      <c r="C46" s="157"/>
      <c r="D46" s="586" t="s">
        <v>446</v>
      </c>
      <c r="E46" s="588">
        <v>1</v>
      </c>
      <c r="F46" s="590">
        <v>1100</v>
      </c>
      <c r="G46" s="592">
        <v>1100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436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447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423</v>
      </c>
      <c r="C52" s="146" t="s">
        <v>424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425</v>
      </c>
      <c r="K53" s="69"/>
    </row>
    <row r="54" spans="1:11" ht="18" customHeight="1">
      <c r="A54" s="69"/>
      <c r="B54" s="574" t="s">
        <v>426</v>
      </c>
      <c r="C54" s="575"/>
      <c r="D54" s="153" t="s">
        <v>85</v>
      </c>
      <c r="E54" s="153" t="s">
        <v>427</v>
      </c>
      <c r="F54" s="153" t="s">
        <v>428</v>
      </c>
      <c r="G54" s="153" t="s">
        <v>429</v>
      </c>
      <c r="H54" s="154" t="s">
        <v>430</v>
      </c>
      <c r="I54" s="153" t="s">
        <v>431</v>
      </c>
      <c r="J54" s="155" t="s">
        <v>432</v>
      </c>
      <c r="K54" s="69"/>
    </row>
    <row r="55" spans="1:11" ht="10.5" customHeight="1">
      <c r="A55" s="69"/>
      <c r="B55" s="156" t="s">
        <v>445</v>
      </c>
      <c r="C55" s="157"/>
      <c r="D55" s="576" t="s">
        <v>446</v>
      </c>
      <c r="E55" s="578">
        <v>1</v>
      </c>
      <c r="F55" s="580">
        <v>300</v>
      </c>
      <c r="G55" s="582">
        <v>300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436</v>
      </c>
      <c r="J56" s="161"/>
      <c r="K56" s="69" t="s">
        <v>96</v>
      </c>
    </row>
    <row r="57" spans="1:11" ht="10.5" customHeight="1">
      <c r="A57" s="69"/>
      <c r="B57" s="156" t="s">
        <v>445</v>
      </c>
      <c r="C57" s="157"/>
      <c r="D57" s="576" t="s">
        <v>446</v>
      </c>
      <c r="E57" s="578"/>
      <c r="F57" s="580">
        <v>2110</v>
      </c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436</v>
      </c>
      <c r="J58" s="162"/>
      <c r="K58" s="69" t="s">
        <v>96</v>
      </c>
    </row>
    <row r="59" spans="1:11" ht="10.5" customHeight="1">
      <c r="A59" s="69"/>
      <c r="B59" s="156" t="s">
        <v>445</v>
      </c>
      <c r="C59" s="157"/>
      <c r="D59" s="576" t="s">
        <v>446</v>
      </c>
      <c r="E59" s="578">
        <v>1</v>
      </c>
      <c r="F59" s="580">
        <v>34000</v>
      </c>
      <c r="G59" s="582">
        <v>34000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448</v>
      </c>
      <c r="C60" s="160"/>
      <c r="D60" s="577"/>
      <c r="E60" s="579"/>
      <c r="F60" s="581"/>
      <c r="G60" s="583"/>
      <c r="H60" s="356"/>
      <c r="I60" s="356" t="s">
        <v>436</v>
      </c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 t="s">
        <v>449</v>
      </c>
      <c r="C63" s="157"/>
      <c r="D63" s="576"/>
      <c r="E63" s="584"/>
      <c r="F63" s="580"/>
      <c r="G63" s="582">
        <v>8480700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423</v>
      </c>
      <c r="C3" s="146" t="s">
        <v>424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425</v>
      </c>
      <c r="K4" s="69"/>
    </row>
    <row r="5" spans="1:11" ht="18" customHeight="1">
      <c r="A5" s="69"/>
      <c r="B5" s="574" t="s">
        <v>426</v>
      </c>
      <c r="C5" s="575"/>
      <c r="D5" s="153" t="s">
        <v>85</v>
      </c>
      <c r="E5" s="153" t="s">
        <v>427</v>
      </c>
      <c r="F5" s="153" t="s">
        <v>428</v>
      </c>
      <c r="G5" s="153" t="s">
        <v>429</v>
      </c>
      <c r="H5" s="154" t="s">
        <v>430</v>
      </c>
      <c r="I5" s="153" t="s">
        <v>431</v>
      </c>
      <c r="J5" s="155" t="s">
        <v>432</v>
      </c>
      <c r="K5" s="69"/>
    </row>
    <row r="6" spans="1:11" ht="10.5" customHeight="1">
      <c r="A6" s="69"/>
      <c r="B6" s="156" t="s">
        <v>450</v>
      </c>
      <c r="C6" s="157"/>
      <c r="D6" s="576" t="s">
        <v>451</v>
      </c>
      <c r="E6" s="578">
        <v>138</v>
      </c>
      <c r="F6" s="580">
        <v>21000</v>
      </c>
      <c r="G6" s="582">
        <v>2898000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452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449</v>
      </c>
      <c r="C10" s="157"/>
      <c r="D10" s="576"/>
      <c r="E10" s="578"/>
      <c r="F10" s="580"/>
      <c r="G10" s="582">
        <v>2898000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423</v>
      </c>
      <c r="C3" s="146" t="s">
        <v>424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425</v>
      </c>
      <c r="K4" s="69"/>
    </row>
    <row r="5" spans="1:11" ht="18" customHeight="1">
      <c r="A5" s="69"/>
      <c r="B5" s="574" t="s">
        <v>426</v>
      </c>
      <c r="C5" s="575"/>
      <c r="D5" s="153" t="s">
        <v>85</v>
      </c>
      <c r="E5" s="153" t="s">
        <v>427</v>
      </c>
      <c r="F5" s="153" t="s">
        <v>428</v>
      </c>
      <c r="G5" s="153" t="s">
        <v>429</v>
      </c>
      <c r="H5" s="154" t="s">
        <v>430</v>
      </c>
      <c r="I5" s="153" t="s">
        <v>431</v>
      </c>
      <c r="J5" s="155" t="s">
        <v>432</v>
      </c>
      <c r="K5" s="69"/>
    </row>
    <row r="6" spans="1:11" ht="10.5" customHeight="1">
      <c r="A6" s="69"/>
      <c r="B6" s="156" t="s">
        <v>453</v>
      </c>
      <c r="C6" s="157"/>
      <c r="D6" s="576" t="s">
        <v>446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454</v>
      </c>
      <c r="C7" s="160"/>
      <c r="D7" s="577"/>
      <c r="E7" s="579"/>
      <c r="F7" s="581"/>
      <c r="G7" s="583"/>
      <c r="H7" s="356"/>
      <c r="I7" s="356" t="s">
        <v>455</v>
      </c>
      <c r="J7" s="161"/>
      <c r="K7" s="69" t="s">
        <v>96</v>
      </c>
    </row>
    <row r="8" spans="1:11" ht="10.5" customHeight="1">
      <c r="A8" s="69"/>
      <c r="B8" s="156" t="s">
        <v>456</v>
      </c>
      <c r="C8" s="157"/>
      <c r="D8" s="576" t="s">
        <v>446</v>
      </c>
      <c r="E8" s="578">
        <v>1</v>
      </c>
      <c r="F8" s="580">
        <v>10000</v>
      </c>
      <c r="G8" s="582">
        <v>10000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455</v>
      </c>
      <c r="J9" s="162"/>
      <c r="K9" s="69" t="s">
        <v>96</v>
      </c>
    </row>
    <row r="10" spans="1:11" ht="10.5" customHeight="1">
      <c r="A10" s="69"/>
      <c r="B10" s="156" t="s">
        <v>457</v>
      </c>
      <c r="C10" s="157"/>
      <c r="D10" s="576" t="s">
        <v>446</v>
      </c>
      <c r="E10" s="578">
        <v>1</v>
      </c>
      <c r="F10" s="580">
        <v>12000</v>
      </c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454</v>
      </c>
      <c r="C11" s="160"/>
      <c r="D11" s="577"/>
      <c r="E11" s="579"/>
      <c r="F11" s="581"/>
      <c r="G11" s="583"/>
      <c r="H11" s="356"/>
      <c r="I11" s="356" t="s">
        <v>455</v>
      </c>
      <c r="J11" s="161"/>
      <c r="K11" s="69" t="s">
        <v>96</v>
      </c>
    </row>
    <row r="12" spans="1:11" ht="10.5" customHeight="1">
      <c r="A12" s="69"/>
      <c r="B12" s="156" t="s">
        <v>458</v>
      </c>
      <c r="C12" s="157"/>
      <c r="D12" s="576" t="s">
        <v>446</v>
      </c>
      <c r="E12" s="584">
        <v>2</v>
      </c>
      <c r="F12" s="580">
        <v>30000</v>
      </c>
      <c r="G12" s="582">
        <v>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455</v>
      </c>
      <c r="J13" s="161"/>
      <c r="K13" s="69" t="s">
        <v>96</v>
      </c>
    </row>
    <row r="14" spans="1:11" ht="10.5" customHeight="1">
      <c r="A14" s="69"/>
      <c r="B14" s="156" t="s">
        <v>459</v>
      </c>
      <c r="C14" s="157"/>
      <c r="D14" s="576" t="s">
        <v>446</v>
      </c>
      <c r="E14" s="584">
        <v>1</v>
      </c>
      <c r="F14" s="580">
        <v>720000</v>
      </c>
      <c r="G14" s="582">
        <v>720000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460</v>
      </c>
      <c r="C15" s="160"/>
      <c r="D15" s="577"/>
      <c r="E15" s="585"/>
      <c r="F15" s="581"/>
      <c r="G15" s="583"/>
      <c r="H15" s="356"/>
      <c r="I15" s="356" t="s">
        <v>455</v>
      </c>
      <c r="J15" s="161"/>
      <c r="K15" s="69" t="s">
        <v>96</v>
      </c>
    </row>
    <row r="16" spans="1:11" ht="10.5" customHeight="1">
      <c r="A16" s="69"/>
      <c r="B16" s="156" t="s">
        <v>461</v>
      </c>
      <c r="C16" s="157"/>
      <c r="D16" s="576" t="s">
        <v>446</v>
      </c>
      <c r="E16" s="584">
        <v>1</v>
      </c>
      <c r="F16" s="580">
        <v>30000</v>
      </c>
      <c r="G16" s="582">
        <v>30000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455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449</v>
      </c>
      <c r="C20" s="157"/>
      <c r="D20" s="576"/>
      <c r="E20" s="584"/>
      <c r="F20" s="580"/>
      <c r="G20" s="582">
        <v>852000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423</v>
      </c>
      <c r="C3" s="146" t="s">
        <v>424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425</v>
      </c>
      <c r="K4" s="69"/>
    </row>
    <row r="5" spans="1:11" ht="18" customHeight="1">
      <c r="A5" s="69"/>
      <c r="B5" s="574" t="s">
        <v>426</v>
      </c>
      <c r="C5" s="575"/>
      <c r="D5" s="153" t="s">
        <v>85</v>
      </c>
      <c r="E5" s="153" t="s">
        <v>427</v>
      </c>
      <c r="F5" s="153" t="s">
        <v>428</v>
      </c>
      <c r="G5" s="153" t="s">
        <v>429</v>
      </c>
      <c r="H5" s="154" t="s">
        <v>430</v>
      </c>
      <c r="I5" s="153" t="s">
        <v>431</v>
      </c>
      <c r="J5" s="155" t="s">
        <v>432</v>
      </c>
      <c r="K5" s="69"/>
    </row>
    <row r="6" spans="1:11" ht="10.5" customHeight="1">
      <c r="A6" s="69"/>
      <c r="B6" s="156" t="s">
        <v>462</v>
      </c>
      <c r="C6" s="157"/>
      <c r="D6" s="576" t="s">
        <v>463</v>
      </c>
      <c r="E6" s="578">
        <v>3</v>
      </c>
      <c r="F6" s="580">
        <v>73000</v>
      </c>
      <c r="G6" s="582">
        <v>219000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464</v>
      </c>
      <c r="C7" s="160"/>
      <c r="D7" s="577"/>
      <c r="E7" s="579"/>
      <c r="F7" s="581"/>
      <c r="G7" s="583"/>
      <c r="H7" s="356"/>
      <c r="I7" s="356" t="s">
        <v>465</v>
      </c>
      <c r="J7" s="161"/>
      <c r="K7" s="69" t="s">
        <v>96</v>
      </c>
    </row>
    <row r="8" spans="1:11" ht="10.5" customHeight="1">
      <c r="A8" s="69"/>
      <c r="B8" s="156" t="s">
        <v>466</v>
      </c>
      <c r="C8" s="157"/>
      <c r="D8" s="576" t="s">
        <v>463</v>
      </c>
      <c r="E8" s="578">
        <v>3</v>
      </c>
      <c r="F8" s="580">
        <v>111000</v>
      </c>
      <c r="G8" s="582">
        <v>333000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467</v>
      </c>
      <c r="C9" s="160"/>
      <c r="D9" s="577"/>
      <c r="E9" s="579"/>
      <c r="F9" s="581"/>
      <c r="G9" s="583"/>
      <c r="H9" s="356"/>
      <c r="I9" s="356" t="s">
        <v>465</v>
      </c>
      <c r="J9" s="162"/>
      <c r="K9" s="69" t="s">
        <v>96</v>
      </c>
    </row>
    <row r="10" spans="1:11" ht="10.5" customHeight="1">
      <c r="A10" s="69"/>
      <c r="B10" s="156" t="s">
        <v>468</v>
      </c>
      <c r="C10" s="157"/>
      <c r="D10" s="576" t="s">
        <v>463</v>
      </c>
      <c r="E10" s="578">
        <v>22</v>
      </c>
      <c r="F10" s="580">
        <v>8000</v>
      </c>
      <c r="G10" s="582">
        <v>176000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465</v>
      </c>
      <c r="J11" s="161"/>
      <c r="K11" s="69" t="s">
        <v>96</v>
      </c>
    </row>
    <row r="12" spans="1:11" ht="10.5" customHeight="1">
      <c r="A12" s="69"/>
      <c r="B12" s="156" t="s">
        <v>469</v>
      </c>
      <c r="C12" s="157"/>
      <c r="D12" s="576" t="s">
        <v>463</v>
      </c>
      <c r="E12" s="584">
        <v>21</v>
      </c>
      <c r="F12" s="580">
        <v>4300</v>
      </c>
      <c r="G12" s="582">
        <v>90300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465</v>
      </c>
      <c r="J13" s="161"/>
      <c r="K13" s="69" t="s">
        <v>96</v>
      </c>
    </row>
    <row r="14" spans="1:11" ht="10.5" customHeight="1">
      <c r="A14" s="69"/>
      <c r="B14" s="156" t="s">
        <v>470</v>
      </c>
      <c r="C14" s="157"/>
      <c r="D14" s="576" t="s">
        <v>463</v>
      </c>
      <c r="E14" s="584">
        <v>12</v>
      </c>
      <c r="F14" s="580">
        <v>4000</v>
      </c>
      <c r="G14" s="582">
        <v>48000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471</v>
      </c>
      <c r="C15" s="160"/>
      <c r="D15" s="577"/>
      <c r="E15" s="585"/>
      <c r="F15" s="581"/>
      <c r="G15" s="583"/>
      <c r="H15" s="356"/>
      <c r="I15" s="356" t="s">
        <v>465</v>
      </c>
      <c r="J15" s="161"/>
      <c r="K15" s="69" t="s">
        <v>96</v>
      </c>
    </row>
    <row r="16" spans="1:11" ht="10.5" customHeight="1">
      <c r="A16" s="69"/>
      <c r="B16" s="156" t="s">
        <v>470</v>
      </c>
      <c r="C16" s="157"/>
      <c r="D16" s="576" t="s">
        <v>463</v>
      </c>
      <c r="E16" s="584">
        <v>9</v>
      </c>
      <c r="F16" s="580">
        <v>5500</v>
      </c>
      <c r="G16" s="582">
        <v>49500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472</v>
      </c>
      <c r="C17" s="160"/>
      <c r="D17" s="577"/>
      <c r="E17" s="585"/>
      <c r="F17" s="581"/>
      <c r="G17" s="583"/>
      <c r="H17" s="356"/>
      <c r="I17" s="356" t="s">
        <v>465</v>
      </c>
      <c r="J17" s="161"/>
      <c r="K17" s="69" t="s">
        <v>96</v>
      </c>
    </row>
    <row r="18" spans="1:11" ht="10.5" customHeight="1">
      <c r="A18" s="69"/>
      <c r="B18" s="156" t="s">
        <v>473</v>
      </c>
      <c r="C18" s="157"/>
      <c r="D18" s="576" t="s">
        <v>463</v>
      </c>
      <c r="E18" s="584">
        <v>21</v>
      </c>
      <c r="F18" s="580">
        <v>4000</v>
      </c>
      <c r="G18" s="582">
        <v>84000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474</v>
      </c>
      <c r="C19" s="160"/>
      <c r="D19" s="577"/>
      <c r="E19" s="585"/>
      <c r="F19" s="581"/>
      <c r="G19" s="583"/>
      <c r="H19" s="356"/>
      <c r="I19" s="356" t="s">
        <v>465</v>
      </c>
      <c r="J19" s="161"/>
      <c r="K19" s="69" t="s">
        <v>96</v>
      </c>
    </row>
    <row r="20" spans="1:11" ht="10.5" customHeight="1">
      <c r="A20" s="69"/>
      <c r="B20" s="156" t="s">
        <v>475</v>
      </c>
      <c r="C20" s="157"/>
      <c r="D20" s="576" t="s">
        <v>463</v>
      </c>
      <c r="E20" s="584">
        <v>2</v>
      </c>
      <c r="F20" s="580">
        <v>45000</v>
      </c>
      <c r="G20" s="582">
        <v>90000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465</v>
      </c>
      <c r="J21" s="161"/>
      <c r="K21" s="69" t="s">
        <v>96</v>
      </c>
    </row>
    <row r="22" spans="1:11" ht="10.5" customHeight="1">
      <c r="A22" s="69"/>
      <c r="B22" s="156" t="s">
        <v>476</v>
      </c>
      <c r="C22" s="157"/>
      <c r="D22" s="576" t="s">
        <v>463</v>
      </c>
      <c r="E22" s="584">
        <v>1</v>
      </c>
      <c r="F22" s="580">
        <v>55000</v>
      </c>
      <c r="G22" s="582">
        <v>55000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465</v>
      </c>
      <c r="J23" s="161"/>
      <c r="K23" s="69" t="s">
        <v>96</v>
      </c>
    </row>
    <row r="24" spans="1:11" ht="10.5" customHeight="1">
      <c r="A24" s="69"/>
      <c r="B24" s="156" t="s">
        <v>477</v>
      </c>
      <c r="C24" s="157"/>
      <c r="D24" s="576" t="s">
        <v>463</v>
      </c>
      <c r="E24" s="578">
        <v>24</v>
      </c>
      <c r="F24" s="580">
        <v>1000</v>
      </c>
      <c r="G24" s="582">
        <v>24000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465</v>
      </c>
      <c r="J25" s="161"/>
      <c r="K25" s="69" t="s">
        <v>96</v>
      </c>
    </row>
    <row r="26" spans="1:11" ht="10.5" customHeight="1">
      <c r="A26" s="69"/>
      <c r="B26" s="156" t="s">
        <v>478</v>
      </c>
      <c r="C26" s="157"/>
      <c r="D26" s="576" t="s">
        <v>463</v>
      </c>
      <c r="E26" s="584">
        <v>9</v>
      </c>
      <c r="F26" s="580">
        <v>5500</v>
      </c>
      <c r="G26" s="582">
        <v>49500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465</v>
      </c>
      <c r="J27" s="161"/>
      <c r="K27" s="69" t="s">
        <v>96</v>
      </c>
    </row>
    <row r="28" spans="1:11" ht="10.5" customHeight="1">
      <c r="A28" s="69"/>
      <c r="B28" s="156" t="s">
        <v>479</v>
      </c>
      <c r="C28" s="157"/>
      <c r="D28" s="576" t="s">
        <v>463</v>
      </c>
      <c r="E28" s="584">
        <v>6</v>
      </c>
      <c r="F28" s="580">
        <v>12000</v>
      </c>
      <c r="G28" s="582">
        <v>72000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480</v>
      </c>
      <c r="C29" s="160"/>
      <c r="D29" s="577"/>
      <c r="E29" s="585"/>
      <c r="F29" s="581"/>
      <c r="G29" s="583"/>
      <c r="H29" s="356"/>
      <c r="I29" s="356" t="s">
        <v>465</v>
      </c>
      <c r="J29" s="161"/>
      <c r="K29" s="69" t="s">
        <v>96</v>
      </c>
    </row>
    <row r="30" spans="1:11" ht="10.5" customHeight="1">
      <c r="A30" s="69"/>
      <c r="B30" s="156" t="s">
        <v>481</v>
      </c>
      <c r="C30" s="157"/>
      <c r="D30" s="576" t="s">
        <v>463</v>
      </c>
      <c r="E30" s="584">
        <v>15</v>
      </c>
      <c r="F30" s="580">
        <v>1000</v>
      </c>
      <c r="G30" s="582">
        <v>15000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465</v>
      </c>
      <c r="J31" s="161"/>
      <c r="K31" s="69" t="s">
        <v>96</v>
      </c>
    </row>
    <row r="32" spans="1:11" ht="10.5" customHeight="1">
      <c r="A32" s="69"/>
      <c r="B32" s="156" t="s">
        <v>482</v>
      </c>
      <c r="C32" s="157"/>
      <c r="D32" s="576" t="s">
        <v>463</v>
      </c>
      <c r="E32" s="584">
        <v>6</v>
      </c>
      <c r="F32" s="580">
        <v>10000</v>
      </c>
      <c r="G32" s="582">
        <v>60000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483</v>
      </c>
      <c r="C33" s="160"/>
      <c r="D33" s="577"/>
      <c r="E33" s="585"/>
      <c r="F33" s="581"/>
      <c r="G33" s="583"/>
      <c r="H33" s="356"/>
      <c r="I33" s="356" t="s">
        <v>465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449</v>
      </c>
      <c r="C36" s="157"/>
      <c r="D36" s="576"/>
      <c r="E36" s="584"/>
      <c r="F36" s="580"/>
      <c r="G36" s="582">
        <v>1365300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423</v>
      </c>
      <c r="C3" s="146" t="s">
        <v>424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425</v>
      </c>
      <c r="K4" s="69"/>
    </row>
    <row r="5" spans="1:11" ht="18" customHeight="1">
      <c r="A5" s="69"/>
      <c r="B5" s="574" t="s">
        <v>426</v>
      </c>
      <c r="C5" s="575"/>
      <c r="D5" s="153" t="s">
        <v>85</v>
      </c>
      <c r="E5" s="153" t="s">
        <v>427</v>
      </c>
      <c r="F5" s="153" t="s">
        <v>428</v>
      </c>
      <c r="G5" s="153" t="s">
        <v>429</v>
      </c>
      <c r="H5" s="154" t="s">
        <v>430</v>
      </c>
      <c r="I5" s="153" t="s">
        <v>431</v>
      </c>
      <c r="J5" s="155" t="s">
        <v>432</v>
      </c>
      <c r="K5" s="69"/>
    </row>
    <row r="6" spans="1:11" ht="10.5" customHeight="1">
      <c r="A6" s="69"/>
      <c r="B6" s="156" t="s">
        <v>484</v>
      </c>
      <c r="C6" s="157"/>
      <c r="D6" s="576" t="s">
        <v>463</v>
      </c>
      <c r="E6" s="578">
        <v>42</v>
      </c>
      <c r="F6" s="580">
        <v>5000</v>
      </c>
      <c r="G6" s="582">
        <v>210000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485</v>
      </c>
      <c r="J7" s="161"/>
      <c r="K7" s="69" t="s">
        <v>96</v>
      </c>
    </row>
    <row r="8" spans="1:11" ht="10.5" customHeight="1">
      <c r="A8" s="69"/>
      <c r="B8" s="156" t="s">
        <v>486</v>
      </c>
      <c r="C8" s="157"/>
      <c r="D8" s="576" t="s">
        <v>463</v>
      </c>
      <c r="E8" s="578">
        <v>4</v>
      </c>
      <c r="F8" s="580">
        <v>7000</v>
      </c>
      <c r="G8" s="582">
        <v>28000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485</v>
      </c>
      <c r="J9" s="162"/>
      <c r="K9" s="69" t="s">
        <v>96</v>
      </c>
    </row>
    <row r="10" spans="1:11" ht="10.5" customHeight="1">
      <c r="A10" s="69"/>
      <c r="B10" s="156" t="s">
        <v>487</v>
      </c>
      <c r="C10" s="157"/>
      <c r="D10" s="576" t="s">
        <v>488</v>
      </c>
      <c r="E10" s="578">
        <v>2</v>
      </c>
      <c r="F10" s="580">
        <v>25000</v>
      </c>
      <c r="G10" s="582">
        <v>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489</v>
      </c>
      <c r="C11" s="160"/>
      <c r="D11" s="577"/>
      <c r="E11" s="579"/>
      <c r="F11" s="581"/>
      <c r="G11" s="583"/>
      <c r="H11" s="356"/>
      <c r="I11" s="356" t="s">
        <v>485</v>
      </c>
      <c r="J11" s="161"/>
      <c r="K11" s="69" t="s">
        <v>96</v>
      </c>
    </row>
    <row r="12" spans="1:11" ht="10.5" customHeight="1">
      <c r="A12" s="69"/>
      <c r="B12" s="156" t="s">
        <v>487</v>
      </c>
      <c r="C12" s="157"/>
      <c r="D12" s="576" t="s">
        <v>488</v>
      </c>
      <c r="E12" s="584">
        <v>4</v>
      </c>
      <c r="F12" s="580">
        <v>30000</v>
      </c>
      <c r="G12" s="582">
        <v>120000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490</v>
      </c>
      <c r="C13" s="160"/>
      <c r="D13" s="577"/>
      <c r="E13" s="585"/>
      <c r="F13" s="581"/>
      <c r="G13" s="583"/>
      <c r="H13" s="356"/>
      <c r="I13" s="356" t="s">
        <v>485</v>
      </c>
      <c r="J13" s="161"/>
      <c r="K13" s="69" t="s">
        <v>96</v>
      </c>
    </row>
    <row r="14" spans="1:11" ht="10.5" customHeight="1">
      <c r="A14" s="69"/>
      <c r="B14" s="156" t="s">
        <v>491</v>
      </c>
      <c r="C14" s="157"/>
      <c r="D14" s="576" t="s">
        <v>463</v>
      </c>
      <c r="E14" s="584">
        <v>31</v>
      </c>
      <c r="F14" s="580">
        <v>44000</v>
      </c>
      <c r="G14" s="582">
        <v>1364000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492</v>
      </c>
      <c r="C15" s="160"/>
      <c r="D15" s="577"/>
      <c r="E15" s="585"/>
      <c r="F15" s="581"/>
      <c r="G15" s="583"/>
      <c r="H15" s="356"/>
      <c r="I15" s="356" t="s">
        <v>485</v>
      </c>
      <c r="J15" s="161"/>
      <c r="K15" s="69" t="s">
        <v>96</v>
      </c>
    </row>
    <row r="16" spans="1:11" ht="10.5" customHeight="1">
      <c r="A16" s="69"/>
      <c r="B16" s="156" t="s">
        <v>493</v>
      </c>
      <c r="C16" s="157"/>
      <c r="D16" s="576" t="s">
        <v>463</v>
      </c>
      <c r="E16" s="584">
        <v>20</v>
      </c>
      <c r="F16" s="580">
        <v>31000</v>
      </c>
      <c r="G16" s="582">
        <v>620000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492</v>
      </c>
      <c r="C17" s="160"/>
      <c r="D17" s="577"/>
      <c r="E17" s="585"/>
      <c r="F17" s="581"/>
      <c r="G17" s="583"/>
      <c r="H17" s="356"/>
      <c r="I17" s="356" t="s">
        <v>485</v>
      </c>
      <c r="J17" s="161"/>
      <c r="K17" s="69" t="s">
        <v>96</v>
      </c>
    </row>
    <row r="18" spans="1:11" ht="10.5" customHeight="1">
      <c r="A18" s="69"/>
      <c r="B18" s="156" t="s">
        <v>494</v>
      </c>
      <c r="C18" s="157"/>
      <c r="D18" s="576" t="s">
        <v>463</v>
      </c>
      <c r="E18" s="584">
        <v>24</v>
      </c>
      <c r="F18" s="580">
        <v>40000</v>
      </c>
      <c r="G18" s="582">
        <v>960000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492</v>
      </c>
      <c r="C19" s="160"/>
      <c r="D19" s="577"/>
      <c r="E19" s="585"/>
      <c r="F19" s="581"/>
      <c r="G19" s="583"/>
      <c r="H19" s="356"/>
      <c r="I19" s="356" t="s">
        <v>485</v>
      </c>
      <c r="J19" s="161"/>
      <c r="K19" s="69" t="s">
        <v>96</v>
      </c>
    </row>
    <row r="20" spans="1:11" ht="10.5" customHeight="1">
      <c r="A20" s="69"/>
      <c r="B20" s="156" t="s">
        <v>495</v>
      </c>
      <c r="C20" s="157"/>
      <c r="D20" s="576" t="s">
        <v>488</v>
      </c>
      <c r="E20" s="584">
        <v>16</v>
      </c>
      <c r="F20" s="580">
        <v>10000</v>
      </c>
      <c r="G20" s="582">
        <v>160000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496</v>
      </c>
      <c r="C21" s="160"/>
      <c r="D21" s="577"/>
      <c r="E21" s="585"/>
      <c r="F21" s="581"/>
      <c r="G21" s="583"/>
      <c r="H21" s="356"/>
      <c r="I21" s="356" t="s">
        <v>485</v>
      </c>
      <c r="J21" s="161"/>
      <c r="K21" s="69" t="s">
        <v>96</v>
      </c>
    </row>
    <row r="22" spans="1:11" ht="10.5" customHeight="1">
      <c r="A22" s="69"/>
      <c r="B22" s="156" t="s">
        <v>497</v>
      </c>
      <c r="C22" s="157"/>
      <c r="D22" s="576" t="s">
        <v>488</v>
      </c>
      <c r="E22" s="584">
        <v>2</v>
      </c>
      <c r="F22" s="580">
        <v>30000</v>
      </c>
      <c r="G22" s="582">
        <v>60000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498</v>
      </c>
      <c r="C23" s="160"/>
      <c r="D23" s="577"/>
      <c r="E23" s="585"/>
      <c r="F23" s="581"/>
      <c r="G23" s="583"/>
      <c r="H23" s="356"/>
      <c r="I23" s="356" t="s">
        <v>485</v>
      </c>
      <c r="J23" s="161"/>
      <c r="K23" s="69" t="s">
        <v>96</v>
      </c>
    </row>
    <row r="24" spans="1:11" ht="10.5" customHeight="1">
      <c r="A24" s="69"/>
      <c r="B24" s="156" t="s">
        <v>499</v>
      </c>
      <c r="C24" s="157"/>
      <c r="D24" s="576" t="s">
        <v>488</v>
      </c>
      <c r="E24" s="578">
        <v>8</v>
      </c>
      <c r="F24" s="580">
        <v>18000</v>
      </c>
      <c r="G24" s="582">
        <v>144000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500</v>
      </c>
      <c r="C25" s="160"/>
      <c r="D25" s="577"/>
      <c r="E25" s="579"/>
      <c r="F25" s="581"/>
      <c r="G25" s="583"/>
      <c r="H25" s="356"/>
      <c r="I25" s="356" t="s">
        <v>485</v>
      </c>
      <c r="J25" s="161"/>
      <c r="K25" s="69" t="s">
        <v>96</v>
      </c>
    </row>
    <row r="26" spans="1:11" ht="10.5" customHeight="1">
      <c r="A26" s="69"/>
      <c r="B26" s="156" t="s">
        <v>501</v>
      </c>
      <c r="C26" s="157"/>
      <c r="D26" s="576" t="s">
        <v>463</v>
      </c>
      <c r="E26" s="584">
        <v>42</v>
      </c>
      <c r="F26" s="580">
        <v>4000</v>
      </c>
      <c r="G26" s="582">
        <v>168000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502</v>
      </c>
      <c r="C27" s="160"/>
      <c r="D27" s="577"/>
      <c r="E27" s="585"/>
      <c r="F27" s="581"/>
      <c r="G27" s="583"/>
      <c r="H27" s="356"/>
      <c r="I27" s="356" t="s">
        <v>485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449</v>
      </c>
      <c r="C30" s="157"/>
      <c r="D30" s="576"/>
      <c r="E30" s="584"/>
      <c r="F30" s="580"/>
      <c r="G30" s="582">
        <v>3884000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2025-12-12T07:39:52Z</dcterms:modified>
  <cp:category/>
  <cp:contentStatus/>
</cp:coreProperties>
</file>