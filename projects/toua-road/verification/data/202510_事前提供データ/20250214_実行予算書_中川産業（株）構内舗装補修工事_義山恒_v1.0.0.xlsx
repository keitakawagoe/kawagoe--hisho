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8_{0F2C4219-CC32-4E36-9760-56B81CAF73E0}" xr6:coauthVersionLast="47" xr6:coauthVersionMax="47" xr10:uidLastSave="{00000000-0000-0000-0000-000000000000}"/>
  <bookViews>
    <workbookView xWindow="390" yWindow="390" windowWidth="21600" windowHeight="11385" tabRatio="728" firstSheet="11" activeTab="11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外注費)" sheetId="14" r:id="rId15"/>
    <sheet name="調書(機械費)" sheetId="16" r:id="rId16"/>
    <sheet name="調書(運搬費)" sheetId="15" r:id="rId17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'工事費一覧表(現場経費)'!$A$1:$AF$15</definedName>
    <definedName name="_xlnm.Print_Area" localSheetId="6">'工事費一覧表(直接工事費)'!$A$1:$AF$67</definedName>
    <definedName name="_xlnm.Print_Area" localSheetId="0">実行予算書鑑!$A$1:$AM$32</definedName>
    <definedName name="_xlnm.Print_Area" localSheetId="16">'調書(運搬費)'!#REF!</definedName>
    <definedName name="_xlnm.Print_Area" localSheetId="14">'調書(外注費)'!#REF!</definedName>
    <definedName name="_xlnm.Print_Area" localSheetId="15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37" i="29"/>
  <c r="L37" i="29"/>
  <c r="K38" i="29"/>
  <c r="L38" i="29"/>
  <c r="K39" i="29"/>
  <c r="L39" i="29"/>
  <c r="K40" i="29"/>
  <c r="L40" i="29"/>
  <c r="K41" i="29"/>
  <c r="L41" i="29"/>
  <c r="K42" i="29"/>
  <c r="L42" i="29"/>
  <c r="K43" i="29"/>
  <c r="L43" i="29"/>
  <c r="K44" i="29"/>
  <c r="L44" i="29"/>
  <c r="K45" i="29"/>
  <c r="L45" i="29"/>
  <c r="K46" i="29"/>
  <c r="L46" i="29"/>
  <c r="K47" i="29"/>
  <c r="L47" i="29"/>
  <c r="K48" i="29"/>
  <c r="L48" i="29"/>
  <c r="K49" i="29"/>
  <c r="L49" i="29"/>
  <c r="K50" i="29"/>
  <c r="L50" i="29"/>
  <c r="K51" i="29"/>
  <c r="L51" i="29"/>
  <c r="K52" i="29"/>
  <c r="L52" i="29"/>
  <c r="K53" i="29"/>
  <c r="L53" i="29"/>
  <c r="K54" i="29"/>
  <c r="L54" i="29"/>
  <c r="K55" i="29"/>
  <c r="L55" i="29"/>
  <c r="K56" i="29"/>
  <c r="L56" i="29"/>
  <c r="K57" i="29"/>
  <c r="L57" i="29"/>
  <c r="K58" i="29"/>
  <c r="L58" i="29"/>
  <c r="K59" i="29"/>
  <c r="L59" i="29"/>
  <c r="K60" i="29"/>
  <c r="L60" i="29"/>
  <c r="K61" i="29"/>
  <c r="L61" i="29"/>
  <c r="K62" i="29"/>
  <c r="L62" i="29"/>
  <c r="K63" i="29"/>
  <c r="L63" i="29"/>
  <c r="K64" i="29"/>
  <c r="L64" i="29"/>
  <c r="K65" i="29"/>
  <c r="L65" i="29"/>
  <c r="K66" i="29"/>
  <c r="L66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 s="1"/>
  <c r="D11" i="25"/>
  <c r="O26" i="25" l="1"/>
  <c r="O21" i="25" s="1"/>
  <c r="Q26" i="25"/>
  <c r="Q21" i="25" s="1"/>
  <c r="D10" i="25"/>
  <c r="D18" i="25"/>
  <c r="H26" i="25"/>
  <c r="H21" i="25" s="1"/>
  <c r="P26" i="25"/>
  <c r="P21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O22" i="25"/>
  <c r="L26" i="25"/>
  <c r="L21" i="25" s="1"/>
  <c r="L22" i="25" s="1"/>
  <c r="D7" i="25"/>
  <c r="D15" i="25"/>
  <c r="H22" i="25"/>
  <c r="P22" i="25"/>
  <c r="E26" i="25"/>
  <c r="M26" i="25"/>
  <c r="M21" i="25" s="1"/>
  <c r="M22" i="25" s="1"/>
  <c r="D5" i="25"/>
  <c r="D13" i="25"/>
  <c r="D8" i="25"/>
  <c r="D16" i="25"/>
  <c r="Q22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<sst xmlns="http://schemas.openxmlformats.org/spreadsheetml/2006/main" count="1560" uniqueCount="429">
  <si>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</si>
  <si>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</si>
  <si>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</si>
  <si>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2440410092 E</t>
  </si>
  <si>
    <t>（当　初）</t>
  </si>
  <si>
    <t>現場代理人</t>
    <rPh sb="0" eb="2">
      <t>ゲンバ</t>
    </rPh>
    <rPh sb="2" eb="5">
      <t>ダイリニン</t>
    </rPh>
    <phoneticPr fontId="4"/>
  </si>
  <si>
    <t>義山　恒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</si>
  <si>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</si>
  <si>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</si>
  <si>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</si>
  <si>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</si>
  <si>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</si>
  <si>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</si>
  <si>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</si>
  <si>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</si>
  <si>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</si>
  <si>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</si>
  <si>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</si>
  <si>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</si>
  <si>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中川産業（株）構内舗装補修工事</t>
  </si>
  <si>
    <t>発注者</t>
    <rPh sb="0" eb="1">
      <t>ハツ</t>
    </rPh>
    <rPh sb="1" eb="2">
      <t>チュウ</t>
    </rPh>
    <rPh sb="2" eb="3">
      <t>シャ</t>
    </rPh>
    <phoneticPr fontId="6"/>
  </si>
  <si>
    <t>中川産業（株）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</si>
  <si>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</si>
  <si>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</si>
  <si>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</si>
  <si>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</si>
  <si>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</si>
  <si>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</si>
  <si>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</si>
  <si>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</si>
  <si>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</si>
  <si>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東大阪市箕輪３丁目６番８２号</t>
  </si>
  <si>
    <t>契約工期</t>
    <rPh sb="0" eb="2">
      <t>ケイヤク</t>
    </rPh>
    <rPh sb="2" eb="4">
      <t>コウキ</t>
    </rPh>
    <phoneticPr fontId="6"/>
  </si>
  <si>
    <t>2025年2月22日</t>
  </si>
  <si>
    <t>～</t>
    <phoneticPr fontId="36"/>
  </si>
  <si>
    <t>2025年3月31日</t>
  </si>
  <si>
    <t>実施工期</t>
    <rPh sb="0" eb="2">
      <t>ジッシ</t>
    </rPh>
    <rPh sb="2" eb="4">
      <t>コウキ</t>
    </rPh>
    <phoneticPr fontId="6"/>
  </si>
  <si>
    <t>ISO品質目標</t>
    <rPh sb="3" eb="5">
      <t>ヒンシツ</t>
    </rPh>
    <rPh sb="5" eb="7">
      <t>モクヒョウ</t>
    </rPh>
    <phoneticPr fontId="6"/>
  </si>
  <si>
    <t>構内ルールの遵守</t>
    <rPh sb="0" eb="2">
      <t>コウナイ</t>
    </rPh>
    <rPh sb="6" eb="8">
      <t>ジュンシュ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</si>
  <si>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</si>
  <si>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</si>
  <si>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</si>
  <si>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</si>
  <si>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</si>
  <si>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</si>
  <si>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</si>
  <si>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</si>
  <si>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</si>
  <si>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</si>
  <si>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</si>
  <si>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</si>
  <si>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切削オーバーレイ工</t>
  </si>
  <si>
    <t>セメントミルク注入工</t>
  </si>
  <si>
    <t>オーバーレイ工</t>
  </si>
  <si>
    <t>区画線工</t>
  </si>
  <si>
    <t>安全費</t>
  </si>
  <si>
    <t>重機回送費</t>
  </si>
  <si>
    <t>経費</t>
  </si>
  <si>
    <t>重機運搬費</t>
  </si>
  <si>
    <t>準備費</t>
  </si>
  <si>
    <t>地代家賃</t>
  </si>
  <si>
    <t>仮設費</t>
  </si>
  <si>
    <t>技術管理費</t>
  </si>
  <si>
    <t>社員給料</t>
  </si>
  <si>
    <t>事務用品費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</si>
  <si>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</si>
  <si>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</si>
  <si>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</si>
  <si>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</si>
  <si>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</si>
  <si>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</si>
  <si>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</si>
  <si>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</si>
  <si>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</si>
  <si>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</si>
  <si>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</si>
  <si>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</si>
  <si>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</si>
  <si>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</si>
  <si>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</si>
  <si>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</si>
  <si>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</si>
  <si>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</si>
  <si>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</si>
  <si>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</si>
  <si>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切削オーバーレイ工_x000D_
（再生改質Ⅱ型粗粒　t=5㎝、半たわみ性舗装　t=5㎝）　285ｍ2_x000D_
セメントミルク注入工（超速硬）　285ｍ2_x000D_
オーバーレイ工　（改質Ⅱ型密粒　t=5㎝、レベリング含む）　290ｍ2</t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</si>
  <si>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</si>
  <si>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</si>
  <si>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</si>
  <si>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</si>
  <si>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再生改質Ⅱ型粗粒　t=5㎝、半たわみ性舗装　t=5㎝</t>
  </si>
  <si>
    <t>m2</t>
  </si>
  <si>
    <t>超速硬型</t>
  </si>
  <si>
    <t>改質Ⅱ型密粒　t＝5㎝　レベリング含む</t>
  </si>
  <si>
    <t>式</t>
  </si>
  <si>
    <t>(準備測量・仮設設置撤去・他)</t>
  </si>
  <si>
    <t>(借地費用や駐車場及び宿舎の賃貸等)</t>
  </si>
  <si>
    <t xml:space="preserve"> ３. 発 注 者 よ り の 支 給 品</t>
    <phoneticPr fontId="6"/>
  </si>
  <si>
    <t>(仮設事務所・倉庫・トイレ(環境改善含む)、仮設電気　等)</t>
  </si>
  <si>
    <t>品      名</t>
  </si>
  <si>
    <t>形状 寸法</t>
  </si>
  <si>
    <t>(仮設事務所仮囲い・工事看板や安全施設・事務所警備　等)</t>
  </si>
  <si>
    <t>(土質試験・ASP・MC施工関係・完成図書 等)</t>
  </si>
  <si>
    <t>(コピー機、トナー、文具、コピー用紙、その他)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</si>
  <si>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</si>
  <si>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</si>
  <si>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</si>
  <si>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中川産業舗装補修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</si>
  <si>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</si>
  <si>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</si>
  <si>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</si>
  <si>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</si>
  <si>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</si>
  <si>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</si>
  <si>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</si>
  <si>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</si>
  <si>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</si>
  <si>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</si>
  <si>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</si>
  <si>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</si>
  <si>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</si>
  <si>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</si>
  <si>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法定福利費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</si>
  <si>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</si>
  <si>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</si>
  <si>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</si>
  <si>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</si>
  <si>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</si>
  <si>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</si>
  <si>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</si>
  <si>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</si>
  <si>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</si>
  <si>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</si>
  <si>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</si>
  <si>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</si>
  <si>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</si>
  <si>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E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</si>
  <si>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</si>
  <si>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</si>
  <si>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2024年12月1日</t>
  </si>
  <si>
    <t>工事拠点経費</t>
    <rPh sb="0" eb="2">
      <t>コウジ</t>
    </rPh>
    <rPh sb="4" eb="6">
      <t>ケイヒ</t>
    </rPh>
    <phoneticPr fontId="6"/>
  </si>
  <si>
    <t>2025年2月22日 ～ 2025年3月31日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</si>
  <si>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</si>
  <si>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</si>
  <si>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</si>
  <si>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</si>
  <si>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切削オーバーレイ工_x000D_
（再生改質Ⅱ型粗粒　t=5㎝、半たわみ性舗装　t=5㎝）　285ｍ2_x000D_
セメントミルク注入工（超速硬）　285ｍ2_x000D_
オーバーレイ工　（改質Ⅱ型密粒　t=5㎝、レベリング含む）　290ｍ2</t>
    <phoneticPr fontId="4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</si>
  <si>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</si>
  <si>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</si>
  <si>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</si>
  <si>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</si>
  <si>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</si>
  <si>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</si>
  <si>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</si>
  <si>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</si>
  <si>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</si>
  <si>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</si>
  <si>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</si>
  <si>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</si>
  <si>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</si>
  <si>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</si>
  <si>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切削オーバーレイ工</t>
  </si>
  <si>
    <t>15号</t>
  </si>
  <si>
    <t xml:space="preserve">  再生改質Ⅱ型粗粒　t=5㎝、半たわみ性舗装　t=5㎝</t>
  </si>
  <si>
    <t>内訳書</t>
  </si>
  <si>
    <t xml:space="preserve">  セメントミルク注入工</t>
  </si>
  <si>
    <t>16号</t>
  </si>
  <si>
    <t xml:space="preserve">  超速硬型</t>
  </si>
  <si>
    <t xml:space="preserve">  オーバーレイ工</t>
  </si>
  <si>
    <t>17号</t>
  </si>
  <si>
    <t xml:space="preserve">  改質Ⅱ型密粒　t＝5㎝　レベリング含む</t>
  </si>
  <si>
    <t xml:space="preserve">  区画線工</t>
  </si>
  <si>
    <t>18号</t>
  </si>
  <si>
    <t xml:space="preserve">  </t>
  </si>
  <si>
    <t xml:space="preserve">  安全費</t>
  </si>
  <si>
    <t>21号</t>
  </si>
  <si>
    <t xml:space="preserve">  重機回送費</t>
  </si>
  <si>
    <t>19号</t>
  </si>
  <si>
    <t xml:space="preserve">  経費</t>
  </si>
  <si>
    <t>20号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</si>
  <si>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</si>
  <si>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</si>
  <si>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</si>
  <si>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</si>
  <si>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</si>
  <si>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</si>
  <si>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</si>
  <si>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</si>
  <si>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中川産業（株）構内舗装補修工事</t>
    <phoneticPr fontId="4"/>
  </si>
  <si>
    <t>業者／要素</t>
    <rPh sb="0" eb="2">
      <t>ギョウシャ</t>
    </rPh>
    <rPh sb="3" eb="5">
      <t>ヨウソ</t>
    </rPh>
    <phoneticPr fontId="6"/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</si>
  <si>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</si>
  <si>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</si>
  <si>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</si>
  <si>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</si>
  <si>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</si>
  <si>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</si>
  <si>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</si>
  <si>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</si>
  <si>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</si>
  <si>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</si>
  <si>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</si>
  <si>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</si>
  <si>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</si>
  <si>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</si>
  <si>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</si>
  <si>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/>
  </si>
  <si>
    <t>集計行</t>
  </si>
  <si>
    <t>｜直接工事費</t>
  </si>
  <si>
    <t>内訳代価</t>
  </si>
  <si>
    <t>｜｜切削オーバーレイ工</t>
  </si>
  <si>
    <t>15号内訳書</t>
  </si>
  <si>
    <t>｜｜｜再生改質Ⅱ型粗粒</t>
  </si>
  <si>
    <t>ｔ</t>
  </si>
  <si>
    <t>｜｜｜半たわみ舗装</t>
  </si>
  <si>
    <t>｜｜｜TFE(ﾀｯｸﾌｧｲﾝE)</t>
  </si>
  <si>
    <t>t</t>
  </si>
  <si>
    <t xml:space="preserve">s1005 </t>
  </si>
  <si>
    <t>｜｜｜ﾃﾞｨｽﾄﾘﾋﾞｭｰﾀ</t>
  </si>
  <si>
    <t>車</t>
  </si>
  <si>
    <t xml:space="preserve">k1001 </t>
  </si>
  <si>
    <t>｜｜｜技工</t>
  </si>
  <si>
    <t>外注作業員　休日</t>
  </si>
  <si>
    <t>人</t>
  </si>
  <si>
    <t xml:space="preserve">r2002 </t>
  </si>
  <si>
    <t>｜｜｜ｱｽﾌｧﾙﾄﾌｨﾆｯｼｬ</t>
  </si>
  <si>
    <t>W=4.5m級</t>
  </si>
  <si>
    <t>台</t>
  </si>
  <si>
    <t xml:space="preserve">k0002 </t>
  </si>
  <si>
    <t>｜｜｜ｾﾝｻｰ　アーム込　片側</t>
  </si>
  <si>
    <t>個</t>
  </si>
  <si>
    <t>｜｜｜ﾀｲﾔﾛｰﾗ</t>
  </si>
  <si>
    <t>10t</t>
  </si>
  <si>
    <t xml:space="preserve">k0004 </t>
  </si>
  <si>
    <t>｜｜｜2.5ｔコンバインドローラ</t>
  </si>
  <si>
    <t>｜｜｜ﾌﾟﾚｰﾄ</t>
  </si>
  <si>
    <t xml:space="preserve">k0015 </t>
  </si>
  <si>
    <t>｜｜｜ﾀｲﾔｼｮﾍﾞﾙ</t>
  </si>
  <si>
    <t>0.4m3</t>
  </si>
  <si>
    <t xml:space="preserve">k0007 </t>
  </si>
  <si>
    <t>｜｜｜ｺﾝﾌﾟﾚｯｻｰ</t>
  </si>
  <si>
    <t>ﾌﾞﾚｰｶｰ　ホース5m込</t>
  </si>
  <si>
    <t>｜｜｜3tﾀﾞﾝﾌﾟ</t>
  </si>
  <si>
    <t xml:space="preserve">u0002 </t>
  </si>
  <si>
    <t>｜｜｜道具車</t>
  </si>
  <si>
    <t>｜｜｜10tﾀﾞﾝﾌﾟ常用</t>
  </si>
  <si>
    <t>昼間</t>
  </si>
  <si>
    <t xml:space="preserve">u0009 </t>
  </si>
  <si>
    <t>｜｜｜路面切削黄2.0m</t>
  </si>
  <si>
    <t>｜｜｜ﾛｰﾄﾞｽｲｰﾊﾟｰ</t>
  </si>
  <si>
    <t>｜｜｜As殻処分</t>
  </si>
  <si>
    <t>｜｜｜雑材</t>
  </si>
  <si>
    <t>｜｜セメントミルク注入工</t>
  </si>
  <si>
    <t>16号内訳書</t>
  </si>
  <si>
    <t>｜｜｜ニューファンコート　超速硬</t>
  </si>
  <si>
    <t>袋</t>
  </si>
  <si>
    <t>｜｜｜養生材</t>
  </si>
  <si>
    <t>｜｜｜発電機</t>
  </si>
  <si>
    <t>｜｜｜土木用</t>
  </si>
  <si>
    <t>小物機械　2</t>
  </si>
  <si>
    <t>｜｜オーバーレイ工</t>
  </si>
  <si>
    <t>17号内訳書</t>
  </si>
  <si>
    <t>｜｜｜改質Ⅱ型密粒</t>
  </si>
  <si>
    <t>｜｜｜As舗装版切断</t>
  </si>
  <si>
    <t>T=50 乾式</t>
  </si>
  <si>
    <t>｜｜｜8tﾀﾞﾝﾌﾟ常用</t>
  </si>
  <si>
    <t>｜｜｜路面切削機　ミニ</t>
  </si>
  <si>
    <t>｜｜区画線工</t>
  </si>
  <si>
    <t>18号内訳書</t>
  </si>
  <si>
    <t>｜｜｜区画線工</t>
  </si>
  <si>
    <t>｜｜安全費</t>
  </si>
  <si>
    <t>21号内訳書</t>
  </si>
  <si>
    <t>｜｜｜交通誘導員(昼間8h)</t>
  </si>
  <si>
    <t xml:space="preserve">g2001 </t>
  </si>
  <si>
    <t>｜｜重機回送費</t>
  </si>
  <si>
    <t>19号内訳書</t>
  </si>
  <si>
    <t>｜｜｜ﾄﾚｰﾗｰ回送</t>
  </si>
  <si>
    <t>回</t>
  </si>
  <si>
    <t xml:space="preserve">u0015 </t>
  </si>
  <si>
    <t>｜｜｜12t車回送</t>
  </si>
  <si>
    <t xml:space="preserve">u0014 </t>
  </si>
  <si>
    <t>｜｜｜10t車回送</t>
  </si>
  <si>
    <t xml:space="preserve">u0013 </t>
  </si>
  <si>
    <t>｜｜経費</t>
  </si>
  <si>
    <t>20号内訳書</t>
  </si>
  <si>
    <t>｜｜｜技工  法定福利費</t>
  </si>
  <si>
    <t>直営作業員</t>
  </si>
  <si>
    <t>｜｜｜外注経費</t>
  </si>
  <si>
    <t>｜｜｜現場経費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</si>
  <si>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</si>
  <si>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</si>
  <si>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</si>
  <si>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電力用水光熱費</t>
  </si>
  <si>
    <t>通信費</t>
  </si>
  <si>
    <t>旅費交通費</t>
  </si>
  <si>
    <t>保険料</t>
  </si>
  <si>
    <t>車両費</t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</si>
  <si>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</si>
  <si>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</si>
  <si>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</si>
  <si>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</si>
  <si>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</si>
  <si>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</si>
  <si>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</si>
  <si>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</si>
  <si>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>｜共通仮設費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</si>
  <si>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</si>
  <si>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</si>
  <si>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</si>
  <si>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</si>
  <si>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</si>
  <si>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</si>
  <si>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</si>
  <si>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</si>
  <si>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5号内訳書</t>
  </si>
  <si>
    <t>｜｜技術管理費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</si>
  <si>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</si>
  <si>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</si>
  <si>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</si>
  <si>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</si>
  <si>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</si>
  <si>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</si>
  <si>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</si>
  <si>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8号</t>
  </si>
  <si>
    <t>9号</t>
  </si>
  <si>
    <t>(携帯通話料、ネット回線契約、電話回線契約　等)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</si>
  <si>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</si>
  <si>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</si>
  <si>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</si>
  <si>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</si>
  <si>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</si>
  <si>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</si>
  <si>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</si>
  <si>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</si>
  <si>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</si>
  <si>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</si>
  <si>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</si>
  <si>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</si>
  <si>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</si>
  <si>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</si>
  <si>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</si>
  <si>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</si>
  <si>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総合5級　昼間</t>
  </si>
  <si>
    <t>日</t>
  </si>
  <si>
    <t xml:space="preserve">m0010 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</si>
  <si>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</si>
  <si>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</si>
  <si>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</si>
  <si>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</si>
  <si>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</si>
  <si>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</si>
  <si>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</si>
  <si>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</si>
  <si>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</si>
  <si>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</si>
  <si>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</si>
  <si>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</si>
  <si>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</si>
  <si>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</si>
  <si>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</si>
  <si>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</si>
  <si>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中川産業（株）構内舗装補修工事</t>
    <phoneticPr fontId="6"/>
  </si>
  <si>
    <t>2440410092 E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</si>
  <si>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</si>
  <si>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</si>
  <si>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</si>
  <si>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</si>
  <si>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</si>
  <si>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</si>
  <si>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</si>
  <si>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As殻処分</t>
    <phoneticPr fontId="6"/>
  </si>
  <si>
    <t>ｔ</t>
    <phoneticPr fontId="6"/>
  </si>
  <si>
    <t>材料費</t>
    <phoneticPr fontId="6"/>
  </si>
  <si>
    <t>TFE(ﾀｯｸﾌｧｲﾝE)</t>
    <phoneticPr fontId="6"/>
  </si>
  <si>
    <t>t</t>
    <phoneticPr fontId="6"/>
  </si>
  <si>
    <t>ニューファンコート　超速硬</t>
    <phoneticPr fontId="6"/>
  </si>
  <si>
    <t>袋</t>
    <phoneticPr fontId="6"/>
  </si>
  <si>
    <t>改質Ⅱ型密粒</t>
    <phoneticPr fontId="6"/>
  </si>
  <si>
    <t>再生改質Ⅱ型粗粒</t>
    <phoneticPr fontId="6"/>
  </si>
  <si>
    <t>雑材</t>
    <phoneticPr fontId="6"/>
  </si>
  <si>
    <t>式</t>
    <phoneticPr fontId="6"/>
  </si>
  <si>
    <t>半たわみ舗装</t>
    <phoneticPr fontId="6"/>
  </si>
  <si>
    <t>養生材</t>
    <phoneticPr fontId="6"/>
  </si>
  <si>
    <t>計</t>
    <phoneticPr fontId="6"/>
  </si>
  <si>
    <t>労務調書</t>
    <rPh sb="2" eb="4">
      <t>チョウショ</t>
    </rPh>
    <phoneticPr fontId="6"/>
  </si>
  <si>
    <t>技工</t>
    <phoneticPr fontId="6"/>
  </si>
  <si>
    <t>人</t>
    <phoneticPr fontId="6"/>
  </si>
  <si>
    <t>外注作業員　休日</t>
    <phoneticPr fontId="6"/>
  </si>
  <si>
    <t>労務費</t>
    <phoneticPr fontId="6"/>
  </si>
  <si>
    <t>外注調書</t>
    <rPh sb="2" eb="4">
      <t>チョウショ</t>
    </rPh>
    <phoneticPr fontId="6"/>
  </si>
  <si>
    <t>As舗装版切断</t>
    <phoneticPr fontId="6"/>
  </si>
  <si>
    <t>T=50 乾式</t>
    <phoneticPr fontId="6"/>
  </si>
  <si>
    <t>外注費</t>
    <phoneticPr fontId="6"/>
  </si>
  <si>
    <t>外注経費</t>
    <phoneticPr fontId="6"/>
  </si>
  <si>
    <t>区画線工</t>
    <phoneticPr fontId="6"/>
  </si>
  <si>
    <t>交通誘導員(昼間8h)</t>
    <phoneticPr fontId="6"/>
  </si>
  <si>
    <t>機械調書</t>
    <rPh sb="2" eb="4">
      <t>チョウショ</t>
    </rPh>
    <phoneticPr fontId="6"/>
  </si>
  <si>
    <t>2.5ｔコンバインドローラ</t>
    <phoneticPr fontId="6"/>
  </si>
  <si>
    <t>台</t>
    <phoneticPr fontId="6"/>
  </si>
  <si>
    <t>機械費</t>
    <phoneticPr fontId="6"/>
  </si>
  <si>
    <t>ｱｽﾌｧﾙﾄﾌｨﾆｯｼｬ</t>
    <phoneticPr fontId="6"/>
  </si>
  <si>
    <t>W=4.5m級</t>
    <phoneticPr fontId="6"/>
  </si>
  <si>
    <t>ｺﾝﾌﾟﾚｯｻｰ</t>
    <phoneticPr fontId="6"/>
  </si>
  <si>
    <t>ﾌﾞﾚｰｶｰ　ホース5m込</t>
    <phoneticPr fontId="6"/>
  </si>
  <si>
    <t>ｾﾝｻｰ　アーム込　片側</t>
    <phoneticPr fontId="6"/>
  </si>
  <si>
    <t>個</t>
    <phoneticPr fontId="6"/>
  </si>
  <si>
    <t>ﾀｲﾔｼｮﾍﾞﾙ</t>
    <phoneticPr fontId="6"/>
  </si>
  <si>
    <t>0.4m3</t>
    <phoneticPr fontId="6"/>
  </si>
  <si>
    <t>ﾀｲﾔﾛｰﾗ</t>
    <phoneticPr fontId="6"/>
  </si>
  <si>
    <t>10t</t>
    <phoneticPr fontId="6"/>
  </si>
  <si>
    <t>ﾃﾞｨｽﾄﾘﾋﾞｭｰﾀ</t>
    <phoneticPr fontId="6"/>
  </si>
  <si>
    <t>車</t>
    <phoneticPr fontId="6"/>
  </si>
  <si>
    <t>ﾌﾟﾚｰﾄ</t>
    <phoneticPr fontId="6"/>
  </si>
  <si>
    <t>ﾛｰﾄﾞｽｲｰﾊﾟｰ</t>
    <phoneticPr fontId="6"/>
  </si>
  <si>
    <t>土木用</t>
    <phoneticPr fontId="6"/>
  </si>
  <si>
    <t>小物機械　2</t>
    <phoneticPr fontId="6"/>
  </si>
  <si>
    <t>発電機</t>
    <phoneticPr fontId="6"/>
  </si>
  <si>
    <t>路面切削黄2.0m</t>
    <phoneticPr fontId="6"/>
  </si>
  <si>
    <t>路面切削機　ミニ</t>
    <phoneticPr fontId="6"/>
  </si>
  <si>
    <t>運搬調書</t>
    <rPh sb="2" eb="4">
      <t>チョウショ</t>
    </rPh>
    <phoneticPr fontId="6"/>
  </si>
  <si>
    <t>10tﾀﾞﾝﾌﾟ常用</t>
    <phoneticPr fontId="6"/>
  </si>
  <si>
    <t>昼間</t>
    <phoneticPr fontId="6"/>
  </si>
  <si>
    <t>運搬費</t>
    <phoneticPr fontId="6"/>
  </si>
  <si>
    <t>10t車回送</t>
    <phoneticPr fontId="6"/>
  </si>
  <si>
    <t>回</t>
    <phoneticPr fontId="6"/>
  </si>
  <si>
    <t>12t車回送</t>
    <phoneticPr fontId="6"/>
  </si>
  <si>
    <t>3tﾀﾞﾝﾌﾟ</t>
    <phoneticPr fontId="6"/>
  </si>
  <si>
    <t>8tﾀﾞﾝﾌﾟ常用</t>
    <phoneticPr fontId="6"/>
  </si>
  <si>
    <t>ﾄﾚｰﾗｰ回送</t>
    <phoneticPr fontId="6"/>
  </si>
  <si>
    <t>道具車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</si>
</sst>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topLeftCell="A13" zoomScaleNormal="100" workbookViewId="0">
      <selection activeCell="A32" sqref="A32:AM32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45702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6900000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5500000</v>
      </c>
      <c r="J16" s="413"/>
      <c r="K16" s="413"/>
      <c r="L16" s="413"/>
      <c r="M16" s="413"/>
      <c r="N16" s="413"/>
      <c r="O16" s="413"/>
      <c r="P16" s="413"/>
      <c r="Q16" s="410">
        <v>0.79710000000000003</v>
      </c>
      <c r="R16" s="410"/>
      <c r="S16" s="410"/>
      <c r="U16" s="403" t="s">
        <v>24</v>
      </c>
      <c r="V16" s="411"/>
      <c r="W16" s="411"/>
      <c r="X16" s="411"/>
      <c r="Y16" s="412">
        <v>1400000</v>
      </c>
      <c r="Z16" s="413"/>
      <c r="AA16" s="413"/>
      <c r="AB16" s="413"/>
      <c r="AC16" s="413"/>
      <c r="AD16" s="413"/>
      <c r="AE16" s="413"/>
      <c r="AF16" s="413"/>
      <c r="AG16" s="410">
        <v>0.2029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33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37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38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39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40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41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42</v>
      </c>
      <c r="L2" s="451"/>
      <c r="M2" s="452"/>
      <c r="N2" s="471" t="s">
        <v>3</v>
      </c>
      <c r="O2" s="472"/>
      <c r="P2" s="472"/>
      <c r="Q2" s="472"/>
      <c r="R2" s="473"/>
      <c r="S2" s="38" t="s">
        <v>43</v>
      </c>
      <c r="T2" s="349"/>
    </row>
    <row r="3" spans="1:20" ht="24.75" customHeight="1">
      <c r="A3" s="33"/>
      <c r="B3" s="39" t="s">
        <v>44</v>
      </c>
      <c r="C3" s="453">
        <v>45710</v>
      </c>
      <c r="D3" s="454"/>
      <c r="E3" s="266" t="s">
        <v>45</v>
      </c>
      <c r="F3" s="455">
        <v>45747</v>
      </c>
      <c r="G3" s="455"/>
      <c r="H3" s="455"/>
      <c r="I3" s="267"/>
      <c r="J3" s="267"/>
      <c r="K3" s="456" t="s">
        <v>46</v>
      </c>
      <c r="L3" s="457"/>
      <c r="M3" s="458"/>
      <c r="N3" s="443">
        <v>6900000</v>
      </c>
      <c r="O3" s="444"/>
      <c r="P3" s="445"/>
      <c r="Q3" s="268"/>
      <c r="R3" s="269"/>
      <c r="S3" s="40" t="s">
        <v>47</v>
      </c>
      <c r="T3" s="349"/>
    </row>
    <row r="4" spans="1:20" ht="24.75" customHeight="1" thickBot="1">
      <c r="A4" s="33"/>
      <c r="B4" s="41" t="s">
        <v>48</v>
      </c>
      <c r="C4" s="42" t="s">
        <v>49</v>
      </c>
      <c r="D4" s="43" t="s">
        <v>50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51</v>
      </c>
      <c r="C5" s="270">
        <v>1938000</v>
      </c>
      <c r="D5" s="329">
        <f>IF(C5&lt;&gt;"",C5/$C$20,"")</f>
        <v>0.35236363636363638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52</v>
      </c>
      <c r="C6" s="271">
        <v>912000</v>
      </c>
      <c r="D6" s="330">
        <f t="shared" ref="D6:D17" si="0">IF(C6&lt;&gt;"",C6/$C$20,"")</f>
        <v>0.16581818181818181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53</v>
      </c>
      <c r="C7" s="271">
        <v>1653000</v>
      </c>
      <c r="D7" s="330">
        <f t="shared" si="0"/>
        <v>0.30054545454545456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54</v>
      </c>
      <c r="C8" s="271">
        <v>100000</v>
      </c>
      <c r="D8" s="330">
        <f t="shared" si="0"/>
        <v>1.8181818181818181E-2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55</v>
      </c>
      <c r="C9" s="271">
        <v>60000</v>
      </c>
      <c r="D9" s="330">
        <f t="shared" si="0"/>
        <v>1.090909090909091E-2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56</v>
      </c>
      <c r="C10" s="271">
        <v>300000</v>
      </c>
      <c r="D10" s="330">
        <f t="shared" si="0"/>
        <v>5.4545454545454543E-2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57</v>
      </c>
      <c r="C11" s="271">
        <v>323000</v>
      </c>
      <c r="D11" s="330">
        <f t="shared" si="0"/>
        <v>5.8727272727272725E-2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58</v>
      </c>
      <c r="C12" s="271">
        <v>0</v>
      </c>
      <c r="D12" s="330">
        <f t="shared" si="0"/>
        <v>0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59</v>
      </c>
      <c r="C13" s="271">
        <v>0</v>
      </c>
      <c r="D13" s="330">
        <f t="shared" si="0"/>
        <v>0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60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61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55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62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63</v>
      </c>
      <c r="C18" s="272">
        <v>214000</v>
      </c>
      <c r="D18" s="330">
        <f>IF(C18&lt;&gt;"",C18/$C$20,"")</f>
        <v>3.8909090909090907E-2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64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65</v>
      </c>
      <c r="C20" s="273">
        <f>SUM(C5:C19)</f>
        <v>5500000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66</v>
      </c>
      <c r="C21" s="61"/>
      <c r="D21" s="62" t="s">
        <v>67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68</v>
      </c>
      <c r="D22" s="65" t="s">
        <v>69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70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71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72</v>
      </c>
      <c r="F30" s="178" t="s">
        <v>73</v>
      </c>
      <c r="G30" s="177" t="s">
        <v>74</v>
      </c>
      <c r="H30" s="178" t="s">
        <v>75</v>
      </c>
      <c r="I30" s="177" t="s">
        <v>76</v>
      </c>
      <c r="J30" s="178" t="s">
        <v>77</v>
      </c>
      <c r="K30" s="177" t="s">
        <v>78</v>
      </c>
      <c r="L30" s="178" t="s">
        <v>79</v>
      </c>
      <c r="M30" s="177" t="s">
        <v>80</v>
      </c>
      <c r="N30" s="179" t="s">
        <v>81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82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83</v>
      </c>
      <c r="C3" s="75"/>
      <c r="D3" s="75"/>
      <c r="E3" s="75"/>
      <c r="F3" s="75"/>
      <c r="G3" s="75"/>
      <c r="H3" s="75"/>
      <c r="I3" s="76"/>
      <c r="J3" s="77" t="s">
        <v>84</v>
      </c>
      <c r="K3" s="75"/>
      <c r="L3" s="75"/>
      <c r="M3" s="78"/>
      <c r="N3" s="69"/>
      <c r="O3" s="69"/>
    </row>
    <row r="4" spans="1:18" ht="24.75" customHeight="1">
      <c r="A4" s="69"/>
      <c r="B4" s="477" t="s">
        <v>85</v>
      </c>
      <c r="C4" s="584"/>
      <c r="D4" s="584"/>
      <c r="E4" s="584"/>
      <c r="F4" s="584"/>
      <c r="G4" s="584"/>
      <c r="H4" s="584"/>
      <c r="I4" s="585"/>
      <c r="J4" s="79" t="s">
        <v>86</v>
      </c>
      <c r="K4" s="80" t="s">
        <v>87</v>
      </c>
      <c r="L4" s="80" t="s">
        <v>88</v>
      </c>
      <c r="M4" s="81" t="s">
        <v>89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51</v>
      </c>
      <c r="K5" s="276" t="s">
        <v>90</v>
      </c>
      <c r="L5" s="277" t="s">
        <v>91</v>
      </c>
      <c r="M5" s="278">
        <v>285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52</v>
      </c>
      <c r="K6" s="283" t="s">
        <v>92</v>
      </c>
      <c r="L6" s="284" t="s">
        <v>91</v>
      </c>
      <c r="M6" s="285">
        <v>285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53</v>
      </c>
      <c r="K7" s="283" t="s">
        <v>93</v>
      </c>
      <c r="L7" s="284" t="s">
        <v>91</v>
      </c>
      <c r="M7" s="285">
        <v>290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54</v>
      </c>
      <c r="K8" s="283"/>
      <c r="L8" s="284" t="s">
        <v>94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55</v>
      </c>
      <c r="K9" s="283"/>
      <c r="L9" s="284" t="s">
        <v>94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56</v>
      </c>
      <c r="K10" s="283"/>
      <c r="L10" s="284" t="s">
        <v>94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57</v>
      </c>
      <c r="K11" s="283"/>
      <c r="L11" s="284" t="s">
        <v>94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58</v>
      </c>
      <c r="K12" s="283"/>
      <c r="L12" s="284" t="s">
        <v>94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59</v>
      </c>
      <c r="K13" s="283" t="s">
        <v>95</v>
      </c>
      <c r="L13" s="284" t="s">
        <v>94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60</v>
      </c>
      <c r="K14" s="283" t="s">
        <v>96</v>
      </c>
      <c r="L14" s="284" t="s">
        <v>94</v>
      </c>
      <c r="M14" s="285">
        <v>1</v>
      </c>
      <c r="N14" s="69"/>
      <c r="O14" s="69"/>
    </row>
    <row r="15" spans="1:18" ht="24.95" customHeight="1" thickTop="1">
      <c r="A15" s="69"/>
      <c r="B15" s="89" t="s">
        <v>97</v>
      </c>
      <c r="C15" s="90"/>
      <c r="D15" s="90"/>
      <c r="E15" s="90"/>
      <c r="F15" s="90"/>
      <c r="G15" s="90"/>
      <c r="H15" s="90"/>
      <c r="I15" s="91"/>
      <c r="J15" s="88" t="s">
        <v>61</v>
      </c>
      <c r="K15" s="283" t="s">
        <v>98</v>
      </c>
      <c r="L15" s="284" t="s">
        <v>94</v>
      </c>
      <c r="M15" s="285">
        <v>1</v>
      </c>
      <c r="N15" s="69"/>
      <c r="O15" s="69"/>
    </row>
    <row r="16" spans="1:18" ht="24.95" customHeight="1">
      <c r="A16" s="69"/>
      <c r="B16" s="92" t="s">
        <v>99</v>
      </c>
      <c r="C16" s="80" t="s">
        <v>100</v>
      </c>
      <c r="D16" s="80" t="s">
        <v>88</v>
      </c>
      <c r="E16" s="93" t="s">
        <v>89</v>
      </c>
      <c r="F16" s="79" t="s">
        <v>99</v>
      </c>
      <c r="G16" s="80" t="s">
        <v>100</v>
      </c>
      <c r="H16" s="80" t="s">
        <v>88</v>
      </c>
      <c r="I16" s="93" t="s">
        <v>89</v>
      </c>
      <c r="J16" s="88" t="s">
        <v>55</v>
      </c>
      <c r="K16" s="283" t="s">
        <v>101</v>
      </c>
      <c r="L16" s="284" t="s">
        <v>94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62</v>
      </c>
      <c r="K17" s="283" t="s">
        <v>102</v>
      </c>
      <c r="L17" s="284" t="s">
        <v>94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63</v>
      </c>
      <c r="K18" s="283"/>
      <c r="L18" s="284" t="s">
        <v>94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64</v>
      </c>
      <c r="K19" s="289" t="s">
        <v>103</v>
      </c>
      <c r="L19" s="290" t="s">
        <v>94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104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105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106</v>
      </c>
      <c r="C5" s="485" t="s">
        <v>107</v>
      </c>
      <c r="D5" s="486"/>
      <c r="E5" s="240" t="s">
        <v>108</v>
      </c>
      <c r="F5" s="487" t="s">
        <v>109</v>
      </c>
      <c r="G5" s="488"/>
      <c r="H5" s="240" t="s">
        <v>110</v>
      </c>
      <c r="I5" s="485" t="s">
        <v>29</v>
      </c>
      <c r="J5" s="489"/>
      <c r="K5" s="490"/>
      <c r="L5" s="106" t="s">
        <v>111</v>
      </c>
      <c r="M5" s="485"/>
      <c r="N5" s="489"/>
      <c r="O5" s="491"/>
      <c r="P5" s="69"/>
    </row>
    <row r="6" spans="1:17" ht="30" customHeight="1">
      <c r="A6" s="69"/>
      <c r="B6" s="107" t="s">
        <v>112</v>
      </c>
      <c r="C6" s="485" t="s">
        <v>3</v>
      </c>
      <c r="D6" s="490"/>
      <c r="E6" s="106"/>
      <c r="F6" s="108" t="s">
        <v>113</v>
      </c>
      <c r="G6" s="108" t="s">
        <v>114</v>
      </c>
      <c r="H6" s="109" t="s">
        <v>115</v>
      </c>
      <c r="I6" s="110" t="s">
        <v>116</v>
      </c>
      <c r="J6" s="110" t="s">
        <v>117</v>
      </c>
      <c r="K6" s="110" t="s">
        <v>118</v>
      </c>
      <c r="L6" s="110" t="s">
        <v>119</v>
      </c>
      <c r="M6" s="111" t="s">
        <v>120</v>
      </c>
      <c r="N6" s="110" t="s">
        <v>121</v>
      </c>
      <c r="O6" s="112" t="s">
        <v>122</v>
      </c>
      <c r="P6" s="241"/>
      <c r="Q6" s="242"/>
    </row>
    <row r="7" spans="1:17" ht="30" customHeight="1">
      <c r="A7" s="69"/>
      <c r="B7" s="107" t="s">
        <v>123</v>
      </c>
      <c r="C7" s="485" t="s">
        <v>21</v>
      </c>
      <c r="D7" s="490"/>
      <c r="E7" s="113" t="s">
        <v>124</v>
      </c>
      <c r="F7" s="243">
        <v>6900000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125</v>
      </c>
      <c r="C8" s="485"/>
      <c r="D8" s="501"/>
      <c r="E8" s="113" t="s">
        <v>126</v>
      </c>
      <c r="F8" s="243">
        <v>5500000</v>
      </c>
      <c r="G8" s="328">
        <v>0.79710000000000003</v>
      </c>
      <c r="H8" s="244">
        <v>2413599</v>
      </c>
      <c r="I8" s="245">
        <v>900000</v>
      </c>
      <c r="J8" s="245">
        <v>327739</v>
      </c>
      <c r="K8" s="245">
        <v>757399</v>
      </c>
      <c r="L8" s="246">
        <v>682000</v>
      </c>
      <c r="M8" s="246"/>
      <c r="N8" s="247">
        <v>275260</v>
      </c>
      <c r="O8" s="248">
        <v>144000</v>
      </c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127</v>
      </c>
      <c r="F9" s="243">
        <v>5286000</v>
      </c>
      <c r="G9" s="328">
        <v>0.7661</v>
      </c>
      <c r="H9" s="244">
        <v>2413599</v>
      </c>
      <c r="I9" s="245">
        <v>900000</v>
      </c>
      <c r="J9" s="245">
        <v>327739</v>
      </c>
      <c r="K9" s="245">
        <v>757399</v>
      </c>
      <c r="L9" s="246">
        <v>682000</v>
      </c>
      <c r="M9" s="246"/>
      <c r="N9" s="247">
        <v>61260</v>
      </c>
      <c r="O9" s="248">
        <v>144000</v>
      </c>
      <c r="P9" s="355"/>
      <c r="Q9" s="356"/>
    </row>
    <row r="10" spans="1:17" ht="30" customHeight="1">
      <c r="A10" s="69"/>
      <c r="B10" s="107" t="s">
        <v>128</v>
      </c>
      <c r="C10" s="485" t="s">
        <v>6</v>
      </c>
      <c r="D10" s="490"/>
      <c r="E10" s="114" t="s">
        <v>129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130</v>
      </c>
      <c r="C11" s="485"/>
      <c r="D11" s="490"/>
      <c r="E11" s="114" t="s">
        <v>131</v>
      </c>
      <c r="F11" s="243">
        <v>214000</v>
      </c>
      <c r="G11" s="328">
        <v>3.1E-2</v>
      </c>
      <c r="H11" s="244"/>
      <c r="I11" s="247"/>
      <c r="J11" s="247"/>
      <c r="K11" s="247"/>
      <c r="L11" s="245"/>
      <c r="M11" s="246"/>
      <c r="N11" s="247">
        <v>214000</v>
      </c>
      <c r="O11" s="248"/>
      <c r="P11" s="355"/>
      <c r="Q11" s="250"/>
    </row>
    <row r="12" spans="1:17" ht="30" customHeight="1">
      <c r="A12" s="69"/>
      <c r="B12" s="107" t="s">
        <v>132</v>
      </c>
      <c r="C12" s="485" t="s">
        <v>133</v>
      </c>
      <c r="D12" s="501"/>
      <c r="E12" s="113" t="s">
        <v>134</v>
      </c>
      <c r="F12" s="243">
        <v>1400000</v>
      </c>
      <c r="G12" s="328">
        <v>0.2029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135</v>
      </c>
      <c r="C13" s="485" t="s">
        <v>136</v>
      </c>
      <c r="D13" s="501"/>
      <c r="E13" s="169" t="s">
        <v>137</v>
      </c>
      <c r="F13" s="243">
        <v>386400</v>
      </c>
      <c r="G13" s="328">
        <v>5.6000000000000001E-2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138</v>
      </c>
      <c r="C14" s="485" t="s">
        <v>139</v>
      </c>
      <c r="D14" s="490"/>
      <c r="E14" s="114" t="s">
        <v>140</v>
      </c>
      <c r="F14" s="243">
        <v>269100</v>
      </c>
      <c r="G14" s="328">
        <v>3.9E-2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141</v>
      </c>
      <c r="D15" s="506"/>
      <c r="E15" s="114" t="s">
        <v>142</v>
      </c>
      <c r="F15" s="243">
        <v>117300</v>
      </c>
      <c r="G15" s="328">
        <v>1.7000000000000001E-2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143</v>
      </c>
      <c r="C16" s="485" t="s">
        <v>141</v>
      </c>
      <c r="D16" s="490"/>
      <c r="E16" s="113" t="s">
        <v>144</v>
      </c>
      <c r="F16" s="243">
        <v>1013600</v>
      </c>
      <c r="G16" s="328">
        <v>0.1469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145</v>
      </c>
      <c r="C17" s="495" t="s">
        <v>146</v>
      </c>
      <c r="D17" s="496"/>
      <c r="E17" s="113" t="s">
        <v>147</v>
      </c>
      <c r="F17" s="243">
        <v>110400</v>
      </c>
      <c r="G17" s="328">
        <v>1.6E-2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148</v>
      </c>
      <c r="F18" s="243">
        <v>903200</v>
      </c>
      <c r="G18" s="328">
        <v>0.13089999999999999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149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74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150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151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152</v>
      </c>
      <c r="C5" s="525"/>
      <c r="D5" s="220" t="s">
        <v>153</v>
      </c>
      <c r="E5" s="220" t="s">
        <v>154</v>
      </c>
      <c r="F5" s="220" t="s">
        <v>155</v>
      </c>
      <c r="G5" s="220" t="s">
        <v>156</v>
      </c>
      <c r="H5" s="221" t="s">
        <v>157</v>
      </c>
      <c r="I5" s="220" t="s">
        <v>114</v>
      </c>
      <c r="J5" s="117" t="s">
        <v>158</v>
      </c>
      <c r="K5" s="69"/>
    </row>
    <row r="6" spans="1:11" ht="15.6" customHeight="1">
      <c r="A6" s="69"/>
      <c r="B6" s="222" t="s">
        <v>159</v>
      </c>
      <c r="C6" s="166"/>
      <c r="D6" s="507"/>
      <c r="E6" s="509"/>
      <c r="F6" s="511"/>
      <c r="G6" s="513"/>
      <c r="H6" s="377"/>
      <c r="I6" s="515"/>
      <c r="J6" s="223"/>
      <c r="K6" s="69" t="s">
        <v>160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160</v>
      </c>
    </row>
    <row r="8" spans="1:11" ht="15.6" customHeight="1">
      <c r="A8" s="69"/>
      <c r="B8" s="222" t="s">
        <v>161</v>
      </c>
      <c r="C8" s="166"/>
      <c r="D8" s="507" t="s">
        <v>91</v>
      </c>
      <c r="E8" s="509">
        <v>285</v>
      </c>
      <c r="F8" s="511">
        <v>6800</v>
      </c>
      <c r="G8" s="513">
        <v>1938000</v>
      </c>
      <c r="H8" s="377" t="s">
        <v>162</v>
      </c>
      <c r="I8" s="515">
        <v>0.28079999999999999</v>
      </c>
      <c r="J8" s="227"/>
      <c r="K8" s="69" t="s">
        <v>160</v>
      </c>
    </row>
    <row r="9" spans="1:11" ht="15.6" customHeight="1">
      <c r="A9" s="69"/>
      <c r="B9" s="224" t="s">
        <v>163</v>
      </c>
      <c r="C9" s="225"/>
      <c r="D9" s="517"/>
      <c r="E9" s="518"/>
      <c r="F9" s="519"/>
      <c r="G9" s="520"/>
      <c r="H9" s="378" t="s">
        <v>164</v>
      </c>
      <c r="I9" s="521"/>
      <c r="J9" s="227"/>
      <c r="K9" s="69" t="s">
        <v>160</v>
      </c>
    </row>
    <row r="10" spans="1:11" ht="15.6" customHeight="1">
      <c r="A10" s="69"/>
      <c r="B10" s="222" t="s">
        <v>165</v>
      </c>
      <c r="C10" s="166"/>
      <c r="D10" s="507" t="s">
        <v>91</v>
      </c>
      <c r="E10" s="509">
        <v>285</v>
      </c>
      <c r="F10" s="511">
        <v>3200</v>
      </c>
      <c r="G10" s="513">
        <v>912000</v>
      </c>
      <c r="H10" s="377" t="s">
        <v>166</v>
      </c>
      <c r="I10" s="515">
        <v>0.1321</v>
      </c>
      <c r="J10" s="223"/>
      <c r="K10" s="69" t="s">
        <v>160</v>
      </c>
    </row>
    <row r="11" spans="1:11" ht="15.6" customHeight="1">
      <c r="A11" s="69"/>
      <c r="B11" s="224" t="s">
        <v>167</v>
      </c>
      <c r="C11" s="225"/>
      <c r="D11" s="517"/>
      <c r="E11" s="518"/>
      <c r="F11" s="519"/>
      <c r="G11" s="520"/>
      <c r="H11" s="378" t="s">
        <v>164</v>
      </c>
      <c r="I11" s="521"/>
      <c r="J11" s="226"/>
      <c r="K11" s="69" t="s">
        <v>160</v>
      </c>
    </row>
    <row r="12" spans="1:11" ht="15.6" customHeight="1">
      <c r="A12" s="69"/>
      <c r="B12" s="222" t="s">
        <v>168</v>
      </c>
      <c r="C12" s="166"/>
      <c r="D12" s="507" t="s">
        <v>91</v>
      </c>
      <c r="E12" s="509">
        <v>290</v>
      </c>
      <c r="F12" s="511">
        <v>5700</v>
      </c>
      <c r="G12" s="513">
        <v>1653000</v>
      </c>
      <c r="H12" s="377" t="s">
        <v>169</v>
      </c>
      <c r="I12" s="515">
        <v>0.23949999999999999</v>
      </c>
      <c r="J12" s="223"/>
      <c r="K12" s="69" t="s">
        <v>160</v>
      </c>
    </row>
    <row r="13" spans="1:11" ht="15.6" customHeight="1">
      <c r="A13" s="69"/>
      <c r="B13" s="224" t="s">
        <v>170</v>
      </c>
      <c r="C13" s="225"/>
      <c r="D13" s="517"/>
      <c r="E13" s="518"/>
      <c r="F13" s="519"/>
      <c r="G13" s="520"/>
      <c r="H13" s="378" t="s">
        <v>164</v>
      </c>
      <c r="I13" s="521"/>
      <c r="J13" s="226"/>
      <c r="K13" s="69" t="s">
        <v>160</v>
      </c>
    </row>
    <row r="14" spans="1:11" ht="15.6" customHeight="1">
      <c r="A14" s="69"/>
      <c r="B14" s="222" t="s">
        <v>171</v>
      </c>
      <c r="C14" s="166"/>
      <c r="D14" s="507" t="s">
        <v>94</v>
      </c>
      <c r="E14" s="509">
        <v>1</v>
      </c>
      <c r="F14" s="511">
        <v>100000</v>
      </c>
      <c r="G14" s="513">
        <v>100000</v>
      </c>
      <c r="H14" s="377" t="s">
        <v>172</v>
      </c>
      <c r="I14" s="515">
        <v>1.44E-2</v>
      </c>
      <c r="J14" s="223"/>
      <c r="K14" s="69" t="s">
        <v>160</v>
      </c>
    </row>
    <row r="15" spans="1:11" ht="15.6" customHeight="1">
      <c r="A15" s="69"/>
      <c r="B15" s="224" t="s">
        <v>173</v>
      </c>
      <c r="C15" s="225"/>
      <c r="D15" s="517"/>
      <c r="E15" s="518"/>
      <c r="F15" s="519"/>
      <c r="G15" s="520"/>
      <c r="H15" s="378" t="s">
        <v>164</v>
      </c>
      <c r="I15" s="521"/>
      <c r="J15" s="226"/>
      <c r="K15" s="69" t="s">
        <v>160</v>
      </c>
    </row>
    <row r="16" spans="1:11" ht="15.6" customHeight="1">
      <c r="A16" s="69"/>
      <c r="B16" s="222" t="s">
        <v>174</v>
      </c>
      <c r="C16" s="166"/>
      <c r="D16" s="507" t="s">
        <v>94</v>
      </c>
      <c r="E16" s="509">
        <v>1</v>
      </c>
      <c r="F16" s="511">
        <v>60000</v>
      </c>
      <c r="G16" s="513">
        <v>60000</v>
      </c>
      <c r="H16" s="377" t="s">
        <v>175</v>
      </c>
      <c r="I16" s="515">
        <v>8.6E-3</v>
      </c>
      <c r="J16" s="223"/>
      <c r="K16" s="69" t="s">
        <v>160</v>
      </c>
    </row>
    <row r="17" spans="1:11" ht="15.6" customHeight="1">
      <c r="A17" s="69"/>
      <c r="B17" s="224" t="s">
        <v>173</v>
      </c>
      <c r="C17" s="225"/>
      <c r="D17" s="517"/>
      <c r="E17" s="518"/>
      <c r="F17" s="519"/>
      <c r="G17" s="520"/>
      <c r="H17" s="378" t="s">
        <v>164</v>
      </c>
      <c r="I17" s="521"/>
      <c r="J17" s="226"/>
      <c r="K17" s="69" t="s">
        <v>160</v>
      </c>
    </row>
    <row r="18" spans="1:11" ht="15.6" customHeight="1">
      <c r="A18" s="69"/>
      <c r="B18" s="222" t="s">
        <v>176</v>
      </c>
      <c r="C18" s="166"/>
      <c r="D18" s="507" t="s">
        <v>94</v>
      </c>
      <c r="E18" s="509">
        <v>1</v>
      </c>
      <c r="F18" s="511">
        <v>300000</v>
      </c>
      <c r="G18" s="513">
        <v>300000</v>
      </c>
      <c r="H18" s="377" t="s">
        <v>177</v>
      </c>
      <c r="I18" s="515">
        <v>4.3400000000000001E-2</v>
      </c>
      <c r="J18" s="223"/>
      <c r="K18" s="69" t="s">
        <v>160</v>
      </c>
    </row>
    <row r="19" spans="1:11" ht="15.6" customHeight="1">
      <c r="A19" s="69"/>
      <c r="B19" s="224" t="s">
        <v>173</v>
      </c>
      <c r="C19" s="225"/>
      <c r="D19" s="517"/>
      <c r="E19" s="518"/>
      <c r="F19" s="519"/>
      <c r="G19" s="520"/>
      <c r="H19" s="378" t="s">
        <v>164</v>
      </c>
      <c r="I19" s="521"/>
      <c r="J19" s="226"/>
      <c r="K19" s="69" t="s">
        <v>160</v>
      </c>
    </row>
    <row r="20" spans="1:11" ht="15.6" customHeight="1">
      <c r="A20" s="69"/>
      <c r="B20" s="222" t="s">
        <v>178</v>
      </c>
      <c r="C20" s="166"/>
      <c r="D20" s="507" t="s">
        <v>94</v>
      </c>
      <c r="E20" s="509">
        <v>1</v>
      </c>
      <c r="F20" s="511">
        <v>323000</v>
      </c>
      <c r="G20" s="513">
        <v>323000</v>
      </c>
      <c r="H20" s="377" t="s">
        <v>179</v>
      </c>
      <c r="I20" s="515">
        <v>4.6800000000000001E-2</v>
      </c>
      <c r="J20" s="223"/>
      <c r="K20" s="69" t="s">
        <v>160</v>
      </c>
    </row>
    <row r="21" spans="1:11" ht="15.6" customHeight="1">
      <c r="A21" s="69"/>
      <c r="B21" s="224" t="s">
        <v>173</v>
      </c>
      <c r="C21" s="225"/>
      <c r="D21" s="517"/>
      <c r="E21" s="518"/>
      <c r="F21" s="519"/>
      <c r="G21" s="520"/>
      <c r="H21" s="378" t="s">
        <v>164</v>
      </c>
      <c r="I21" s="521"/>
      <c r="J21" s="226"/>
      <c r="K21" s="69" t="s">
        <v>160</v>
      </c>
    </row>
    <row r="22" spans="1:11" ht="15.6" customHeight="1">
      <c r="A22" s="69"/>
      <c r="B22" s="222" t="s">
        <v>180</v>
      </c>
      <c r="C22" s="166"/>
      <c r="D22" s="507"/>
      <c r="E22" s="509"/>
      <c r="F22" s="511"/>
      <c r="G22" s="513">
        <v>5286000</v>
      </c>
      <c r="H22" s="377"/>
      <c r="I22" s="515">
        <v>0.7661</v>
      </c>
      <c r="J22" s="223"/>
      <c r="K22" s="69" t="s">
        <v>160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521"/>
      <c r="J23" s="226"/>
      <c r="K23" s="69" t="s">
        <v>160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515"/>
      <c r="J24" s="223"/>
      <c r="K24" s="69" t="s">
        <v>160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521"/>
      <c r="J25" s="226"/>
      <c r="K25" s="69" t="s">
        <v>160</v>
      </c>
    </row>
    <row r="26" spans="1:11" ht="15.6" customHeight="1">
      <c r="A26" s="69"/>
      <c r="B26" s="222" t="s">
        <v>181</v>
      </c>
      <c r="C26" s="166"/>
      <c r="D26" s="507"/>
      <c r="E26" s="509"/>
      <c r="F26" s="511"/>
      <c r="G26" s="513"/>
      <c r="H26" s="377"/>
      <c r="I26" s="515"/>
      <c r="J26" s="223"/>
      <c r="K26" s="69" t="s">
        <v>160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521"/>
      <c r="J27" s="226"/>
      <c r="K27" s="69" t="s">
        <v>160</v>
      </c>
    </row>
    <row r="28" spans="1:11" ht="15.6" customHeight="1">
      <c r="A28" s="69"/>
      <c r="B28" s="222" t="s">
        <v>182</v>
      </c>
      <c r="C28" s="166"/>
      <c r="D28" s="507"/>
      <c r="E28" s="509"/>
      <c r="F28" s="511"/>
      <c r="G28" s="513"/>
      <c r="H28" s="377"/>
      <c r="I28" s="515"/>
      <c r="J28" s="223"/>
      <c r="K28" s="69" t="s">
        <v>160</v>
      </c>
    </row>
    <row r="29" spans="1:11" ht="15.6" customHeight="1">
      <c r="A29" s="69"/>
      <c r="B29" s="224" t="s">
        <v>173</v>
      </c>
      <c r="C29" s="225"/>
      <c r="D29" s="517"/>
      <c r="E29" s="518"/>
      <c r="F29" s="519"/>
      <c r="G29" s="520"/>
      <c r="H29" s="378"/>
      <c r="I29" s="521"/>
      <c r="J29" s="226"/>
      <c r="K29" s="69" t="s">
        <v>160</v>
      </c>
    </row>
    <row r="30" spans="1:11" ht="15.6" customHeight="1">
      <c r="A30" s="69"/>
      <c r="B30" s="222" t="s">
        <v>183</v>
      </c>
      <c r="C30" s="166"/>
      <c r="D30" s="507" t="s">
        <v>94</v>
      </c>
      <c r="E30" s="509">
        <v>1</v>
      </c>
      <c r="F30" s="511">
        <v>214000</v>
      </c>
      <c r="G30" s="513">
        <v>214000</v>
      </c>
      <c r="H30" s="377"/>
      <c r="I30" s="515">
        <v>3.1E-2</v>
      </c>
      <c r="J30" s="223"/>
      <c r="K30" s="69" t="s">
        <v>160</v>
      </c>
    </row>
    <row r="31" spans="1:11" ht="15.6" customHeight="1">
      <c r="A31" s="69"/>
      <c r="B31" s="224" t="s">
        <v>173</v>
      </c>
      <c r="C31" s="225"/>
      <c r="D31" s="517"/>
      <c r="E31" s="518"/>
      <c r="F31" s="519"/>
      <c r="G31" s="520"/>
      <c r="H31" s="378"/>
      <c r="I31" s="521"/>
      <c r="J31" s="226"/>
      <c r="K31" s="69" t="s">
        <v>160</v>
      </c>
    </row>
    <row r="32" spans="1:11" ht="15.6" customHeight="1">
      <c r="A32" s="69"/>
      <c r="B32" s="222" t="s">
        <v>184</v>
      </c>
      <c r="C32" s="166"/>
      <c r="D32" s="522"/>
      <c r="E32" s="509"/>
      <c r="F32" s="511"/>
      <c r="G32" s="513">
        <v>214000</v>
      </c>
      <c r="H32" s="377"/>
      <c r="I32" s="515">
        <v>3.1E-2</v>
      </c>
      <c r="J32" s="223"/>
      <c r="K32" s="69" t="s">
        <v>160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160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515"/>
      <c r="J34" s="223"/>
      <c r="K34" s="69" t="s">
        <v>160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160</v>
      </c>
    </row>
    <row r="36" spans="1:11" ht="15.6" customHeight="1">
      <c r="A36" s="69"/>
      <c r="B36" s="295" t="s">
        <v>185</v>
      </c>
      <c r="C36" s="296"/>
      <c r="D36" s="507"/>
      <c r="E36" s="509"/>
      <c r="F36" s="511"/>
      <c r="G36" s="513">
        <v>5500000</v>
      </c>
      <c r="H36" s="377"/>
      <c r="I36" s="515">
        <v>0.79710000000000003</v>
      </c>
      <c r="J36" s="223"/>
      <c r="K36" s="69" t="s">
        <v>160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160</v>
      </c>
    </row>
    <row r="38" spans="1:11" ht="30" customHeight="1" thickBot="1">
      <c r="A38" s="69"/>
      <c r="B38" s="142"/>
      <c r="C38" s="142"/>
      <c r="D38" s="523" t="s">
        <v>150</v>
      </c>
      <c r="E38" s="523"/>
      <c r="F38" s="523"/>
      <c r="G38" s="523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151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24" t="s">
        <v>152</v>
      </c>
      <c r="C42" s="525"/>
      <c r="D42" s="220" t="s">
        <v>153</v>
      </c>
      <c r="E42" s="220" t="s">
        <v>154</v>
      </c>
      <c r="F42" s="220" t="s">
        <v>155</v>
      </c>
      <c r="G42" s="220" t="s">
        <v>156</v>
      </c>
      <c r="H42" s="221" t="s">
        <v>157</v>
      </c>
      <c r="I42" s="220" t="s">
        <v>114</v>
      </c>
      <c r="J42" s="117" t="s">
        <v>158</v>
      </c>
      <c r="K42" s="69"/>
    </row>
    <row r="43" spans="1:11" ht="15.6" customHeight="1">
      <c r="A43" s="69"/>
      <c r="B43" s="222"/>
      <c r="C43" s="166"/>
      <c r="D43" s="507"/>
      <c r="E43" s="509"/>
      <c r="F43" s="511"/>
      <c r="G43" s="513"/>
      <c r="H43" s="377"/>
      <c r="I43" s="515"/>
      <c r="J43" s="223"/>
      <c r="K43" s="69" t="s">
        <v>160</v>
      </c>
    </row>
    <row r="44" spans="1:11" ht="15.6" customHeight="1">
      <c r="A44" s="69"/>
      <c r="B44" s="224"/>
      <c r="C44" s="225"/>
      <c r="D44" s="517"/>
      <c r="E44" s="518"/>
      <c r="F44" s="519"/>
      <c r="G44" s="520"/>
      <c r="H44" s="378"/>
      <c r="I44" s="521"/>
      <c r="J44" s="226"/>
      <c r="K44" s="69" t="s">
        <v>160</v>
      </c>
    </row>
    <row r="45" spans="1:11" ht="15.6" customHeight="1">
      <c r="A45" s="69"/>
      <c r="B45" s="222" t="s">
        <v>186</v>
      </c>
      <c r="C45" s="166"/>
      <c r="D45" s="507"/>
      <c r="E45" s="509"/>
      <c r="F45" s="511"/>
      <c r="G45" s="513">
        <v>1400000</v>
      </c>
      <c r="H45" s="377"/>
      <c r="I45" s="515">
        <v>0.2029</v>
      </c>
      <c r="J45" s="227"/>
      <c r="K45" s="69" t="s">
        <v>160</v>
      </c>
    </row>
    <row r="46" spans="1:11" ht="15.6" customHeight="1">
      <c r="A46" s="69"/>
      <c r="B46" s="224"/>
      <c r="C46" s="225"/>
      <c r="D46" s="517"/>
      <c r="E46" s="518"/>
      <c r="F46" s="519"/>
      <c r="G46" s="520"/>
      <c r="H46" s="378"/>
      <c r="I46" s="521"/>
      <c r="J46" s="227"/>
      <c r="K46" s="69" t="s">
        <v>160</v>
      </c>
    </row>
    <row r="47" spans="1:11" ht="15.6" customHeight="1">
      <c r="A47" s="69"/>
      <c r="B47" s="222"/>
      <c r="C47" s="166"/>
      <c r="D47" s="507"/>
      <c r="E47" s="509"/>
      <c r="F47" s="511"/>
      <c r="G47" s="513"/>
      <c r="H47" s="377"/>
      <c r="I47" s="515"/>
      <c r="J47" s="223"/>
      <c r="K47" s="69" t="s">
        <v>160</v>
      </c>
    </row>
    <row r="48" spans="1:11" ht="15.6" customHeight="1">
      <c r="A48" s="69"/>
      <c r="B48" s="224"/>
      <c r="C48" s="225"/>
      <c r="D48" s="517"/>
      <c r="E48" s="518"/>
      <c r="F48" s="519"/>
      <c r="G48" s="520"/>
      <c r="H48" s="378"/>
      <c r="I48" s="521"/>
      <c r="J48" s="226"/>
      <c r="K48" s="69" t="s">
        <v>160</v>
      </c>
    </row>
    <row r="49" spans="1:11" ht="15.6" customHeight="1">
      <c r="A49" s="69"/>
      <c r="B49" s="222" t="s">
        <v>187</v>
      </c>
      <c r="C49" s="166"/>
      <c r="D49" s="507"/>
      <c r="E49" s="509"/>
      <c r="F49" s="511"/>
      <c r="G49" s="513">
        <v>6900000</v>
      </c>
      <c r="H49" s="377"/>
      <c r="I49" s="515">
        <v>1</v>
      </c>
      <c r="J49" s="223"/>
      <c r="K49" s="69" t="s">
        <v>160</v>
      </c>
    </row>
    <row r="50" spans="1:11" ht="15.6" customHeight="1">
      <c r="A50" s="69"/>
      <c r="B50" s="224"/>
      <c r="C50" s="225"/>
      <c r="D50" s="517"/>
      <c r="E50" s="518"/>
      <c r="F50" s="519"/>
      <c r="G50" s="520"/>
      <c r="H50" s="378"/>
      <c r="I50" s="521"/>
      <c r="J50" s="226"/>
      <c r="K50" s="69" t="s">
        <v>160</v>
      </c>
    </row>
    <row r="51" spans="1:11" ht="15.6" customHeight="1">
      <c r="A51" s="69"/>
      <c r="B51" s="222"/>
      <c r="C51" s="166"/>
      <c r="D51" s="507"/>
      <c r="E51" s="509"/>
      <c r="F51" s="511"/>
      <c r="G51" s="513"/>
      <c r="H51" s="377"/>
      <c r="I51" s="515"/>
      <c r="J51" s="223"/>
      <c r="K51" s="69" t="s">
        <v>160</v>
      </c>
    </row>
    <row r="52" spans="1:11" ht="15.6" customHeight="1">
      <c r="A52" s="69"/>
      <c r="B52" s="224"/>
      <c r="C52" s="225"/>
      <c r="D52" s="517"/>
      <c r="E52" s="518"/>
      <c r="F52" s="519"/>
      <c r="G52" s="520"/>
      <c r="H52" s="378"/>
      <c r="I52" s="521"/>
      <c r="J52" s="226"/>
      <c r="K52" s="69" t="s">
        <v>160</v>
      </c>
    </row>
    <row r="53" spans="1:11" ht="15.6" customHeight="1">
      <c r="A53" s="69"/>
      <c r="B53" s="222"/>
      <c r="C53" s="166"/>
      <c r="D53" s="507"/>
      <c r="E53" s="509"/>
      <c r="F53" s="511"/>
      <c r="G53" s="513"/>
      <c r="H53" s="377"/>
      <c r="I53" s="515"/>
      <c r="J53" s="223"/>
      <c r="K53" s="69" t="s">
        <v>160</v>
      </c>
    </row>
    <row r="54" spans="1:11" ht="15.6" customHeight="1">
      <c r="A54" s="69"/>
      <c r="B54" s="224"/>
      <c r="C54" s="225"/>
      <c r="D54" s="517"/>
      <c r="E54" s="518"/>
      <c r="F54" s="519"/>
      <c r="G54" s="520"/>
      <c r="H54" s="378"/>
      <c r="I54" s="521"/>
      <c r="J54" s="226"/>
      <c r="K54" s="69" t="s">
        <v>160</v>
      </c>
    </row>
    <row r="55" spans="1:11" ht="15.6" customHeight="1">
      <c r="A55" s="69"/>
      <c r="B55" s="222"/>
      <c r="C55" s="166"/>
      <c r="D55" s="507"/>
      <c r="E55" s="509"/>
      <c r="F55" s="511"/>
      <c r="G55" s="513"/>
      <c r="H55" s="377"/>
      <c r="I55" s="515"/>
      <c r="J55" s="223"/>
      <c r="K55" s="69" t="s">
        <v>160</v>
      </c>
    </row>
    <row r="56" spans="1:11" ht="15.6" customHeight="1">
      <c r="A56" s="69"/>
      <c r="B56" s="224"/>
      <c r="C56" s="225"/>
      <c r="D56" s="517"/>
      <c r="E56" s="518"/>
      <c r="F56" s="519"/>
      <c r="G56" s="520"/>
      <c r="H56" s="378"/>
      <c r="I56" s="521"/>
      <c r="J56" s="226"/>
      <c r="K56" s="69" t="s">
        <v>160</v>
      </c>
    </row>
    <row r="57" spans="1:11" ht="15.6" customHeight="1">
      <c r="A57" s="69"/>
      <c r="B57" s="222"/>
      <c r="C57" s="166"/>
      <c r="D57" s="507"/>
      <c r="E57" s="509"/>
      <c r="F57" s="511"/>
      <c r="G57" s="513"/>
      <c r="H57" s="377"/>
      <c r="I57" s="515"/>
      <c r="J57" s="223"/>
      <c r="K57" s="69" t="s">
        <v>160</v>
      </c>
    </row>
    <row r="58" spans="1:11" ht="15.6" customHeight="1">
      <c r="A58" s="69"/>
      <c r="B58" s="224"/>
      <c r="C58" s="225"/>
      <c r="D58" s="517"/>
      <c r="E58" s="518"/>
      <c r="F58" s="519"/>
      <c r="G58" s="520"/>
      <c r="H58" s="378"/>
      <c r="I58" s="521"/>
      <c r="J58" s="226"/>
      <c r="K58" s="69" t="s">
        <v>160</v>
      </c>
    </row>
    <row r="59" spans="1:11" ht="15.6" customHeight="1">
      <c r="A59" s="69"/>
      <c r="B59" s="222"/>
      <c r="C59" s="166"/>
      <c r="D59" s="507"/>
      <c r="E59" s="509"/>
      <c r="F59" s="511"/>
      <c r="G59" s="513"/>
      <c r="H59" s="377"/>
      <c r="I59" s="515"/>
      <c r="J59" s="223"/>
      <c r="K59" s="69" t="s">
        <v>160</v>
      </c>
    </row>
    <row r="60" spans="1:11" ht="15.6" customHeight="1">
      <c r="A60" s="69"/>
      <c r="B60" s="224"/>
      <c r="C60" s="225"/>
      <c r="D60" s="517"/>
      <c r="E60" s="518"/>
      <c r="F60" s="519"/>
      <c r="G60" s="520"/>
      <c r="H60" s="378"/>
      <c r="I60" s="521"/>
      <c r="J60" s="226"/>
      <c r="K60" s="69" t="s">
        <v>160</v>
      </c>
    </row>
    <row r="61" spans="1:11" ht="15.6" customHeight="1">
      <c r="A61" s="69"/>
      <c r="B61" s="222"/>
      <c r="C61" s="166"/>
      <c r="D61" s="507"/>
      <c r="E61" s="509"/>
      <c r="F61" s="511"/>
      <c r="G61" s="513"/>
      <c r="H61" s="377"/>
      <c r="I61" s="515"/>
      <c r="J61" s="223"/>
      <c r="K61" s="69" t="s">
        <v>160</v>
      </c>
    </row>
    <row r="62" spans="1:11" ht="15.6" customHeight="1">
      <c r="A62" s="69"/>
      <c r="B62" s="224"/>
      <c r="C62" s="225"/>
      <c r="D62" s="517"/>
      <c r="E62" s="518"/>
      <c r="F62" s="519"/>
      <c r="G62" s="520"/>
      <c r="H62" s="378"/>
      <c r="I62" s="521"/>
      <c r="J62" s="226"/>
      <c r="K62" s="69" t="s">
        <v>160</v>
      </c>
    </row>
    <row r="63" spans="1:11" ht="15.6" customHeight="1">
      <c r="A63" s="69"/>
      <c r="B63" s="222"/>
      <c r="C63" s="166"/>
      <c r="D63" s="507"/>
      <c r="E63" s="509"/>
      <c r="F63" s="511"/>
      <c r="G63" s="513"/>
      <c r="H63" s="377"/>
      <c r="I63" s="515"/>
      <c r="J63" s="223"/>
      <c r="K63" s="69" t="s">
        <v>160</v>
      </c>
    </row>
    <row r="64" spans="1:11" ht="15.6" customHeight="1">
      <c r="A64" s="69"/>
      <c r="B64" s="224"/>
      <c r="C64" s="225"/>
      <c r="D64" s="517"/>
      <c r="E64" s="518"/>
      <c r="F64" s="519"/>
      <c r="G64" s="520"/>
      <c r="H64" s="378"/>
      <c r="I64" s="521"/>
      <c r="J64" s="226"/>
      <c r="K64" s="69" t="s">
        <v>160</v>
      </c>
    </row>
    <row r="65" spans="1:11" ht="15.6" customHeight="1">
      <c r="A65" s="69"/>
      <c r="B65" s="222"/>
      <c r="C65" s="166"/>
      <c r="D65" s="507"/>
      <c r="E65" s="509"/>
      <c r="F65" s="511"/>
      <c r="G65" s="513"/>
      <c r="H65" s="377"/>
      <c r="I65" s="515"/>
      <c r="J65" s="223"/>
      <c r="K65" s="69" t="s">
        <v>160</v>
      </c>
    </row>
    <row r="66" spans="1:11" ht="15.6" customHeight="1">
      <c r="A66" s="69"/>
      <c r="B66" s="224"/>
      <c r="C66" s="225"/>
      <c r="D66" s="517"/>
      <c r="E66" s="518"/>
      <c r="F66" s="519"/>
      <c r="G66" s="520"/>
      <c r="H66" s="378"/>
      <c r="I66" s="521"/>
      <c r="J66" s="226"/>
      <c r="K66" s="69" t="s">
        <v>160</v>
      </c>
    </row>
    <row r="67" spans="1:11" ht="15.6" customHeight="1">
      <c r="A67" s="69"/>
      <c r="B67" s="222"/>
      <c r="C67" s="166"/>
      <c r="D67" s="507"/>
      <c r="E67" s="509"/>
      <c r="F67" s="511"/>
      <c r="G67" s="513"/>
      <c r="H67" s="377"/>
      <c r="I67" s="515"/>
      <c r="J67" s="223"/>
      <c r="K67" s="69" t="s">
        <v>160</v>
      </c>
    </row>
    <row r="68" spans="1:11" ht="15.6" customHeight="1">
      <c r="A68" s="69"/>
      <c r="B68" s="224"/>
      <c r="C68" s="225"/>
      <c r="D68" s="517"/>
      <c r="E68" s="518"/>
      <c r="F68" s="519"/>
      <c r="G68" s="520"/>
      <c r="H68" s="378"/>
      <c r="I68" s="521"/>
      <c r="J68" s="226"/>
      <c r="K68" s="69" t="s">
        <v>160</v>
      </c>
    </row>
    <row r="69" spans="1:11" ht="15.6" customHeight="1">
      <c r="A69" s="69"/>
      <c r="B69" s="222"/>
      <c r="C69" s="166"/>
      <c r="D69" s="522"/>
      <c r="E69" s="509"/>
      <c r="F69" s="511"/>
      <c r="G69" s="513"/>
      <c r="H69" s="377"/>
      <c r="I69" s="515"/>
      <c r="J69" s="223"/>
      <c r="K69" s="69" t="s">
        <v>160</v>
      </c>
    </row>
    <row r="70" spans="1:11" ht="15.6" customHeight="1">
      <c r="A70" s="69"/>
      <c r="B70" s="224"/>
      <c r="C70" s="225"/>
      <c r="D70" s="522"/>
      <c r="E70" s="518"/>
      <c r="F70" s="519"/>
      <c r="G70" s="520"/>
      <c r="H70" s="379"/>
      <c r="I70" s="521"/>
      <c r="J70" s="226"/>
      <c r="K70" s="69" t="s">
        <v>160</v>
      </c>
    </row>
    <row r="71" spans="1:11" ht="15.6" customHeight="1">
      <c r="A71" s="69"/>
      <c r="B71" s="222"/>
      <c r="C71" s="166"/>
      <c r="D71" s="507"/>
      <c r="E71" s="509"/>
      <c r="F71" s="511"/>
      <c r="G71" s="513"/>
      <c r="H71" s="377"/>
      <c r="I71" s="515"/>
      <c r="J71" s="223"/>
      <c r="K71" s="69" t="s">
        <v>160</v>
      </c>
    </row>
    <row r="72" spans="1:11" ht="15.6" customHeight="1">
      <c r="A72" s="69"/>
      <c r="B72" s="224"/>
      <c r="C72" s="225"/>
      <c r="D72" s="517"/>
      <c r="E72" s="518"/>
      <c r="F72" s="519"/>
      <c r="G72" s="520"/>
      <c r="H72" s="378"/>
      <c r="I72" s="521"/>
      <c r="J72" s="226"/>
      <c r="K72" s="69" t="s">
        <v>160</v>
      </c>
    </row>
    <row r="73" spans="1:11" ht="15.6" customHeight="1">
      <c r="A73" s="69"/>
      <c r="B73" s="295"/>
      <c r="C73" s="296"/>
      <c r="D73" s="507"/>
      <c r="E73" s="509"/>
      <c r="F73" s="511"/>
      <c r="G73" s="513"/>
      <c r="H73" s="377"/>
      <c r="I73" s="515"/>
      <c r="J73" s="223"/>
      <c r="K73" s="69" t="s">
        <v>160</v>
      </c>
    </row>
    <row r="74" spans="1:11" ht="15.6" customHeight="1" thickBot="1">
      <c r="A74" s="69"/>
      <c r="B74" s="228"/>
      <c r="C74" s="229"/>
      <c r="D74" s="508"/>
      <c r="E74" s="510"/>
      <c r="F74" s="512"/>
      <c r="G74" s="514"/>
      <c r="H74" s="380"/>
      <c r="I74" s="516"/>
      <c r="J74" s="230"/>
      <c r="K74" s="69" t="s">
        <v>160</v>
      </c>
    </row>
  </sheetData>
  <mergeCells count="164">
    <mergeCell ref="I6:I7"/>
    <mergeCell ref="D8:D9"/>
    <mergeCell ref="E8:E9"/>
    <mergeCell ref="F8:F9"/>
    <mergeCell ref="G8:G9"/>
    <mergeCell ref="I8:I9"/>
    <mergeCell ref="D1:G1"/>
    <mergeCell ref="B5:C5"/>
    <mergeCell ref="D6:D7"/>
    <mergeCell ref="E6:E7"/>
    <mergeCell ref="F6:F7"/>
    <mergeCell ref="G6:G7"/>
    <mergeCell ref="D12:D13"/>
    <mergeCell ref="E12:E13"/>
    <mergeCell ref="F12:F13"/>
    <mergeCell ref="G12:G13"/>
    <mergeCell ref="I12:I13"/>
    <mergeCell ref="D10:D11"/>
    <mergeCell ref="E10:E11"/>
    <mergeCell ref="F10:F11"/>
    <mergeCell ref="G10:G11"/>
    <mergeCell ref="I10:I11"/>
    <mergeCell ref="D16:D17"/>
    <mergeCell ref="E16:E17"/>
    <mergeCell ref="F16:F17"/>
    <mergeCell ref="G16:G17"/>
    <mergeCell ref="I16:I17"/>
    <mergeCell ref="D14:D15"/>
    <mergeCell ref="E14:E15"/>
    <mergeCell ref="F14:F15"/>
    <mergeCell ref="G14:G15"/>
    <mergeCell ref="I14:I15"/>
    <mergeCell ref="D20:D21"/>
    <mergeCell ref="E20:E21"/>
    <mergeCell ref="F20:F21"/>
    <mergeCell ref="G20:G21"/>
    <mergeCell ref="I20:I21"/>
    <mergeCell ref="D18:D19"/>
    <mergeCell ref="E18:E19"/>
    <mergeCell ref="F18:F19"/>
    <mergeCell ref="G18:G19"/>
    <mergeCell ref="I18:I19"/>
    <mergeCell ref="D24:D25"/>
    <mergeCell ref="E24:E25"/>
    <mergeCell ref="F24:F25"/>
    <mergeCell ref="G24:G25"/>
    <mergeCell ref="I24:I25"/>
    <mergeCell ref="D22:D23"/>
    <mergeCell ref="E22:E23"/>
    <mergeCell ref="F22:F23"/>
    <mergeCell ref="G22:G23"/>
    <mergeCell ref="I22:I23"/>
    <mergeCell ref="D28:D29"/>
    <mergeCell ref="E28:E29"/>
    <mergeCell ref="F28:F29"/>
    <mergeCell ref="G28:G29"/>
    <mergeCell ref="I28:I29"/>
    <mergeCell ref="D26:D27"/>
    <mergeCell ref="E26:E27"/>
    <mergeCell ref="F26:F27"/>
    <mergeCell ref="G26:G27"/>
    <mergeCell ref="I26:I27"/>
    <mergeCell ref="D32:D33"/>
    <mergeCell ref="E32:E33"/>
    <mergeCell ref="F32:F33"/>
    <mergeCell ref="G32:G33"/>
    <mergeCell ref="I32:I33"/>
    <mergeCell ref="D30:D31"/>
    <mergeCell ref="E30:E31"/>
    <mergeCell ref="F30:F31"/>
    <mergeCell ref="G30:G31"/>
    <mergeCell ref="I30:I31"/>
    <mergeCell ref="D36:D37"/>
    <mergeCell ref="E36:E37"/>
    <mergeCell ref="F36:F37"/>
    <mergeCell ref="G36:G37"/>
    <mergeCell ref="I36:I37"/>
    <mergeCell ref="D34:D35"/>
    <mergeCell ref="E34:E35"/>
    <mergeCell ref="F34:F35"/>
    <mergeCell ref="G34:G35"/>
    <mergeCell ref="I34:I35"/>
    <mergeCell ref="I43:I44"/>
    <mergeCell ref="D45:D46"/>
    <mergeCell ref="E45:E46"/>
    <mergeCell ref="F45:F46"/>
    <mergeCell ref="G45:G46"/>
    <mergeCell ref="I45:I46"/>
    <mergeCell ref="D38:G38"/>
    <mergeCell ref="B42:C42"/>
    <mergeCell ref="D43:D44"/>
    <mergeCell ref="E43:E44"/>
    <mergeCell ref="F43:F44"/>
    <mergeCell ref="G43:G44"/>
    <mergeCell ref="D49:D50"/>
    <mergeCell ref="E49:E50"/>
    <mergeCell ref="F49:F50"/>
    <mergeCell ref="G49:G50"/>
    <mergeCell ref="I49:I50"/>
    <mergeCell ref="D47:D48"/>
    <mergeCell ref="E47:E48"/>
    <mergeCell ref="F47:F48"/>
    <mergeCell ref="G47:G48"/>
    <mergeCell ref="I47:I48"/>
    <mergeCell ref="D53:D54"/>
    <mergeCell ref="E53:E54"/>
    <mergeCell ref="F53:F54"/>
    <mergeCell ref="G53:G54"/>
    <mergeCell ref="I53:I54"/>
    <mergeCell ref="D51:D52"/>
    <mergeCell ref="E51:E52"/>
    <mergeCell ref="F51:F52"/>
    <mergeCell ref="G51:G52"/>
    <mergeCell ref="I51:I52"/>
    <mergeCell ref="D57:D58"/>
    <mergeCell ref="E57:E58"/>
    <mergeCell ref="F57:F58"/>
    <mergeCell ref="G57:G58"/>
    <mergeCell ref="I57:I58"/>
    <mergeCell ref="D55:D56"/>
    <mergeCell ref="E55:E56"/>
    <mergeCell ref="F55:F56"/>
    <mergeCell ref="G55:G56"/>
    <mergeCell ref="I55:I56"/>
    <mergeCell ref="D61:D62"/>
    <mergeCell ref="E61:E62"/>
    <mergeCell ref="F61:F62"/>
    <mergeCell ref="G61:G62"/>
    <mergeCell ref="I61:I62"/>
    <mergeCell ref="D59:D60"/>
    <mergeCell ref="E59:E60"/>
    <mergeCell ref="F59:F60"/>
    <mergeCell ref="G59:G60"/>
    <mergeCell ref="I59:I60"/>
    <mergeCell ref="D65:D66"/>
    <mergeCell ref="E65:E66"/>
    <mergeCell ref="F65:F66"/>
    <mergeCell ref="G65:G66"/>
    <mergeCell ref="I65:I66"/>
    <mergeCell ref="D63:D64"/>
    <mergeCell ref="E63:E64"/>
    <mergeCell ref="F63:F64"/>
    <mergeCell ref="G63:G64"/>
    <mergeCell ref="I63:I64"/>
    <mergeCell ref="D69:D70"/>
    <mergeCell ref="E69:E70"/>
    <mergeCell ref="F69:F70"/>
    <mergeCell ref="G69:G70"/>
    <mergeCell ref="I69:I70"/>
    <mergeCell ref="D67:D68"/>
    <mergeCell ref="E67:E68"/>
    <mergeCell ref="F67:F68"/>
    <mergeCell ref="G67:G68"/>
    <mergeCell ref="I67:I68"/>
    <mergeCell ref="D73:D74"/>
    <mergeCell ref="E73:E74"/>
    <mergeCell ref="F73:F74"/>
    <mergeCell ref="G73:G74"/>
    <mergeCell ref="I73:I74"/>
    <mergeCell ref="D71:D72"/>
    <mergeCell ref="E71:E72"/>
    <mergeCell ref="F71:F72"/>
    <mergeCell ref="G71:G72"/>
    <mergeCell ref="I71:I72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C5C2-18B0-4AC3-B5C9-3C34351DDD75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127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151</v>
      </c>
      <c r="C3" s="219" t="s">
        <v>188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152</v>
      </c>
      <c r="C5" s="525"/>
      <c r="D5" s="220" t="s">
        <v>153</v>
      </c>
      <c r="E5" s="220" t="s">
        <v>154</v>
      </c>
      <c r="F5" s="220" t="s">
        <v>155</v>
      </c>
      <c r="G5" s="220" t="s">
        <v>156</v>
      </c>
      <c r="H5" s="221" t="s">
        <v>157</v>
      </c>
      <c r="I5" s="220" t="s">
        <v>189</v>
      </c>
      <c r="J5" s="117" t="s">
        <v>158</v>
      </c>
      <c r="K5" s="69"/>
    </row>
    <row r="6" spans="1:11" ht="15.6" customHeight="1">
      <c r="A6" s="69"/>
      <c r="B6" s="222" t="s">
        <v>51</v>
      </c>
      <c r="C6" s="166"/>
      <c r="D6" s="507" t="s">
        <v>91</v>
      </c>
      <c r="E6" s="509">
        <v>285</v>
      </c>
      <c r="F6" s="511">
        <v>6800</v>
      </c>
      <c r="G6" s="513">
        <v>1938000</v>
      </c>
      <c r="H6" s="377" t="s">
        <v>162</v>
      </c>
      <c r="I6" s="377"/>
      <c r="J6" s="223"/>
      <c r="K6" s="69" t="s">
        <v>160</v>
      </c>
    </row>
    <row r="7" spans="1:11" ht="15.6" customHeight="1">
      <c r="A7" s="69"/>
      <c r="B7" s="224" t="s">
        <v>90</v>
      </c>
      <c r="C7" s="225"/>
      <c r="D7" s="517"/>
      <c r="E7" s="518"/>
      <c r="F7" s="519"/>
      <c r="G7" s="520"/>
      <c r="H7" s="378" t="s">
        <v>164</v>
      </c>
      <c r="I7" s="378"/>
      <c r="J7" s="226"/>
      <c r="K7" s="69" t="s">
        <v>160</v>
      </c>
    </row>
    <row r="8" spans="1:11" ht="15.6" customHeight="1">
      <c r="A8" s="69"/>
      <c r="B8" s="222" t="s">
        <v>52</v>
      </c>
      <c r="C8" s="166"/>
      <c r="D8" s="507" t="s">
        <v>91</v>
      </c>
      <c r="E8" s="509">
        <v>285</v>
      </c>
      <c r="F8" s="511">
        <v>3200</v>
      </c>
      <c r="G8" s="513">
        <v>912000</v>
      </c>
      <c r="H8" s="377" t="s">
        <v>166</v>
      </c>
      <c r="I8" s="377"/>
      <c r="J8" s="227"/>
      <c r="K8" s="69" t="s">
        <v>160</v>
      </c>
    </row>
    <row r="9" spans="1:11" ht="15.6" customHeight="1">
      <c r="A9" s="69"/>
      <c r="B9" s="224" t="s">
        <v>92</v>
      </c>
      <c r="C9" s="225"/>
      <c r="D9" s="517"/>
      <c r="E9" s="518"/>
      <c r="F9" s="519"/>
      <c r="G9" s="520"/>
      <c r="H9" s="378" t="s">
        <v>164</v>
      </c>
      <c r="I9" s="378"/>
      <c r="J9" s="227"/>
      <c r="K9" s="69" t="s">
        <v>160</v>
      </c>
    </row>
    <row r="10" spans="1:11" ht="15.6" customHeight="1">
      <c r="A10" s="69"/>
      <c r="B10" s="222" t="s">
        <v>53</v>
      </c>
      <c r="C10" s="166"/>
      <c r="D10" s="507" t="s">
        <v>91</v>
      </c>
      <c r="E10" s="509">
        <v>290</v>
      </c>
      <c r="F10" s="511">
        <v>5700</v>
      </c>
      <c r="G10" s="513">
        <v>1653000</v>
      </c>
      <c r="H10" s="377" t="s">
        <v>169</v>
      </c>
      <c r="I10" s="377"/>
      <c r="J10" s="223"/>
      <c r="K10" s="69" t="s">
        <v>160</v>
      </c>
    </row>
    <row r="11" spans="1:11" ht="15.6" customHeight="1">
      <c r="A11" s="69"/>
      <c r="B11" s="224" t="s">
        <v>93</v>
      </c>
      <c r="C11" s="225"/>
      <c r="D11" s="517"/>
      <c r="E11" s="518"/>
      <c r="F11" s="519"/>
      <c r="G11" s="520"/>
      <c r="H11" s="378" t="s">
        <v>164</v>
      </c>
      <c r="I11" s="378"/>
      <c r="J11" s="226"/>
      <c r="K11" s="69" t="s">
        <v>160</v>
      </c>
    </row>
    <row r="12" spans="1:11" ht="15.6" customHeight="1">
      <c r="A12" s="69"/>
      <c r="B12" s="222" t="s">
        <v>54</v>
      </c>
      <c r="C12" s="166"/>
      <c r="D12" s="507" t="s">
        <v>94</v>
      </c>
      <c r="E12" s="509">
        <v>1</v>
      </c>
      <c r="F12" s="511">
        <v>100000</v>
      </c>
      <c r="G12" s="513">
        <v>100000</v>
      </c>
      <c r="H12" s="377" t="s">
        <v>172</v>
      </c>
      <c r="I12" s="377"/>
      <c r="J12" s="223"/>
      <c r="K12" s="69" t="s">
        <v>160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 t="s">
        <v>164</v>
      </c>
      <c r="I13" s="378"/>
      <c r="J13" s="226"/>
      <c r="K13" s="69" t="s">
        <v>160</v>
      </c>
    </row>
    <row r="14" spans="1:11" ht="15.6" customHeight="1">
      <c r="A14" s="69"/>
      <c r="B14" s="222" t="s">
        <v>55</v>
      </c>
      <c r="C14" s="166"/>
      <c r="D14" s="507" t="s">
        <v>94</v>
      </c>
      <c r="E14" s="509">
        <v>1</v>
      </c>
      <c r="F14" s="511">
        <v>60000</v>
      </c>
      <c r="G14" s="513">
        <v>60000</v>
      </c>
      <c r="H14" s="377" t="s">
        <v>175</v>
      </c>
      <c r="I14" s="377"/>
      <c r="J14" s="223"/>
      <c r="K14" s="69" t="s">
        <v>160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 t="s">
        <v>164</v>
      </c>
      <c r="I15" s="378"/>
      <c r="J15" s="226"/>
      <c r="K15" s="69" t="s">
        <v>160</v>
      </c>
    </row>
    <row r="16" spans="1:11" ht="15.6" customHeight="1">
      <c r="A16" s="69"/>
      <c r="B16" s="222" t="s">
        <v>56</v>
      </c>
      <c r="C16" s="166"/>
      <c r="D16" s="507" t="s">
        <v>94</v>
      </c>
      <c r="E16" s="509">
        <v>1</v>
      </c>
      <c r="F16" s="511">
        <v>300000</v>
      </c>
      <c r="G16" s="513">
        <v>300000</v>
      </c>
      <c r="H16" s="377" t="s">
        <v>177</v>
      </c>
      <c r="I16" s="377"/>
      <c r="J16" s="223"/>
      <c r="K16" s="69" t="s">
        <v>160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 t="s">
        <v>164</v>
      </c>
      <c r="I17" s="378"/>
      <c r="J17" s="226"/>
      <c r="K17" s="69" t="s">
        <v>160</v>
      </c>
    </row>
    <row r="18" spans="1:11" ht="15.6" customHeight="1">
      <c r="A18" s="69"/>
      <c r="B18" s="222" t="s">
        <v>57</v>
      </c>
      <c r="C18" s="166"/>
      <c r="D18" s="507" t="s">
        <v>94</v>
      </c>
      <c r="E18" s="509">
        <v>1</v>
      </c>
      <c r="F18" s="511">
        <v>323000</v>
      </c>
      <c r="G18" s="513">
        <v>323000</v>
      </c>
      <c r="H18" s="377" t="s">
        <v>179</v>
      </c>
      <c r="I18" s="377"/>
      <c r="J18" s="223"/>
      <c r="K18" s="69" t="s">
        <v>160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 t="s">
        <v>164</v>
      </c>
      <c r="I19" s="378"/>
      <c r="J19" s="226"/>
      <c r="K19" s="69" t="s">
        <v>160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377"/>
      <c r="J20" s="223"/>
      <c r="K20" s="69" t="s">
        <v>160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378"/>
      <c r="J21" s="226"/>
      <c r="K21" s="69" t="s">
        <v>160</v>
      </c>
    </row>
    <row r="22" spans="1:11" ht="15.6" customHeight="1">
      <c r="A22" s="69"/>
      <c r="B22" s="222" t="s">
        <v>190</v>
      </c>
      <c r="C22" s="166"/>
      <c r="D22" s="507"/>
      <c r="E22" s="509"/>
      <c r="F22" s="511"/>
      <c r="G22" s="513">
        <v>5286000</v>
      </c>
      <c r="H22" s="377"/>
      <c r="I22" s="377"/>
      <c r="J22" s="223"/>
      <c r="K22" s="69" t="s">
        <v>160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378"/>
      <c r="J23" s="226"/>
      <c r="K23" s="69" t="s">
        <v>160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377"/>
      <c r="J24" s="223"/>
      <c r="K24" s="69" t="s">
        <v>160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378"/>
      <c r="J25" s="226"/>
      <c r="K25" s="69" t="s">
        <v>160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377"/>
      <c r="J26" s="223"/>
      <c r="K26" s="69" t="s">
        <v>160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378"/>
      <c r="J27" s="226"/>
      <c r="K27" s="69" t="s">
        <v>160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377"/>
      <c r="J28" s="223"/>
      <c r="K28" s="69" t="s">
        <v>160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378"/>
      <c r="J29" s="226"/>
      <c r="K29" s="69" t="s">
        <v>160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160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160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160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160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160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160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160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160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67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中川産業（株）構内舗装補修工事</v>
      </c>
      <c r="G1" s="300"/>
      <c r="H1" s="190" t="s">
        <v>191</v>
      </c>
      <c r="I1" s="327">
        <v>6900000</v>
      </c>
      <c r="J1" s="333">
        <f>I4/I$1</f>
        <v>0.79710144927536231</v>
      </c>
      <c r="K1" s="193"/>
      <c r="L1" s="194">
        <v>3</v>
      </c>
      <c r="M1" s="195"/>
      <c r="N1" s="195"/>
      <c r="O1" s="300"/>
      <c r="P1" s="190" t="s">
        <v>124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124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192</v>
      </c>
      <c r="B2" s="198" t="s">
        <v>193</v>
      </c>
      <c r="C2" s="200" t="s">
        <v>194</v>
      </c>
      <c r="D2" s="200" t="s">
        <v>195</v>
      </c>
      <c r="E2" s="200" t="s">
        <v>196</v>
      </c>
      <c r="F2" s="200" t="s">
        <v>153</v>
      </c>
      <c r="G2" s="526" t="s">
        <v>197</v>
      </c>
      <c r="H2" s="527"/>
      <c r="I2" s="527"/>
      <c r="J2" s="527"/>
      <c r="K2" s="527"/>
      <c r="L2" s="527"/>
      <c r="M2" s="527"/>
      <c r="N2" s="528"/>
      <c r="O2" s="526" t="s">
        <v>198</v>
      </c>
      <c r="P2" s="527"/>
      <c r="Q2" s="527"/>
      <c r="R2" s="527"/>
      <c r="S2" s="527"/>
      <c r="T2" s="527"/>
      <c r="U2" s="527"/>
      <c r="V2" s="528"/>
      <c r="W2" s="526" t="s">
        <v>199</v>
      </c>
      <c r="X2" s="527"/>
      <c r="Y2" s="527"/>
      <c r="Z2" s="527"/>
      <c r="AA2" s="527"/>
      <c r="AB2" s="527"/>
      <c r="AC2" s="527"/>
      <c r="AD2" s="528"/>
      <c r="AE2" s="199" t="s">
        <v>200</v>
      </c>
      <c r="AF2" s="529" t="s">
        <v>158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154</v>
      </c>
      <c r="H3" s="205" t="s">
        <v>155</v>
      </c>
      <c r="I3" s="205" t="s">
        <v>156</v>
      </c>
      <c r="J3" s="206" t="s">
        <v>201</v>
      </c>
      <c r="K3" s="207"/>
      <c r="L3" s="208" t="s">
        <v>202</v>
      </c>
      <c r="M3" s="208" t="s">
        <v>203</v>
      </c>
      <c r="N3" s="209" t="s">
        <v>157</v>
      </c>
      <c r="O3" s="204" t="s">
        <v>154</v>
      </c>
      <c r="P3" s="205" t="s">
        <v>155</v>
      </c>
      <c r="Q3" s="205" t="s">
        <v>156</v>
      </c>
      <c r="R3" s="206" t="s">
        <v>201</v>
      </c>
      <c r="S3" s="210"/>
      <c r="T3" s="208" t="s">
        <v>202</v>
      </c>
      <c r="U3" s="208" t="s">
        <v>203</v>
      </c>
      <c r="V3" s="209" t="s">
        <v>157</v>
      </c>
      <c r="W3" s="204" t="s">
        <v>154</v>
      </c>
      <c r="X3" s="205" t="s">
        <v>155</v>
      </c>
      <c r="Y3" s="205" t="s">
        <v>156</v>
      </c>
      <c r="Z3" s="206" t="s">
        <v>201</v>
      </c>
      <c r="AA3" s="207"/>
      <c r="AB3" s="208" t="s">
        <v>202</v>
      </c>
      <c r="AC3" s="208" t="s">
        <v>203</v>
      </c>
      <c r="AD3" s="209" t="s">
        <v>157</v>
      </c>
      <c r="AE3" s="202"/>
      <c r="AF3" s="530"/>
    </row>
    <row r="4" spans="1:32">
      <c r="A4" s="301">
        <v>0</v>
      </c>
      <c r="B4" s="336"/>
      <c r="C4" s="336" t="s">
        <v>204</v>
      </c>
      <c r="D4" s="334" t="s">
        <v>107</v>
      </c>
      <c r="E4" s="336"/>
      <c r="F4" s="339" t="s">
        <v>94</v>
      </c>
      <c r="G4" s="302">
        <v>1</v>
      </c>
      <c r="H4" s="303">
        <v>5500000</v>
      </c>
      <c r="I4" s="303">
        <v>5500000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 t="s">
        <v>205</v>
      </c>
    </row>
    <row r="5" spans="1:32">
      <c r="A5" s="301">
        <v>1</v>
      </c>
      <c r="B5" s="336"/>
      <c r="C5" s="336" t="s">
        <v>206</v>
      </c>
      <c r="D5" s="334" t="s">
        <v>207</v>
      </c>
      <c r="E5" s="336"/>
      <c r="F5" s="339" t="s">
        <v>94</v>
      </c>
      <c r="G5" s="302">
        <v>1</v>
      </c>
      <c r="H5" s="303">
        <v>5286000</v>
      </c>
      <c r="I5" s="303">
        <v>5286000</v>
      </c>
      <c r="J5" s="211"/>
      <c r="K5" s="212" t="str">
        <f>IF(OR(J5="",G5=J5),"","*")</f>
        <v/>
      </c>
      <c r="L5" s="332">
        <f>IF($A5&lt;=L$1,I5/I$4,"")</f>
        <v>0.96109090909090911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 t="s">
        <v>205</v>
      </c>
    </row>
    <row r="6" spans="1:32">
      <c r="A6" s="301">
        <v>2</v>
      </c>
      <c r="B6" s="336"/>
      <c r="C6" s="336" t="s">
        <v>208</v>
      </c>
      <c r="D6" s="334" t="s">
        <v>209</v>
      </c>
      <c r="E6" s="336" t="s">
        <v>90</v>
      </c>
      <c r="F6" s="339" t="s">
        <v>91</v>
      </c>
      <c r="G6" s="302">
        <v>285</v>
      </c>
      <c r="H6" s="303">
        <v>6800</v>
      </c>
      <c r="I6" s="303">
        <v>1938000</v>
      </c>
      <c r="J6" s="211">
        <v>285</v>
      </c>
      <c r="K6" s="212" t="str">
        <f>IF(OR(J6="",G6=J6),"","*")</f>
        <v/>
      </c>
      <c r="L6" s="332">
        <f>IF($A6&lt;=L$1,I6/I$4,"")</f>
        <v>0.35236363636363638</v>
      </c>
      <c r="M6" s="337"/>
      <c r="N6" s="338" t="s">
        <v>210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 t="s">
        <v>205</v>
      </c>
    </row>
    <row r="7" spans="1:32">
      <c r="A7" s="301">
        <v>3</v>
      </c>
      <c r="B7" s="336"/>
      <c r="C7" s="336" t="s">
        <v>115</v>
      </c>
      <c r="D7" s="334" t="s">
        <v>211</v>
      </c>
      <c r="E7" s="336"/>
      <c r="F7" s="339" t="s">
        <v>212</v>
      </c>
      <c r="G7" s="302">
        <v>36</v>
      </c>
      <c r="H7" s="303">
        <v>11700</v>
      </c>
      <c r="I7" s="303">
        <v>421200</v>
      </c>
      <c r="J7" s="211"/>
      <c r="K7" s="212" t="str">
        <f>IF(OR(J7="",G7=J7),"","*")</f>
        <v/>
      </c>
      <c r="L7" s="332">
        <f>IF($A7&lt;=L$1,I7/I$4,"")</f>
        <v>7.6581818181818181E-2</v>
      </c>
      <c r="M7" s="337"/>
      <c r="N7" s="338"/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 t="s">
        <v>205</v>
      </c>
    </row>
    <row r="8" spans="1:32">
      <c r="A8" s="301">
        <v>3</v>
      </c>
      <c r="B8" s="336"/>
      <c r="C8" s="336" t="s">
        <v>115</v>
      </c>
      <c r="D8" s="334" t="s">
        <v>213</v>
      </c>
      <c r="E8" s="336"/>
      <c r="F8" s="339" t="s">
        <v>212</v>
      </c>
      <c r="G8" s="302">
        <v>32</v>
      </c>
      <c r="H8" s="303">
        <v>13000</v>
      </c>
      <c r="I8" s="303">
        <v>416000</v>
      </c>
      <c r="J8" s="211"/>
      <c r="K8" s="212" t="str">
        <f>IF(OR(J8="",G8=J8),"","*")</f>
        <v/>
      </c>
      <c r="L8" s="332">
        <f>IF($A8&lt;=L$1,I8/I$4,"")</f>
        <v>7.563636363636364E-2</v>
      </c>
      <c r="M8" s="337"/>
      <c r="N8" s="338"/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/>
      <c r="AF8" s="335" t="s">
        <v>205</v>
      </c>
    </row>
    <row r="9" spans="1:32">
      <c r="A9" s="301">
        <v>3</v>
      </c>
      <c r="B9" s="336"/>
      <c r="C9" s="336" t="s">
        <v>115</v>
      </c>
      <c r="D9" s="334" t="s">
        <v>214</v>
      </c>
      <c r="E9" s="336"/>
      <c r="F9" s="339" t="s">
        <v>215</v>
      </c>
      <c r="G9" s="302">
        <v>0.2</v>
      </c>
      <c r="H9" s="303">
        <v>155000</v>
      </c>
      <c r="I9" s="303">
        <v>31000</v>
      </c>
      <c r="J9" s="211"/>
      <c r="K9" s="212" t="str">
        <f>IF(OR(J9="",G9=J9),"","*")</f>
        <v/>
      </c>
      <c r="L9" s="332">
        <f>IF($A9&lt;=L$1,I9/I$4,"")</f>
        <v>5.6363636363636364E-3</v>
      </c>
      <c r="M9" s="337"/>
      <c r="N9" s="338"/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 t="s">
        <v>216</v>
      </c>
      <c r="AF9" s="335" t="s">
        <v>205</v>
      </c>
    </row>
    <row r="10" spans="1:32">
      <c r="A10" s="301">
        <v>3</v>
      </c>
      <c r="B10" s="336"/>
      <c r="C10" s="336" t="s">
        <v>118</v>
      </c>
      <c r="D10" s="334" t="s">
        <v>217</v>
      </c>
      <c r="E10" s="336"/>
      <c r="F10" s="339" t="s">
        <v>218</v>
      </c>
      <c r="G10" s="302">
        <v>1</v>
      </c>
      <c r="H10" s="303">
        <v>50000</v>
      </c>
      <c r="I10" s="303">
        <v>50000</v>
      </c>
      <c r="J10" s="211"/>
      <c r="K10" s="212" t="str">
        <f>IF(OR(J10="",G10=J10),"","*")</f>
        <v/>
      </c>
      <c r="L10" s="332">
        <f>IF($A10&lt;=L$1,I10/I$4,"")</f>
        <v>9.0909090909090905E-3</v>
      </c>
      <c r="M10" s="337"/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 t="s">
        <v>219</v>
      </c>
      <c r="AF10" s="335" t="s">
        <v>205</v>
      </c>
    </row>
    <row r="11" spans="1:32">
      <c r="A11" s="301">
        <v>3</v>
      </c>
      <c r="B11" s="336"/>
      <c r="C11" s="336" t="s">
        <v>116</v>
      </c>
      <c r="D11" s="334" t="s">
        <v>220</v>
      </c>
      <c r="E11" s="336" t="s">
        <v>221</v>
      </c>
      <c r="F11" s="339" t="s">
        <v>222</v>
      </c>
      <c r="G11" s="302">
        <v>10</v>
      </c>
      <c r="H11" s="303">
        <v>30000</v>
      </c>
      <c r="I11" s="303">
        <v>300000</v>
      </c>
      <c r="J11" s="211"/>
      <c r="K11" s="212" t="str">
        <f>IF(OR(J11="",G11=J11),"","*")</f>
        <v/>
      </c>
      <c r="L11" s="332">
        <f>IF($A11&lt;=L$1,I11/I$4,"")</f>
        <v>5.4545454545454543E-2</v>
      </c>
      <c r="M11" s="337"/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 t="s">
        <v>223</v>
      </c>
      <c r="AF11" s="335" t="s">
        <v>205</v>
      </c>
    </row>
    <row r="12" spans="1:32">
      <c r="A12" s="301">
        <v>3</v>
      </c>
      <c r="B12" s="336"/>
      <c r="C12" s="336" t="s">
        <v>118</v>
      </c>
      <c r="D12" s="334" t="s">
        <v>224</v>
      </c>
      <c r="E12" s="336" t="s">
        <v>225</v>
      </c>
      <c r="F12" s="339" t="s">
        <v>226</v>
      </c>
      <c r="G12" s="302">
        <v>1</v>
      </c>
      <c r="H12" s="303">
        <v>45000</v>
      </c>
      <c r="I12" s="303">
        <v>45000</v>
      </c>
      <c r="J12" s="211"/>
      <c r="K12" s="212" t="str">
        <f>IF(OR(J12="",G12=J12),"","*")</f>
        <v/>
      </c>
      <c r="L12" s="332">
        <f>IF($A12&lt;=L$1,I12/I$4,"")</f>
        <v>8.1818181818181825E-3</v>
      </c>
      <c r="M12" s="337"/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 t="s">
        <v>227</v>
      </c>
      <c r="AF12" s="335" t="s">
        <v>205</v>
      </c>
    </row>
    <row r="13" spans="1:32">
      <c r="A13" s="301">
        <v>3</v>
      </c>
      <c r="B13" s="336"/>
      <c r="C13" s="336" t="s">
        <v>118</v>
      </c>
      <c r="D13" s="334" t="s">
        <v>228</v>
      </c>
      <c r="E13" s="336"/>
      <c r="F13" s="339" t="s">
        <v>229</v>
      </c>
      <c r="G13" s="302">
        <v>2</v>
      </c>
      <c r="H13" s="303">
        <v>5000</v>
      </c>
      <c r="I13" s="303">
        <v>10000</v>
      </c>
      <c r="J13" s="211"/>
      <c r="K13" s="212" t="str">
        <f>IF(OR(J13="",G13=J13),"","*")</f>
        <v/>
      </c>
      <c r="L13" s="332">
        <f>IF($A13&lt;=L$1,I13/I$4,"")</f>
        <v>1.8181818181818182E-3</v>
      </c>
      <c r="M13" s="337"/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/>
      <c r="AF13" s="335" t="s">
        <v>205</v>
      </c>
    </row>
    <row r="14" spans="1:32">
      <c r="A14" s="301">
        <v>3</v>
      </c>
      <c r="B14" s="336"/>
      <c r="C14" s="336" t="s">
        <v>118</v>
      </c>
      <c r="D14" s="334" t="s">
        <v>230</v>
      </c>
      <c r="E14" s="336" t="s">
        <v>231</v>
      </c>
      <c r="F14" s="339" t="s">
        <v>226</v>
      </c>
      <c r="G14" s="302">
        <v>1</v>
      </c>
      <c r="H14" s="303">
        <v>7000</v>
      </c>
      <c r="I14" s="303">
        <v>7000</v>
      </c>
      <c r="J14" s="211"/>
      <c r="K14" s="212" t="str">
        <f>IF(OR(J14="",G14=J14),"","*")</f>
        <v/>
      </c>
      <c r="L14" s="332">
        <f>IF($A14&lt;=L$1,I14/I$4,"")</f>
        <v>1.2727272727272728E-3</v>
      </c>
      <c r="M14" s="337"/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 t="s">
        <v>232</v>
      </c>
      <c r="AF14" s="335" t="s">
        <v>205</v>
      </c>
    </row>
    <row r="15" spans="1:32">
      <c r="A15" s="301">
        <v>3</v>
      </c>
      <c r="B15" s="336"/>
      <c r="C15" s="336" t="s">
        <v>118</v>
      </c>
      <c r="D15" s="334" t="s">
        <v>233</v>
      </c>
      <c r="E15" s="336"/>
      <c r="F15" s="339" t="s">
        <v>226</v>
      </c>
      <c r="G15" s="302">
        <v>1</v>
      </c>
      <c r="H15" s="303">
        <v>5000</v>
      </c>
      <c r="I15" s="303">
        <v>5000</v>
      </c>
      <c r="J15" s="211"/>
      <c r="K15" s="212" t="str">
        <f>IF(OR(J15="",G15=J15),"","*")</f>
        <v/>
      </c>
      <c r="L15" s="332">
        <f>IF($A15&lt;=L$1,I15/I$4,"")</f>
        <v>9.0909090909090909E-4</v>
      </c>
      <c r="M15" s="337"/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/>
      <c r="AF15" s="335" t="s">
        <v>205</v>
      </c>
    </row>
    <row r="16" spans="1:32">
      <c r="A16" s="301">
        <v>3</v>
      </c>
      <c r="B16" s="336"/>
      <c r="C16" s="336" t="s">
        <v>118</v>
      </c>
      <c r="D16" s="334" t="s">
        <v>234</v>
      </c>
      <c r="E16" s="336"/>
      <c r="F16" s="339" t="s">
        <v>226</v>
      </c>
      <c r="G16" s="302">
        <v>2</v>
      </c>
      <c r="H16" s="303">
        <v>1000</v>
      </c>
      <c r="I16" s="303">
        <v>2000</v>
      </c>
      <c r="J16" s="211"/>
      <c r="K16" s="212" t="str">
        <f>IF(OR(J16="",G16=J16),"","*")</f>
        <v/>
      </c>
      <c r="L16" s="332">
        <f>IF($A16&lt;=L$1,I16/I$4,"")</f>
        <v>3.6363636363636361E-4</v>
      </c>
      <c r="M16" s="337"/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 t="s">
        <v>235</v>
      </c>
      <c r="AF16" s="335" t="s">
        <v>205</v>
      </c>
    </row>
    <row r="17" spans="1:32">
      <c r="A17" s="301">
        <v>3</v>
      </c>
      <c r="B17" s="336"/>
      <c r="C17" s="336" t="s">
        <v>118</v>
      </c>
      <c r="D17" s="334" t="s">
        <v>236</v>
      </c>
      <c r="E17" s="336" t="s">
        <v>237</v>
      </c>
      <c r="F17" s="339" t="s">
        <v>226</v>
      </c>
      <c r="G17" s="302">
        <v>1</v>
      </c>
      <c r="H17" s="303">
        <v>8000</v>
      </c>
      <c r="I17" s="303">
        <v>8000</v>
      </c>
      <c r="J17" s="211"/>
      <c r="K17" s="212" t="str">
        <f>IF(OR(J17="",G17=J17),"","*")</f>
        <v/>
      </c>
      <c r="L17" s="332">
        <f>IF($A17&lt;=L$1,I17/I$4,"")</f>
        <v>1.4545454545454545E-3</v>
      </c>
      <c r="M17" s="337"/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 t="s">
        <v>238</v>
      </c>
      <c r="AF17" s="335" t="s">
        <v>205</v>
      </c>
    </row>
    <row r="18" spans="1:32">
      <c r="A18" s="301">
        <v>3</v>
      </c>
      <c r="B18" s="336"/>
      <c r="C18" s="336" t="s">
        <v>118</v>
      </c>
      <c r="D18" s="334" t="s">
        <v>239</v>
      </c>
      <c r="E18" s="336" t="s">
        <v>240</v>
      </c>
      <c r="F18" s="339" t="s">
        <v>226</v>
      </c>
      <c r="G18" s="302">
        <v>1</v>
      </c>
      <c r="H18" s="303">
        <v>10000</v>
      </c>
      <c r="I18" s="303">
        <v>10000</v>
      </c>
      <c r="J18" s="211"/>
      <c r="K18" s="212" t="str">
        <f>IF(OR(J18="",G18=J18),"","*")</f>
        <v/>
      </c>
      <c r="L18" s="332">
        <f>IF($A18&lt;=L$1,I18/I$4,"")</f>
        <v>1.8181818181818182E-3</v>
      </c>
      <c r="M18" s="337"/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/>
      <c r="AF18" s="335" t="s">
        <v>205</v>
      </c>
    </row>
    <row r="19" spans="1:32">
      <c r="A19" s="301">
        <v>3</v>
      </c>
      <c r="B19" s="336"/>
      <c r="C19" s="336" t="s">
        <v>119</v>
      </c>
      <c r="D19" s="334" t="s">
        <v>241</v>
      </c>
      <c r="E19" s="336"/>
      <c r="F19" s="339" t="s">
        <v>226</v>
      </c>
      <c r="G19" s="302">
        <v>3</v>
      </c>
      <c r="H19" s="303">
        <v>8000</v>
      </c>
      <c r="I19" s="303">
        <v>24000</v>
      </c>
      <c r="J19" s="211"/>
      <c r="K19" s="212" t="str">
        <f>IF(OR(J19="",G19=J19),"","*")</f>
        <v/>
      </c>
      <c r="L19" s="332">
        <f>IF($A19&lt;=L$1,I19/I$4,"")</f>
        <v>4.3636363636363638E-3</v>
      </c>
      <c r="M19" s="337"/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 t="s">
        <v>242</v>
      </c>
      <c r="AF19" s="335" t="s">
        <v>205</v>
      </c>
    </row>
    <row r="20" spans="1:32">
      <c r="A20" s="301">
        <v>3</v>
      </c>
      <c r="B20" s="336"/>
      <c r="C20" s="336" t="s">
        <v>119</v>
      </c>
      <c r="D20" s="334" t="s">
        <v>243</v>
      </c>
      <c r="E20" s="336"/>
      <c r="F20" s="339" t="s">
        <v>226</v>
      </c>
      <c r="G20" s="302">
        <v>1</v>
      </c>
      <c r="H20" s="303">
        <v>6000</v>
      </c>
      <c r="I20" s="303">
        <v>6000</v>
      </c>
      <c r="J20" s="211"/>
      <c r="K20" s="212" t="str">
        <f>IF(OR(J20="",G20=J20),"","*")</f>
        <v/>
      </c>
      <c r="L20" s="332">
        <f>IF($A20&lt;=L$1,I20/I$4,"")</f>
        <v>1.090909090909091E-3</v>
      </c>
      <c r="M20" s="337"/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/>
      <c r="AF20" s="335" t="s">
        <v>205</v>
      </c>
    </row>
    <row r="21" spans="1:32">
      <c r="A21" s="301">
        <v>3</v>
      </c>
      <c r="B21" s="336"/>
      <c r="C21" s="336" t="s">
        <v>119</v>
      </c>
      <c r="D21" s="334" t="s">
        <v>244</v>
      </c>
      <c r="E21" s="336" t="s">
        <v>245</v>
      </c>
      <c r="F21" s="339" t="s">
        <v>226</v>
      </c>
      <c r="G21" s="302">
        <v>4</v>
      </c>
      <c r="H21" s="303">
        <v>43000</v>
      </c>
      <c r="I21" s="303">
        <v>172000</v>
      </c>
      <c r="J21" s="211"/>
      <c r="K21" s="212" t="str">
        <f>IF(OR(J21="",G21=J21),"","*")</f>
        <v/>
      </c>
      <c r="L21" s="332">
        <f>IF($A21&lt;=L$1,I21/I$4,"")</f>
        <v>3.1272727272727271E-2</v>
      </c>
      <c r="M21" s="337"/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 t="s">
        <v>246</v>
      </c>
      <c r="AF21" s="335" t="s">
        <v>205</v>
      </c>
    </row>
    <row r="22" spans="1:32">
      <c r="A22" s="301">
        <v>3</v>
      </c>
      <c r="B22" s="336"/>
      <c r="C22" s="336" t="s">
        <v>118</v>
      </c>
      <c r="D22" s="334" t="s">
        <v>247</v>
      </c>
      <c r="E22" s="336"/>
      <c r="F22" s="339" t="s">
        <v>226</v>
      </c>
      <c r="G22" s="302">
        <v>1</v>
      </c>
      <c r="H22" s="303">
        <v>240000</v>
      </c>
      <c r="I22" s="303">
        <v>240000</v>
      </c>
      <c r="J22" s="211"/>
      <c r="K22" s="212" t="str">
        <f>IF(OR(J22="",G22=J22),"","*")</f>
        <v/>
      </c>
      <c r="L22" s="332">
        <f>IF($A22&lt;=L$1,I22/I$4,"")</f>
        <v>4.363636363636364E-2</v>
      </c>
      <c r="M22" s="337"/>
      <c r="N22" s="338"/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/>
      <c r="AF22" s="335" t="s">
        <v>205</v>
      </c>
    </row>
    <row r="23" spans="1:32">
      <c r="A23" s="301">
        <v>3</v>
      </c>
      <c r="B23" s="336"/>
      <c r="C23" s="336" t="s">
        <v>118</v>
      </c>
      <c r="D23" s="334" t="s">
        <v>248</v>
      </c>
      <c r="E23" s="336"/>
      <c r="F23" s="339" t="s">
        <v>226</v>
      </c>
      <c r="G23" s="302">
        <v>1</v>
      </c>
      <c r="H23" s="303">
        <v>80000</v>
      </c>
      <c r="I23" s="303">
        <v>80000</v>
      </c>
      <c r="J23" s="211"/>
      <c r="K23" s="212" t="str">
        <f>IF(OR(J23="",G23=J23),"","*")</f>
        <v/>
      </c>
      <c r="L23" s="332">
        <f>IF($A23&lt;=L$1,I23/I$4,"")</f>
        <v>1.4545454545454545E-2</v>
      </c>
      <c r="M23" s="337"/>
      <c r="N23" s="338"/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/>
      <c r="AF23" s="335" t="s">
        <v>205</v>
      </c>
    </row>
    <row r="24" spans="1:32">
      <c r="A24" s="301">
        <v>3</v>
      </c>
      <c r="B24" s="336"/>
      <c r="C24" s="336" t="s">
        <v>115</v>
      </c>
      <c r="D24" s="334" t="s">
        <v>249</v>
      </c>
      <c r="E24" s="336"/>
      <c r="F24" s="339" t="s">
        <v>212</v>
      </c>
      <c r="G24" s="302">
        <v>70</v>
      </c>
      <c r="H24" s="303">
        <v>1200</v>
      </c>
      <c r="I24" s="303">
        <v>84000</v>
      </c>
      <c r="J24" s="211"/>
      <c r="K24" s="212" t="str">
        <f>IF(OR(J24="",G24=J24),"","*")</f>
        <v/>
      </c>
      <c r="L24" s="332">
        <f>IF($A24&lt;=L$1,I24/I$4,"")</f>
        <v>1.5272727272727273E-2</v>
      </c>
      <c r="M24" s="337"/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/>
      <c r="AF24" s="335" t="s">
        <v>205</v>
      </c>
    </row>
    <row r="25" spans="1:32">
      <c r="A25" s="301">
        <v>3</v>
      </c>
      <c r="B25" s="336"/>
      <c r="C25" s="336" t="s">
        <v>115</v>
      </c>
      <c r="D25" s="334" t="s">
        <v>250</v>
      </c>
      <c r="E25" s="336"/>
      <c r="F25" s="339" t="s">
        <v>94</v>
      </c>
      <c r="G25" s="302">
        <v>1</v>
      </c>
      <c r="H25" s="303">
        <v>26800</v>
      </c>
      <c r="I25" s="303">
        <v>26800</v>
      </c>
      <c r="J25" s="211"/>
      <c r="K25" s="212" t="str">
        <f>IF(OR(J25="",G25=J25),"","*")</f>
        <v/>
      </c>
      <c r="L25" s="332">
        <f>IF($A25&lt;=L$1,I25/I$4,"")</f>
        <v>4.8727272727272725E-3</v>
      </c>
      <c r="M25" s="337"/>
      <c r="N25" s="338"/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/>
      <c r="AF25" s="335" t="s">
        <v>205</v>
      </c>
    </row>
    <row r="26" spans="1:32">
      <c r="A26" s="301">
        <v>2</v>
      </c>
      <c r="B26" s="336"/>
      <c r="C26" s="336" t="s">
        <v>208</v>
      </c>
      <c r="D26" s="334" t="s">
        <v>251</v>
      </c>
      <c r="E26" s="336" t="s">
        <v>92</v>
      </c>
      <c r="F26" s="339" t="s">
        <v>91</v>
      </c>
      <c r="G26" s="302">
        <v>285</v>
      </c>
      <c r="H26" s="303">
        <v>3200</v>
      </c>
      <c r="I26" s="303">
        <v>912000</v>
      </c>
      <c r="J26" s="211">
        <v>285</v>
      </c>
      <c r="K26" s="212" t="str">
        <f>IF(OR(J26="",G26=J26),"","*")</f>
        <v/>
      </c>
      <c r="L26" s="332">
        <f>IF($A26&lt;=L$1,I26/I$4,"")</f>
        <v>0.16581818181818181</v>
      </c>
      <c r="M26" s="337"/>
      <c r="N26" s="338" t="s">
        <v>252</v>
      </c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/>
      <c r="AF26" s="335" t="s">
        <v>205</v>
      </c>
    </row>
    <row r="27" spans="1:32">
      <c r="A27" s="301">
        <v>3</v>
      </c>
      <c r="B27" s="336"/>
      <c r="C27" s="336" t="s">
        <v>115</v>
      </c>
      <c r="D27" s="334" t="s">
        <v>253</v>
      </c>
      <c r="E27" s="336"/>
      <c r="F27" s="339" t="s">
        <v>254</v>
      </c>
      <c r="G27" s="302">
        <v>180</v>
      </c>
      <c r="H27" s="303">
        <v>2900</v>
      </c>
      <c r="I27" s="303">
        <v>522000</v>
      </c>
      <c r="J27" s="211"/>
      <c r="K27" s="212" t="str">
        <f>IF(OR(J27="",G27=J27),"","*")</f>
        <v/>
      </c>
      <c r="L27" s="332">
        <f>IF($A27&lt;=L$1,I27/I$4,"")</f>
        <v>9.4909090909090915E-2</v>
      </c>
      <c r="M27" s="337"/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/>
      <c r="AF27" s="335" t="s">
        <v>205</v>
      </c>
    </row>
    <row r="28" spans="1:32">
      <c r="A28" s="301">
        <v>3</v>
      </c>
      <c r="B28" s="336"/>
      <c r="C28" s="336" t="s">
        <v>115</v>
      </c>
      <c r="D28" s="334" t="s">
        <v>255</v>
      </c>
      <c r="E28" s="336"/>
      <c r="F28" s="339" t="s">
        <v>94</v>
      </c>
      <c r="G28" s="302">
        <v>1</v>
      </c>
      <c r="H28" s="303">
        <v>20000</v>
      </c>
      <c r="I28" s="303">
        <v>20000</v>
      </c>
      <c r="J28" s="211"/>
      <c r="K28" s="212" t="str">
        <f>IF(OR(J28="",G28=J28),"","*")</f>
        <v/>
      </c>
      <c r="L28" s="332">
        <f>IF($A28&lt;=L$1,I28/I$4,"")</f>
        <v>3.6363636363636364E-3</v>
      </c>
      <c r="M28" s="337"/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/>
      <c r="AF28" s="335" t="s">
        <v>205</v>
      </c>
    </row>
    <row r="29" spans="1:32">
      <c r="A29" s="301">
        <v>3</v>
      </c>
      <c r="B29" s="336"/>
      <c r="C29" s="336" t="s">
        <v>116</v>
      </c>
      <c r="D29" s="334" t="s">
        <v>220</v>
      </c>
      <c r="E29" s="336" t="s">
        <v>221</v>
      </c>
      <c r="F29" s="339" t="s">
        <v>222</v>
      </c>
      <c r="G29" s="302">
        <v>10</v>
      </c>
      <c r="H29" s="303">
        <v>30000</v>
      </c>
      <c r="I29" s="303">
        <v>300000</v>
      </c>
      <c r="J29" s="211"/>
      <c r="K29" s="212" t="str">
        <f>IF(OR(J29="",G29=J29),"","*")</f>
        <v/>
      </c>
      <c r="L29" s="332">
        <f>IF($A29&lt;=L$1,I29/I$4,"")</f>
        <v>5.4545454545454543E-2</v>
      </c>
      <c r="M29" s="337"/>
      <c r="N29" s="338"/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 t="s">
        <v>223</v>
      </c>
      <c r="AF29" s="335" t="s">
        <v>205</v>
      </c>
    </row>
    <row r="30" spans="1:32">
      <c r="A30" s="301">
        <v>3</v>
      </c>
      <c r="B30" s="336"/>
      <c r="C30" s="336" t="s">
        <v>118</v>
      </c>
      <c r="D30" s="334" t="s">
        <v>234</v>
      </c>
      <c r="E30" s="336"/>
      <c r="F30" s="339" t="s">
        <v>226</v>
      </c>
      <c r="G30" s="302">
        <v>1</v>
      </c>
      <c r="H30" s="303">
        <v>1000</v>
      </c>
      <c r="I30" s="303">
        <v>1000</v>
      </c>
      <c r="J30" s="211"/>
      <c r="K30" s="212" t="str">
        <f>IF(OR(J30="",G30=J30),"","*")</f>
        <v/>
      </c>
      <c r="L30" s="332">
        <f>IF($A30&lt;=L$1,I30/I$4,"")</f>
        <v>1.8181818181818181E-4</v>
      </c>
      <c r="M30" s="337"/>
      <c r="N30" s="338"/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 t="s">
        <v>235</v>
      </c>
      <c r="AF30" s="335" t="s">
        <v>205</v>
      </c>
    </row>
    <row r="31" spans="1:32">
      <c r="A31" s="301">
        <v>3</v>
      </c>
      <c r="B31" s="336"/>
      <c r="C31" s="336" t="s">
        <v>118</v>
      </c>
      <c r="D31" s="334" t="s">
        <v>256</v>
      </c>
      <c r="E31" s="336"/>
      <c r="F31" s="339" t="s">
        <v>226</v>
      </c>
      <c r="G31" s="302">
        <v>2</v>
      </c>
      <c r="H31" s="303">
        <v>1200</v>
      </c>
      <c r="I31" s="303">
        <v>2400</v>
      </c>
      <c r="J31" s="211"/>
      <c r="K31" s="212" t="str">
        <f>IF(OR(J31="",G31=J31),"","*")</f>
        <v/>
      </c>
      <c r="L31" s="332">
        <f>IF($A31&lt;=L$1,I31/I$4,"")</f>
        <v>4.3636363636363637E-4</v>
      </c>
      <c r="M31" s="337"/>
      <c r="N31" s="338"/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/>
      <c r="AF31" s="335" t="s">
        <v>205</v>
      </c>
    </row>
    <row r="32" spans="1:32">
      <c r="A32" s="301">
        <v>3</v>
      </c>
      <c r="B32" s="336"/>
      <c r="C32" s="336" t="s">
        <v>118</v>
      </c>
      <c r="D32" s="334" t="s">
        <v>257</v>
      </c>
      <c r="E32" s="336" t="s">
        <v>258</v>
      </c>
      <c r="F32" s="339" t="s">
        <v>94</v>
      </c>
      <c r="G32" s="302">
        <v>1</v>
      </c>
      <c r="H32" s="303">
        <v>10000</v>
      </c>
      <c r="I32" s="303">
        <v>10000</v>
      </c>
      <c r="J32" s="211"/>
      <c r="K32" s="212" t="str">
        <f>IF(OR(J32="",G32=J32),"","*")</f>
        <v/>
      </c>
      <c r="L32" s="332">
        <f>IF($A32&lt;=L$1,I32/I$4,"")</f>
        <v>1.8181818181818182E-3</v>
      </c>
      <c r="M32" s="337"/>
      <c r="N32" s="338"/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/>
      <c r="AF32" s="335" t="s">
        <v>205</v>
      </c>
    </row>
    <row r="33" spans="1:32">
      <c r="A33" s="301">
        <v>3</v>
      </c>
      <c r="B33" s="336"/>
      <c r="C33" s="336" t="s">
        <v>119</v>
      </c>
      <c r="D33" s="334" t="s">
        <v>241</v>
      </c>
      <c r="E33" s="336"/>
      <c r="F33" s="339" t="s">
        <v>226</v>
      </c>
      <c r="G33" s="302">
        <v>3</v>
      </c>
      <c r="H33" s="303">
        <v>8000</v>
      </c>
      <c r="I33" s="303">
        <v>24000</v>
      </c>
      <c r="J33" s="211"/>
      <c r="K33" s="212" t="str">
        <f>IF(OR(J33="",G33=J33),"","*")</f>
        <v/>
      </c>
      <c r="L33" s="332">
        <f>IF($A33&lt;=L$1,I33/I$4,"")</f>
        <v>4.3636363636363638E-3</v>
      </c>
      <c r="M33" s="337"/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 t="s">
        <v>242</v>
      </c>
      <c r="AF33" s="335" t="s">
        <v>205</v>
      </c>
    </row>
    <row r="34" spans="1:32">
      <c r="A34" s="301">
        <v>3</v>
      </c>
      <c r="B34" s="336"/>
      <c r="C34" s="336" t="s">
        <v>119</v>
      </c>
      <c r="D34" s="334" t="s">
        <v>243</v>
      </c>
      <c r="E34" s="336"/>
      <c r="F34" s="339" t="s">
        <v>226</v>
      </c>
      <c r="G34" s="302">
        <v>1</v>
      </c>
      <c r="H34" s="303">
        <v>6000</v>
      </c>
      <c r="I34" s="303">
        <v>6000</v>
      </c>
      <c r="J34" s="211"/>
      <c r="K34" s="212" t="str">
        <f>IF(OR(J34="",G34=J34),"","*")</f>
        <v/>
      </c>
      <c r="L34" s="332">
        <f>IF($A34&lt;=L$1,I34/I$4,"")</f>
        <v>1.090909090909091E-3</v>
      </c>
      <c r="M34" s="337"/>
      <c r="N34" s="338"/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/>
      <c r="AF34" s="335" t="s">
        <v>205</v>
      </c>
    </row>
    <row r="35" spans="1:32">
      <c r="A35" s="301">
        <v>3</v>
      </c>
      <c r="B35" s="336"/>
      <c r="C35" s="336" t="s">
        <v>115</v>
      </c>
      <c r="D35" s="334" t="s">
        <v>250</v>
      </c>
      <c r="E35" s="336"/>
      <c r="F35" s="339" t="s">
        <v>94</v>
      </c>
      <c r="G35" s="302">
        <v>1</v>
      </c>
      <c r="H35" s="303">
        <v>26600</v>
      </c>
      <c r="I35" s="303">
        <v>26600</v>
      </c>
      <c r="J35" s="211"/>
      <c r="K35" s="212" t="str">
        <f>IF(OR(J35="",G35=J35),"","*")</f>
        <v/>
      </c>
      <c r="L35" s="332">
        <f>IF($A35&lt;=L$1,I35/I$4,"")</f>
        <v>4.836363636363636E-3</v>
      </c>
      <c r="M35" s="337"/>
      <c r="N35" s="338"/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/>
      <c r="AF35" s="335" t="s">
        <v>205</v>
      </c>
    </row>
    <row r="36" spans="1:32">
      <c r="A36" s="301">
        <v>2</v>
      </c>
      <c r="B36" s="336"/>
      <c r="C36" s="336" t="s">
        <v>208</v>
      </c>
      <c r="D36" s="334" t="s">
        <v>259</v>
      </c>
      <c r="E36" s="336" t="s">
        <v>93</v>
      </c>
      <c r="F36" s="339" t="s">
        <v>91</v>
      </c>
      <c r="G36" s="302">
        <v>290</v>
      </c>
      <c r="H36" s="303">
        <v>5700</v>
      </c>
      <c r="I36" s="303">
        <v>1653000</v>
      </c>
      <c r="J36" s="211">
        <v>290</v>
      </c>
      <c r="K36" s="212" t="str">
        <f>IF(OR(J36="",G36=J36),"","*")</f>
        <v/>
      </c>
      <c r="L36" s="332">
        <f>IF($A36&lt;=L$1,I36/I$4,"")</f>
        <v>0.30054545454545456</v>
      </c>
      <c r="M36" s="337"/>
      <c r="N36" s="338" t="s">
        <v>260</v>
      </c>
      <c r="O36" s="304">
        <v>0</v>
      </c>
      <c r="P36" s="305">
        <v>0</v>
      </c>
      <c r="Q36" s="305">
        <v>0</v>
      </c>
      <c r="R36" s="211">
        <v>0</v>
      </c>
      <c r="S36" s="212"/>
      <c r="T36" s="213" t="e">
        <v>#DIV/0!</v>
      </c>
      <c r="U36" s="214"/>
      <c r="V36" s="215"/>
      <c r="W36" s="304">
        <v>0</v>
      </c>
      <c r="X36" s="305">
        <v>0</v>
      </c>
      <c r="Y36" s="305">
        <v>0</v>
      </c>
      <c r="Z36" s="211">
        <v>0</v>
      </c>
      <c r="AA36" s="212"/>
      <c r="AB36" s="213" t="e">
        <v>#DIV/0!</v>
      </c>
      <c r="AC36" s="214"/>
      <c r="AD36" s="215"/>
      <c r="AE36" s="336"/>
      <c r="AF36" s="335" t="s">
        <v>205</v>
      </c>
    </row>
    <row r="37" spans="1:32">
      <c r="A37" s="301">
        <v>3</v>
      </c>
      <c r="B37" s="336"/>
      <c r="C37" s="336" t="s">
        <v>115</v>
      </c>
      <c r="D37" s="334" t="s">
        <v>261</v>
      </c>
      <c r="E37" s="336"/>
      <c r="F37" s="339" t="s">
        <v>212</v>
      </c>
      <c r="G37" s="302">
        <v>50</v>
      </c>
      <c r="H37" s="303">
        <v>15500</v>
      </c>
      <c r="I37" s="303">
        <v>775000</v>
      </c>
      <c r="J37" s="211"/>
      <c r="K37" s="212" t="str">
        <f>IF(OR(J37="",G37=J37),"","*")</f>
        <v/>
      </c>
      <c r="L37" s="332">
        <f>IF($A37&lt;=L$1,I37/I$4,"")</f>
        <v>0.1409090909090909</v>
      </c>
      <c r="M37" s="337"/>
      <c r="N37" s="338"/>
      <c r="O37" s="304">
        <v>0</v>
      </c>
      <c r="P37" s="305">
        <v>0</v>
      </c>
      <c r="Q37" s="305">
        <v>0</v>
      </c>
      <c r="R37" s="211">
        <v>0</v>
      </c>
      <c r="S37" s="212"/>
      <c r="T37" s="213" t="e">
        <v>#DIV/0!</v>
      </c>
      <c r="U37" s="214"/>
      <c r="V37" s="215"/>
      <c r="W37" s="304">
        <v>0</v>
      </c>
      <c r="X37" s="305">
        <v>0</v>
      </c>
      <c r="Y37" s="305">
        <v>0</v>
      </c>
      <c r="Z37" s="211">
        <v>0</v>
      </c>
      <c r="AA37" s="212"/>
      <c r="AB37" s="213" t="e">
        <v>#DIV/0!</v>
      </c>
      <c r="AC37" s="214"/>
      <c r="AD37" s="215"/>
      <c r="AE37" s="336"/>
      <c r="AF37" s="335" t="s">
        <v>205</v>
      </c>
    </row>
    <row r="38" spans="1:32">
      <c r="A38" s="301">
        <v>3</v>
      </c>
      <c r="B38" s="336"/>
      <c r="C38" s="336" t="s">
        <v>117</v>
      </c>
      <c r="D38" s="334" t="s">
        <v>262</v>
      </c>
      <c r="E38" s="336" t="s">
        <v>263</v>
      </c>
      <c r="F38" s="339" t="s">
        <v>94</v>
      </c>
      <c r="G38" s="302">
        <v>1</v>
      </c>
      <c r="H38" s="303">
        <v>50000</v>
      </c>
      <c r="I38" s="303">
        <v>50000</v>
      </c>
      <c r="J38" s="211"/>
      <c r="K38" s="212" t="str">
        <f>IF(OR(J38="",G38=J38),"","*")</f>
        <v/>
      </c>
      <c r="L38" s="332">
        <f>IF($A38&lt;=L$1,I38/I$4,"")</f>
        <v>9.0909090909090905E-3</v>
      </c>
      <c r="M38" s="337"/>
      <c r="N38" s="338"/>
      <c r="O38" s="304">
        <v>0</v>
      </c>
      <c r="P38" s="305">
        <v>0</v>
      </c>
      <c r="Q38" s="305">
        <v>0</v>
      </c>
      <c r="R38" s="211">
        <v>0</v>
      </c>
      <c r="S38" s="212"/>
      <c r="T38" s="213" t="e">
        <v>#DIV/0!</v>
      </c>
      <c r="U38" s="214"/>
      <c r="V38" s="215"/>
      <c r="W38" s="304">
        <v>0</v>
      </c>
      <c r="X38" s="305">
        <v>0</v>
      </c>
      <c r="Y38" s="305">
        <v>0</v>
      </c>
      <c r="Z38" s="211">
        <v>0</v>
      </c>
      <c r="AA38" s="212"/>
      <c r="AB38" s="213" t="e">
        <v>#DIV/0!</v>
      </c>
      <c r="AC38" s="214"/>
      <c r="AD38" s="215"/>
      <c r="AE38" s="336"/>
      <c r="AF38" s="335" t="s">
        <v>205</v>
      </c>
    </row>
    <row r="39" spans="1:32">
      <c r="A39" s="301">
        <v>3</v>
      </c>
      <c r="B39" s="336"/>
      <c r="C39" s="336" t="s">
        <v>115</v>
      </c>
      <c r="D39" s="334" t="s">
        <v>214</v>
      </c>
      <c r="E39" s="336"/>
      <c r="F39" s="339" t="s">
        <v>215</v>
      </c>
      <c r="G39" s="302">
        <v>0.2</v>
      </c>
      <c r="H39" s="303">
        <v>155000</v>
      </c>
      <c r="I39" s="303">
        <v>31000</v>
      </c>
      <c r="J39" s="211"/>
      <c r="K39" s="212" t="str">
        <f>IF(OR(J39="",G39=J39),"","*")</f>
        <v/>
      </c>
      <c r="L39" s="332">
        <f>IF($A39&lt;=L$1,I39/I$4,"")</f>
        <v>5.6363636363636364E-3</v>
      </c>
      <c r="M39" s="337"/>
      <c r="N39" s="338"/>
      <c r="O39" s="304">
        <v>0</v>
      </c>
      <c r="P39" s="305">
        <v>0</v>
      </c>
      <c r="Q39" s="305">
        <v>0</v>
      </c>
      <c r="R39" s="211">
        <v>0</v>
      </c>
      <c r="S39" s="212"/>
      <c r="T39" s="213" t="e">
        <v>#DIV/0!</v>
      </c>
      <c r="U39" s="214"/>
      <c r="V39" s="215"/>
      <c r="W39" s="304">
        <v>0</v>
      </c>
      <c r="X39" s="305">
        <v>0</v>
      </c>
      <c r="Y39" s="305">
        <v>0</v>
      </c>
      <c r="Z39" s="211">
        <v>0</v>
      </c>
      <c r="AA39" s="212"/>
      <c r="AB39" s="213" t="e">
        <v>#DIV/0!</v>
      </c>
      <c r="AC39" s="214"/>
      <c r="AD39" s="215"/>
      <c r="AE39" s="336" t="s">
        <v>216</v>
      </c>
      <c r="AF39" s="335" t="s">
        <v>205</v>
      </c>
    </row>
    <row r="40" spans="1:32">
      <c r="A40" s="301">
        <v>3</v>
      </c>
      <c r="B40" s="336"/>
      <c r="C40" s="336" t="s">
        <v>118</v>
      </c>
      <c r="D40" s="334" t="s">
        <v>217</v>
      </c>
      <c r="E40" s="336"/>
      <c r="F40" s="339" t="s">
        <v>218</v>
      </c>
      <c r="G40" s="302">
        <v>1</v>
      </c>
      <c r="H40" s="303">
        <v>50000</v>
      </c>
      <c r="I40" s="303">
        <v>50000</v>
      </c>
      <c r="J40" s="211"/>
      <c r="K40" s="212" t="str">
        <f>IF(OR(J40="",G40=J40),"","*")</f>
        <v/>
      </c>
      <c r="L40" s="332">
        <f>IF($A40&lt;=L$1,I40/I$4,"")</f>
        <v>9.0909090909090905E-3</v>
      </c>
      <c r="M40" s="337"/>
      <c r="N40" s="338"/>
      <c r="O40" s="304">
        <v>0</v>
      </c>
      <c r="P40" s="305">
        <v>0</v>
      </c>
      <c r="Q40" s="305">
        <v>0</v>
      </c>
      <c r="R40" s="211">
        <v>0</v>
      </c>
      <c r="S40" s="212"/>
      <c r="T40" s="213" t="e">
        <v>#DIV/0!</v>
      </c>
      <c r="U40" s="214"/>
      <c r="V40" s="215"/>
      <c r="W40" s="304">
        <v>0</v>
      </c>
      <c r="X40" s="305">
        <v>0</v>
      </c>
      <c r="Y40" s="305">
        <v>0</v>
      </c>
      <c r="Z40" s="211">
        <v>0</v>
      </c>
      <c r="AA40" s="212"/>
      <c r="AB40" s="213" t="e">
        <v>#DIV/0!</v>
      </c>
      <c r="AC40" s="214"/>
      <c r="AD40" s="215"/>
      <c r="AE40" s="336" t="s">
        <v>219</v>
      </c>
      <c r="AF40" s="335" t="s">
        <v>205</v>
      </c>
    </row>
    <row r="41" spans="1:32">
      <c r="A41" s="301">
        <v>3</v>
      </c>
      <c r="B41" s="336"/>
      <c r="C41" s="336" t="s">
        <v>116</v>
      </c>
      <c r="D41" s="334" t="s">
        <v>220</v>
      </c>
      <c r="E41" s="336" t="s">
        <v>221</v>
      </c>
      <c r="F41" s="339" t="s">
        <v>222</v>
      </c>
      <c r="G41" s="302">
        <v>10</v>
      </c>
      <c r="H41" s="303">
        <v>30000</v>
      </c>
      <c r="I41" s="303">
        <v>300000</v>
      </c>
      <c r="J41" s="211"/>
      <c r="K41" s="212" t="str">
        <f>IF(OR(J41="",G41=J41),"","*")</f>
        <v/>
      </c>
      <c r="L41" s="332">
        <f>IF($A41&lt;=L$1,I41/I$4,"")</f>
        <v>5.4545454545454543E-2</v>
      </c>
      <c r="M41" s="337"/>
      <c r="N41" s="338"/>
      <c r="O41" s="304">
        <v>0</v>
      </c>
      <c r="P41" s="305">
        <v>0</v>
      </c>
      <c r="Q41" s="305">
        <v>0</v>
      </c>
      <c r="R41" s="211">
        <v>0</v>
      </c>
      <c r="S41" s="212"/>
      <c r="T41" s="213" t="e">
        <v>#DIV/0!</v>
      </c>
      <c r="U41" s="214"/>
      <c r="V41" s="215"/>
      <c r="W41" s="304">
        <v>0</v>
      </c>
      <c r="X41" s="305">
        <v>0</v>
      </c>
      <c r="Y41" s="305">
        <v>0</v>
      </c>
      <c r="Z41" s="211">
        <v>0</v>
      </c>
      <c r="AA41" s="212"/>
      <c r="AB41" s="213" t="e">
        <v>#DIV/0!</v>
      </c>
      <c r="AC41" s="214"/>
      <c r="AD41" s="215"/>
      <c r="AE41" s="336" t="s">
        <v>223</v>
      </c>
      <c r="AF41" s="335" t="s">
        <v>205</v>
      </c>
    </row>
    <row r="42" spans="1:32">
      <c r="A42" s="301">
        <v>3</v>
      </c>
      <c r="B42" s="336"/>
      <c r="C42" s="336" t="s">
        <v>118</v>
      </c>
      <c r="D42" s="334" t="s">
        <v>224</v>
      </c>
      <c r="E42" s="336" t="s">
        <v>225</v>
      </c>
      <c r="F42" s="339" t="s">
        <v>226</v>
      </c>
      <c r="G42" s="302">
        <v>1</v>
      </c>
      <c r="H42" s="303">
        <v>45000</v>
      </c>
      <c r="I42" s="303">
        <v>45000</v>
      </c>
      <c r="J42" s="211"/>
      <c r="K42" s="212" t="str">
        <f>IF(OR(J42="",G42=J42),"","*")</f>
        <v/>
      </c>
      <c r="L42" s="332">
        <f>IF($A42&lt;=L$1,I42/I$4,"")</f>
        <v>8.1818181818181825E-3</v>
      </c>
      <c r="M42" s="337"/>
      <c r="N42" s="338"/>
      <c r="O42" s="304">
        <v>0</v>
      </c>
      <c r="P42" s="305">
        <v>0</v>
      </c>
      <c r="Q42" s="305">
        <v>0</v>
      </c>
      <c r="R42" s="211">
        <v>0</v>
      </c>
      <c r="S42" s="212"/>
      <c r="T42" s="213" t="e">
        <v>#DIV/0!</v>
      </c>
      <c r="U42" s="214"/>
      <c r="V42" s="215"/>
      <c r="W42" s="304">
        <v>0</v>
      </c>
      <c r="X42" s="305">
        <v>0</v>
      </c>
      <c r="Y42" s="305">
        <v>0</v>
      </c>
      <c r="Z42" s="211">
        <v>0</v>
      </c>
      <c r="AA42" s="212"/>
      <c r="AB42" s="213" t="e">
        <v>#DIV/0!</v>
      </c>
      <c r="AC42" s="214"/>
      <c r="AD42" s="215"/>
      <c r="AE42" s="336" t="s">
        <v>227</v>
      </c>
      <c r="AF42" s="335" t="s">
        <v>205</v>
      </c>
    </row>
    <row r="43" spans="1:32">
      <c r="A43" s="301">
        <v>3</v>
      </c>
      <c r="B43" s="336"/>
      <c r="C43" s="336" t="s">
        <v>118</v>
      </c>
      <c r="D43" s="334" t="s">
        <v>228</v>
      </c>
      <c r="E43" s="336"/>
      <c r="F43" s="339" t="s">
        <v>229</v>
      </c>
      <c r="G43" s="302">
        <v>2</v>
      </c>
      <c r="H43" s="303">
        <v>5000</v>
      </c>
      <c r="I43" s="303">
        <v>10000</v>
      </c>
      <c r="J43" s="211"/>
      <c r="K43" s="212" t="str">
        <f>IF(OR(J43="",G43=J43),"","*")</f>
        <v/>
      </c>
      <c r="L43" s="332">
        <f>IF($A43&lt;=L$1,I43/I$4,"")</f>
        <v>1.8181818181818182E-3</v>
      </c>
      <c r="M43" s="337"/>
      <c r="N43" s="338"/>
      <c r="O43" s="304">
        <v>0</v>
      </c>
      <c r="P43" s="305">
        <v>0</v>
      </c>
      <c r="Q43" s="305">
        <v>0</v>
      </c>
      <c r="R43" s="211">
        <v>0</v>
      </c>
      <c r="S43" s="212"/>
      <c r="T43" s="213" t="e">
        <v>#DIV/0!</v>
      </c>
      <c r="U43" s="214"/>
      <c r="V43" s="215"/>
      <c r="W43" s="304">
        <v>0</v>
      </c>
      <c r="X43" s="305">
        <v>0</v>
      </c>
      <c r="Y43" s="305">
        <v>0</v>
      </c>
      <c r="Z43" s="211">
        <v>0</v>
      </c>
      <c r="AA43" s="212"/>
      <c r="AB43" s="213" t="e">
        <v>#DIV/0!</v>
      </c>
      <c r="AC43" s="214"/>
      <c r="AD43" s="215"/>
      <c r="AE43" s="336"/>
      <c r="AF43" s="335" t="s">
        <v>205</v>
      </c>
    </row>
    <row r="44" spans="1:32">
      <c r="A44" s="301">
        <v>3</v>
      </c>
      <c r="B44" s="336"/>
      <c r="C44" s="336" t="s">
        <v>118</v>
      </c>
      <c r="D44" s="334" t="s">
        <v>230</v>
      </c>
      <c r="E44" s="336" t="s">
        <v>231</v>
      </c>
      <c r="F44" s="339" t="s">
        <v>226</v>
      </c>
      <c r="G44" s="302">
        <v>1</v>
      </c>
      <c r="H44" s="303">
        <v>7000</v>
      </c>
      <c r="I44" s="303">
        <v>7000</v>
      </c>
      <c r="J44" s="211"/>
      <c r="K44" s="212" t="str">
        <f>IF(OR(J44="",G44=J44),"","*")</f>
        <v/>
      </c>
      <c r="L44" s="332">
        <f>IF($A44&lt;=L$1,I44/I$4,"")</f>
        <v>1.2727272727272728E-3</v>
      </c>
      <c r="M44" s="337"/>
      <c r="N44" s="338"/>
      <c r="O44" s="304">
        <v>0</v>
      </c>
      <c r="P44" s="305">
        <v>0</v>
      </c>
      <c r="Q44" s="305">
        <v>0</v>
      </c>
      <c r="R44" s="211">
        <v>0</v>
      </c>
      <c r="S44" s="212"/>
      <c r="T44" s="213" t="e">
        <v>#DIV/0!</v>
      </c>
      <c r="U44" s="214"/>
      <c r="V44" s="215"/>
      <c r="W44" s="304">
        <v>0</v>
      </c>
      <c r="X44" s="305">
        <v>0</v>
      </c>
      <c r="Y44" s="305">
        <v>0</v>
      </c>
      <c r="Z44" s="211">
        <v>0</v>
      </c>
      <c r="AA44" s="212"/>
      <c r="AB44" s="213" t="e">
        <v>#DIV/0!</v>
      </c>
      <c r="AC44" s="214"/>
      <c r="AD44" s="215"/>
      <c r="AE44" s="336" t="s">
        <v>232</v>
      </c>
      <c r="AF44" s="335" t="s">
        <v>205</v>
      </c>
    </row>
    <row r="45" spans="1:32">
      <c r="A45" s="301">
        <v>3</v>
      </c>
      <c r="B45" s="336"/>
      <c r="C45" s="336" t="s">
        <v>118</v>
      </c>
      <c r="D45" s="334" t="s">
        <v>233</v>
      </c>
      <c r="E45" s="336"/>
      <c r="F45" s="339" t="s">
        <v>226</v>
      </c>
      <c r="G45" s="302">
        <v>1</v>
      </c>
      <c r="H45" s="303">
        <v>5000</v>
      </c>
      <c r="I45" s="303">
        <v>5000</v>
      </c>
      <c r="J45" s="211"/>
      <c r="K45" s="212" t="str">
        <f>IF(OR(J45="",G45=J45),"","*")</f>
        <v/>
      </c>
      <c r="L45" s="332">
        <f>IF($A45&lt;=L$1,I45/I$4,"")</f>
        <v>9.0909090909090909E-4</v>
      </c>
      <c r="M45" s="337"/>
      <c r="N45" s="338"/>
      <c r="O45" s="304">
        <v>0</v>
      </c>
      <c r="P45" s="305">
        <v>0</v>
      </c>
      <c r="Q45" s="305">
        <v>0</v>
      </c>
      <c r="R45" s="211">
        <v>0</v>
      </c>
      <c r="S45" s="212"/>
      <c r="T45" s="213" t="e">
        <v>#DIV/0!</v>
      </c>
      <c r="U45" s="214"/>
      <c r="V45" s="215"/>
      <c r="W45" s="304">
        <v>0</v>
      </c>
      <c r="X45" s="305">
        <v>0</v>
      </c>
      <c r="Y45" s="305">
        <v>0</v>
      </c>
      <c r="Z45" s="211">
        <v>0</v>
      </c>
      <c r="AA45" s="212"/>
      <c r="AB45" s="213" t="e">
        <v>#DIV/0!</v>
      </c>
      <c r="AC45" s="214"/>
      <c r="AD45" s="215"/>
      <c r="AE45" s="336"/>
      <c r="AF45" s="335" t="s">
        <v>205</v>
      </c>
    </row>
    <row r="46" spans="1:32">
      <c r="A46" s="301">
        <v>3</v>
      </c>
      <c r="B46" s="336"/>
      <c r="C46" s="336" t="s">
        <v>118</v>
      </c>
      <c r="D46" s="334" t="s">
        <v>234</v>
      </c>
      <c r="E46" s="336"/>
      <c r="F46" s="339" t="s">
        <v>226</v>
      </c>
      <c r="G46" s="302">
        <v>2</v>
      </c>
      <c r="H46" s="303">
        <v>1000</v>
      </c>
      <c r="I46" s="303">
        <v>2000</v>
      </c>
      <c r="J46" s="211"/>
      <c r="K46" s="212" t="str">
        <f>IF(OR(J46="",G46=J46),"","*")</f>
        <v/>
      </c>
      <c r="L46" s="332">
        <f>IF($A46&lt;=L$1,I46/I$4,"")</f>
        <v>3.6363636363636361E-4</v>
      </c>
      <c r="M46" s="337"/>
      <c r="N46" s="338"/>
      <c r="O46" s="304">
        <v>0</v>
      </c>
      <c r="P46" s="305">
        <v>0</v>
      </c>
      <c r="Q46" s="305">
        <v>0</v>
      </c>
      <c r="R46" s="211">
        <v>0</v>
      </c>
      <c r="S46" s="212"/>
      <c r="T46" s="213" t="e">
        <v>#DIV/0!</v>
      </c>
      <c r="U46" s="214"/>
      <c r="V46" s="215"/>
      <c r="W46" s="304">
        <v>0</v>
      </c>
      <c r="X46" s="305">
        <v>0</v>
      </c>
      <c r="Y46" s="305">
        <v>0</v>
      </c>
      <c r="Z46" s="211">
        <v>0</v>
      </c>
      <c r="AA46" s="212"/>
      <c r="AB46" s="213" t="e">
        <v>#DIV/0!</v>
      </c>
      <c r="AC46" s="214"/>
      <c r="AD46" s="215"/>
      <c r="AE46" s="336" t="s">
        <v>235</v>
      </c>
      <c r="AF46" s="335" t="s">
        <v>205</v>
      </c>
    </row>
    <row r="47" spans="1:32">
      <c r="A47" s="301">
        <v>3</v>
      </c>
      <c r="B47" s="336"/>
      <c r="C47" s="336" t="s">
        <v>118</v>
      </c>
      <c r="D47" s="334" t="s">
        <v>236</v>
      </c>
      <c r="E47" s="336" t="s">
        <v>237</v>
      </c>
      <c r="F47" s="339" t="s">
        <v>226</v>
      </c>
      <c r="G47" s="302">
        <v>1</v>
      </c>
      <c r="H47" s="303">
        <v>8000</v>
      </c>
      <c r="I47" s="303">
        <v>8000</v>
      </c>
      <c r="J47" s="211"/>
      <c r="K47" s="212" t="str">
        <f>IF(OR(J47="",G47=J47),"","*")</f>
        <v/>
      </c>
      <c r="L47" s="332">
        <f>IF($A47&lt;=L$1,I47/I$4,"")</f>
        <v>1.4545454545454545E-3</v>
      </c>
      <c r="M47" s="337"/>
      <c r="N47" s="338"/>
      <c r="O47" s="304">
        <v>0</v>
      </c>
      <c r="P47" s="305">
        <v>0</v>
      </c>
      <c r="Q47" s="305">
        <v>0</v>
      </c>
      <c r="R47" s="211">
        <v>0</v>
      </c>
      <c r="S47" s="212"/>
      <c r="T47" s="213" t="e">
        <v>#DIV/0!</v>
      </c>
      <c r="U47" s="214"/>
      <c r="V47" s="215"/>
      <c r="W47" s="304">
        <v>0</v>
      </c>
      <c r="X47" s="305">
        <v>0</v>
      </c>
      <c r="Y47" s="305">
        <v>0</v>
      </c>
      <c r="Z47" s="211">
        <v>0</v>
      </c>
      <c r="AA47" s="212"/>
      <c r="AB47" s="213" t="e">
        <v>#DIV/0!</v>
      </c>
      <c r="AC47" s="214"/>
      <c r="AD47" s="215"/>
      <c r="AE47" s="336" t="s">
        <v>238</v>
      </c>
      <c r="AF47" s="335" t="s">
        <v>205</v>
      </c>
    </row>
    <row r="48" spans="1:32">
      <c r="A48" s="301">
        <v>3</v>
      </c>
      <c r="B48" s="336"/>
      <c r="C48" s="336" t="s">
        <v>118</v>
      </c>
      <c r="D48" s="334" t="s">
        <v>239</v>
      </c>
      <c r="E48" s="336" t="s">
        <v>240</v>
      </c>
      <c r="F48" s="339" t="s">
        <v>226</v>
      </c>
      <c r="G48" s="302">
        <v>1</v>
      </c>
      <c r="H48" s="303">
        <v>10000</v>
      </c>
      <c r="I48" s="303">
        <v>10000</v>
      </c>
      <c r="J48" s="211"/>
      <c r="K48" s="212" t="str">
        <f>IF(OR(J48="",G48=J48),"","*")</f>
        <v/>
      </c>
      <c r="L48" s="332">
        <f>IF($A48&lt;=L$1,I48/I$4,"")</f>
        <v>1.8181818181818182E-3</v>
      </c>
      <c r="M48" s="337"/>
      <c r="N48" s="338"/>
      <c r="O48" s="304">
        <v>0</v>
      </c>
      <c r="P48" s="305">
        <v>0</v>
      </c>
      <c r="Q48" s="305">
        <v>0</v>
      </c>
      <c r="R48" s="211">
        <v>0</v>
      </c>
      <c r="S48" s="212"/>
      <c r="T48" s="213" t="e">
        <v>#DIV/0!</v>
      </c>
      <c r="U48" s="214"/>
      <c r="V48" s="215"/>
      <c r="W48" s="304">
        <v>0</v>
      </c>
      <c r="X48" s="305">
        <v>0</v>
      </c>
      <c r="Y48" s="305">
        <v>0</v>
      </c>
      <c r="Z48" s="211">
        <v>0</v>
      </c>
      <c r="AA48" s="212"/>
      <c r="AB48" s="213" t="e">
        <v>#DIV/0!</v>
      </c>
      <c r="AC48" s="214"/>
      <c r="AD48" s="215"/>
      <c r="AE48" s="336"/>
      <c r="AF48" s="335" t="s">
        <v>205</v>
      </c>
    </row>
    <row r="49" spans="1:32">
      <c r="A49" s="301">
        <v>3</v>
      </c>
      <c r="B49" s="336"/>
      <c r="C49" s="336" t="s">
        <v>119</v>
      </c>
      <c r="D49" s="334" t="s">
        <v>241</v>
      </c>
      <c r="E49" s="336"/>
      <c r="F49" s="339" t="s">
        <v>226</v>
      </c>
      <c r="G49" s="302">
        <v>3</v>
      </c>
      <c r="H49" s="303">
        <v>8000</v>
      </c>
      <c r="I49" s="303">
        <v>24000</v>
      </c>
      <c r="J49" s="211"/>
      <c r="K49" s="212" t="str">
        <f>IF(OR(J49="",G49=J49),"","*")</f>
        <v/>
      </c>
      <c r="L49" s="332">
        <f>IF($A49&lt;=L$1,I49/I$4,"")</f>
        <v>4.3636363636363638E-3</v>
      </c>
      <c r="M49" s="337"/>
      <c r="N49" s="338"/>
      <c r="O49" s="304">
        <v>0</v>
      </c>
      <c r="P49" s="305">
        <v>0</v>
      </c>
      <c r="Q49" s="305">
        <v>0</v>
      </c>
      <c r="R49" s="211">
        <v>0</v>
      </c>
      <c r="S49" s="212"/>
      <c r="T49" s="213" t="e">
        <v>#DIV/0!</v>
      </c>
      <c r="U49" s="214"/>
      <c r="V49" s="215"/>
      <c r="W49" s="304">
        <v>0</v>
      </c>
      <c r="X49" s="305">
        <v>0</v>
      </c>
      <c r="Y49" s="305">
        <v>0</v>
      </c>
      <c r="Z49" s="211">
        <v>0</v>
      </c>
      <c r="AA49" s="212"/>
      <c r="AB49" s="213" t="e">
        <v>#DIV/0!</v>
      </c>
      <c r="AC49" s="214"/>
      <c r="AD49" s="215"/>
      <c r="AE49" s="336" t="s">
        <v>242</v>
      </c>
      <c r="AF49" s="335" t="s">
        <v>205</v>
      </c>
    </row>
    <row r="50" spans="1:32">
      <c r="A50" s="301">
        <v>3</v>
      </c>
      <c r="B50" s="336"/>
      <c r="C50" s="336" t="s">
        <v>119</v>
      </c>
      <c r="D50" s="334" t="s">
        <v>243</v>
      </c>
      <c r="E50" s="336"/>
      <c r="F50" s="339" t="s">
        <v>226</v>
      </c>
      <c r="G50" s="302">
        <v>1</v>
      </c>
      <c r="H50" s="303">
        <v>6000</v>
      </c>
      <c r="I50" s="303">
        <v>6000</v>
      </c>
      <c r="J50" s="211"/>
      <c r="K50" s="212" t="str">
        <f>IF(OR(J50="",G50=J50),"","*")</f>
        <v/>
      </c>
      <c r="L50" s="332">
        <f>IF($A50&lt;=L$1,I50/I$4,"")</f>
        <v>1.090909090909091E-3</v>
      </c>
      <c r="M50" s="337"/>
      <c r="N50" s="338"/>
      <c r="O50" s="304">
        <v>0</v>
      </c>
      <c r="P50" s="305">
        <v>0</v>
      </c>
      <c r="Q50" s="305">
        <v>0</v>
      </c>
      <c r="R50" s="211">
        <v>0</v>
      </c>
      <c r="S50" s="212"/>
      <c r="T50" s="213" t="e">
        <v>#DIV/0!</v>
      </c>
      <c r="U50" s="214"/>
      <c r="V50" s="215"/>
      <c r="W50" s="304">
        <v>0</v>
      </c>
      <c r="X50" s="305">
        <v>0</v>
      </c>
      <c r="Y50" s="305">
        <v>0</v>
      </c>
      <c r="Z50" s="211">
        <v>0</v>
      </c>
      <c r="AA50" s="212"/>
      <c r="AB50" s="213" t="e">
        <v>#DIV/0!</v>
      </c>
      <c r="AC50" s="214"/>
      <c r="AD50" s="215"/>
      <c r="AE50" s="336"/>
      <c r="AF50" s="335" t="s">
        <v>205</v>
      </c>
    </row>
    <row r="51" spans="1:32">
      <c r="A51" s="301">
        <v>3</v>
      </c>
      <c r="B51" s="336"/>
      <c r="C51" s="336" t="s">
        <v>119</v>
      </c>
      <c r="D51" s="334" t="s">
        <v>264</v>
      </c>
      <c r="E51" s="336" t="s">
        <v>245</v>
      </c>
      <c r="F51" s="339" t="s">
        <v>226</v>
      </c>
      <c r="G51" s="302">
        <v>3</v>
      </c>
      <c r="H51" s="303">
        <v>40000</v>
      </c>
      <c r="I51" s="303">
        <v>120000</v>
      </c>
      <c r="J51" s="211"/>
      <c r="K51" s="212" t="str">
        <f>IF(OR(J51="",G51=J51),"","*")</f>
        <v/>
      </c>
      <c r="L51" s="332">
        <f>IF($A51&lt;=L$1,I51/I$4,"")</f>
        <v>2.181818181818182E-2</v>
      </c>
      <c r="M51" s="337"/>
      <c r="N51" s="338"/>
      <c r="O51" s="304">
        <v>0</v>
      </c>
      <c r="P51" s="305">
        <v>0</v>
      </c>
      <c r="Q51" s="305">
        <v>0</v>
      </c>
      <c r="R51" s="211">
        <v>0</v>
      </c>
      <c r="S51" s="212"/>
      <c r="T51" s="213" t="e">
        <v>#DIV/0!</v>
      </c>
      <c r="U51" s="214"/>
      <c r="V51" s="215"/>
      <c r="W51" s="304">
        <v>0</v>
      </c>
      <c r="X51" s="305">
        <v>0</v>
      </c>
      <c r="Y51" s="305">
        <v>0</v>
      </c>
      <c r="Z51" s="211">
        <v>0</v>
      </c>
      <c r="AA51" s="212"/>
      <c r="AB51" s="213" t="e">
        <v>#DIV/0!</v>
      </c>
      <c r="AC51" s="214"/>
      <c r="AD51" s="215"/>
      <c r="AE51" s="336"/>
      <c r="AF51" s="335" t="s">
        <v>205</v>
      </c>
    </row>
    <row r="52" spans="1:32">
      <c r="A52" s="301">
        <v>3</v>
      </c>
      <c r="B52" s="336"/>
      <c r="C52" s="336" t="s">
        <v>118</v>
      </c>
      <c r="D52" s="334" t="s">
        <v>265</v>
      </c>
      <c r="E52" s="336"/>
      <c r="F52" s="339" t="s">
        <v>226</v>
      </c>
      <c r="G52" s="302">
        <v>1</v>
      </c>
      <c r="H52" s="303">
        <v>150000</v>
      </c>
      <c r="I52" s="303">
        <v>150000</v>
      </c>
      <c r="J52" s="211"/>
      <c r="K52" s="212" t="str">
        <f>IF(OR(J52="",G52=J52),"","*")</f>
        <v/>
      </c>
      <c r="L52" s="332">
        <f>IF($A52&lt;=L$1,I52/I$4,"")</f>
        <v>2.7272727272727271E-2</v>
      </c>
      <c r="M52" s="337"/>
      <c r="N52" s="338"/>
      <c r="O52" s="304">
        <v>0</v>
      </c>
      <c r="P52" s="305">
        <v>0</v>
      </c>
      <c r="Q52" s="305">
        <v>0</v>
      </c>
      <c r="R52" s="211">
        <v>0</v>
      </c>
      <c r="S52" s="212"/>
      <c r="T52" s="213" t="e">
        <v>#DIV/0!</v>
      </c>
      <c r="U52" s="214"/>
      <c r="V52" s="215"/>
      <c r="W52" s="304">
        <v>0</v>
      </c>
      <c r="X52" s="305">
        <v>0</v>
      </c>
      <c r="Y52" s="305">
        <v>0</v>
      </c>
      <c r="Z52" s="211">
        <v>0</v>
      </c>
      <c r="AA52" s="212"/>
      <c r="AB52" s="213" t="e">
        <v>#DIV/0!</v>
      </c>
      <c r="AC52" s="214"/>
      <c r="AD52" s="215"/>
      <c r="AE52" s="336"/>
      <c r="AF52" s="335" t="s">
        <v>205</v>
      </c>
    </row>
    <row r="53" spans="1:32">
      <c r="A53" s="301">
        <v>3</v>
      </c>
      <c r="B53" s="336"/>
      <c r="C53" s="336" t="s">
        <v>115</v>
      </c>
      <c r="D53" s="334" t="s">
        <v>249</v>
      </c>
      <c r="E53" s="336"/>
      <c r="F53" s="339" t="s">
        <v>212</v>
      </c>
      <c r="G53" s="302">
        <v>30</v>
      </c>
      <c r="H53" s="303">
        <v>1200</v>
      </c>
      <c r="I53" s="303">
        <v>36000</v>
      </c>
      <c r="J53" s="211"/>
      <c r="K53" s="212" t="str">
        <f>IF(OR(J53="",G53=J53),"","*")</f>
        <v/>
      </c>
      <c r="L53" s="332">
        <f>IF($A53&lt;=L$1,I53/I$4,"")</f>
        <v>6.5454545454545453E-3</v>
      </c>
      <c r="M53" s="337"/>
      <c r="N53" s="338"/>
      <c r="O53" s="304">
        <v>0</v>
      </c>
      <c r="P53" s="305">
        <v>0</v>
      </c>
      <c r="Q53" s="305">
        <v>0</v>
      </c>
      <c r="R53" s="211">
        <v>0</v>
      </c>
      <c r="S53" s="212"/>
      <c r="T53" s="213" t="e">
        <v>#DIV/0!</v>
      </c>
      <c r="U53" s="214"/>
      <c r="V53" s="215"/>
      <c r="W53" s="304">
        <v>0</v>
      </c>
      <c r="X53" s="305">
        <v>0</v>
      </c>
      <c r="Y53" s="305">
        <v>0</v>
      </c>
      <c r="Z53" s="211">
        <v>0</v>
      </c>
      <c r="AA53" s="212"/>
      <c r="AB53" s="213" t="e">
        <v>#DIV/0!</v>
      </c>
      <c r="AC53" s="214"/>
      <c r="AD53" s="215"/>
      <c r="AE53" s="336"/>
      <c r="AF53" s="335" t="s">
        <v>205</v>
      </c>
    </row>
    <row r="54" spans="1:32">
      <c r="A54" s="301">
        <v>3</v>
      </c>
      <c r="B54" s="336"/>
      <c r="C54" s="336" t="s">
        <v>115</v>
      </c>
      <c r="D54" s="334" t="s">
        <v>250</v>
      </c>
      <c r="E54" s="336"/>
      <c r="F54" s="339" t="s">
        <v>94</v>
      </c>
      <c r="G54" s="302">
        <v>1</v>
      </c>
      <c r="H54" s="303">
        <v>24000</v>
      </c>
      <c r="I54" s="303">
        <v>24000</v>
      </c>
      <c r="J54" s="211"/>
      <c r="K54" s="212" t="str">
        <f>IF(OR(J54="",G54=J54),"","*")</f>
        <v/>
      </c>
      <c r="L54" s="332">
        <f>IF($A54&lt;=L$1,I54/I$4,"")</f>
        <v>4.3636363636363638E-3</v>
      </c>
      <c r="M54" s="337"/>
      <c r="N54" s="338"/>
      <c r="O54" s="304">
        <v>0</v>
      </c>
      <c r="P54" s="305">
        <v>0</v>
      </c>
      <c r="Q54" s="305">
        <v>0</v>
      </c>
      <c r="R54" s="211">
        <v>0</v>
      </c>
      <c r="S54" s="212"/>
      <c r="T54" s="213" t="e">
        <v>#DIV/0!</v>
      </c>
      <c r="U54" s="214"/>
      <c r="V54" s="215"/>
      <c r="W54" s="304">
        <v>0</v>
      </c>
      <c r="X54" s="305">
        <v>0</v>
      </c>
      <c r="Y54" s="305">
        <v>0</v>
      </c>
      <c r="Z54" s="211">
        <v>0</v>
      </c>
      <c r="AA54" s="212"/>
      <c r="AB54" s="213" t="e">
        <v>#DIV/0!</v>
      </c>
      <c r="AC54" s="214"/>
      <c r="AD54" s="215"/>
      <c r="AE54" s="336"/>
      <c r="AF54" s="335" t="s">
        <v>205</v>
      </c>
    </row>
    <row r="55" spans="1:32">
      <c r="A55" s="301">
        <v>2</v>
      </c>
      <c r="B55" s="336"/>
      <c r="C55" s="336" t="s">
        <v>208</v>
      </c>
      <c r="D55" s="334" t="s">
        <v>266</v>
      </c>
      <c r="E55" s="336"/>
      <c r="F55" s="339" t="s">
        <v>94</v>
      </c>
      <c r="G55" s="302">
        <v>1</v>
      </c>
      <c r="H55" s="303">
        <v>100000</v>
      </c>
      <c r="I55" s="303">
        <v>100000</v>
      </c>
      <c r="J55" s="211">
        <v>1</v>
      </c>
      <c r="K55" s="212" t="str">
        <f>IF(OR(J55="",G55=J55),"","*")</f>
        <v/>
      </c>
      <c r="L55" s="332">
        <f>IF($A55&lt;=L$1,I55/I$4,"")</f>
        <v>1.8181818181818181E-2</v>
      </c>
      <c r="M55" s="337"/>
      <c r="N55" s="338" t="s">
        <v>267</v>
      </c>
      <c r="O55" s="304">
        <v>0</v>
      </c>
      <c r="P55" s="305">
        <v>0</v>
      </c>
      <c r="Q55" s="305">
        <v>0</v>
      </c>
      <c r="R55" s="211">
        <v>0</v>
      </c>
      <c r="S55" s="212"/>
      <c r="T55" s="213" t="e">
        <v>#DIV/0!</v>
      </c>
      <c r="U55" s="214"/>
      <c r="V55" s="215"/>
      <c r="W55" s="304">
        <v>0</v>
      </c>
      <c r="X55" s="305">
        <v>0</v>
      </c>
      <c r="Y55" s="305">
        <v>0</v>
      </c>
      <c r="Z55" s="211">
        <v>0</v>
      </c>
      <c r="AA55" s="212"/>
      <c r="AB55" s="213" t="e">
        <v>#DIV/0!</v>
      </c>
      <c r="AC55" s="214"/>
      <c r="AD55" s="215"/>
      <c r="AE55" s="336"/>
      <c r="AF55" s="335" t="s">
        <v>205</v>
      </c>
    </row>
    <row r="56" spans="1:32">
      <c r="A56" s="301">
        <v>3</v>
      </c>
      <c r="B56" s="336"/>
      <c r="C56" s="336" t="s">
        <v>117</v>
      </c>
      <c r="D56" s="334" t="s">
        <v>268</v>
      </c>
      <c r="E56" s="336"/>
      <c r="F56" s="339" t="s">
        <v>94</v>
      </c>
      <c r="G56" s="302">
        <v>1</v>
      </c>
      <c r="H56" s="303">
        <v>100000</v>
      </c>
      <c r="I56" s="303">
        <v>100000</v>
      </c>
      <c r="J56" s="211"/>
      <c r="K56" s="212" t="str">
        <f>IF(OR(J56="",G56=J56),"","*")</f>
        <v/>
      </c>
      <c r="L56" s="332">
        <f>IF($A56&lt;=L$1,I56/I$4,"")</f>
        <v>1.8181818181818181E-2</v>
      </c>
      <c r="M56" s="337"/>
      <c r="N56" s="338"/>
      <c r="O56" s="304">
        <v>0</v>
      </c>
      <c r="P56" s="305">
        <v>0</v>
      </c>
      <c r="Q56" s="305">
        <v>0</v>
      </c>
      <c r="R56" s="211">
        <v>0</v>
      </c>
      <c r="S56" s="212"/>
      <c r="T56" s="213" t="e">
        <v>#DIV/0!</v>
      </c>
      <c r="U56" s="214"/>
      <c r="V56" s="215"/>
      <c r="W56" s="304">
        <v>0</v>
      </c>
      <c r="X56" s="305">
        <v>0</v>
      </c>
      <c r="Y56" s="305">
        <v>0</v>
      </c>
      <c r="Z56" s="211">
        <v>0</v>
      </c>
      <c r="AA56" s="212"/>
      <c r="AB56" s="213" t="e">
        <v>#DIV/0!</v>
      </c>
      <c r="AC56" s="214"/>
      <c r="AD56" s="215"/>
      <c r="AE56" s="336"/>
      <c r="AF56" s="335" t="s">
        <v>205</v>
      </c>
    </row>
    <row r="57" spans="1:32">
      <c r="A57" s="301">
        <v>2</v>
      </c>
      <c r="B57" s="336"/>
      <c r="C57" s="336" t="s">
        <v>208</v>
      </c>
      <c r="D57" s="334" t="s">
        <v>269</v>
      </c>
      <c r="E57" s="336"/>
      <c r="F57" s="339" t="s">
        <v>94</v>
      </c>
      <c r="G57" s="302">
        <v>1</v>
      </c>
      <c r="H57" s="303">
        <v>60000</v>
      </c>
      <c r="I57" s="303">
        <v>60000</v>
      </c>
      <c r="J57" s="211">
        <v>1</v>
      </c>
      <c r="K57" s="212" t="str">
        <f>IF(OR(J57="",G57=J57),"","*")</f>
        <v/>
      </c>
      <c r="L57" s="332">
        <f>IF($A57&lt;=L$1,I57/I$4,"")</f>
        <v>1.090909090909091E-2</v>
      </c>
      <c r="M57" s="337"/>
      <c r="N57" s="338" t="s">
        <v>270</v>
      </c>
      <c r="O57" s="304">
        <v>0</v>
      </c>
      <c r="P57" s="305">
        <v>0</v>
      </c>
      <c r="Q57" s="305">
        <v>0</v>
      </c>
      <c r="R57" s="211">
        <v>0</v>
      </c>
      <c r="S57" s="212"/>
      <c r="T57" s="213" t="e">
        <v>#DIV/0!</v>
      </c>
      <c r="U57" s="214"/>
      <c r="V57" s="215"/>
      <c r="W57" s="304">
        <v>0</v>
      </c>
      <c r="X57" s="305">
        <v>0</v>
      </c>
      <c r="Y57" s="305">
        <v>0</v>
      </c>
      <c r="Z57" s="211">
        <v>0</v>
      </c>
      <c r="AA57" s="212"/>
      <c r="AB57" s="213" t="e">
        <v>#DIV/0!</v>
      </c>
      <c r="AC57" s="214"/>
      <c r="AD57" s="215"/>
      <c r="AE57" s="336"/>
      <c r="AF57" s="335" t="s">
        <v>205</v>
      </c>
    </row>
    <row r="58" spans="1:32">
      <c r="A58" s="301">
        <v>3</v>
      </c>
      <c r="B58" s="336"/>
      <c r="C58" s="336" t="s">
        <v>117</v>
      </c>
      <c r="D58" s="334" t="s">
        <v>271</v>
      </c>
      <c r="E58" s="336"/>
      <c r="F58" s="339" t="s">
        <v>222</v>
      </c>
      <c r="G58" s="302">
        <v>2</v>
      </c>
      <c r="H58" s="303">
        <v>30000</v>
      </c>
      <c r="I58" s="303">
        <v>60000</v>
      </c>
      <c r="J58" s="211"/>
      <c r="K58" s="212" t="str">
        <f>IF(OR(J58="",G58=J58),"","*")</f>
        <v/>
      </c>
      <c r="L58" s="332">
        <f>IF($A58&lt;=L$1,I58/I$4,"")</f>
        <v>1.090909090909091E-2</v>
      </c>
      <c r="M58" s="337"/>
      <c r="N58" s="338"/>
      <c r="O58" s="304">
        <v>0</v>
      </c>
      <c r="P58" s="305">
        <v>0</v>
      </c>
      <c r="Q58" s="305">
        <v>0</v>
      </c>
      <c r="R58" s="211">
        <v>0</v>
      </c>
      <c r="S58" s="212"/>
      <c r="T58" s="213" t="e">
        <v>#DIV/0!</v>
      </c>
      <c r="U58" s="214"/>
      <c r="V58" s="215"/>
      <c r="W58" s="304">
        <v>0</v>
      </c>
      <c r="X58" s="305">
        <v>0</v>
      </c>
      <c r="Y58" s="305">
        <v>0</v>
      </c>
      <c r="Z58" s="211">
        <v>0</v>
      </c>
      <c r="AA58" s="212"/>
      <c r="AB58" s="213" t="e">
        <v>#DIV/0!</v>
      </c>
      <c r="AC58" s="214"/>
      <c r="AD58" s="215"/>
      <c r="AE58" s="336" t="s">
        <v>272</v>
      </c>
      <c r="AF58" s="335" t="s">
        <v>205</v>
      </c>
    </row>
    <row r="59" spans="1:32">
      <c r="A59" s="301">
        <v>2</v>
      </c>
      <c r="B59" s="336"/>
      <c r="C59" s="336" t="s">
        <v>208</v>
      </c>
      <c r="D59" s="334" t="s">
        <v>273</v>
      </c>
      <c r="E59" s="336"/>
      <c r="F59" s="339" t="s">
        <v>94</v>
      </c>
      <c r="G59" s="302">
        <v>1</v>
      </c>
      <c r="H59" s="303">
        <v>300000</v>
      </c>
      <c r="I59" s="303">
        <v>300000</v>
      </c>
      <c r="J59" s="211">
        <v>1</v>
      </c>
      <c r="K59" s="212" t="str">
        <f>IF(OR(J59="",G59=J59),"","*")</f>
        <v/>
      </c>
      <c r="L59" s="332">
        <f>IF($A59&lt;=L$1,I59/I$4,"")</f>
        <v>5.4545454545454543E-2</v>
      </c>
      <c r="M59" s="337"/>
      <c r="N59" s="338" t="s">
        <v>274</v>
      </c>
      <c r="O59" s="304">
        <v>0</v>
      </c>
      <c r="P59" s="305">
        <v>0</v>
      </c>
      <c r="Q59" s="305">
        <v>0</v>
      </c>
      <c r="R59" s="211">
        <v>0</v>
      </c>
      <c r="S59" s="212"/>
      <c r="T59" s="213" t="e">
        <v>#DIV/0!</v>
      </c>
      <c r="U59" s="214"/>
      <c r="V59" s="215"/>
      <c r="W59" s="304">
        <v>0</v>
      </c>
      <c r="X59" s="305">
        <v>0</v>
      </c>
      <c r="Y59" s="305">
        <v>0</v>
      </c>
      <c r="Z59" s="211">
        <v>0</v>
      </c>
      <c r="AA59" s="212"/>
      <c r="AB59" s="213" t="e">
        <v>#DIV/0!</v>
      </c>
      <c r="AC59" s="214"/>
      <c r="AD59" s="215"/>
      <c r="AE59" s="336"/>
      <c r="AF59" s="335" t="s">
        <v>205</v>
      </c>
    </row>
    <row r="60" spans="1:32">
      <c r="A60" s="301">
        <v>3</v>
      </c>
      <c r="B60" s="336"/>
      <c r="C60" s="336" t="s">
        <v>119</v>
      </c>
      <c r="D60" s="334" t="s">
        <v>275</v>
      </c>
      <c r="E60" s="336"/>
      <c r="F60" s="339" t="s">
        <v>276</v>
      </c>
      <c r="G60" s="302">
        <v>2</v>
      </c>
      <c r="H60" s="303">
        <v>70000</v>
      </c>
      <c r="I60" s="303">
        <v>140000</v>
      </c>
      <c r="J60" s="211"/>
      <c r="K60" s="212" t="str">
        <f>IF(OR(J60="",G60=J60),"","*")</f>
        <v/>
      </c>
      <c r="L60" s="332">
        <f>IF($A60&lt;=L$1,I60/I$4,"")</f>
        <v>2.5454545454545455E-2</v>
      </c>
      <c r="M60" s="337"/>
      <c r="N60" s="338"/>
      <c r="O60" s="304">
        <v>0</v>
      </c>
      <c r="P60" s="305">
        <v>0</v>
      </c>
      <c r="Q60" s="305">
        <v>0</v>
      </c>
      <c r="R60" s="211">
        <v>0</v>
      </c>
      <c r="S60" s="212"/>
      <c r="T60" s="213" t="e">
        <v>#DIV/0!</v>
      </c>
      <c r="U60" s="214"/>
      <c r="V60" s="215"/>
      <c r="W60" s="304">
        <v>0</v>
      </c>
      <c r="X60" s="305">
        <v>0</v>
      </c>
      <c r="Y60" s="305">
        <v>0</v>
      </c>
      <c r="Z60" s="211">
        <v>0</v>
      </c>
      <c r="AA60" s="212"/>
      <c r="AB60" s="213" t="e">
        <v>#DIV/0!</v>
      </c>
      <c r="AC60" s="214"/>
      <c r="AD60" s="215"/>
      <c r="AE60" s="336" t="s">
        <v>277</v>
      </c>
      <c r="AF60" s="335" t="s">
        <v>205</v>
      </c>
    </row>
    <row r="61" spans="1:32">
      <c r="A61" s="301">
        <v>3</v>
      </c>
      <c r="B61" s="336"/>
      <c r="C61" s="336" t="s">
        <v>119</v>
      </c>
      <c r="D61" s="334" t="s">
        <v>278</v>
      </c>
      <c r="E61" s="336"/>
      <c r="F61" s="339" t="s">
        <v>276</v>
      </c>
      <c r="G61" s="302">
        <v>2</v>
      </c>
      <c r="H61" s="303">
        <v>30000</v>
      </c>
      <c r="I61" s="303">
        <v>60000</v>
      </c>
      <c r="J61" s="211"/>
      <c r="K61" s="212" t="str">
        <f>IF(OR(J61="",G61=J61),"","*")</f>
        <v/>
      </c>
      <c r="L61" s="332">
        <f>IF($A61&lt;=L$1,I61/I$4,"")</f>
        <v>1.090909090909091E-2</v>
      </c>
      <c r="M61" s="337"/>
      <c r="N61" s="338"/>
      <c r="O61" s="304">
        <v>0</v>
      </c>
      <c r="P61" s="305">
        <v>0</v>
      </c>
      <c r="Q61" s="305">
        <v>0</v>
      </c>
      <c r="R61" s="211">
        <v>0</v>
      </c>
      <c r="S61" s="212"/>
      <c r="T61" s="213" t="e">
        <v>#DIV/0!</v>
      </c>
      <c r="U61" s="214"/>
      <c r="V61" s="215"/>
      <c r="W61" s="304">
        <v>0</v>
      </c>
      <c r="X61" s="305">
        <v>0</v>
      </c>
      <c r="Y61" s="305">
        <v>0</v>
      </c>
      <c r="Z61" s="211">
        <v>0</v>
      </c>
      <c r="AA61" s="212"/>
      <c r="AB61" s="213" t="e">
        <v>#DIV/0!</v>
      </c>
      <c r="AC61" s="214"/>
      <c r="AD61" s="215"/>
      <c r="AE61" s="336" t="s">
        <v>279</v>
      </c>
      <c r="AF61" s="335" t="s">
        <v>205</v>
      </c>
    </row>
    <row r="62" spans="1:32">
      <c r="A62" s="301">
        <v>3</v>
      </c>
      <c r="B62" s="336"/>
      <c r="C62" s="336" t="s">
        <v>119</v>
      </c>
      <c r="D62" s="334" t="s">
        <v>280</v>
      </c>
      <c r="E62" s="336"/>
      <c r="F62" s="339" t="s">
        <v>276</v>
      </c>
      <c r="G62" s="302">
        <v>4</v>
      </c>
      <c r="H62" s="303">
        <v>25000</v>
      </c>
      <c r="I62" s="303">
        <v>100000</v>
      </c>
      <c r="J62" s="211"/>
      <c r="K62" s="212" t="str">
        <f>IF(OR(J62="",G62=J62),"","*")</f>
        <v/>
      </c>
      <c r="L62" s="332">
        <f>IF($A62&lt;=L$1,I62/I$4,"")</f>
        <v>1.8181818181818181E-2</v>
      </c>
      <c r="M62" s="337"/>
      <c r="N62" s="338"/>
      <c r="O62" s="304">
        <v>0</v>
      </c>
      <c r="P62" s="305">
        <v>0</v>
      </c>
      <c r="Q62" s="305">
        <v>0</v>
      </c>
      <c r="R62" s="211">
        <v>0</v>
      </c>
      <c r="S62" s="212"/>
      <c r="T62" s="213" t="e">
        <v>#DIV/0!</v>
      </c>
      <c r="U62" s="214"/>
      <c r="V62" s="215"/>
      <c r="W62" s="304">
        <v>0</v>
      </c>
      <c r="X62" s="305">
        <v>0</v>
      </c>
      <c r="Y62" s="305">
        <v>0</v>
      </c>
      <c r="Z62" s="211">
        <v>0</v>
      </c>
      <c r="AA62" s="212"/>
      <c r="AB62" s="213" t="e">
        <v>#DIV/0!</v>
      </c>
      <c r="AC62" s="214"/>
      <c r="AD62" s="215"/>
      <c r="AE62" s="336" t="s">
        <v>281</v>
      </c>
      <c r="AF62" s="335" t="s">
        <v>205</v>
      </c>
    </row>
    <row r="63" spans="1:32">
      <c r="A63" s="301">
        <v>2</v>
      </c>
      <c r="B63" s="336"/>
      <c r="C63" s="336" t="s">
        <v>208</v>
      </c>
      <c r="D63" s="334" t="s">
        <v>282</v>
      </c>
      <c r="E63" s="336"/>
      <c r="F63" s="339" t="s">
        <v>94</v>
      </c>
      <c r="G63" s="302">
        <v>1</v>
      </c>
      <c r="H63" s="303">
        <v>323000</v>
      </c>
      <c r="I63" s="303">
        <v>323000</v>
      </c>
      <c r="J63" s="211">
        <v>1</v>
      </c>
      <c r="K63" s="212" t="str">
        <f>IF(OR(J63="",G63=J63),"","*")</f>
        <v/>
      </c>
      <c r="L63" s="332">
        <f>IF($A63&lt;=L$1,I63/I$4,"")</f>
        <v>5.8727272727272725E-2</v>
      </c>
      <c r="M63" s="337"/>
      <c r="N63" s="338" t="s">
        <v>283</v>
      </c>
      <c r="O63" s="304">
        <v>0</v>
      </c>
      <c r="P63" s="305">
        <v>0</v>
      </c>
      <c r="Q63" s="305">
        <v>0</v>
      </c>
      <c r="R63" s="211">
        <v>0</v>
      </c>
      <c r="S63" s="212"/>
      <c r="T63" s="213" t="e">
        <v>#DIV/0!</v>
      </c>
      <c r="U63" s="214"/>
      <c r="V63" s="215"/>
      <c r="W63" s="304">
        <v>0</v>
      </c>
      <c r="X63" s="305">
        <v>0</v>
      </c>
      <c r="Y63" s="305">
        <v>0</v>
      </c>
      <c r="Z63" s="211">
        <v>0</v>
      </c>
      <c r="AA63" s="212"/>
      <c r="AB63" s="213" t="e">
        <v>#DIV/0!</v>
      </c>
      <c r="AC63" s="214"/>
      <c r="AD63" s="215"/>
      <c r="AE63" s="336"/>
      <c r="AF63" s="335" t="s">
        <v>205</v>
      </c>
    </row>
    <row r="64" spans="1:32">
      <c r="A64" s="301">
        <v>3</v>
      </c>
      <c r="B64" s="336"/>
      <c r="C64" s="336" t="s">
        <v>122</v>
      </c>
      <c r="D64" s="334" t="s">
        <v>284</v>
      </c>
      <c r="E64" s="336" t="s">
        <v>285</v>
      </c>
      <c r="F64" s="339" t="s">
        <v>222</v>
      </c>
      <c r="G64" s="302">
        <v>30</v>
      </c>
      <c r="H64" s="303">
        <v>4800</v>
      </c>
      <c r="I64" s="303">
        <v>144000</v>
      </c>
      <c r="J64" s="211"/>
      <c r="K64" s="212" t="str">
        <f>IF(OR(J64="",G64=J64),"","*")</f>
        <v/>
      </c>
      <c r="L64" s="332">
        <f>IF($A64&lt;=L$1,I64/I$4,"")</f>
        <v>2.6181818181818181E-2</v>
      </c>
      <c r="M64" s="337"/>
      <c r="N64" s="338"/>
      <c r="O64" s="304">
        <v>0</v>
      </c>
      <c r="P64" s="305">
        <v>0</v>
      </c>
      <c r="Q64" s="305">
        <v>0</v>
      </c>
      <c r="R64" s="211">
        <v>0</v>
      </c>
      <c r="S64" s="212"/>
      <c r="T64" s="213" t="e">
        <v>#DIV/0!</v>
      </c>
      <c r="U64" s="214"/>
      <c r="V64" s="215"/>
      <c r="W64" s="304">
        <v>0</v>
      </c>
      <c r="X64" s="305">
        <v>0</v>
      </c>
      <c r="Y64" s="305">
        <v>0</v>
      </c>
      <c r="Z64" s="211">
        <v>0</v>
      </c>
      <c r="AA64" s="212"/>
      <c r="AB64" s="213" t="e">
        <v>#DIV/0!</v>
      </c>
      <c r="AC64" s="214"/>
      <c r="AD64" s="215"/>
      <c r="AE64" s="336"/>
      <c r="AF64" s="335" t="s">
        <v>205</v>
      </c>
    </row>
    <row r="65" spans="1:32">
      <c r="A65" s="301">
        <v>3</v>
      </c>
      <c r="B65" s="336"/>
      <c r="C65" s="336" t="s">
        <v>117</v>
      </c>
      <c r="D65" s="334" t="s">
        <v>286</v>
      </c>
      <c r="E65" s="336"/>
      <c r="F65" s="339" t="s">
        <v>94</v>
      </c>
      <c r="G65" s="302">
        <v>1</v>
      </c>
      <c r="H65" s="303">
        <v>117740</v>
      </c>
      <c r="I65" s="303">
        <v>117740</v>
      </c>
      <c r="J65" s="211"/>
      <c r="K65" s="212" t="str">
        <f>IF(OR(J65="",G65=J65),"","*")</f>
        <v/>
      </c>
      <c r="L65" s="332">
        <f>IF($A65&lt;=L$1,I65/I$4,"")</f>
        <v>2.1407272727272726E-2</v>
      </c>
      <c r="M65" s="337"/>
      <c r="N65" s="338"/>
      <c r="O65" s="304">
        <v>0</v>
      </c>
      <c r="P65" s="305">
        <v>0</v>
      </c>
      <c r="Q65" s="305">
        <v>0</v>
      </c>
      <c r="R65" s="211">
        <v>0</v>
      </c>
      <c r="S65" s="212"/>
      <c r="T65" s="213" t="e">
        <v>#DIV/0!</v>
      </c>
      <c r="U65" s="214"/>
      <c r="V65" s="215"/>
      <c r="W65" s="304">
        <v>0</v>
      </c>
      <c r="X65" s="305">
        <v>0</v>
      </c>
      <c r="Y65" s="305">
        <v>0</v>
      </c>
      <c r="Z65" s="211">
        <v>0</v>
      </c>
      <c r="AA65" s="212"/>
      <c r="AB65" s="213" t="e">
        <v>#DIV/0!</v>
      </c>
      <c r="AC65" s="214"/>
      <c r="AD65" s="215"/>
      <c r="AE65" s="336"/>
      <c r="AF65" s="335" t="s">
        <v>205</v>
      </c>
    </row>
    <row r="66" spans="1:32">
      <c r="A66" s="301">
        <v>3</v>
      </c>
      <c r="B66" s="336"/>
      <c r="C66" s="336" t="s">
        <v>121</v>
      </c>
      <c r="D66" s="334" t="s">
        <v>287</v>
      </c>
      <c r="E66" s="336"/>
      <c r="F66" s="339" t="s">
        <v>94</v>
      </c>
      <c r="G66" s="302">
        <v>1</v>
      </c>
      <c r="H66" s="303">
        <v>61260</v>
      </c>
      <c r="I66" s="303">
        <v>61260</v>
      </c>
      <c r="J66" s="211"/>
      <c r="K66" s="212" t="str">
        <f>IF(OR(J66="",G66=J66),"","*")</f>
        <v/>
      </c>
      <c r="L66" s="332">
        <f>IF($A66&lt;=L$1,I66/I$4,"")</f>
        <v>1.1138181818181818E-2</v>
      </c>
      <c r="M66" s="337"/>
      <c r="N66" s="338"/>
      <c r="O66" s="304">
        <v>0</v>
      </c>
      <c r="P66" s="305">
        <v>0</v>
      </c>
      <c r="Q66" s="305">
        <v>0</v>
      </c>
      <c r="R66" s="211">
        <v>0</v>
      </c>
      <c r="S66" s="212"/>
      <c r="T66" s="213" t="e">
        <v>#DIV/0!</v>
      </c>
      <c r="U66" s="214"/>
      <c r="V66" s="215"/>
      <c r="W66" s="304">
        <v>0</v>
      </c>
      <c r="X66" s="305">
        <v>0</v>
      </c>
      <c r="Y66" s="305">
        <v>0</v>
      </c>
      <c r="Z66" s="211">
        <v>0</v>
      </c>
      <c r="AA66" s="212"/>
      <c r="AB66" s="213" t="e">
        <v>#DIV/0!</v>
      </c>
      <c r="AC66" s="214"/>
      <c r="AD66" s="215"/>
      <c r="AE66" s="336"/>
      <c r="AF66" s="335" t="s">
        <v>205</v>
      </c>
    </row>
    <row r="67" spans="1:32">
      <c r="A67" s="217"/>
      <c r="B67" s="217"/>
      <c r="C67" s="306"/>
      <c r="D67" s="217"/>
      <c r="E67" s="217"/>
      <c r="F67" s="218"/>
      <c r="G67" s="217"/>
      <c r="H67" s="217"/>
      <c r="I67" s="217"/>
      <c r="J67" s="217"/>
      <c r="K67" s="218"/>
      <c r="L67" s="217"/>
      <c r="M67" s="217"/>
      <c r="N67" s="217"/>
      <c r="O67" s="217"/>
      <c r="P67" s="217"/>
      <c r="Q67" s="217"/>
      <c r="R67" s="217"/>
      <c r="S67" s="218"/>
      <c r="T67" s="217"/>
      <c r="U67" s="217"/>
      <c r="V67" s="217"/>
      <c r="W67" s="217"/>
      <c r="X67" s="217"/>
      <c r="Y67" s="217"/>
      <c r="Z67" s="217"/>
      <c r="AA67" s="218"/>
      <c r="AB67" s="217"/>
      <c r="AC67" s="217"/>
      <c r="AD67" s="217"/>
      <c r="AE67" s="217"/>
      <c r="AF67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66 AF5:AF66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66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288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289</v>
      </c>
      <c r="C3" s="592"/>
      <c r="D3" s="116" t="s">
        <v>156</v>
      </c>
      <c r="E3" s="532" t="s">
        <v>290</v>
      </c>
      <c r="F3" s="533"/>
      <c r="G3" s="117" t="s">
        <v>156</v>
      </c>
      <c r="H3" s="69"/>
    </row>
    <row r="4" spans="1:8" ht="27" customHeight="1">
      <c r="A4" s="69"/>
      <c r="B4" s="118"/>
      <c r="C4" s="119" t="s">
        <v>58</v>
      </c>
      <c r="D4" s="309"/>
      <c r="E4" s="120"/>
      <c r="F4" s="119" t="s">
        <v>63</v>
      </c>
      <c r="G4" s="310">
        <v>214000</v>
      </c>
      <c r="H4" s="69"/>
    </row>
    <row r="5" spans="1:8" ht="27" customHeight="1">
      <c r="A5" s="69"/>
      <c r="B5" s="118"/>
      <c r="C5" s="119" t="s">
        <v>59</v>
      </c>
      <c r="D5" s="309"/>
      <c r="E5" s="120"/>
      <c r="F5" s="119" t="s">
        <v>64</v>
      </c>
      <c r="G5" s="310"/>
      <c r="H5" s="69"/>
    </row>
    <row r="6" spans="1:8" ht="27" customHeight="1">
      <c r="A6" s="69"/>
      <c r="B6" s="118"/>
      <c r="C6" s="119" t="s">
        <v>60</v>
      </c>
      <c r="D6" s="309"/>
      <c r="E6" s="120"/>
      <c r="F6" s="119" t="s">
        <v>291</v>
      </c>
      <c r="G6" s="310"/>
      <c r="H6" s="69"/>
    </row>
    <row r="7" spans="1:8" ht="27" customHeight="1">
      <c r="A7" s="69"/>
      <c r="B7" s="118"/>
      <c r="C7" s="119" t="s">
        <v>61</v>
      </c>
      <c r="D7" s="309"/>
      <c r="E7" s="120"/>
      <c r="F7" s="119" t="s">
        <v>292</v>
      </c>
      <c r="G7" s="310"/>
      <c r="H7" s="69"/>
    </row>
    <row r="8" spans="1:8" ht="27" customHeight="1">
      <c r="A8" s="69"/>
      <c r="B8" s="118"/>
      <c r="C8" s="119" t="s">
        <v>55</v>
      </c>
      <c r="D8" s="309"/>
      <c r="E8" s="120"/>
      <c r="F8" s="119" t="s">
        <v>293</v>
      </c>
      <c r="G8" s="310"/>
      <c r="H8" s="69"/>
    </row>
    <row r="9" spans="1:8" ht="27" customHeight="1">
      <c r="A9" s="69"/>
      <c r="B9" s="118"/>
      <c r="C9" s="119" t="s">
        <v>62</v>
      </c>
      <c r="D9" s="309"/>
      <c r="E9" s="120"/>
      <c r="F9" s="119" t="s">
        <v>294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295</v>
      </c>
      <c r="G10" s="310"/>
      <c r="H10" s="69"/>
    </row>
    <row r="11" spans="1:8" ht="27" customHeight="1">
      <c r="A11" s="69"/>
      <c r="B11" s="118"/>
      <c r="C11" s="119" t="s">
        <v>190</v>
      </c>
      <c r="D11" s="309"/>
      <c r="E11" s="120"/>
      <c r="F11" s="119" t="s">
        <v>296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190</v>
      </c>
      <c r="G13" s="310">
        <v>214000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297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298</v>
      </c>
      <c r="C2" s="536" t="s">
        <v>153</v>
      </c>
      <c r="D2" s="538" t="s">
        <v>299</v>
      </c>
      <c r="E2" s="536" t="s">
        <v>300</v>
      </c>
      <c r="F2" s="540" t="s">
        <v>301</v>
      </c>
      <c r="G2" s="542" t="s">
        <v>302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115</v>
      </c>
      <c r="H3" s="128" t="s">
        <v>116</v>
      </c>
      <c r="I3" s="128" t="s">
        <v>117</v>
      </c>
      <c r="J3" s="128" t="s">
        <v>118</v>
      </c>
      <c r="K3" s="128" t="s">
        <v>119</v>
      </c>
      <c r="L3" s="128" t="s">
        <v>120</v>
      </c>
      <c r="M3" s="128" t="s">
        <v>121</v>
      </c>
      <c r="N3" s="129" t="s">
        <v>122</v>
      </c>
      <c r="O3" s="69"/>
    </row>
    <row r="4" spans="1:15" ht="30" customHeight="1">
      <c r="A4" s="69"/>
      <c r="B4" s="130" t="s">
        <v>58</v>
      </c>
      <c r="C4" s="131" t="s">
        <v>94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59</v>
      </c>
      <c r="C5" s="131" t="s">
        <v>94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60</v>
      </c>
      <c r="C6" s="131" t="s">
        <v>94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61</v>
      </c>
      <c r="C7" s="131" t="s">
        <v>94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55</v>
      </c>
      <c r="C8" s="131" t="s">
        <v>94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62</v>
      </c>
      <c r="C9" s="131" t="s">
        <v>94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190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中川産業（株）構内舗装補修工事</v>
      </c>
      <c r="G1" s="300"/>
      <c r="H1" s="190" t="s">
        <v>187</v>
      </c>
      <c r="I1" s="327">
        <v>6900000</v>
      </c>
      <c r="J1" s="333">
        <f>I4/I$1</f>
        <v>0.79710144927536231</v>
      </c>
      <c r="K1" s="193"/>
      <c r="L1" s="194">
        <v>3</v>
      </c>
      <c r="M1" s="195"/>
      <c r="N1" s="195"/>
      <c r="O1" s="300"/>
      <c r="P1" s="190" t="s">
        <v>124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124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192</v>
      </c>
      <c r="B2" s="198" t="s">
        <v>303</v>
      </c>
      <c r="C2" s="200" t="s">
        <v>194</v>
      </c>
      <c r="D2" s="200" t="s">
        <v>195</v>
      </c>
      <c r="E2" s="200" t="s">
        <v>196</v>
      </c>
      <c r="F2" s="200" t="s">
        <v>153</v>
      </c>
      <c r="G2" s="526" t="s">
        <v>197</v>
      </c>
      <c r="H2" s="527"/>
      <c r="I2" s="527"/>
      <c r="J2" s="527"/>
      <c r="K2" s="527"/>
      <c r="L2" s="527"/>
      <c r="M2" s="527"/>
      <c r="N2" s="528"/>
      <c r="O2" s="526" t="s">
        <v>198</v>
      </c>
      <c r="P2" s="527"/>
      <c r="Q2" s="527"/>
      <c r="R2" s="527"/>
      <c r="S2" s="527"/>
      <c r="T2" s="527"/>
      <c r="U2" s="527"/>
      <c r="V2" s="528"/>
      <c r="W2" s="526" t="s">
        <v>199</v>
      </c>
      <c r="X2" s="527"/>
      <c r="Y2" s="527"/>
      <c r="Z2" s="527"/>
      <c r="AA2" s="527"/>
      <c r="AB2" s="527"/>
      <c r="AC2" s="527"/>
      <c r="AD2" s="528"/>
      <c r="AE2" s="199" t="s">
        <v>200</v>
      </c>
      <c r="AF2" s="529" t="s">
        <v>158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154</v>
      </c>
      <c r="H3" s="205" t="s">
        <v>155</v>
      </c>
      <c r="I3" s="205" t="s">
        <v>156</v>
      </c>
      <c r="J3" s="206" t="s">
        <v>201</v>
      </c>
      <c r="K3" s="207"/>
      <c r="L3" s="208" t="s">
        <v>202</v>
      </c>
      <c r="M3" s="208" t="s">
        <v>203</v>
      </c>
      <c r="N3" s="209" t="s">
        <v>157</v>
      </c>
      <c r="O3" s="204" t="s">
        <v>154</v>
      </c>
      <c r="P3" s="205" t="s">
        <v>155</v>
      </c>
      <c r="Q3" s="205" t="s">
        <v>156</v>
      </c>
      <c r="R3" s="206" t="s">
        <v>201</v>
      </c>
      <c r="S3" s="210"/>
      <c r="T3" s="208" t="s">
        <v>202</v>
      </c>
      <c r="U3" s="208" t="s">
        <v>203</v>
      </c>
      <c r="V3" s="209" t="s">
        <v>157</v>
      </c>
      <c r="W3" s="204" t="s">
        <v>154</v>
      </c>
      <c r="X3" s="205" t="s">
        <v>155</v>
      </c>
      <c r="Y3" s="205" t="s">
        <v>156</v>
      </c>
      <c r="Z3" s="206" t="s">
        <v>201</v>
      </c>
      <c r="AA3" s="207"/>
      <c r="AB3" s="208" t="s">
        <v>202</v>
      </c>
      <c r="AC3" s="208" t="s">
        <v>203</v>
      </c>
      <c r="AD3" s="209" t="s">
        <v>157</v>
      </c>
      <c r="AE3" s="202"/>
      <c r="AF3" s="530"/>
    </row>
    <row r="4" spans="1:32">
      <c r="A4" s="301">
        <v>0</v>
      </c>
      <c r="B4" s="336"/>
      <c r="C4" s="336" t="s">
        <v>204</v>
      </c>
      <c r="D4" s="334" t="s">
        <v>107</v>
      </c>
      <c r="E4" s="336"/>
      <c r="F4" s="339" t="s">
        <v>94</v>
      </c>
      <c r="G4" s="302">
        <v>1</v>
      </c>
      <c r="H4" s="303">
        <v>5500000</v>
      </c>
      <c r="I4" s="303">
        <v>5500000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205</v>
      </c>
      <c r="T4" s="337" t="e">
        <v>#DIV/0!</v>
      </c>
      <c r="U4" s="337" t="s">
        <v>205</v>
      </c>
      <c r="V4" s="338" t="s">
        <v>205</v>
      </c>
      <c r="W4" s="340">
        <v>0</v>
      </c>
      <c r="X4" s="341">
        <v>0</v>
      </c>
      <c r="Y4" s="341">
        <v>0</v>
      </c>
      <c r="Z4" s="342">
        <v>0</v>
      </c>
      <c r="AA4" s="343" t="s">
        <v>205</v>
      </c>
      <c r="AB4" s="337" t="e">
        <v>#DIV/0!</v>
      </c>
      <c r="AC4" s="337" t="s">
        <v>205</v>
      </c>
      <c r="AD4" s="338" t="s">
        <v>205</v>
      </c>
      <c r="AE4" s="336"/>
      <c r="AF4" s="335" t="s">
        <v>205</v>
      </c>
    </row>
    <row r="5" spans="1:32">
      <c r="A5" s="301">
        <v>1</v>
      </c>
      <c r="B5" s="336"/>
      <c r="C5" s="336" t="s">
        <v>206</v>
      </c>
      <c r="D5" s="334" t="s">
        <v>304</v>
      </c>
      <c r="E5" s="336"/>
      <c r="F5" s="339" t="s">
        <v>94</v>
      </c>
      <c r="G5" s="302">
        <v>1</v>
      </c>
      <c r="H5" s="303">
        <v>0</v>
      </c>
      <c r="I5" s="303">
        <v>0</v>
      </c>
      <c r="J5" s="211"/>
      <c r="K5" s="212" t="str">
        <f>IF(OR(J5="",G5=J5),"","*")</f>
        <v/>
      </c>
      <c r="L5" s="332">
        <f>IF($A5&lt;=L$1,I5/I$4,"")</f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205</v>
      </c>
      <c r="T5" s="337" t="e">
        <v>#DIV/0!</v>
      </c>
      <c r="U5" s="337" t="s">
        <v>205</v>
      </c>
      <c r="V5" s="338" t="s">
        <v>205</v>
      </c>
      <c r="W5" s="340">
        <v>0</v>
      </c>
      <c r="X5" s="341">
        <v>0</v>
      </c>
      <c r="Y5" s="341">
        <v>0</v>
      </c>
      <c r="Z5" s="342">
        <v>0</v>
      </c>
      <c r="AA5" s="343" t="s">
        <v>205</v>
      </c>
      <c r="AB5" s="337" t="e">
        <v>#DIV/0!</v>
      </c>
      <c r="AC5" s="337" t="s">
        <v>205</v>
      </c>
      <c r="AD5" s="338" t="s">
        <v>205</v>
      </c>
      <c r="AE5" s="336"/>
      <c r="AF5" s="335" t="s">
        <v>205</v>
      </c>
    </row>
    <row r="6" spans="1:32">
      <c r="A6" s="301">
        <v>2</v>
      </c>
      <c r="B6" s="336"/>
      <c r="C6" s="336" t="s">
        <v>208</v>
      </c>
      <c r="D6" s="334" t="s">
        <v>305</v>
      </c>
      <c r="E6" s="336"/>
      <c r="F6" s="339" t="s">
        <v>94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306</v>
      </c>
      <c r="O6" s="340">
        <v>0</v>
      </c>
      <c r="P6" s="341">
        <v>0</v>
      </c>
      <c r="Q6" s="341">
        <v>0</v>
      </c>
      <c r="R6" s="342">
        <v>0</v>
      </c>
      <c r="S6" s="343" t="s">
        <v>205</v>
      </c>
      <c r="T6" s="337" t="e">
        <v>#DIV/0!</v>
      </c>
      <c r="U6" s="337" t="s">
        <v>205</v>
      </c>
      <c r="V6" s="338" t="s">
        <v>205</v>
      </c>
      <c r="W6" s="340">
        <v>0</v>
      </c>
      <c r="X6" s="341">
        <v>0</v>
      </c>
      <c r="Y6" s="341">
        <v>0</v>
      </c>
      <c r="Z6" s="342">
        <v>0</v>
      </c>
      <c r="AA6" s="343" t="s">
        <v>205</v>
      </c>
      <c r="AB6" s="337" t="e">
        <v>#DIV/0!</v>
      </c>
      <c r="AC6" s="337" t="s">
        <v>205</v>
      </c>
      <c r="AD6" s="338" t="s">
        <v>205</v>
      </c>
      <c r="AE6" s="336"/>
      <c r="AF6" s="335" t="s">
        <v>205</v>
      </c>
    </row>
    <row r="7" spans="1:32">
      <c r="A7" s="301">
        <v>2</v>
      </c>
      <c r="B7" s="336"/>
      <c r="C7" s="336" t="s">
        <v>208</v>
      </c>
      <c r="D7" s="334" t="s">
        <v>307</v>
      </c>
      <c r="E7" s="336" t="s">
        <v>95</v>
      </c>
      <c r="F7" s="339" t="s">
        <v>94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308</v>
      </c>
      <c r="O7" s="340">
        <v>0</v>
      </c>
      <c r="P7" s="341">
        <v>0</v>
      </c>
      <c r="Q7" s="341">
        <v>0</v>
      </c>
      <c r="R7" s="342">
        <v>0</v>
      </c>
      <c r="S7" s="343" t="s">
        <v>205</v>
      </c>
      <c r="T7" s="337" t="e">
        <v>#DIV/0!</v>
      </c>
      <c r="U7" s="337" t="s">
        <v>205</v>
      </c>
      <c r="V7" s="338" t="s">
        <v>205</v>
      </c>
      <c r="W7" s="340">
        <v>0</v>
      </c>
      <c r="X7" s="341">
        <v>0</v>
      </c>
      <c r="Y7" s="341">
        <v>0</v>
      </c>
      <c r="Z7" s="342">
        <v>0</v>
      </c>
      <c r="AA7" s="343" t="s">
        <v>205</v>
      </c>
      <c r="AB7" s="337" t="e">
        <v>#DIV/0!</v>
      </c>
      <c r="AC7" s="337" t="s">
        <v>205</v>
      </c>
      <c r="AD7" s="338" t="s">
        <v>205</v>
      </c>
      <c r="AE7" s="336"/>
      <c r="AF7" s="335" t="s">
        <v>205</v>
      </c>
    </row>
    <row r="8" spans="1:32">
      <c r="A8" s="301">
        <v>2</v>
      </c>
      <c r="B8" s="336"/>
      <c r="C8" s="336" t="s">
        <v>208</v>
      </c>
      <c r="D8" s="334" t="s">
        <v>309</v>
      </c>
      <c r="E8" s="336" t="s">
        <v>96</v>
      </c>
      <c r="F8" s="339" t="s">
        <v>94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310</v>
      </c>
      <c r="O8" s="340">
        <v>0</v>
      </c>
      <c r="P8" s="341">
        <v>0</v>
      </c>
      <c r="Q8" s="341">
        <v>0</v>
      </c>
      <c r="R8" s="342">
        <v>0</v>
      </c>
      <c r="S8" s="343" t="s">
        <v>205</v>
      </c>
      <c r="T8" s="337" t="e">
        <v>#DIV/0!</v>
      </c>
      <c r="U8" s="337" t="s">
        <v>205</v>
      </c>
      <c r="V8" s="338" t="s">
        <v>205</v>
      </c>
      <c r="W8" s="340">
        <v>0</v>
      </c>
      <c r="X8" s="341">
        <v>0</v>
      </c>
      <c r="Y8" s="341">
        <v>0</v>
      </c>
      <c r="Z8" s="342">
        <v>0</v>
      </c>
      <c r="AA8" s="343" t="s">
        <v>205</v>
      </c>
      <c r="AB8" s="337" t="e">
        <v>#DIV/0!</v>
      </c>
      <c r="AC8" s="337" t="s">
        <v>205</v>
      </c>
      <c r="AD8" s="338" t="s">
        <v>205</v>
      </c>
      <c r="AE8" s="336"/>
      <c r="AF8" s="335" t="s">
        <v>205</v>
      </c>
    </row>
    <row r="9" spans="1:32">
      <c r="A9" s="301">
        <v>2</v>
      </c>
      <c r="B9" s="336"/>
      <c r="C9" s="336" t="s">
        <v>208</v>
      </c>
      <c r="D9" s="334" t="s">
        <v>311</v>
      </c>
      <c r="E9" s="336" t="s">
        <v>98</v>
      </c>
      <c r="F9" s="339" t="s">
        <v>94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312</v>
      </c>
      <c r="O9" s="340">
        <v>0</v>
      </c>
      <c r="P9" s="341">
        <v>0</v>
      </c>
      <c r="Q9" s="341">
        <v>0</v>
      </c>
      <c r="R9" s="342">
        <v>0</v>
      </c>
      <c r="S9" s="343" t="s">
        <v>205</v>
      </c>
      <c r="T9" s="337" t="e">
        <v>#DIV/0!</v>
      </c>
      <c r="U9" s="337" t="s">
        <v>205</v>
      </c>
      <c r="V9" s="338" t="s">
        <v>205</v>
      </c>
      <c r="W9" s="340">
        <v>0</v>
      </c>
      <c r="X9" s="341">
        <v>0</v>
      </c>
      <c r="Y9" s="341">
        <v>0</v>
      </c>
      <c r="Z9" s="342">
        <v>0</v>
      </c>
      <c r="AA9" s="343" t="s">
        <v>205</v>
      </c>
      <c r="AB9" s="337" t="e">
        <v>#DIV/0!</v>
      </c>
      <c r="AC9" s="337" t="s">
        <v>205</v>
      </c>
      <c r="AD9" s="338" t="s">
        <v>205</v>
      </c>
      <c r="AE9" s="336"/>
      <c r="AF9" s="335" t="s">
        <v>205</v>
      </c>
    </row>
    <row r="10" spans="1:32">
      <c r="A10" s="301">
        <v>2</v>
      </c>
      <c r="B10" s="336"/>
      <c r="C10" s="336" t="s">
        <v>208</v>
      </c>
      <c r="D10" s="334" t="s">
        <v>269</v>
      </c>
      <c r="E10" s="336" t="s">
        <v>101</v>
      </c>
      <c r="F10" s="339" t="s">
        <v>94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313</v>
      </c>
      <c r="O10" s="340">
        <v>0</v>
      </c>
      <c r="P10" s="341">
        <v>0</v>
      </c>
      <c r="Q10" s="341">
        <v>0</v>
      </c>
      <c r="R10" s="342">
        <v>0</v>
      </c>
      <c r="S10" s="343" t="s">
        <v>205</v>
      </c>
      <c r="T10" s="337" t="e">
        <v>#DIV/0!</v>
      </c>
      <c r="U10" s="337" t="s">
        <v>205</v>
      </c>
      <c r="V10" s="338" t="s">
        <v>205</v>
      </c>
      <c r="W10" s="340">
        <v>0</v>
      </c>
      <c r="X10" s="341">
        <v>0</v>
      </c>
      <c r="Y10" s="341">
        <v>0</v>
      </c>
      <c r="Z10" s="342">
        <v>0</v>
      </c>
      <c r="AA10" s="343" t="s">
        <v>205</v>
      </c>
      <c r="AB10" s="337" t="e">
        <v>#DIV/0!</v>
      </c>
      <c r="AC10" s="337" t="s">
        <v>205</v>
      </c>
      <c r="AD10" s="338" t="s">
        <v>205</v>
      </c>
      <c r="AE10" s="336"/>
      <c r="AF10" s="335" t="s">
        <v>205</v>
      </c>
    </row>
    <row r="11" spans="1:32">
      <c r="A11" s="301">
        <v>2</v>
      </c>
      <c r="B11" s="336"/>
      <c r="C11" s="336" t="s">
        <v>208</v>
      </c>
      <c r="D11" s="334" t="s">
        <v>314</v>
      </c>
      <c r="E11" s="336" t="s">
        <v>102</v>
      </c>
      <c r="F11" s="339" t="s">
        <v>94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315</v>
      </c>
      <c r="O11" s="340">
        <v>0</v>
      </c>
      <c r="P11" s="341">
        <v>0</v>
      </c>
      <c r="Q11" s="341">
        <v>0</v>
      </c>
      <c r="R11" s="342">
        <v>0</v>
      </c>
      <c r="S11" s="343" t="s">
        <v>205</v>
      </c>
      <c r="T11" s="337" t="e">
        <v>#DIV/0!</v>
      </c>
      <c r="U11" s="337" t="s">
        <v>205</v>
      </c>
      <c r="V11" s="338" t="s">
        <v>205</v>
      </c>
      <c r="W11" s="340">
        <v>0</v>
      </c>
      <c r="X11" s="341">
        <v>0</v>
      </c>
      <c r="Y11" s="341">
        <v>0</v>
      </c>
      <c r="Z11" s="342">
        <v>0</v>
      </c>
      <c r="AA11" s="343" t="s">
        <v>205</v>
      </c>
      <c r="AB11" s="337" t="e">
        <v>#DIV/0!</v>
      </c>
      <c r="AC11" s="337" t="s">
        <v>205</v>
      </c>
      <c r="AD11" s="338" t="s">
        <v>205</v>
      </c>
      <c r="AE11" s="336"/>
      <c r="AF11" s="335" t="s">
        <v>205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316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317</v>
      </c>
      <c r="C2" s="384" t="s">
        <v>196</v>
      </c>
      <c r="D2" s="384" t="s">
        <v>318</v>
      </c>
      <c r="E2" s="383" t="s">
        <v>319</v>
      </c>
      <c r="F2" s="383" t="s">
        <v>300</v>
      </c>
      <c r="G2" s="385" t="s">
        <v>301</v>
      </c>
      <c r="H2" s="137" t="s">
        <v>320</v>
      </c>
      <c r="I2" s="69"/>
    </row>
    <row r="3" spans="1:9" ht="15.75" customHeight="1">
      <c r="A3" s="69"/>
      <c r="B3" s="547" t="s">
        <v>63</v>
      </c>
      <c r="C3" s="549"/>
      <c r="D3" s="551" t="s">
        <v>94</v>
      </c>
      <c r="E3" s="553">
        <v>1</v>
      </c>
      <c r="F3" s="511">
        <v>214000</v>
      </c>
      <c r="G3" s="545">
        <v>214000</v>
      </c>
      <c r="H3" s="138" t="s">
        <v>321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164</v>
      </c>
      <c r="I4" s="69"/>
    </row>
    <row r="5" spans="1:9" ht="15.75" customHeight="1">
      <c r="A5" s="69"/>
      <c r="B5" s="547" t="s">
        <v>64</v>
      </c>
      <c r="C5" s="549" t="s">
        <v>103</v>
      </c>
      <c r="D5" s="551" t="s">
        <v>94</v>
      </c>
      <c r="E5" s="553">
        <v>1</v>
      </c>
      <c r="F5" s="511"/>
      <c r="G5" s="545"/>
      <c r="H5" s="138" t="s">
        <v>322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164</v>
      </c>
      <c r="I6" s="69"/>
    </row>
    <row r="7" spans="1:9" ht="15.75" customHeight="1">
      <c r="A7" s="69"/>
      <c r="B7" s="547" t="s">
        <v>291</v>
      </c>
      <c r="C7" s="549"/>
      <c r="D7" s="551" t="s">
        <v>94</v>
      </c>
      <c r="E7" s="553">
        <v>1</v>
      </c>
      <c r="F7" s="511"/>
      <c r="G7" s="545"/>
      <c r="H7" s="138" t="s">
        <v>323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164</v>
      </c>
      <c r="I8" s="69"/>
    </row>
    <row r="9" spans="1:9" ht="15.75" customHeight="1">
      <c r="A9" s="69"/>
      <c r="B9" s="547" t="s">
        <v>292</v>
      </c>
      <c r="C9" s="549" t="s">
        <v>324</v>
      </c>
      <c r="D9" s="551" t="s">
        <v>94</v>
      </c>
      <c r="E9" s="553">
        <v>1</v>
      </c>
      <c r="F9" s="511"/>
      <c r="G9" s="545"/>
      <c r="H9" s="138" t="s">
        <v>325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164</v>
      </c>
      <c r="I10" s="69"/>
    </row>
    <row r="11" spans="1:9" ht="15.75" customHeight="1">
      <c r="A11" s="69"/>
      <c r="B11" s="547" t="s">
        <v>293</v>
      </c>
      <c r="C11" s="549" t="s">
        <v>326</v>
      </c>
      <c r="D11" s="551" t="s">
        <v>94</v>
      </c>
      <c r="E11" s="553">
        <v>1</v>
      </c>
      <c r="F11" s="511"/>
      <c r="G11" s="545"/>
      <c r="H11" s="138" t="s">
        <v>327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164</v>
      </c>
      <c r="I12" s="69"/>
    </row>
    <row r="13" spans="1:9" ht="15.75" customHeight="1">
      <c r="A13" s="69"/>
      <c r="B13" s="547" t="s">
        <v>294</v>
      </c>
      <c r="C13" s="549" t="s">
        <v>328</v>
      </c>
      <c r="D13" s="551" t="s">
        <v>94</v>
      </c>
      <c r="E13" s="553">
        <v>1</v>
      </c>
      <c r="F13" s="511"/>
      <c r="G13" s="545"/>
      <c r="H13" s="138" t="s">
        <v>329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164</v>
      </c>
      <c r="I14" s="69"/>
    </row>
    <row r="15" spans="1:9" ht="15.75" customHeight="1">
      <c r="A15" s="69"/>
      <c r="B15" s="547" t="s">
        <v>295</v>
      </c>
      <c r="C15" s="549" t="s">
        <v>330</v>
      </c>
      <c r="D15" s="551" t="s">
        <v>94</v>
      </c>
      <c r="E15" s="553">
        <v>1</v>
      </c>
      <c r="F15" s="511"/>
      <c r="G15" s="545"/>
      <c r="H15" s="138" t="s">
        <v>331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164</v>
      </c>
      <c r="I16" s="69"/>
    </row>
    <row r="17" spans="1:9" ht="15.75" customHeight="1">
      <c r="A17" s="69"/>
      <c r="B17" s="547" t="s">
        <v>296</v>
      </c>
      <c r="C17" s="549" t="s">
        <v>332</v>
      </c>
      <c r="D17" s="551" t="s">
        <v>94</v>
      </c>
      <c r="E17" s="553">
        <v>1</v>
      </c>
      <c r="F17" s="511"/>
      <c r="G17" s="545"/>
      <c r="H17" s="138" t="s">
        <v>333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164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190</v>
      </c>
      <c r="C21" s="549"/>
      <c r="D21" s="551"/>
      <c r="E21" s="553"/>
      <c r="F21" s="511"/>
      <c r="G21" s="545">
        <v>214000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5"/>
  <sheetViews>
    <sheetView tabSelected="1"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中川産業（株）構内舗装補修工事</v>
      </c>
      <c r="G1" s="300"/>
      <c r="H1" s="190" t="s">
        <v>187</v>
      </c>
      <c r="I1" s="327">
        <v>6900000</v>
      </c>
      <c r="J1" s="333">
        <f>I4/I$1</f>
        <v>0.79710144927536231</v>
      </c>
      <c r="K1" s="193"/>
      <c r="L1" s="194">
        <v>3</v>
      </c>
      <c r="M1" s="195"/>
      <c r="N1" s="195"/>
      <c r="O1" s="300"/>
      <c r="P1" s="190" t="s">
        <v>124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124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192</v>
      </c>
      <c r="B2" s="198" t="s">
        <v>334</v>
      </c>
      <c r="C2" s="200" t="s">
        <v>194</v>
      </c>
      <c r="D2" s="200" t="s">
        <v>195</v>
      </c>
      <c r="E2" s="200" t="s">
        <v>196</v>
      </c>
      <c r="F2" s="200" t="s">
        <v>153</v>
      </c>
      <c r="G2" s="526" t="s">
        <v>197</v>
      </c>
      <c r="H2" s="527"/>
      <c r="I2" s="527"/>
      <c r="J2" s="527"/>
      <c r="K2" s="527"/>
      <c r="L2" s="527"/>
      <c r="M2" s="527"/>
      <c r="N2" s="528"/>
      <c r="O2" s="526" t="s">
        <v>198</v>
      </c>
      <c r="P2" s="527"/>
      <c r="Q2" s="527"/>
      <c r="R2" s="527"/>
      <c r="S2" s="527"/>
      <c r="T2" s="527"/>
      <c r="U2" s="527"/>
      <c r="V2" s="528"/>
      <c r="W2" s="526" t="s">
        <v>199</v>
      </c>
      <c r="X2" s="527"/>
      <c r="Y2" s="527"/>
      <c r="Z2" s="527"/>
      <c r="AA2" s="527"/>
      <c r="AB2" s="527"/>
      <c r="AC2" s="527"/>
      <c r="AD2" s="528"/>
      <c r="AE2" s="199" t="s">
        <v>200</v>
      </c>
      <c r="AF2" s="529" t="s">
        <v>158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154</v>
      </c>
      <c r="H3" s="205" t="s">
        <v>155</v>
      </c>
      <c r="I3" s="205" t="s">
        <v>156</v>
      </c>
      <c r="J3" s="206" t="s">
        <v>201</v>
      </c>
      <c r="K3" s="207"/>
      <c r="L3" s="208" t="s">
        <v>202</v>
      </c>
      <c r="M3" s="208" t="s">
        <v>203</v>
      </c>
      <c r="N3" s="209" t="s">
        <v>157</v>
      </c>
      <c r="O3" s="204" t="s">
        <v>154</v>
      </c>
      <c r="P3" s="205" t="s">
        <v>155</v>
      </c>
      <c r="Q3" s="205" t="s">
        <v>156</v>
      </c>
      <c r="R3" s="206" t="s">
        <v>201</v>
      </c>
      <c r="S3" s="210"/>
      <c r="T3" s="208" t="s">
        <v>202</v>
      </c>
      <c r="U3" s="208" t="s">
        <v>203</v>
      </c>
      <c r="V3" s="209" t="s">
        <v>157</v>
      </c>
      <c r="W3" s="204" t="s">
        <v>154</v>
      </c>
      <c r="X3" s="205" t="s">
        <v>155</v>
      </c>
      <c r="Y3" s="205" t="s">
        <v>156</v>
      </c>
      <c r="Z3" s="206" t="s">
        <v>201</v>
      </c>
      <c r="AA3" s="207"/>
      <c r="AB3" s="208" t="s">
        <v>202</v>
      </c>
      <c r="AC3" s="208" t="s">
        <v>203</v>
      </c>
      <c r="AD3" s="209" t="s">
        <v>157</v>
      </c>
      <c r="AE3" s="202"/>
      <c r="AF3" s="530"/>
    </row>
    <row r="4" spans="1:32">
      <c r="A4" s="301">
        <v>0</v>
      </c>
      <c r="B4" s="336"/>
      <c r="C4" s="336" t="s">
        <v>204</v>
      </c>
      <c r="D4" s="334" t="s">
        <v>107</v>
      </c>
      <c r="E4" s="336"/>
      <c r="F4" s="339" t="s">
        <v>94</v>
      </c>
      <c r="G4" s="302">
        <v>1</v>
      </c>
      <c r="H4" s="303">
        <v>5500000</v>
      </c>
      <c r="I4" s="303">
        <v>5500000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335</v>
      </c>
      <c r="P4" s="341" t="s">
        <v>335</v>
      </c>
      <c r="Q4" s="341" t="s">
        <v>335</v>
      </c>
      <c r="R4" s="342" t="s">
        <v>335</v>
      </c>
      <c r="S4" s="343"/>
      <c r="T4" s="337" t="s">
        <v>336</v>
      </c>
      <c r="U4" s="337"/>
      <c r="V4" s="338"/>
      <c r="W4" s="340" t="s">
        <v>335</v>
      </c>
      <c r="X4" s="341" t="s">
        <v>335</v>
      </c>
      <c r="Y4" s="341" t="s">
        <v>335</v>
      </c>
      <c r="Z4" s="342" t="s">
        <v>335</v>
      </c>
      <c r="AA4" s="343"/>
      <c r="AB4" s="337" t="s">
        <v>336</v>
      </c>
      <c r="AC4" s="337"/>
      <c r="AD4" s="338"/>
      <c r="AE4" s="336"/>
      <c r="AF4" s="335" t="s">
        <v>205</v>
      </c>
    </row>
    <row r="5" spans="1:32">
      <c r="A5" s="301">
        <v>1</v>
      </c>
      <c r="B5" s="336"/>
      <c r="C5" s="336" t="s">
        <v>206</v>
      </c>
      <c r="D5" s="334" t="s">
        <v>337</v>
      </c>
      <c r="E5" s="336"/>
      <c r="F5" s="339" t="s">
        <v>94</v>
      </c>
      <c r="G5" s="302">
        <v>1</v>
      </c>
      <c r="H5" s="303">
        <v>214000</v>
      </c>
      <c r="I5" s="303">
        <v>214000</v>
      </c>
      <c r="J5" s="211"/>
      <c r="K5" s="212" t="str">
        <f>IF(OR(J5="",G5=J5),"","*")</f>
        <v/>
      </c>
      <c r="L5" s="332">
        <f>IF($A5&lt;=L$1,I5/I$4,"")</f>
        <v>3.8909090909090907E-2</v>
      </c>
      <c r="M5" s="337"/>
      <c r="N5" s="338"/>
      <c r="O5" s="340" t="s">
        <v>335</v>
      </c>
      <c r="P5" s="341" t="s">
        <v>335</v>
      </c>
      <c r="Q5" s="341" t="s">
        <v>335</v>
      </c>
      <c r="R5" s="342" t="s">
        <v>335</v>
      </c>
      <c r="S5" s="343"/>
      <c r="T5" s="337" t="s">
        <v>336</v>
      </c>
      <c r="U5" s="337"/>
      <c r="V5" s="338"/>
      <c r="W5" s="340" t="s">
        <v>335</v>
      </c>
      <c r="X5" s="341" t="s">
        <v>335</v>
      </c>
      <c r="Y5" s="341" t="s">
        <v>335</v>
      </c>
      <c r="Z5" s="342" t="s">
        <v>335</v>
      </c>
      <c r="AA5" s="343"/>
      <c r="AB5" s="337" t="s">
        <v>336</v>
      </c>
      <c r="AC5" s="337"/>
      <c r="AD5" s="338"/>
      <c r="AE5" s="336"/>
      <c r="AF5" s="335" t="s">
        <v>205</v>
      </c>
    </row>
    <row r="6" spans="1:32">
      <c r="A6" s="301">
        <v>2</v>
      </c>
      <c r="B6" s="336"/>
      <c r="C6" s="336" t="s">
        <v>208</v>
      </c>
      <c r="D6" s="334" t="s">
        <v>338</v>
      </c>
      <c r="E6" s="336"/>
      <c r="F6" s="339" t="s">
        <v>94</v>
      </c>
      <c r="G6" s="302">
        <v>1</v>
      </c>
      <c r="H6" s="303">
        <v>214000</v>
      </c>
      <c r="I6" s="303">
        <v>214000</v>
      </c>
      <c r="J6" s="211">
        <v>1</v>
      </c>
      <c r="K6" s="212" t="str">
        <f>IF(OR(J6="",G6=J6),"","*")</f>
        <v/>
      </c>
      <c r="L6" s="332">
        <f>IF($A6&lt;=L$1,I6/I$4,"")</f>
        <v>3.8909090909090907E-2</v>
      </c>
      <c r="M6" s="337"/>
      <c r="N6" s="338" t="s">
        <v>339</v>
      </c>
      <c r="O6" s="340" t="s">
        <v>335</v>
      </c>
      <c r="P6" s="341" t="s">
        <v>335</v>
      </c>
      <c r="Q6" s="341" t="s">
        <v>335</v>
      </c>
      <c r="R6" s="342" t="s">
        <v>335</v>
      </c>
      <c r="S6" s="343"/>
      <c r="T6" s="337" t="s">
        <v>336</v>
      </c>
      <c r="U6" s="337"/>
      <c r="V6" s="338"/>
      <c r="W6" s="340" t="s">
        <v>335</v>
      </c>
      <c r="X6" s="341" t="s">
        <v>335</v>
      </c>
      <c r="Y6" s="341" t="s">
        <v>335</v>
      </c>
      <c r="Z6" s="342" t="s">
        <v>335</v>
      </c>
      <c r="AA6" s="343"/>
      <c r="AB6" s="337" t="s">
        <v>336</v>
      </c>
      <c r="AC6" s="337"/>
      <c r="AD6" s="338"/>
      <c r="AE6" s="336"/>
      <c r="AF6" s="335" t="s">
        <v>205</v>
      </c>
    </row>
    <row r="7" spans="1:32">
      <c r="A7" s="301">
        <v>3</v>
      </c>
      <c r="B7" s="336"/>
      <c r="C7" s="336" t="s">
        <v>121</v>
      </c>
      <c r="D7" s="334" t="s">
        <v>340</v>
      </c>
      <c r="E7" s="336" t="s">
        <v>341</v>
      </c>
      <c r="F7" s="339" t="s">
        <v>342</v>
      </c>
      <c r="G7" s="302">
        <v>4</v>
      </c>
      <c r="H7" s="303">
        <v>53500</v>
      </c>
      <c r="I7" s="303">
        <v>214000</v>
      </c>
      <c r="J7" s="211"/>
      <c r="K7" s="212" t="str">
        <f>IF(OR(J7="",G7=J7),"","*")</f>
        <v/>
      </c>
      <c r="L7" s="332">
        <f>IF($A7&lt;=L$1,I7/I$4,"")</f>
        <v>3.8909090909090907E-2</v>
      </c>
      <c r="M7" s="337"/>
      <c r="N7" s="338"/>
      <c r="O7" s="340" t="s">
        <v>335</v>
      </c>
      <c r="P7" s="341" t="s">
        <v>335</v>
      </c>
      <c r="Q7" s="341" t="s">
        <v>335</v>
      </c>
      <c r="R7" s="342" t="s">
        <v>335</v>
      </c>
      <c r="S7" s="343"/>
      <c r="T7" s="337" t="s">
        <v>336</v>
      </c>
      <c r="U7" s="337"/>
      <c r="V7" s="338"/>
      <c r="W7" s="340" t="s">
        <v>335</v>
      </c>
      <c r="X7" s="341" t="s">
        <v>335</v>
      </c>
      <c r="Y7" s="341" t="s">
        <v>335</v>
      </c>
      <c r="Z7" s="342" t="s">
        <v>335</v>
      </c>
      <c r="AA7" s="343"/>
      <c r="AB7" s="337" t="s">
        <v>336</v>
      </c>
      <c r="AC7" s="337"/>
      <c r="AD7" s="338"/>
      <c r="AE7" s="336" t="s">
        <v>343</v>
      </c>
      <c r="AF7" s="335" t="s">
        <v>205</v>
      </c>
    </row>
    <row r="8" spans="1:32">
      <c r="A8" s="301">
        <v>2</v>
      </c>
      <c r="B8" s="336"/>
      <c r="C8" s="336" t="s">
        <v>208</v>
      </c>
      <c r="D8" s="334" t="s">
        <v>344</v>
      </c>
      <c r="E8" s="336" t="s">
        <v>103</v>
      </c>
      <c r="F8" s="339" t="s">
        <v>94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345</v>
      </c>
      <c r="O8" s="340" t="s">
        <v>335</v>
      </c>
      <c r="P8" s="341" t="s">
        <v>335</v>
      </c>
      <c r="Q8" s="341" t="s">
        <v>335</v>
      </c>
      <c r="R8" s="342" t="s">
        <v>335</v>
      </c>
      <c r="S8" s="343"/>
      <c r="T8" s="337" t="s">
        <v>336</v>
      </c>
      <c r="U8" s="337"/>
      <c r="V8" s="338"/>
      <c r="W8" s="340" t="s">
        <v>335</v>
      </c>
      <c r="X8" s="341" t="s">
        <v>335</v>
      </c>
      <c r="Y8" s="341" t="s">
        <v>335</v>
      </c>
      <c r="Z8" s="342" t="s">
        <v>335</v>
      </c>
      <c r="AA8" s="343"/>
      <c r="AB8" s="337" t="s">
        <v>336</v>
      </c>
      <c r="AC8" s="337"/>
      <c r="AD8" s="338"/>
      <c r="AE8" s="336"/>
      <c r="AF8" s="335" t="s">
        <v>205</v>
      </c>
    </row>
    <row r="9" spans="1:32">
      <c r="A9" s="301">
        <v>2</v>
      </c>
      <c r="B9" s="336"/>
      <c r="C9" s="336" t="s">
        <v>208</v>
      </c>
      <c r="D9" s="334" t="s">
        <v>346</v>
      </c>
      <c r="E9" s="336"/>
      <c r="F9" s="339" t="s">
        <v>94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347</v>
      </c>
      <c r="O9" s="340" t="s">
        <v>335</v>
      </c>
      <c r="P9" s="341" t="s">
        <v>335</v>
      </c>
      <c r="Q9" s="341" t="s">
        <v>335</v>
      </c>
      <c r="R9" s="342" t="s">
        <v>335</v>
      </c>
      <c r="S9" s="343"/>
      <c r="T9" s="337" t="s">
        <v>336</v>
      </c>
      <c r="U9" s="337"/>
      <c r="V9" s="338"/>
      <c r="W9" s="340" t="s">
        <v>335</v>
      </c>
      <c r="X9" s="341" t="s">
        <v>335</v>
      </c>
      <c r="Y9" s="341" t="s">
        <v>335</v>
      </c>
      <c r="Z9" s="342" t="s">
        <v>335</v>
      </c>
      <c r="AA9" s="343"/>
      <c r="AB9" s="337" t="s">
        <v>336</v>
      </c>
      <c r="AC9" s="337"/>
      <c r="AD9" s="338"/>
      <c r="AE9" s="336"/>
      <c r="AF9" s="335" t="s">
        <v>205</v>
      </c>
    </row>
    <row r="10" spans="1:32">
      <c r="A10" s="301">
        <v>2</v>
      </c>
      <c r="B10" s="336"/>
      <c r="C10" s="336" t="s">
        <v>208</v>
      </c>
      <c r="D10" s="334" t="s">
        <v>348</v>
      </c>
      <c r="E10" s="336" t="s">
        <v>324</v>
      </c>
      <c r="F10" s="339" t="s">
        <v>94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349</v>
      </c>
      <c r="O10" s="340" t="s">
        <v>335</v>
      </c>
      <c r="P10" s="341" t="s">
        <v>335</v>
      </c>
      <c r="Q10" s="341" t="s">
        <v>335</v>
      </c>
      <c r="R10" s="342" t="s">
        <v>335</v>
      </c>
      <c r="S10" s="343"/>
      <c r="T10" s="337" t="s">
        <v>336</v>
      </c>
      <c r="U10" s="337"/>
      <c r="V10" s="338"/>
      <c r="W10" s="340" t="s">
        <v>335</v>
      </c>
      <c r="X10" s="341" t="s">
        <v>335</v>
      </c>
      <c r="Y10" s="341" t="s">
        <v>335</v>
      </c>
      <c r="Z10" s="342" t="s">
        <v>335</v>
      </c>
      <c r="AA10" s="343"/>
      <c r="AB10" s="337" t="s">
        <v>336</v>
      </c>
      <c r="AC10" s="337"/>
      <c r="AD10" s="338"/>
      <c r="AE10" s="336"/>
      <c r="AF10" s="335" t="s">
        <v>205</v>
      </c>
    </row>
    <row r="11" spans="1:32">
      <c r="A11" s="301">
        <v>2</v>
      </c>
      <c r="B11" s="336"/>
      <c r="C11" s="336" t="s">
        <v>208</v>
      </c>
      <c r="D11" s="334" t="s">
        <v>350</v>
      </c>
      <c r="E11" s="336" t="s">
        <v>326</v>
      </c>
      <c r="F11" s="339" t="s">
        <v>94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351</v>
      </c>
      <c r="O11" s="340" t="s">
        <v>335</v>
      </c>
      <c r="P11" s="341" t="s">
        <v>335</v>
      </c>
      <c r="Q11" s="341" t="s">
        <v>335</v>
      </c>
      <c r="R11" s="342" t="s">
        <v>335</v>
      </c>
      <c r="S11" s="343"/>
      <c r="T11" s="337" t="s">
        <v>336</v>
      </c>
      <c r="U11" s="337"/>
      <c r="V11" s="338"/>
      <c r="W11" s="340" t="s">
        <v>335</v>
      </c>
      <c r="X11" s="341" t="s">
        <v>335</v>
      </c>
      <c r="Y11" s="341" t="s">
        <v>335</v>
      </c>
      <c r="Z11" s="342" t="s">
        <v>335</v>
      </c>
      <c r="AA11" s="343"/>
      <c r="AB11" s="337" t="s">
        <v>336</v>
      </c>
      <c r="AC11" s="337"/>
      <c r="AD11" s="338"/>
      <c r="AE11" s="336"/>
      <c r="AF11" s="335" t="s">
        <v>205</v>
      </c>
    </row>
    <row r="12" spans="1:32">
      <c r="A12" s="301">
        <v>2</v>
      </c>
      <c r="B12" s="336"/>
      <c r="C12" s="336" t="s">
        <v>208</v>
      </c>
      <c r="D12" s="334" t="s">
        <v>352</v>
      </c>
      <c r="E12" s="336" t="s">
        <v>328</v>
      </c>
      <c r="F12" s="339" t="s">
        <v>94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353</v>
      </c>
      <c r="O12" s="340" t="s">
        <v>335</v>
      </c>
      <c r="P12" s="341" t="s">
        <v>335</v>
      </c>
      <c r="Q12" s="341" t="s">
        <v>335</v>
      </c>
      <c r="R12" s="342" t="s">
        <v>335</v>
      </c>
      <c r="S12" s="343"/>
      <c r="T12" s="337" t="s">
        <v>336</v>
      </c>
      <c r="U12" s="337"/>
      <c r="V12" s="338"/>
      <c r="W12" s="340" t="s">
        <v>335</v>
      </c>
      <c r="X12" s="341" t="s">
        <v>335</v>
      </c>
      <c r="Y12" s="341" t="s">
        <v>335</v>
      </c>
      <c r="Z12" s="342" t="s">
        <v>335</v>
      </c>
      <c r="AA12" s="343"/>
      <c r="AB12" s="337" t="s">
        <v>336</v>
      </c>
      <c r="AC12" s="337"/>
      <c r="AD12" s="338"/>
      <c r="AE12" s="336"/>
      <c r="AF12" s="335" t="s">
        <v>205</v>
      </c>
    </row>
    <row r="13" spans="1:32">
      <c r="A13" s="301">
        <v>2</v>
      </c>
      <c r="B13" s="336"/>
      <c r="C13" s="336" t="s">
        <v>208</v>
      </c>
      <c r="D13" s="334" t="s">
        <v>354</v>
      </c>
      <c r="E13" s="336" t="s">
        <v>330</v>
      </c>
      <c r="F13" s="339" t="s">
        <v>94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355</v>
      </c>
      <c r="O13" s="340" t="s">
        <v>335</v>
      </c>
      <c r="P13" s="341" t="s">
        <v>335</v>
      </c>
      <c r="Q13" s="341" t="s">
        <v>335</v>
      </c>
      <c r="R13" s="342" t="s">
        <v>335</v>
      </c>
      <c r="S13" s="343"/>
      <c r="T13" s="337" t="s">
        <v>336</v>
      </c>
      <c r="U13" s="337"/>
      <c r="V13" s="338"/>
      <c r="W13" s="340" t="s">
        <v>335</v>
      </c>
      <c r="X13" s="341" t="s">
        <v>335</v>
      </c>
      <c r="Y13" s="341" t="s">
        <v>335</v>
      </c>
      <c r="Z13" s="342" t="s">
        <v>335</v>
      </c>
      <c r="AA13" s="343"/>
      <c r="AB13" s="337" t="s">
        <v>336</v>
      </c>
      <c r="AC13" s="337"/>
      <c r="AD13" s="338"/>
      <c r="AE13" s="336"/>
      <c r="AF13" s="335" t="s">
        <v>205</v>
      </c>
    </row>
    <row r="14" spans="1:32">
      <c r="A14" s="301">
        <v>2</v>
      </c>
      <c r="B14" s="336"/>
      <c r="C14" s="336" t="s">
        <v>208</v>
      </c>
      <c r="D14" s="334" t="s">
        <v>356</v>
      </c>
      <c r="E14" s="336" t="s">
        <v>332</v>
      </c>
      <c r="F14" s="339" t="s">
        <v>94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357</v>
      </c>
      <c r="O14" s="340" t="s">
        <v>335</v>
      </c>
      <c r="P14" s="341" t="s">
        <v>335</v>
      </c>
      <c r="Q14" s="341" t="s">
        <v>335</v>
      </c>
      <c r="R14" s="342" t="s">
        <v>335</v>
      </c>
      <c r="S14" s="343"/>
      <c r="T14" s="337" t="s">
        <v>336</v>
      </c>
      <c r="U14" s="337"/>
      <c r="V14" s="338"/>
      <c r="W14" s="340" t="s">
        <v>335</v>
      </c>
      <c r="X14" s="341" t="s">
        <v>335</v>
      </c>
      <c r="Y14" s="341" t="s">
        <v>335</v>
      </c>
      <c r="Z14" s="342" t="s">
        <v>335</v>
      </c>
      <c r="AA14" s="343"/>
      <c r="AB14" s="337" t="s">
        <v>336</v>
      </c>
      <c r="AC14" s="337"/>
      <c r="AD14" s="338"/>
      <c r="AE14" s="336"/>
      <c r="AF14" s="335" t="s">
        <v>205</v>
      </c>
    </row>
    <row r="15" spans="1:32">
      <c r="A15" s="217"/>
      <c r="B15" s="217"/>
      <c r="C15" s="306"/>
      <c r="D15" s="217"/>
      <c r="E15" s="217"/>
      <c r="F15" s="218"/>
      <c r="G15" s="217"/>
      <c r="H15" s="217"/>
      <c r="I15" s="217"/>
      <c r="J15" s="217"/>
      <c r="K15" s="218"/>
      <c r="L15" s="217"/>
      <c r="M15" s="217"/>
      <c r="N15" s="217"/>
      <c r="O15" s="217"/>
      <c r="P15" s="217"/>
      <c r="Q15" s="217"/>
      <c r="R15" s="217"/>
      <c r="S15" s="218"/>
      <c r="T15" s="217"/>
      <c r="U15" s="217"/>
      <c r="V15" s="217"/>
      <c r="W15" s="217"/>
      <c r="X15" s="217"/>
      <c r="Y15" s="217"/>
      <c r="Z15" s="217"/>
      <c r="AA15" s="218"/>
      <c r="AB15" s="217"/>
      <c r="AC15" s="217"/>
      <c r="AD15" s="217"/>
      <c r="AE15" s="217"/>
      <c r="AF15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4 AF5:AF14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4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49"/>
  <sheetViews>
    <sheetView zoomScaleNormal="100" zoomScaleSheetLayoutView="85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358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359</v>
      </c>
      <c r="C3" s="146" t="s">
        <v>360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361</v>
      </c>
      <c r="K4" s="69"/>
    </row>
    <row r="5" spans="1:11" ht="18" customHeight="1">
      <c r="A5" s="69"/>
      <c r="B5" s="580" t="s">
        <v>362</v>
      </c>
      <c r="C5" s="581"/>
      <c r="D5" s="153" t="s">
        <v>318</v>
      </c>
      <c r="E5" s="153" t="s">
        <v>363</v>
      </c>
      <c r="F5" s="153" t="s">
        <v>364</v>
      </c>
      <c r="G5" s="153" t="s">
        <v>365</v>
      </c>
      <c r="H5" s="154" t="s">
        <v>366</v>
      </c>
      <c r="I5" s="153" t="s">
        <v>367</v>
      </c>
      <c r="J5" s="155" t="s">
        <v>368</v>
      </c>
      <c r="K5" s="69"/>
    </row>
    <row r="6" spans="1:11" ht="10.5" customHeight="1">
      <c r="A6" s="69"/>
      <c r="B6" s="156" t="s">
        <v>369</v>
      </c>
      <c r="C6" s="157"/>
      <c r="D6" s="562" t="s">
        <v>370</v>
      </c>
      <c r="E6" s="578">
        <v>100</v>
      </c>
      <c r="F6" s="566">
        <v>1200</v>
      </c>
      <c r="G6" s="568">
        <v>120000</v>
      </c>
      <c r="H6" s="345"/>
      <c r="I6" s="345"/>
      <c r="J6" s="158"/>
      <c r="K6" s="69" t="s">
        <v>160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371</v>
      </c>
      <c r="J7" s="161"/>
      <c r="K7" s="69" t="s">
        <v>160</v>
      </c>
    </row>
    <row r="8" spans="1:11" ht="10.5" customHeight="1">
      <c r="A8" s="69"/>
      <c r="B8" s="156" t="s">
        <v>372</v>
      </c>
      <c r="C8" s="157"/>
      <c r="D8" s="562" t="s">
        <v>373</v>
      </c>
      <c r="E8" s="578">
        <v>0.4</v>
      </c>
      <c r="F8" s="566">
        <v>155000</v>
      </c>
      <c r="G8" s="568">
        <v>62000</v>
      </c>
      <c r="H8" s="345"/>
      <c r="I8" s="345"/>
      <c r="J8" s="162"/>
      <c r="K8" s="69" t="s">
        <v>160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371</v>
      </c>
      <c r="J9" s="162"/>
      <c r="K9" s="69" t="s">
        <v>160</v>
      </c>
    </row>
    <row r="10" spans="1:11" ht="10.5" customHeight="1">
      <c r="A10" s="69"/>
      <c r="B10" s="156" t="s">
        <v>374</v>
      </c>
      <c r="C10" s="157"/>
      <c r="D10" s="562" t="s">
        <v>375</v>
      </c>
      <c r="E10" s="578">
        <v>180</v>
      </c>
      <c r="F10" s="566">
        <v>2900</v>
      </c>
      <c r="G10" s="568">
        <v>522000</v>
      </c>
      <c r="H10" s="345"/>
      <c r="I10" s="345"/>
      <c r="J10" s="158"/>
      <c r="K10" s="69" t="s">
        <v>160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371</v>
      </c>
      <c r="J11" s="161"/>
      <c r="K11" s="69" t="s">
        <v>160</v>
      </c>
    </row>
    <row r="12" spans="1:11" ht="10.5" customHeight="1">
      <c r="A12" s="69"/>
      <c r="B12" s="156" t="s">
        <v>376</v>
      </c>
      <c r="C12" s="157"/>
      <c r="D12" s="562" t="s">
        <v>370</v>
      </c>
      <c r="E12" s="564">
        <v>50</v>
      </c>
      <c r="F12" s="566">
        <v>15500</v>
      </c>
      <c r="G12" s="568">
        <v>775000</v>
      </c>
      <c r="H12" s="345"/>
      <c r="I12" s="345"/>
      <c r="J12" s="158"/>
      <c r="K12" s="69" t="s">
        <v>160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371</v>
      </c>
      <c r="J13" s="161"/>
      <c r="K13" s="69" t="s">
        <v>160</v>
      </c>
    </row>
    <row r="14" spans="1:11" ht="10.5" customHeight="1">
      <c r="A14" s="69"/>
      <c r="B14" s="156" t="s">
        <v>377</v>
      </c>
      <c r="C14" s="157"/>
      <c r="D14" s="562" t="s">
        <v>370</v>
      </c>
      <c r="E14" s="564">
        <v>36</v>
      </c>
      <c r="F14" s="566">
        <v>11700</v>
      </c>
      <c r="G14" s="568">
        <v>421200</v>
      </c>
      <c r="H14" s="345"/>
      <c r="I14" s="345"/>
      <c r="J14" s="158"/>
      <c r="K14" s="69" t="s">
        <v>160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371</v>
      </c>
      <c r="J15" s="161"/>
      <c r="K15" s="69" t="s">
        <v>160</v>
      </c>
    </row>
    <row r="16" spans="1:11" ht="10.5" customHeight="1">
      <c r="A16" s="69"/>
      <c r="B16" s="156" t="s">
        <v>378</v>
      </c>
      <c r="C16" s="157"/>
      <c r="D16" s="562" t="s">
        <v>379</v>
      </c>
      <c r="E16" s="564">
        <v>1</v>
      </c>
      <c r="F16" s="566">
        <v>26800</v>
      </c>
      <c r="G16" s="568">
        <v>26800</v>
      </c>
      <c r="H16" s="345"/>
      <c r="I16" s="345"/>
      <c r="J16" s="158"/>
      <c r="K16" s="69" t="s">
        <v>160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371</v>
      </c>
      <c r="J17" s="161"/>
      <c r="K17" s="69" t="s">
        <v>160</v>
      </c>
    </row>
    <row r="18" spans="1:11" ht="10.5" customHeight="1">
      <c r="A18" s="69"/>
      <c r="B18" s="156" t="s">
        <v>378</v>
      </c>
      <c r="C18" s="157"/>
      <c r="D18" s="562" t="s">
        <v>379</v>
      </c>
      <c r="E18" s="564">
        <v>1</v>
      </c>
      <c r="F18" s="566">
        <v>26600</v>
      </c>
      <c r="G18" s="568">
        <v>26600</v>
      </c>
      <c r="H18" s="345"/>
      <c r="I18" s="345"/>
      <c r="J18" s="158"/>
      <c r="K18" s="69" t="s">
        <v>160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371</v>
      </c>
      <c r="J19" s="161"/>
      <c r="K19" s="69" t="s">
        <v>160</v>
      </c>
    </row>
    <row r="20" spans="1:11" ht="10.5" customHeight="1">
      <c r="A20" s="69"/>
      <c r="B20" s="156" t="s">
        <v>378</v>
      </c>
      <c r="C20" s="157"/>
      <c r="D20" s="562" t="s">
        <v>379</v>
      </c>
      <c r="E20" s="564">
        <v>1</v>
      </c>
      <c r="F20" s="566">
        <v>24000</v>
      </c>
      <c r="G20" s="568">
        <v>24000</v>
      </c>
      <c r="H20" s="345"/>
      <c r="I20" s="345"/>
      <c r="J20" s="158"/>
      <c r="K20" s="69" t="s">
        <v>160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371</v>
      </c>
      <c r="J21" s="161"/>
      <c r="K21" s="69" t="s">
        <v>160</v>
      </c>
    </row>
    <row r="22" spans="1:11" ht="10.5" customHeight="1">
      <c r="A22" s="69"/>
      <c r="B22" s="156" t="s">
        <v>380</v>
      </c>
      <c r="C22" s="157"/>
      <c r="D22" s="562" t="s">
        <v>370</v>
      </c>
      <c r="E22" s="564">
        <v>32</v>
      </c>
      <c r="F22" s="566">
        <v>13000</v>
      </c>
      <c r="G22" s="568">
        <v>416000</v>
      </c>
      <c r="H22" s="345"/>
      <c r="I22" s="345"/>
      <c r="J22" s="158"/>
      <c r="K22" s="69" t="s">
        <v>160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 t="s">
        <v>371</v>
      </c>
      <c r="J23" s="161"/>
      <c r="K23" s="69" t="s">
        <v>160</v>
      </c>
    </row>
    <row r="24" spans="1:11" ht="10.5" customHeight="1">
      <c r="A24" s="69"/>
      <c r="B24" s="156" t="s">
        <v>381</v>
      </c>
      <c r="C24" s="157"/>
      <c r="D24" s="562" t="s">
        <v>379</v>
      </c>
      <c r="E24" s="578">
        <v>1</v>
      </c>
      <c r="F24" s="566">
        <v>20000</v>
      </c>
      <c r="G24" s="568">
        <v>20000</v>
      </c>
      <c r="H24" s="345"/>
      <c r="I24" s="345"/>
      <c r="J24" s="158"/>
      <c r="K24" s="69" t="s">
        <v>160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 t="s">
        <v>371</v>
      </c>
      <c r="J25" s="161"/>
      <c r="K25" s="69" t="s">
        <v>160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160</v>
      </c>
    </row>
    <row r="28" spans="1:11" ht="10.5" customHeight="1">
      <c r="A28" s="69"/>
      <c r="B28" s="156" t="s">
        <v>382</v>
      </c>
      <c r="C28" s="157"/>
      <c r="D28" s="562"/>
      <c r="E28" s="564"/>
      <c r="F28" s="566"/>
      <c r="G28" s="568">
        <v>2413600</v>
      </c>
      <c r="H28" s="345"/>
      <c r="I28" s="345"/>
      <c r="J28" s="158"/>
      <c r="K28" s="69" t="s">
        <v>160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383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359</v>
      </c>
      <c r="C3" s="146" t="s">
        <v>360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361</v>
      </c>
      <c r="K4" s="69"/>
    </row>
    <row r="5" spans="1:11" ht="18" customHeight="1">
      <c r="A5" s="69"/>
      <c r="B5" s="580" t="s">
        <v>362</v>
      </c>
      <c r="C5" s="581"/>
      <c r="D5" s="153" t="s">
        <v>318</v>
      </c>
      <c r="E5" s="153" t="s">
        <v>363</v>
      </c>
      <c r="F5" s="153" t="s">
        <v>364</v>
      </c>
      <c r="G5" s="153" t="s">
        <v>365</v>
      </c>
      <c r="H5" s="154" t="s">
        <v>366</v>
      </c>
      <c r="I5" s="153" t="s">
        <v>367</v>
      </c>
      <c r="J5" s="155" t="s">
        <v>368</v>
      </c>
      <c r="K5" s="69"/>
    </row>
    <row r="6" spans="1:11" ht="10.5" customHeight="1">
      <c r="A6" s="69"/>
      <c r="B6" s="156" t="s">
        <v>384</v>
      </c>
      <c r="C6" s="157"/>
      <c r="D6" s="562" t="s">
        <v>385</v>
      </c>
      <c r="E6" s="578">
        <v>30</v>
      </c>
      <c r="F6" s="566">
        <v>30000</v>
      </c>
      <c r="G6" s="568">
        <v>900000</v>
      </c>
      <c r="H6" s="345"/>
      <c r="I6" s="345"/>
      <c r="J6" s="158"/>
      <c r="K6" s="69" t="s">
        <v>160</v>
      </c>
    </row>
    <row r="7" spans="1:11" ht="10.5" customHeight="1">
      <c r="A7" s="69"/>
      <c r="B7" s="159" t="s">
        <v>386</v>
      </c>
      <c r="C7" s="160"/>
      <c r="D7" s="563"/>
      <c r="E7" s="579"/>
      <c r="F7" s="567"/>
      <c r="G7" s="569"/>
      <c r="H7" s="346"/>
      <c r="I7" s="346" t="s">
        <v>387</v>
      </c>
      <c r="J7" s="161"/>
      <c r="K7" s="69" t="s">
        <v>160</v>
      </c>
    </row>
    <row r="8" spans="1:11" ht="10.5" customHeight="1">
      <c r="A8" s="69"/>
      <c r="B8" s="156"/>
      <c r="C8" s="157"/>
      <c r="D8" s="562"/>
      <c r="E8" s="578"/>
      <c r="F8" s="566"/>
      <c r="G8" s="568"/>
      <c r="H8" s="345"/>
      <c r="I8" s="345"/>
      <c r="J8" s="162"/>
      <c r="K8" s="69" t="s">
        <v>160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/>
      <c r="J9" s="162"/>
      <c r="K9" s="69" t="s">
        <v>160</v>
      </c>
    </row>
    <row r="10" spans="1:11" ht="10.5" customHeight="1">
      <c r="A10" s="69"/>
      <c r="B10" s="156" t="s">
        <v>382</v>
      </c>
      <c r="C10" s="157"/>
      <c r="D10" s="562"/>
      <c r="E10" s="578"/>
      <c r="F10" s="566"/>
      <c r="G10" s="568">
        <v>900000</v>
      </c>
      <c r="H10" s="345"/>
      <c r="I10" s="345"/>
      <c r="J10" s="158"/>
      <c r="K10" s="69" t="s">
        <v>160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160</v>
      </c>
    </row>
    <row r="12" spans="1:11" ht="10.5" customHeight="1">
      <c r="A12" s="69"/>
      <c r="B12" s="156"/>
      <c r="C12" s="157"/>
      <c r="D12" s="562"/>
      <c r="E12" s="564"/>
      <c r="F12" s="566"/>
      <c r="G12" s="568"/>
      <c r="H12" s="345"/>
      <c r="I12" s="345"/>
      <c r="J12" s="158"/>
      <c r="K12" s="69" t="s">
        <v>160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160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160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160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160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160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160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160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160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388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359</v>
      </c>
      <c r="C3" s="146" t="s">
        <v>360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361</v>
      </c>
      <c r="K4" s="69"/>
    </row>
    <row r="5" spans="1:11" ht="18" customHeight="1">
      <c r="A5" s="69"/>
      <c r="B5" s="580" t="s">
        <v>362</v>
      </c>
      <c r="C5" s="581"/>
      <c r="D5" s="153" t="s">
        <v>318</v>
      </c>
      <c r="E5" s="153" t="s">
        <v>363</v>
      </c>
      <c r="F5" s="153" t="s">
        <v>364</v>
      </c>
      <c r="G5" s="153" t="s">
        <v>365</v>
      </c>
      <c r="H5" s="154" t="s">
        <v>366</v>
      </c>
      <c r="I5" s="153" t="s">
        <v>367</v>
      </c>
      <c r="J5" s="155" t="s">
        <v>368</v>
      </c>
      <c r="K5" s="69"/>
    </row>
    <row r="6" spans="1:11" ht="10.5" customHeight="1">
      <c r="A6" s="69"/>
      <c r="B6" s="156" t="s">
        <v>389</v>
      </c>
      <c r="C6" s="157"/>
      <c r="D6" s="562" t="s">
        <v>379</v>
      </c>
      <c r="E6" s="578">
        <v>1</v>
      </c>
      <c r="F6" s="566">
        <v>50000</v>
      </c>
      <c r="G6" s="568">
        <v>50000</v>
      </c>
      <c r="H6" s="345"/>
      <c r="I6" s="345"/>
      <c r="J6" s="158"/>
      <c r="K6" s="69" t="s">
        <v>160</v>
      </c>
    </row>
    <row r="7" spans="1:11" ht="10.5" customHeight="1">
      <c r="A7" s="69"/>
      <c r="B7" s="159" t="s">
        <v>390</v>
      </c>
      <c r="C7" s="160"/>
      <c r="D7" s="563"/>
      <c r="E7" s="579"/>
      <c r="F7" s="567"/>
      <c r="G7" s="569"/>
      <c r="H7" s="346"/>
      <c r="I7" s="346" t="s">
        <v>391</v>
      </c>
      <c r="J7" s="161"/>
      <c r="K7" s="69" t="s">
        <v>160</v>
      </c>
    </row>
    <row r="8" spans="1:11" ht="10.5" customHeight="1">
      <c r="A8" s="69"/>
      <c r="B8" s="156" t="s">
        <v>392</v>
      </c>
      <c r="C8" s="157"/>
      <c r="D8" s="562" t="s">
        <v>379</v>
      </c>
      <c r="E8" s="578">
        <v>1</v>
      </c>
      <c r="F8" s="566">
        <v>117740</v>
      </c>
      <c r="G8" s="568">
        <v>117740</v>
      </c>
      <c r="H8" s="345"/>
      <c r="I8" s="345"/>
      <c r="J8" s="162"/>
      <c r="K8" s="69" t="s">
        <v>160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391</v>
      </c>
      <c r="J9" s="162"/>
      <c r="K9" s="69" t="s">
        <v>160</v>
      </c>
    </row>
    <row r="10" spans="1:11" ht="10.5" customHeight="1">
      <c r="A10" s="69"/>
      <c r="B10" s="156" t="s">
        <v>393</v>
      </c>
      <c r="C10" s="157"/>
      <c r="D10" s="562" t="s">
        <v>379</v>
      </c>
      <c r="E10" s="578">
        <v>1</v>
      </c>
      <c r="F10" s="566">
        <v>100000</v>
      </c>
      <c r="G10" s="568">
        <v>100000</v>
      </c>
      <c r="H10" s="345"/>
      <c r="I10" s="345"/>
      <c r="J10" s="158"/>
      <c r="K10" s="69" t="s">
        <v>160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391</v>
      </c>
      <c r="J11" s="161"/>
      <c r="K11" s="69" t="s">
        <v>160</v>
      </c>
    </row>
    <row r="12" spans="1:11" ht="10.5" customHeight="1">
      <c r="A12" s="69"/>
      <c r="B12" s="156" t="s">
        <v>394</v>
      </c>
      <c r="C12" s="157"/>
      <c r="D12" s="562" t="s">
        <v>385</v>
      </c>
      <c r="E12" s="564">
        <v>2</v>
      </c>
      <c r="F12" s="566">
        <v>30000</v>
      </c>
      <c r="G12" s="568">
        <v>60000</v>
      </c>
      <c r="H12" s="345"/>
      <c r="I12" s="345"/>
      <c r="J12" s="158"/>
      <c r="K12" s="69" t="s">
        <v>160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391</v>
      </c>
      <c r="J13" s="161"/>
      <c r="K13" s="69" t="s">
        <v>160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160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160</v>
      </c>
    </row>
    <row r="16" spans="1:11" ht="10.5" customHeight="1">
      <c r="A16" s="69"/>
      <c r="B16" s="156" t="s">
        <v>382</v>
      </c>
      <c r="C16" s="157"/>
      <c r="D16" s="562"/>
      <c r="E16" s="564"/>
      <c r="F16" s="566"/>
      <c r="G16" s="568">
        <v>327740</v>
      </c>
      <c r="H16" s="345"/>
      <c r="I16" s="345"/>
      <c r="J16" s="158"/>
      <c r="K16" s="69" t="s">
        <v>160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160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160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160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160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160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160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395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359</v>
      </c>
      <c r="C3" s="146" t="s">
        <v>360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361</v>
      </c>
      <c r="K4" s="69"/>
    </row>
    <row r="5" spans="1:11" ht="18" customHeight="1">
      <c r="A5" s="69"/>
      <c r="B5" s="580" t="s">
        <v>362</v>
      </c>
      <c r="C5" s="581"/>
      <c r="D5" s="153" t="s">
        <v>318</v>
      </c>
      <c r="E5" s="153" t="s">
        <v>363</v>
      </c>
      <c r="F5" s="153" t="s">
        <v>364</v>
      </c>
      <c r="G5" s="153" t="s">
        <v>365</v>
      </c>
      <c r="H5" s="154" t="s">
        <v>366</v>
      </c>
      <c r="I5" s="153" t="s">
        <v>367</v>
      </c>
      <c r="J5" s="155" t="s">
        <v>368</v>
      </c>
      <c r="K5" s="69"/>
    </row>
    <row r="6" spans="1:11" ht="10.5" customHeight="1">
      <c r="A6" s="69"/>
      <c r="B6" s="156" t="s">
        <v>396</v>
      </c>
      <c r="C6" s="157"/>
      <c r="D6" s="562" t="s">
        <v>397</v>
      </c>
      <c r="E6" s="578">
        <v>2</v>
      </c>
      <c r="F6" s="566">
        <v>5000</v>
      </c>
      <c r="G6" s="568">
        <v>10000</v>
      </c>
      <c r="H6" s="345"/>
      <c r="I6" s="345"/>
      <c r="J6" s="158"/>
      <c r="K6" s="69" t="s">
        <v>160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398</v>
      </c>
      <c r="J7" s="161"/>
      <c r="K7" s="69" t="s">
        <v>160</v>
      </c>
    </row>
    <row r="8" spans="1:11" ht="10.5" customHeight="1">
      <c r="A8" s="69"/>
      <c r="B8" s="156" t="s">
        <v>399</v>
      </c>
      <c r="C8" s="157"/>
      <c r="D8" s="562" t="s">
        <v>397</v>
      </c>
      <c r="E8" s="578">
        <v>2</v>
      </c>
      <c r="F8" s="566">
        <v>45000</v>
      </c>
      <c r="G8" s="568">
        <v>90000</v>
      </c>
      <c r="H8" s="345"/>
      <c r="I8" s="345"/>
      <c r="J8" s="162"/>
      <c r="K8" s="69" t="s">
        <v>160</v>
      </c>
    </row>
    <row r="9" spans="1:11" ht="10.5" customHeight="1">
      <c r="A9" s="69"/>
      <c r="B9" s="159" t="s">
        <v>400</v>
      </c>
      <c r="C9" s="160"/>
      <c r="D9" s="563"/>
      <c r="E9" s="579"/>
      <c r="F9" s="567"/>
      <c r="G9" s="569"/>
      <c r="H9" s="346"/>
      <c r="I9" s="346" t="s">
        <v>398</v>
      </c>
      <c r="J9" s="162"/>
      <c r="K9" s="69" t="s">
        <v>160</v>
      </c>
    </row>
    <row r="10" spans="1:11" ht="10.5" customHeight="1">
      <c r="A10" s="69"/>
      <c r="B10" s="156" t="s">
        <v>401</v>
      </c>
      <c r="C10" s="157"/>
      <c r="D10" s="562" t="s">
        <v>397</v>
      </c>
      <c r="E10" s="578">
        <v>2</v>
      </c>
      <c r="F10" s="566">
        <v>10000</v>
      </c>
      <c r="G10" s="568">
        <v>20000</v>
      </c>
      <c r="H10" s="345"/>
      <c r="I10" s="345"/>
      <c r="J10" s="158"/>
      <c r="K10" s="69" t="s">
        <v>160</v>
      </c>
    </row>
    <row r="11" spans="1:11" ht="10.5" customHeight="1">
      <c r="A11" s="69"/>
      <c r="B11" s="159" t="s">
        <v>402</v>
      </c>
      <c r="C11" s="160"/>
      <c r="D11" s="563"/>
      <c r="E11" s="579"/>
      <c r="F11" s="567"/>
      <c r="G11" s="569"/>
      <c r="H11" s="346"/>
      <c r="I11" s="346" t="s">
        <v>398</v>
      </c>
      <c r="J11" s="161"/>
      <c r="K11" s="69" t="s">
        <v>160</v>
      </c>
    </row>
    <row r="12" spans="1:11" ht="10.5" customHeight="1">
      <c r="A12" s="69"/>
      <c r="B12" s="156" t="s">
        <v>403</v>
      </c>
      <c r="C12" s="157"/>
      <c r="D12" s="562" t="s">
        <v>404</v>
      </c>
      <c r="E12" s="564">
        <v>4</v>
      </c>
      <c r="F12" s="566">
        <v>5000</v>
      </c>
      <c r="G12" s="568">
        <v>20000</v>
      </c>
      <c r="H12" s="345"/>
      <c r="I12" s="345"/>
      <c r="J12" s="158"/>
      <c r="K12" s="69" t="s">
        <v>160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398</v>
      </c>
      <c r="J13" s="161"/>
      <c r="K13" s="69" t="s">
        <v>160</v>
      </c>
    </row>
    <row r="14" spans="1:11" ht="10.5" customHeight="1">
      <c r="A14" s="69"/>
      <c r="B14" s="156" t="s">
        <v>405</v>
      </c>
      <c r="C14" s="157"/>
      <c r="D14" s="562" t="s">
        <v>397</v>
      </c>
      <c r="E14" s="564">
        <v>2</v>
      </c>
      <c r="F14" s="566">
        <v>8000</v>
      </c>
      <c r="G14" s="568">
        <v>16000</v>
      </c>
      <c r="H14" s="345"/>
      <c r="I14" s="345"/>
      <c r="J14" s="158"/>
      <c r="K14" s="69" t="s">
        <v>160</v>
      </c>
    </row>
    <row r="15" spans="1:11" ht="10.5" customHeight="1">
      <c r="A15" s="69"/>
      <c r="B15" s="159" t="s">
        <v>406</v>
      </c>
      <c r="C15" s="160"/>
      <c r="D15" s="563"/>
      <c r="E15" s="565"/>
      <c r="F15" s="567"/>
      <c r="G15" s="569"/>
      <c r="H15" s="346"/>
      <c r="I15" s="346" t="s">
        <v>398</v>
      </c>
      <c r="J15" s="161"/>
      <c r="K15" s="69" t="s">
        <v>160</v>
      </c>
    </row>
    <row r="16" spans="1:11" ht="10.5" customHeight="1">
      <c r="A16" s="69"/>
      <c r="B16" s="156" t="s">
        <v>407</v>
      </c>
      <c r="C16" s="157"/>
      <c r="D16" s="562" t="s">
        <v>397</v>
      </c>
      <c r="E16" s="564">
        <v>2</v>
      </c>
      <c r="F16" s="566">
        <v>7000</v>
      </c>
      <c r="G16" s="568">
        <v>14000</v>
      </c>
      <c r="H16" s="345"/>
      <c r="I16" s="345"/>
      <c r="J16" s="158"/>
      <c r="K16" s="69" t="s">
        <v>160</v>
      </c>
    </row>
    <row r="17" spans="1:11" ht="10.5" customHeight="1">
      <c r="A17" s="69"/>
      <c r="B17" s="159" t="s">
        <v>408</v>
      </c>
      <c r="C17" s="160"/>
      <c r="D17" s="563"/>
      <c r="E17" s="565"/>
      <c r="F17" s="567"/>
      <c r="G17" s="569"/>
      <c r="H17" s="346"/>
      <c r="I17" s="346" t="s">
        <v>398</v>
      </c>
      <c r="J17" s="161"/>
      <c r="K17" s="69" t="s">
        <v>160</v>
      </c>
    </row>
    <row r="18" spans="1:11" ht="10.5" customHeight="1">
      <c r="A18" s="69"/>
      <c r="B18" s="156" t="s">
        <v>409</v>
      </c>
      <c r="C18" s="157"/>
      <c r="D18" s="562" t="s">
        <v>410</v>
      </c>
      <c r="E18" s="564">
        <v>2</v>
      </c>
      <c r="F18" s="566">
        <v>50000</v>
      </c>
      <c r="G18" s="568">
        <v>100000</v>
      </c>
      <c r="H18" s="345"/>
      <c r="I18" s="345"/>
      <c r="J18" s="158"/>
      <c r="K18" s="69" t="s">
        <v>160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398</v>
      </c>
      <c r="J19" s="161"/>
      <c r="K19" s="69" t="s">
        <v>160</v>
      </c>
    </row>
    <row r="20" spans="1:11" ht="10.5" customHeight="1">
      <c r="A20" s="69"/>
      <c r="B20" s="156" t="s">
        <v>411</v>
      </c>
      <c r="C20" s="157"/>
      <c r="D20" s="562" t="s">
        <v>397</v>
      </c>
      <c r="E20" s="564">
        <v>5</v>
      </c>
      <c r="F20" s="566">
        <v>1000</v>
      </c>
      <c r="G20" s="568">
        <v>5000</v>
      </c>
      <c r="H20" s="345"/>
      <c r="I20" s="345"/>
      <c r="J20" s="158"/>
      <c r="K20" s="69" t="s">
        <v>160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398</v>
      </c>
      <c r="J21" s="161"/>
      <c r="K21" s="69" t="s">
        <v>160</v>
      </c>
    </row>
    <row r="22" spans="1:11" ht="10.5" customHeight="1">
      <c r="A22" s="69"/>
      <c r="B22" s="156" t="s">
        <v>412</v>
      </c>
      <c r="C22" s="157"/>
      <c r="D22" s="562" t="s">
        <v>397</v>
      </c>
      <c r="E22" s="564">
        <v>1</v>
      </c>
      <c r="F22" s="566">
        <v>80000</v>
      </c>
      <c r="G22" s="568">
        <v>80000</v>
      </c>
      <c r="H22" s="345"/>
      <c r="I22" s="345"/>
      <c r="J22" s="158"/>
      <c r="K22" s="69" t="s">
        <v>160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 t="s">
        <v>398</v>
      </c>
      <c r="J23" s="161"/>
      <c r="K23" s="69" t="s">
        <v>160</v>
      </c>
    </row>
    <row r="24" spans="1:11" ht="10.5" customHeight="1">
      <c r="A24" s="69"/>
      <c r="B24" s="156" t="s">
        <v>413</v>
      </c>
      <c r="C24" s="157"/>
      <c r="D24" s="562" t="s">
        <v>379</v>
      </c>
      <c r="E24" s="578">
        <v>1</v>
      </c>
      <c r="F24" s="566">
        <v>10000</v>
      </c>
      <c r="G24" s="568">
        <v>10000</v>
      </c>
      <c r="H24" s="345"/>
      <c r="I24" s="345"/>
      <c r="J24" s="158"/>
      <c r="K24" s="69" t="s">
        <v>160</v>
      </c>
    </row>
    <row r="25" spans="1:11" ht="10.5" customHeight="1">
      <c r="A25" s="69"/>
      <c r="B25" s="159" t="s">
        <v>414</v>
      </c>
      <c r="C25" s="160"/>
      <c r="D25" s="563"/>
      <c r="E25" s="579"/>
      <c r="F25" s="567"/>
      <c r="G25" s="569"/>
      <c r="H25" s="346"/>
      <c r="I25" s="346" t="s">
        <v>398</v>
      </c>
      <c r="J25" s="161"/>
      <c r="K25" s="69" t="s">
        <v>160</v>
      </c>
    </row>
    <row r="26" spans="1:11" ht="10.5" customHeight="1">
      <c r="A26" s="69"/>
      <c r="B26" s="156" t="s">
        <v>415</v>
      </c>
      <c r="C26" s="157"/>
      <c r="D26" s="562" t="s">
        <v>397</v>
      </c>
      <c r="E26" s="564">
        <v>2</v>
      </c>
      <c r="F26" s="566">
        <v>1200</v>
      </c>
      <c r="G26" s="568">
        <v>2400</v>
      </c>
      <c r="H26" s="345"/>
      <c r="I26" s="345"/>
      <c r="J26" s="158"/>
      <c r="K26" s="69" t="s">
        <v>160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 t="s">
        <v>398</v>
      </c>
      <c r="J27" s="161"/>
      <c r="K27" s="69" t="s">
        <v>160</v>
      </c>
    </row>
    <row r="28" spans="1:11" ht="10.5" customHeight="1">
      <c r="A28" s="69"/>
      <c r="B28" s="156" t="s">
        <v>416</v>
      </c>
      <c r="C28" s="157"/>
      <c r="D28" s="562" t="s">
        <v>397</v>
      </c>
      <c r="E28" s="564">
        <v>1</v>
      </c>
      <c r="F28" s="566">
        <v>240000</v>
      </c>
      <c r="G28" s="568">
        <v>240000</v>
      </c>
      <c r="H28" s="345"/>
      <c r="I28" s="345"/>
      <c r="J28" s="158"/>
      <c r="K28" s="69" t="s">
        <v>160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 t="s">
        <v>398</v>
      </c>
      <c r="J29" s="161"/>
      <c r="K29" s="69" t="s">
        <v>160</v>
      </c>
    </row>
    <row r="30" spans="1:11" ht="10.5" customHeight="1">
      <c r="A30" s="69"/>
      <c r="B30" s="156" t="s">
        <v>417</v>
      </c>
      <c r="C30" s="157"/>
      <c r="D30" s="562" t="s">
        <v>397</v>
      </c>
      <c r="E30" s="564">
        <v>1</v>
      </c>
      <c r="F30" s="566">
        <v>150000</v>
      </c>
      <c r="G30" s="568">
        <v>150000</v>
      </c>
      <c r="H30" s="345"/>
      <c r="I30" s="345"/>
      <c r="J30" s="158"/>
      <c r="K30" s="69" t="s">
        <v>160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 t="s">
        <v>398</v>
      </c>
      <c r="J31" s="161"/>
      <c r="K31" s="69" t="s">
        <v>160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160</v>
      </c>
    </row>
    <row r="34" spans="1:11" ht="10.5" customHeight="1">
      <c r="A34" s="69"/>
      <c r="B34" s="156" t="s">
        <v>382</v>
      </c>
      <c r="C34" s="157"/>
      <c r="D34" s="562"/>
      <c r="E34" s="564"/>
      <c r="F34" s="566"/>
      <c r="G34" s="568">
        <v>757400</v>
      </c>
      <c r="H34" s="345"/>
      <c r="I34" s="345"/>
      <c r="J34" s="158"/>
      <c r="K34" s="69" t="s">
        <v>160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418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359</v>
      </c>
      <c r="C3" s="146" t="s">
        <v>360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361</v>
      </c>
      <c r="K4" s="69"/>
    </row>
    <row r="5" spans="1:11" ht="18" customHeight="1">
      <c r="A5" s="69"/>
      <c r="B5" s="580" t="s">
        <v>362</v>
      </c>
      <c r="C5" s="581"/>
      <c r="D5" s="153" t="s">
        <v>318</v>
      </c>
      <c r="E5" s="153" t="s">
        <v>363</v>
      </c>
      <c r="F5" s="153" t="s">
        <v>364</v>
      </c>
      <c r="G5" s="153" t="s">
        <v>365</v>
      </c>
      <c r="H5" s="154" t="s">
        <v>366</v>
      </c>
      <c r="I5" s="153" t="s">
        <v>367</v>
      </c>
      <c r="J5" s="155" t="s">
        <v>368</v>
      </c>
      <c r="K5" s="69"/>
    </row>
    <row r="6" spans="1:11" ht="10.5" customHeight="1">
      <c r="A6" s="69"/>
      <c r="B6" s="156" t="s">
        <v>419</v>
      </c>
      <c r="C6" s="157"/>
      <c r="D6" s="562" t="s">
        <v>397</v>
      </c>
      <c r="E6" s="578">
        <v>4</v>
      </c>
      <c r="F6" s="566">
        <v>43000</v>
      </c>
      <c r="G6" s="568">
        <v>172000</v>
      </c>
      <c r="H6" s="345"/>
      <c r="I6" s="345"/>
      <c r="J6" s="158"/>
      <c r="K6" s="69" t="s">
        <v>160</v>
      </c>
    </row>
    <row r="7" spans="1:11" ht="10.5" customHeight="1">
      <c r="A7" s="69"/>
      <c r="B7" s="159" t="s">
        <v>420</v>
      </c>
      <c r="C7" s="160"/>
      <c r="D7" s="563"/>
      <c r="E7" s="579"/>
      <c r="F7" s="567"/>
      <c r="G7" s="569"/>
      <c r="H7" s="346"/>
      <c r="I7" s="346" t="s">
        <v>421</v>
      </c>
      <c r="J7" s="161"/>
      <c r="K7" s="69" t="s">
        <v>160</v>
      </c>
    </row>
    <row r="8" spans="1:11" ht="10.5" customHeight="1">
      <c r="A8" s="69"/>
      <c r="B8" s="156" t="s">
        <v>422</v>
      </c>
      <c r="C8" s="157"/>
      <c r="D8" s="562" t="s">
        <v>423</v>
      </c>
      <c r="E8" s="578">
        <v>4</v>
      </c>
      <c r="F8" s="566">
        <v>25000</v>
      </c>
      <c r="G8" s="568">
        <v>100000</v>
      </c>
      <c r="H8" s="345"/>
      <c r="I8" s="345"/>
      <c r="J8" s="162"/>
      <c r="K8" s="69" t="s">
        <v>160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421</v>
      </c>
      <c r="J9" s="162"/>
      <c r="K9" s="69" t="s">
        <v>160</v>
      </c>
    </row>
    <row r="10" spans="1:11" ht="10.5" customHeight="1">
      <c r="A10" s="69"/>
      <c r="B10" s="156" t="s">
        <v>424</v>
      </c>
      <c r="C10" s="157"/>
      <c r="D10" s="562" t="s">
        <v>423</v>
      </c>
      <c r="E10" s="578">
        <v>2</v>
      </c>
      <c r="F10" s="566">
        <v>30000</v>
      </c>
      <c r="G10" s="568">
        <v>60000</v>
      </c>
      <c r="H10" s="345"/>
      <c r="I10" s="345"/>
      <c r="J10" s="158"/>
      <c r="K10" s="69" t="s">
        <v>160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421</v>
      </c>
      <c r="J11" s="161"/>
      <c r="K11" s="69" t="s">
        <v>160</v>
      </c>
    </row>
    <row r="12" spans="1:11" ht="10.5" customHeight="1">
      <c r="A12" s="69"/>
      <c r="B12" s="156" t="s">
        <v>425</v>
      </c>
      <c r="C12" s="157"/>
      <c r="D12" s="562" t="s">
        <v>397</v>
      </c>
      <c r="E12" s="564">
        <v>9</v>
      </c>
      <c r="F12" s="566">
        <v>8000</v>
      </c>
      <c r="G12" s="568">
        <v>72000</v>
      </c>
      <c r="H12" s="345"/>
      <c r="I12" s="345"/>
      <c r="J12" s="158"/>
      <c r="K12" s="69" t="s">
        <v>160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421</v>
      </c>
      <c r="J13" s="161"/>
      <c r="K13" s="69" t="s">
        <v>160</v>
      </c>
    </row>
    <row r="14" spans="1:11" ht="10.5" customHeight="1">
      <c r="A14" s="69"/>
      <c r="B14" s="156" t="s">
        <v>426</v>
      </c>
      <c r="C14" s="157"/>
      <c r="D14" s="562" t="s">
        <v>397</v>
      </c>
      <c r="E14" s="564">
        <v>3</v>
      </c>
      <c r="F14" s="566">
        <v>40000</v>
      </c>
      <c r="G14" s="568">
        <v>120000</v>
      </c>
      <c r="H14" s="345"/>
      <c r="I14" s="345"/>
      <c r="J14" s="158"/>
      <c r="K14" s="69" t="s">
        <v>160</v>
      </c>
    </row>
    <row r="15" spans="1:11" ht="10.5" customHeight="1">
      <c r="A15" s="69"/>
      <c r="B15" s="159" t="s">
        <v>420</v>
      </c>
      <c r="C15" s="160"/>
      <c r="D15" s="563"/>
      <c r="E15" s="565"/>
      <c r="F15" s="567"/>
      <c r="G15" s="569"/>
      <c r="H15" s="346"/>
      <c r="I15" s="346" t="s">
        <v>421</v>
      </c>
      <c r="J15" s="161"/>
      <c r="K15" s="69" t="s">
        <v>160</v>
      </c>
    </row>
    <row r="16" spans="1:11" ht="10.5" customHeight="1">
      <c r="A16" s="69"/>
      <c r="B16" s="156" t="s">
        <v>427</v>
      </c>
      <c r="C16" s="157"/>
      <c r="D16" s="562" t="s">
        <v>423</v>
      </c>
      <c r="E16" s="564">
        <v>2</v>
      </c>
      <c r="F16" s="566">
        <v>70000</v>
      </c>
      <c r="G16" s="568">
        <v>140000</v>
      </c>
      <c r="H16" s="345"/>
      <c r="I16" s="345"/>
      <c r="J16" s="158"/>
      <c r="K16" s="69" t="s">
        <v>160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421</v>
      </c>
      <c r="J17" s="161"/>
      <c r="K17" s="69" t="s">
        <v>160</v>
      </c>
    </row>
    <row r="18" spans="1:11" ht="10.5" customHeight="1">
      <c r="A18" s="69"/>
      <c r="B18" s="156" t="s">
        <v>428</v>
      </c>
      <c r="C18" s="157"/>
      <c r="D18" s="562" t="s">
        <v>397</v>
      </c>
      <c r="E18" s="564">
        <v>3</v>
      </c>
      <c r="F18" s="566">
        <v>6000</v>
      </c>
      <c r="G18" s="568">
        <v>18000</v>
      </c>
      <c r="H18" s="345"/>
      <c r="I18" s="345"/>
      <c r="J18" s="158"/>
      <c r="K18" s="69" t="s">
        <v>160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421</v>
      </c>
      <c r="J19" s="161"/>
      <c r="K19" s="69" t="s">
        <v>160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160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160</v>
      </c>
    </row>
    <row r="22" spans="1:11" ht="10.5" customHeight="1">
      <c r="A22" s="69"/>
      <c r="B22" s="156" t="s">
        <v>382</v>
      </c>
      <c r="C22" s="157"/>
      <c r="D22" s="562"/>
      <c r="E22" s="564"/>
      <c r="F22" s="566"/>
      <c r="G22" s="568">
        <v>682000</v>
      </c>
      <c r="H22" s="345"/>
      <c r="I22" s="345"/>
      <c r="J22" s="158"/>
      <c r="K22" s="69" t="s">
        <v>160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160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160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160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160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160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160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160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160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160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160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160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160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160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160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160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160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160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160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160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160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160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160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160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160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160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47BC9F-97DE-4D86-8209-324F46D93314}"/>
</file>

<file path=customXml/itemProps2.xml><?xml version="1.0" encoding="utf-8"?>
<ds:datastoreItem xmlns:ds="http://schemas.openxmlformats.org/officeDocument/2006/customXml" ds:itemID="{C3C13E4B-574C-4347-8B4F-D9DC02F13889}"/>
</file>

<file path=customXml/itemProps3.xml><?xml version="1.0" encoding="utf-8"?>
<ds:datastoreItem xmlns:ds="http://schemas.openxmlformats.org/officeDocument/2006/customXml" ds:itemID="{BB258AD1-F32B-4368-82A5-F04B5144D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