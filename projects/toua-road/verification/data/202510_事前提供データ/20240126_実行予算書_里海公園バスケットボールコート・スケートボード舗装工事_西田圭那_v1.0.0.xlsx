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showInkAnnotation="0" updateLinks="never" codeName="ThisWorkbook" defaultThemeVersion="166925"/>
  <xr:revisionPtr revIDLastSave="0" documentId="13_ncr:11_{48725CCD-683B-4A28-BF10-7EC5C1F2E265}" xr6:coauthVersionLast="47" xr6:coauthVersionMax="47" xr10:uidLastSave="{00000000-0000-0000-0000-000000000000}"/>
  <bookViews>
    <workbookView xWindow="-108" yWindow="-108" windowWidth="23256" windowHeight="12576" tabRatio="728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労務費)" sheetId="13" r:id="rId14"/>
    <sheet name="調書(機械費)" sheetId="16" r:id="rId15"/>
    <sheet name="調書(運搬費)" sheetId="15" r:id="rId16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'工事費一覧表(共通仮設費)'!$A$1:$AF$13</definedName>
    <definedName name="_xlnm.Print_Area" localSheetId="11">'工事費一覧表(現場経費)'!$A$1:$AF$15</definedName>
    <definedName name="_xlnm.Print_Area" localSheetId="6">'工事費一覧表(直接工事費)'!$A$1:$AF$198</definedName>
    <definedName name="_xlnm.Print_Area" localSheetId="0">実行予算書鑑!$A$1:$AM$32</definedName>
    <definedName name="_xlnm.Print_Area" localSheetId="15">'調書(運搬費)'!#REF!</definedName>
    <definedName name="_xlnm.Print_Area" localSheetId="14">'調書(機械費)'!#REF!</definedName>
    <definedName name="_xlnm.Print_Area" localSheetId="12">'調書(材料費)'!#REF!</definedName>
    <definedName name="_xlnm.Print_Area" localSheetId="13">'調書(労務費)'!#REF!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12" i="32"/>
  <c r="L12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K36" i="29"/>
  <c r="L36" i="29"/>
  <c r="K37" i="29"/>
  <c r="L37" i="29"/>
  <c r="K38" i="29"/>
  <c r="L38" i="29"/>
  <c r="K39" i="29"/>
  <c r="L39" i="29"/>
  <c r="K40" i="29"/>
  <c r="L40" i="29"/>
  <c r="K41" i="29"/>
  <c r="L41" i="29"/>
  <c r="K42" i="29"/>
  <c r="L42" i="29"/>
  <c r="K43" i="29"/>
  <c r="L43" i="29"/>
  <c r="K44" i="29"/>
  <c r="L44" i="29"/>
  <c r="K45" i="29"/>
  <c r="L45" i="29"/>
  <c r="K46" i="29"/>
  <c r="L46" i="29"/>
  <c r="K47" i="29"/>
  <c r="L47" i="29"/>
  <c r="K48" i="29"/>
  <c r="L48" i="29"/>
  <c r="K49" i="29"/>
  <c r="L49" i="29"/>
  <c r="K50" i="29"/>
  <c r="L50" i="29"/>
  <c r="K51" i="29"/>
  <c r="L51" i="29"/>
  <c r="K52" i="29"/>
  <c r="L52" i="29"/>
  <c r="K53" i="29"/>
  <c r="L53" i="29"/>
  <c r="K54" i="29"/>
  <c r="L54" i="29"/>
  <c r="K55" i="29"/>
  <c r="L55" i="29"/>
  <c r="K56" i="29"/>
  <c r="L56" i="29"/>
  <c r="K57" i="29"/>
  <c r="L57" i="29"/>
  <c r="K58" i="29"/>
  <c r="L58" i="29"/>
  <c r="K59" i="29"/>
  <c r="L59" i="29"/>
  <c r="K60" i="29"/>
  <c r="L60" i="29"/>
  <c r="K61" i="29"/>
  <c r="L61" i="29"/>
  <c r="K62" i="29"/>
  <c r="L62" i="29"/>
  <c r="K63" i="29"/>
  <c r="L63" i="29"/>
  <c r="K64" i="29"/>
  <c r="L64" i="29"/>
  <c r="K65" i="29"/>
  <c r="L65" i="29"/>
  <c r="K66" i="29"/>
  <c r="L66" i="29"/>
  <c r="K67" i="29"/>
  <c r="L67" i="29"/>
  <c r="K68" i="29"/>
  <c r="L68" i="29"/>
  <c r="K69" i="29"/>
  <c r="L69" i="29"/>
  <c r="K70" i="29"/>
  <c r="L70" i="29"/>
  <c r="K71" i="29"/>
  <c r="L71" i="29"/>
  <c r="K72" i="29"/>
  <c r="L72" i="29"/>
  <c r="K73" i="29"/>
  <c r="L73" i="29"/>
  <c r="K74" i="29"/>
  <c r="L74" i="29"/>
  <c r="K75" i="29"/>
  <c r="L75" i="29"/>
  <c r="K76" i="29"/>
  <c r="L76" i="29"/>
  <c r="K77" i="29"/>
  <c r="L77" i="29"/>
  <c r="K78" i="29"/>
  <c r="L78" i="29"/>
  <c r="K79" i="29"/>
  <c r="L79" i="29"/>
  <c r="K80" i="29"/>
  <c r="L80" i="29"/>
  <c r="K81" i="29"/>
  <c r="L81" i="29"/>
  <c r="K82" i="29"/>
  <c r="L82" i="29"/>
  <c r="K83" i="29"/>
  <c r="L83" i="29"/>
  <c r="K84" i="29"/>
  <c r="L84" i="29"/>
  <c r="K85" i="29"/>
  <c r="L85" i="29"/>
  <c r="K86" i="29"/>
  <c r="L86" i="29"/>
  <c r="K87" i="29"/>
  <c r="L87" i="29"/>
  <c r="K88" i="29"/>
  <c r="L88" i="29"/>
  <c r="K89" i="29"/>
  <c r="L89" i="29"/>
  <c r="K90" i="29"/>
  <c r="L90" i="29"/>
  <c r="K91" i="29"/>
  <c r="L91" i="29"/>
  <c r="K92" i="29"/>
  <c r="L92" i="29"/>
  <c r="K93" i="29"/>
  <c r="L93" i="29"/>
  <c r="K94" i="29"/>
  <c r="L94" i="29"/>
  <c r="K95" i="29"/>
  <c r="L95" i="29"/>
  <c r="K96" i="29"/>
  <c r="L96" i="29"/>
  <c r="K97" i="29"/>
  <c r="L97" i="29"/>
  <c r="K98" i="29"/>
  <c r="L98" i="29"/>
  <c r="K99" i="29"/>
  <c r="L99" i="29"/>
  <c r="K100" i="29"/>
  <c r="L100" i="29"/>
  <c r="K101" i="29"/>
  <c r="L101" i="29"/>
  <c r="K102" i="29"/>
  <c r="L102" i="29"/>
  <c r="K103" i="29"/>
  <c r="L103" i="29"/>
  <c r="K104" i="29"/>
  <c r="L104" i="29"/>
  <c r="K105" i="29"/>
  <c r="L105" i="29"/>
  <c r="K106" i="29"/>
  <c r="L106" i="29"/>
  <c r="K107" i="29"/>
  <c r="L107" i="29"/>
  <c r="K108" i="29"/>
  <c r="L108" i="29"/>
  <c r="K109" i="29"/>
  <c r="L109" i="29"/>
  <c r="K110" i="29"/>
  <c r="L110" i="29"/>
  <c r="K111" i="29"/>
  <c r="L111" i="29"/>
  <c r="K112" i="29"/>
  <c r="L112" i="29"/>
  <c r="K113" i="29"/>
  <c r="L113" i="29"/>
  <c r="K114" i="29"/>
  <c r="L114" i="29"/>
  <c r="K115" i="29"/>
  <c r="L115" i="29"/>
  <c r="K116" i="29"/>
  <c r="L116" i="29"/>
  <c r="K117" i="29"/>
  <c r="L117" i="29"/>
  <c r="K118" i="29"/>
  <c r="L118" i="29"/>
  <c r="K119" i="29"/>
  <c r="L119" i="29"/>
  <c r="K120" i="29"/>
  <c r="L120" i="29"/>
  <c r="K121" i="29"/>
  <c r="L121" i="29"/>
  <c r="K122" i="29"/>
  <c r="L122" i="29"/>
  <c r="K123" i="29"/>
  <c r="L123" i="29"/>
  <c r="K124" i="29"/>
  <c r="L124" i="29"/>
  <c r="K125" i="29"/>
  <c r="L125" i="29"/>
  <c r="K126" i="29"/>
  <c r="L126" i="29"/>
  <c r="K127" i="29"/>
  <c r="L127" i="29"/>
  <c r="K128" i="29"/>
  <c r="L128" i="29"/>
  <c r="K129" i="29"/>
  <c r="L129" i="29"/>
  <c r="K130" i="29"/>
  <c r="L130" i="29"/>
  <c r="K131" i="29"/>
  <c r="L131" i="29"/>
  <c r="K132" i="29"/>
  <c r="L132" i="29"/>
  <c r="K133" i="29"/>
  <c r="L133" i="29"/>
  <c r="K134" i="29"/>
  <c r="L134" i="29"/>
  <c r="K135" i="29"/>
  <c r="L135" i="29"/>
  <c r="K136" i="29"/>
  <c r="L136" i="29"/>
  <c r="K137" i="29"/>
  <c r="L137" i="29"/>
  <c r="K138" i="29"/>
  <c r="L138" i="29"/>
  <c r="K139" i="29"/>
  <c r="L139" i="29"/>
  <c r="K140" i="29"/>
  <c r="L140" i="29"/>
  <c r="K141" i="29"/>
  <c r="L141" i="29"/>
  <c r="K142" i="29"/>
  <c r="L142" i="29"/>
  <c r="K143" i="29"/>
  <c r="L143" i="29"/>
  <c r="K144" i="29"/>
  <c r="L144" i="29"/>
  <c r="K145" i="29"/>
  <c r="L145" i="29"/>
  <c r="K146" i="29"/>
  <c r="L146" i="29"/>
  <c r="K147" i="29"/>
  <c r="L147" i="29"/>
  <c r="K148" i="29"/>
  <c r="L148" i="29"/>
  <c r="K149" i="29"/>
  <c r="L149" i="29"/>
  <c r="K150" i="29"/>
  <c r="L150" i="29"/>
  <c r="K151" i="29"/>
  <c r="L151" i="29"/>
  <c r="K152" i="29"/>
  <c r="L152" i="29"/>
  <c r="K153" i="29"/>
  <c r="L153" i="29"/>
  <c r="K154" i="29"/>
  <c r="L154" i="29"/>
  <c r="K155" i="29"/>
  <c r="L155" i="29"/>
  <c r="K156" i="29"/>
  <c r="L156" i="29"/>
  <c r="K157" i="29"/>
  <c r="L157" i="29"/>
  <c r="K158" i="29"/>
  <c r="L158" i="29"/>
  <c r="K159" i="29"/>
  <c r="L159" i="29"/>
  <c r="K160" i="29"/>
  <c r="L160" i="29"/>
  <c r="K161" i="29"/>
  <c r="L161" i="29"/>
  <c r="K162" i="29"/>
  <c r="L162" i="29"/>
  <c r="K163" i="29"/>
  <c r="L163" i="29"/>
  <c r="K164" i="29"/>
  <c r="L164" i="29"/>
  <c r="K165" i="29"/>
  <c r="L165" i="29"/>
  <c r="K166" i="29"/>
  <c r="L166" i="29"/>
  <c r="K167" i="29"/>
  <c r="L167" i="29"/>
  <c r="K168" i="29"/>
  <c r="L168" i="29"/>
  <c r="K169" i="29"/>
  <c r="L169" i="29"/>
  <c r="K170" i="29"/>
  <c r="L170" i="29"/>
  <c r="K171" i="29"/>
  <c r="L171" i="29"/>
  <c r="K172" i="29"/>
  <c r="L172" i="29"/>
  <c r="K173" i="29"/>
  <c r="L173" i="29"/>
  <c r="K174" i="29"/>
  <c r="L174" i="29"/>
  <c r="K175" i="29"/>
  <c r="L175" i="29"/>
  <c r="K176" i="29"/>
  <c r="L176" i="29"/>
  <c r="K177" i="29"/>
  <c r="L177" i="29"/>
  <c r="K178" i="29"/>
  <c r="L178" i="29"/>
  <c r="K179" i="29"/>
  <c r="L179" i="29"/>
  <c r="K180" i="29"/>
  <c r="L180" i="29"/>
  <c r="K181" i="29"/>
  <c r="L181" i="29"/>
  <c r="K182" i="29"/>
  <c r="L182" i="29"/>
  <c r="K183" i="29"/>
  <c r="L183" i="29"/>
  <c r="K184" i="29"/>
  <c r="L184" i="29"/>
  <c r="K185" i="29"/>
  <c r="L185" i="29"/>
  <c r="K186" i="29"/>
  <c r="L186" i="29"/>
  <c r="K187" i="29"/>
  <c r="L187" i="29"/>
  <c r="K188" i="29"/>
  <c r="L188" i="29"/>
  <c r="K189" i="29"/>
  <c r="L189" i="29"/>
  <c r="K190" i="29"/>
  <c r="L190" i="29"/>
  <c r="K191" i="29"/>
  <c r="L191" i="29"/>
  <c r="K192" i="29"/>
  <c r="L192" i="29"/>
  <c r="K193" i="29"/>
  <c r="L193" i="29"/>
  <c r="K194" i="29"/>
  <c r="L194" i="29"/>
  <c r="K195" i="29"/>
  <c r="L195" i="29"/>
  <c r="K196" i="29"/>
  <c r="L196" i="29"/>
  <c r="K197" i="29"/>
  <c r="L197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 s="1"/>
  <c r="D11" i="25" l="1"/>
  <c r="O26" i="25"/>
  <c r="O21" i="25" s="1"/>
  <c r="O22" i="25" s="1"/>
  <c r="Q26" i="25"/>
  <c r="Q21" i="25" s="1"/>
  <c r="D10" i="25"/>
  <c r="D18" i="25"/>
  <c r="H26" i="25"/>
  <c r="H21" i="25" s="1"/>
  <c r="H22" i="25" s="1"/>
  <c r="P26" i="25"/>
  <c r="P21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L26" i="25"/>
  <c r="L21" i="25" s="1"/>
  <c r="L22" i="25" s="1"/>
  <c r="D7" i="25"/>
  <c r="D15" i="25"/>
  <c r="P22" i="25"/>
  <c r="E26" i="25"/>
  <c r="M26" i="25"/>
  <c r="M21" i="25" s="1"/>
  <c r="M22" i="25" s="1"/>
  <c r="D5" i="25"/>
  <c r="D13" i="25"/>
  <c r="D8" i="25"/>
  <c r="D16" i="25"/>
  <c r="Q22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<sst xmlns="http://schemas.openxmlformats.org/spreadsheetml/2006/main" count="1943" uniqueCount="565">
  <si>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</si>
  <si>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</si>
  <si>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</si>
  <si>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2340410111 E</t>
  </si>
  <si>
    <t>（当　初）</t>
  </si>
  <si>
    <t>現場代理人</t>
    <rPh sb="0" eb="2">
      <t>ゲンバ</t>
    </rPh>
    <rPh sb="2" eb="5">
      <t>ダイリニン</t>
    </rPh>
    <phoneticPr fontId="4"/>
  </si>
  <si>
    <t>西田圭那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</si>
  <si>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</si>
  <si>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</si>
  <si>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</si>
  <si>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</si>
  <si>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</si>
  <si>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</si>
  <si>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</si>
  <si>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</si>
  <si>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</si>
  <si>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</si>
  <si>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</si>
  <si>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</si>
  <si>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せんなん里海公園バスケットボールコート・スケートボード舗装工事</t>
  </si>
  <si>
    <t>発注者</t>
    <rPh sb="0" eb="1">
      <t>ハツ</t>
    </rPh>
    <rPh sb="1" eb="2">
      <t>チュウ</t>
    </rPh>
    <rPh sb="2" eb="3">
      <t>シャ</t>
    </rPh>
    <phoneticPr fontId="6"/>
  </si>
  <si>
    <t>一般財団法人　大阪府公園協会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</si>
  <si>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</si>
  <si>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</si>
  <si>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</si>
  <si>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</si>
  <si>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</si>
  <si>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</si>
  <si>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</si>
  <si>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</si>
  <si>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</si>
  <si>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大阪府泉南郡岬町地先</t>
  </si>
  <si>
    <t>契約工期</t>
    <rPh sb="0" eb="2">
      <t>ケイヤク</t>
    </rPh>
    <rPh sb="2" eb="4">
      <t>コウキ</t>
    </rPh>
    <phoneticPr fontId="6"/>
  </si>
  <si>
    <t>2024年1月22日</t>
  </si>
  <si>
    <t>～</t>
    <phoneticPr fontId="36"/>
  </si>
  <si>
    <t>2024年3月31日</t>
  </si>
  <si>
    <t>実施工期</t>
    <rPh sb="0" eb="2">
      <t>ジッシ</t>
    </rPh>
    <rPh sb="2" eb="4">
      <t>コウキ</t>
    </rPh>
    <phoneticPr fontId="6"/>
  </si>
  <si>
    <t>2024年1月29日</t>
  </si>
  <si>
    <t>ISO品質目標</t>
    <rPh sb="3" eb="5">
      <t>ヒンシツ</t>
    </rPh>
    <rPh sb="5" eb="7">
      <t>モクヒョウ</t>
    </rPh>
    <phoneticPr fontId="6"/>
  </si>
  <si>
    <t>水たまりができないように施工する。</t>
    <rPh sb="0" eb="1">
      <t>ミズ</t>
    </rPh>
    <rPh sb="12" eb="14">
      <t>セコウ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</si>
  <si>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</si>
  <si>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</si>
  <si>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</si>
  <si>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</si>
  <si>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</si>
  <si>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</si>
  <si>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</si>
  <si>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</si>
  <si>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</si>
  <si>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</si>
  <si>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</si>
  <si>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</si>
  <si>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草刈り</t>
  </si>
  <si>
    <t>掘削、路床整正</t>
  </si>
  <si>
    <t>残土運搬</t>
  </si>
  <si>
    <t>残土整地</t>
  </si>
  <si>
    <t>路盤工</t>
  </si>
  <si>
    <t>表層工</t>
  </si>
  <si>
    <t>区画線工</t>
  </si>
  <si>
    <t>フェンス設置</t>
  </si>
  <si>
    <t>ポストコーン設置</t>
  </si>
  <si>
    <t>バスケットゴール移設</t>
  </si>
  <si>
    <t>バスケットコート（3×3）ライン</t>
  </si>
  <si>
    <t>共通工</t>
  </si>
  <si>
    <t>重機運搬費</t>
  </si>
  <si>
    <t>準備費</t>
  </si>
  <si>
    <t>地代家賃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</si>
  <si>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</si>
  <si>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</si>
  <si>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</si>
  <si>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</si>
  <si>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</si>
  <si>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</si>
  <si>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</si>
  <si>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</si>
  <si>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</si>
  <si>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</si>
  <si>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</si>
  <si>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</si>
  <si>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</si>
  <si>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</si>
  <si>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</si>
  <si>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</si>
  <si>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</si>
  <si>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</si>
  <si>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</si>
  <si>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</si>
  <si>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 xml:space="preserve">As舗装　1134㎡_x000D_
掘削　226.8㎥_x000D_
残土整地　226.8㎥_x000D_
フェンス　63ｍ_x000D_
バスケットゴール移設　2基_x000D_
区画線工1式_x000D_
</t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</si>
  <si>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</si>
  <si>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</si>
  <si>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</si>
  <si>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</si>
  <si>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式</t>
  </si>
  <si>
    <t>t=200</t>
  </si>
  <si>
    <t>㎡</t>
  </si>
  <si>
    <t>3t車DT</t>
  </si>
  <si>
    <t>㎥</t>
  </si>
  <si>
    <t>450㎡　平均50㎝</t>
  </si>
  <si>
    <t>RC-40　t=150</t>
  </si>
  <si>
    <t>再生密粒度As(13)　t=50</t>
  </si>
  <si>
    <t>駐車枠T字　黄色　W=150</t>
  </si>
  <si>
    <t>台</t>
  </si>
  <si>
    <t>m</t>
  </si>
  <si>
    <t>基</t>
  </si>
  <si>
    <t xml:space="preserve"> ３. 発 注 者 よ り の 支 給 品</t>
    <phoneticPr fontId="6"/>
  </si>
  <si>
    <t>白色　w=50</t>
  </si>
  <si>
    <t>ｍ</t>
  </si>
  <si>
    <t>品      名</t>
  </si>
  <si>
    <t>形状 寸法</t>
  </si>
  <si>
    <t>(準備測量・仮設設置撤去・他)</t>
  </si>
  <si>
    <t>(借地費用や駐車場及び宿舎の賃貸等)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</si>
  <si>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</si>
  <si>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</si>
  <si>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</si>
  <si>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</si>
  <si>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</si>
  <si>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</si>
  <si>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</si>
  <si>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</si>
  <si>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</si>
  <si>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</si>
  <si>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</si>
  <si>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</si>
  <si>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</si>
  <si>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</si>
  <si>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</si>
  <si>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</si>
  <si>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</si>
  <si>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法定福利費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</si>
  <si>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</si>
  <si>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</si>
  <si>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</si>
  <si>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</si>
  <si>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</si>
  <si>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</si>
  <si>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</si>
  <si>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</si>
  <si>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</si>
  <si>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</si>
  <si>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</si>
  <si>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</si>
  <si>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</si>
  <si>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E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</si>
  <si>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</si>
  <si>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</si>
  <si>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2024年1月11日</t>
  </si>
  <si>
    <t>工事拠点経費</t>
    <rPh sb="0" eb="2">
      <t>コウジ</t>
    </rPh>
    <rPh sb="4" eb="6">
      <t>ケイヒ</t>
    </rPh>
    <phoneticPr fontId="6"/>
  </si>
  <si>
    <t>2024年1月22日 ～ 2024年3月31日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</si>
  <si>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</si>
  <si>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</si>
  <si>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2024年1月29日 ～ 2024年3月31日</t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</si>
  <si>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</si>
  <si>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</si>
  <si>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 xml:space="preserve">As舗装　1134㎡_x000D_
掘削　226.8㎥_x000D_
残土整地　226.8㎥_x000D_
フェンス　63ｍ_x000D_
バスケットゴール移設　2基_x000D_
区画線工1式_x000D_
</t>
    <phoneticPr fontId="4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</si>
  <si>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</si>
  <si>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</si>
  <si>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</si>
  <si>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</si>
  <si>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</si>
  <si>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</si>
  <si>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</si>
  <si>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</si>
  <si>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</si>
  <si>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</si>
  <si>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</si>
  <si>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</si>
  <si>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</si>
  <si>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</si>
  <si>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直工費</t>
  </si>
  <si>
    <t xml:space="preserve">  </t>
  </si>
  <si>
    <t>費目行</t>
  </si>
  <si>
    <t xml:space="preserve">    草刈り</t>
  </si>
  <si>
    <t>15号</t>
  </si>
  <si>
    <t xml:space="preserve">    </t>
  </si>
  <si>
    <t>内訳書</t>
  </si>
  <si>
    <t xml:space="preserve">    掘削、路床整正</t>
  </si>
  <si>
    <t>17号</t>
  </si>
  <si>
    <t xml:space="preserve">    t=200</t>
  </si>
  <si>
    <t xml:space="preserve">    残土運搬</t>
  </si>
  <si>
    <t>26号</t>
  </si>
  <si>
    <t xml:space="preserve">    3t車DT</t>
  </si>
  <si>
    <t xml:space="preserve">    残土整地</t>
  </si>
  <si>
    <t>16号</t>
  </si>
  <si>
    <t xml:space="preserve">    450㎡　平均50㎝</t>
  </si>
  <si>
    <t xml:space="preserve">    路盤工</t>
  </si>
  <si>
    <t>18号</t>
  </si>
  <si>
    <t xml:space="preserve">    RC-40　t=150</t>
  </si>
  <si>
    <t xml:space="preserve">    表層工</t>
  </si>
  <si>
    <t>19号</t>
  </si>
  <si>
    <t xml:space="preserve">    再生密粒度As(13)　t=50</t>
  </si>
  <si>
    <t xml:space="preserve">    区画線工</t>
  </si>
  <si>
    <t>20号</t>
  </si>
  <si>
    <t xml:space="preserve">    駐車枠T字　黄色　W=150</t>
  </si>
  <si>
    <t xml:space="preserve">    フェンス設置</t>
  </si>
  <si>
    <t>21号</t>
  </si>
  <si>
    <t xml:space="preserve">    ポストコーン設置</t>
  </si>
  <si>
    <t>22号</t>
  </si>
  <si>
    <t xml:space="preserve">    バスケットゴール移設</t>
  </si>
  <si>
    <t>23号</t>
  </si>
  <si>
    <t xml:space="preserve">    バスケットコート（3×3）ライン</t>
  </si>
  <si>
    <t>24号</t>
  </si>
  <si>
    <t xml:space="preserve">    白色　w=50</t>
  </si>
  <si>
    <t xml:space="preserve">    共通工</t>
  </si>
  <si>
    <t>25号</t>
  </si>
  <si>
    <t>直接工事費　計</t>
  </si>
  <si>
    <t>間接費</t>
  </si>
  <si>
    <t xml:space="preserve">  共通仮設費</t>
  </si>
  <si>
    <t xml:space="preserve">  現場経費</t>
  </si>
  <si>
    <t>間接費 計</t>
  </si>
  <si>
    <t>工事原価</t>
  </si>
  <si>
    <t>粗利益</t>
  </si>
  <si>
    <t>工事価格</t>
  </si>
  <si>
    <t>せんなん里海公園バスケットボールコート・スケートボード舗装工事</t>
    <phoneticPr fontId="4"/>
  </si>
  <si>
    <t>業者／要素</t>
    <rPh sb="0" eb="2">
      <t>ギョウシャ</t>
    </rPh>
    <rPh sb="3" eb="5">
      <t>ヨウソ</t>
    </rPh>
    <phoneticPr fontId="6"/>
  </si>
  <si>
    <t>直工費</t>
  </si>
  <si>
    <t xml:space="preserve">  草刈り</t>
  </si>
  <si>
    <t xml:space="preserve">  掘削、路床整正</t>
  </si>
  <si>
    <t xml:space="preserve">  t=200</t>
  </si>
  <si>
    <t xml:space="preserve">  残土運搬</t>
  </si>
  <si>
    <t xml:space="preserve">  3t車DT</t>
  </si>
  <si>
    <t xml:space="preserve">  残土整地</t>
  </si>
  <si>
    <t xml:space="preserve">  450㎡　平均50㎝</t>
  </si>
  <si>
    <t xml:space="preserve">  路盤工</t>
  </si>
  <si>
    <t xml:space="preserve">  RC-40　t=150</t>
  </si>
  <si>
    <t xml:space="preserve">  表層工</t>
  </si>
  <si>
    <t xml:space="preserve">  再生密粒度As(13)　t=50</t>
  </si>
  <si>
    <t xml:space="preserve">  区画線工</t>
  </si>
  <si>
    <t xml:space="preserve">  駐車枠T字　黄色　W=150</t>
  </si>
  <si>
    <t xml:space="preserve">  フェンス設置</t>
  </si>
  <si>
    <t xml:space="preserve">  ポストコーン設置</t>
  </si>
  <si>
    <t xml:space="preserve">  バスケットゴール移設</t>
  </si>
  <si>
    <t xml:space="preserve">  バスケットコート（3×3）ライン</t>
  </si>
  <si>
    <t xml:space="preserve">  白色　w=50</t>
  </si>
  <si>
    <t xml:space="preserve">  共通工</t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</si>
  <si>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</si>
  <si>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</si>
  <si>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</si>
  <si>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</si>
  <si>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</si>
  <si>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</si>
  <si>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</si>
  <si>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</si>
  <si>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</si>
  <si>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</si>
  <si>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</si>
  <si>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</si>
  <si>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</si>
  <si>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</si>
  <si>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</si>
  <si>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>集計行</t>
  </si>
  <si>
    <t>｜直接工事費</t>
  </si>
  <si>
    <t>｜｜直工費</t>
  </si>
  <si>
    <t>｜｜｜草刈り</t>
  </si>
  <si>
    <t>15号内訳書</t>
  </si>
  <si>
    <t>｜｜｜｜草刈り</t>
  </si>
  <si>
    <t>｜｜｜掘削、路床整正</t>
  </si>
  <si>
    <t>17号内訳書</t>
  </si>
  <si>
    <t>｜｜｜｜軽油</t>
  </si>
  <si>
    <t>ℓ</t>
  </si>
  <si>
    <t xml:space="preserve">s5001 </t>
  </si>
  <si>
    <t>｜｜｜｜世話役</t>
  </si>
  <si>
    <t>直営作業員</t>
  </si>
  <si>
    <t>人</t>
  </si>
  <si>
    <t xml:space="preserve">r0001 </t>
  </si>
  <si>
    <t>｜｜｜｜運転工</t>
  </si>
  <si>
    <t xml:space="preserve">r0003 </t>
  </si>
  <si>
    <t>｜｜｜｜世話役　法定福利費</t>
  </si>
  <si>
    <t>｜｜｜｜運転工　法定福利費</t>
  </si>
  <si>
    <t>｜｜｜｜ｺﾝﾊﾞｲﾝﾄﾞﾛｰﾗ</t>
  </si>
  <si>
    <t>4t</t>
  </si>
  <si>
    <t xml:space="preserve">k0006 </t>
  </si>
  <si>
    <t>｜｜｜｜ﾗﾝﾏ</t>
  </si>
  <si>
    <t xml:space="preserve">k0014 </t>
  </si>
  <si>
    <t>｜｜｜｜ﾌﾟﾚｰﾄ</t>
  </si>
  <si>
    <t xml:space="preserve">k0015 </t>
  </si>
  <si>
    <t>｜｜｜｜ﾊﾞｯｸﾎｳ</t>
  </si>
  <si>
    <t>0.25m3</t>
  </si>
  <si>
    <t xml:space="preserve">k0011 </t>
  </si>
  <si>
    <t>0.1m3</t>
  </si>
  <si>
    <t xml:space="preserve">k0012 </t>
  </si>
  <si>
    <t>｜｜｜｜3tﾀﾞﾝﾌﾟ</t>
  </si>
  <si>
    <t xml:space="preserve">u0002 </t>
  </si>
  <si>
    <t>｜｜｜｜下請け経費</t>
  </si>
  <si>
    <t>｜｜｜｜雑材</t>
  </si>
  <si>
    <t>｜｜｜残土運搬</t>
  </si>
  <si>
    <t>26号内訳書</t>
  </si>
  <si>
    <t>｜｜｜残土整地</t>
  </si>
  <si>
    <t>16号内訳書</t>
  </si>
  <si>
    <t>｜｜｜｜2.5ｔコンバインドローラ</t>
  </si>
  <si>
    <t>｜｜｜｜道具車</t>
  </si>
  <si>
    <t>｜｜｜路盤工</t>
  </si>
  <si>
    <t>18号内訳書</t>
  </si>
  <si>
    <t>｜｜｜｜RC-40</t>
  </si>
  <si>
    <t>現着</t>
  </si>
  <si>
    <t>ｔ</t>
  </si>
  <si>
    <t xml:space="preserve">s0002 </t>
  </si>
  <si>
    <t>明細代価</t>
  </si>
  <si>
    <t>｜｜｜｜路盤工施工費</t>
  </si>
  <si>
    <t>8号明細書</t>
  </si>
  <si>
    <t>｜｜｜｜｜軽油</t>
  </si>
  <si>
    <t>｜｜｜｜｜世話役</t>
  </si>
  <si>
    <t>｜｜｜｜｜運転工</t>
  </si>
  <si>
    <t>｜｜｜｜｜世話役　法定福利費</t>
  </si>
  <si>
    <t>｜｜｜｜｜運転工　法定福利費</t>
  </si>
  <si>
    <t>｜｜｜｜｜ﾀｲﾔﾛｰﾗ</t>
  </si>
  <si>
    <t>10t</t>
  </si>
  <si>
    <t xml:space="preserve">k0004 </t>
  </si>
  <si>
    <t>｜｜｜｜｜ｺﾝﾊﾞｲﾝﾄﾞﾛｰﾗ</t>
  </si>
  <si>
    <t>｜｜｜｜｜ﾗﾝﾏ</t>
  </si>
  <si>
    <t>｜｜｜｜｜ﾌﾟﾚｰﾄ</t>
  </si>
  <si>
    <t>｜｜｜｜｜ﾊﾞｯｸﾎｳ</t>
  </si>
  <si>
    <t>｜｜｜｜｜3tﾀﾞﾝﾌﾟ</t>
  </si>
  <si>
    <t>｜｜｜｜｜道具車</t>
  </si>
  <si>
    <t>｜｜｜｜｜下請け経費</t>
  </si>
  <si>
    <t>｜｜｜｜｜雑材</t>
  </si>
  <si>
    <t>｜｜｜｜｜土工</t>
  </si>
  <si>
    <t xml:space="preserve">r0004 </t>
  </si>
  <si>
    <t>｜｜｜｜｜土工　法定福利費</t>
  </si>
  <si>
    <t>｜｜｜｜｜ﾓｰﾀｸﾞﾚｰﾀﾞ　3.1m</t>
  </si>
  <si>
    <t>｜｜｜表層工</t>
  </si>
  <si>
    <t>19号内訳書</t>
  </si>
  <si>
    <t>｜｜｜｜乳剤　ペネトールS</t>
  </si>
  <si>
    <t>リットル</t>
  </si>
  <si>
    <t>｜｜｜｜デスビ</t>
  </si>
  <si>
    <t>｜｜｜｜再生密粒度As13</t>
  </si>
  <si>
    <t>t</t>
  </si>
  <si>
    <t xml:space="preserve">s2007 </t>
  </si>
  <si>
    <t>｜｜｜｜施工費</t>
  </si>
  <si>
    <t>7号明細書</t>
  </si>
  <si>
    <t>｜｜｜｜｜ｱｽﾌｧﾙﾄﾌｨﾆｯｼｬ</t>
  </si>
  <si>
    <t>W=4.5m級</t>
  </si>
  <si>
    <t xml:space="preserve">k0002 </t>
  </si>
  <si>
    <t>｜｜｜｜｜ﾀｲﾔｼｮﾍﾞﾙ</t>
  </si>
  <si>
    <t>0.4m3</t>
  </si>
  <si>
    <t xml:space="preserve">k0007 </t>
  </si>
  <si>
    <t>｜｜｜｜｜定規</t>
  </si>
  <si>
    <t>｜｜｜｜｜ﾌﾟﾛﾊﾟﾝｶﾞｽ</t>
  </si>
  <si>
    <t>kg</t>
  </si>
  <si>
    <t xml:space="preserve">s5003 </t>
  </si>
  <si>
    <t>｜｜｜区画線工</t>
  </si>
  <si>
    <t>20号内訳書</t>
  </si>
  <si>
    <t>｜｜｜フェンス設置</t>
  </si>
  <si>
    <t>21号内訳書</t>
  </si>
  <si>
    <t>｜｜｜｜フェンス基礎</t>
  </si>
  <si>
    <t>個</t>
  </si>
  <si>
    <t>｜｜｜｜運賃</t>
  </si>
  <si>
    <t>｜｜｜｜フェンス基礎施工費</t>
  </si>
  <si>
    <t>5号明細書</t>
  </si>
  <si>
    <t>｜｜｜｜フェンス雑材</t>
  </si>
  <si>
    <t>｜｜｜｜フェンス材工</t>
  </si>
  <si>
    <t>6号明細書</t>
  </si>
  <si>
    <t>｜｜｜｜｜積水　G10　H2000　ブラウン</t>
  </si>
  <si>
    <t>｜｜｜｜｜組立費</t>
  </si>
  <si>
    <t>｜｜｜｜｜現場諸経費</t>
  </si>
  <si>
    <t>｜｜｜ポストコーン設置</t>
  </si>
  <si>
    <t>22号内訳書</t>
  </si>
  <si>
    <t>｜｜｜｜ポストコーンM24黄色H800</t>
  </si>
  <si>
    <t>PCCTR-80FYW-DS</t>
  </si>
  <si>
    <t>本</t>
  </si>
  <si>
    <t>｜｜｜｜ロードボンドT-3</t>
  </si>
  <si>
    <t>｜｜｜｜機材</t>
  </si>
  <si>
    <t>ビット等</t>
  </si>
  <si>
    <t>2号明細書</t>
  </si>
  <si>
    <t>｜｜｜バスケットゴール移設</t>
  </si>
  <si>
    <t>23号内訳書</t>
  </si>
  <si>
    <t>｜｜｜｜生ｺﾝ</t>
  </si>
  <si>
    <t>24-15-20早強</t>
  </si>
  <si>
    <t>m3</t>
  </si>
  <si>
    <t xml:space="preserve">s3007 </t>
  </si>
  <si>
    <t>｜｜｜｜ﾊﾞｯｸﾎｳ　アイオン</t>
  </si>
  <si>
    <t>0.2m3</t>
  </si>
  <si>
    <t>｜｜｜｜生コン　空積</t>
  </si>
  <si>
    <t>｜｜｜｜鉄筋　D13</t>
  </si>
  <si>
    <t>0.995㎏/ｍ</t>
  </si>
  <si>
    <t>ｋｇ</t>
  </si>
  <si>
    <t>｜｜｜｜ボイドΦ300</t>
  </si>
  <si>
    <t>1ｍ</t>
  </si>
  <si>
    <t>｜｜｜｜砕石</t>
  </si>
  <si>
    <t>｜｜｜｜Co殻処分　有筋</t>
  </si>
  <si>
    <t>｜｜｜｜撤去施工費</t>
  </si>
  <si>
    <t>3号明細書</t>
  </si>
  <si>
    <t>｜｜｜｜｜ﾊﾞｯｸﾎｳ（アイオン）</t>
  </si>
  <si>
    <t>｜｜｜｜｜ｺﾝﾌﾟﾚｯｻｰ</t>
  </si>
  <si>
    <t>ﾌﾞﾚｰｶｰ　ホース5m込</t>
  </si>
  <si>
    <t>｜｜｜｜設置施工費</t>
  </si>
  <si>
    <t>4号明細書</t>
  </si>
  <si>
    <t>｜｜｜｜｜型枠材</t>
  </si>
  <si>
    <t>｜｜｜バスケットコート（3×3）ライン</t>
  </si>
  <si>
    <t>24号内訳書</t>
  </si>
  <si>
    <t>｜｜｜｜ｽｹｯﾁｶﾗｰｺｰﾄS　A剤</t>
  </si>
  <si>
    <t>缶</t>
  </si>
  <si>
    <t>｜｜｜｜ｽｹｯﾁｶﾗｰｺｰﾄS　B剤</t>
  </si>
  <si>
    <t>袋</t>
  </si>
  <si>
    <t>｜｜｜｜ｽｹｯﾁｶﾗｰｺｰﾄ　C剤</t>
  </si>
  <si>
    <t>1号明細書</t>
  </si>
  <si>
    <t>｜｜｜｜｜ハンドミキサー</t>
  </si>
  <si>
    <t>｜｜｜｜｜発電機</t>
  </si>
  <si>
    <t>｜｜｜｜刷毛、ローラー、養生材等</t>
  </si>
  <si>
    <t>｜｜｜共通工</t>
  </si>
  <si>
    <t>25号内訳書</t>
  </si>
  <si>
    <t>｜｜｜｜現場管理費</t>
  </si>
  <si>
    <t>日</t>
  </si>
  <si>
    <t xml:space="preserve">m0010 </t>
  </si>
  <si>
    <t>旧</t>
  </si>
  <si>
    <t>｜｜｜｜4t車回送</t>
  </si>
  <si>
    <t>回</t>
  </si>
  <si>
    <t xml:space="preserve">u0011 </t>
  </si>
  <si>
    <t>｜｜｜｜10t車回送</t>
  </si>
  <si>
    <t xml:space="preserve">u0013 </t>
  </si>
  <si>
    <t>｜｜｜｜残土運搬経路養生</t>
  </si>
  <si>
    <t>｜｜｜｜倉庫</t>
  </si>
  <si>
    <t>｜｜｜｜倉庫運搬費</t>
  </si>
  <si>
    <t>｜｜｜｜ハイウォッシャー等仮設費</t>
  </si>
  <si>
    <t>｜｜｜｜安全資機材</t>
  </si>
  <si>
    <t>｜｜｜｜オレンジネットピン</t>
  </si>
  <si>
    <t>｜｜｜｜工事看板　800*900</t>
  </si>
  <si>
    <t>｜｜｜｜修正ステッカー</t>
  </si>
  <si>
    <t>｜｜｜｜運搬費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</si>
  <si>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</si>
  <si>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</si>
  <si>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</si>
  <si>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社員給料</t>
  </si>
  <si>
    <t>事務用品費</t>
  </si>
  <si>
    <t>電力用水光熱費</t>
  </si>
  <si>
    <t>仮設費</t>
  </si>
  <si>
    <t>通信費</t>
  </si>
  <si>
    <t>安全費</t>
  </si>
  <si>
    <t>旅費交通費</t>
  </si>
  <si>
    <t>技術管理費</t>
  </si>
  <si>
    <t>保険料</t>
  </si>
  <si>
    <t>車両費</t>
  </si>
  <si>
    <t>雑費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</si>
  <si>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</si>
  <si>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</si>
  <si>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</si>
  <si>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</si>
  <si>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</si>
  <si>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</si>
  <si>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</si>
  <si>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/>
  </si>
  <si>
    <t>｜共通仮設費</t>
  </si>
  <si>
    <t>内訳代価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</si>
  <si>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</si>
  <si>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</si>
  <si>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</si>
  <si>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</si>
  <si>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</si>
  <si>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</si>
  <si>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</si>
  <si>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(仮設事務所・倉庫・トイレ(環境改善含む)、仮設電気　等)</t>
  </si>
  <si>
    <t>4号内訳書</t>
  </si>
  <si>
    <t>｜｜安全費</t>
  </si>
  <si>
    <t>(仮設事務所仮囲い・工事看板や安全施設・事務所警備　等)</t>
  </si>
  <si>
    <t>5号内訳書</t>
  </si>
  <si>
    <t>｜｜｜交通誘導員　Ｂ</t>
  </si>
  <si>
    <t>｜｜技術管理費</t>
  </si>
  <si>
    <t>(土質試験・ASP・MC施工関係・完成図書 等)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</si>
  <si>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</si>
  <si>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</si>
  <si>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</si>
  <si>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</si>
  <si>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</si>
  <si>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</si>
  <si>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</si>
  <si>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(コピー機、トナー、文具、コピー用紙、その他)</t>
  </si>
  <si>
    <t>8号</t>
  </si>
  <si>
    <t>9号</t>
  </si>
  <si>
    <t>(携帯通話料、ネット回線契約、電話回線契約　等)</t>
  </si>
  <si>
    <t>10号</t>
  </si>
  <si>
    <t>(出張、移動旅費等)</t>
  </si>
  <si>
    <t>11号</t>
  </si>
  <si>
    <t>(建退共・労災保険・労災上乗せ保険　等)</t>
  </si>
  <si>
    <t>12号</t>
  </si>
  <si>
    <t>(連絡車)</t>
  </si>
  <si>
    <t>13号</t>
  </si>
  <si>
    <t>(現場特有で発生が見込まれる費用　等)</t>
  </si>
  <si>
    <t>14号</t>
  </si>
  <si>
    <t>原価工種コード</t>
    <phoneticPr fontId="6"/>
  </si>
  <si>
    <t>0</t>
  </si>
  <si>
    <t>#DIV/0!</t>
  </si>
  <si>
    <t>｜現場経費</t>
  </si>
  <si>
    <t>｜｜社員給料</t>
  </si>
  <si>
    <t>7号内訳書</t>
  </si>
  <si>
    <t>｜｜｜社員給料</t>
  </si>
  <si>
    <t>総合1級　昼間</t>
  </si>
  <si>
    <t xml:space="preserve">m0002 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</si>
  <si>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</si>
  <si>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</si>
  <si>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</si>
  <si>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</si>
  <si>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</si>
  <si>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</si>
  <si>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</si>
  <si>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</si>
  <si>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</si>
  <si>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</si>
  <si>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</si>
  <si>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</si>
  <si>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</si>
  <si>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</si>
  <si>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</si>
  <si>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</si>
  <si>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せんなん里海公園バスケットボールコート・スケートボード舗装工事</t>
    <phoneticPr fontId="6"/>
  </si>
  <si>
    <t>2340410111 E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</si>
  <si>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</si>
  <si>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</si>
  <si>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</si>
  <si>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</si>
  <si>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</si>
  <si>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</si>
  <si>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</si>
  <si>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Co殻処分　有筋</t>
    <phoneticPr fontId="6"/>
  </si>
  <si>
    <t>ｔ</t>
    <phoneticPr fontId="6"/>
  </si>
  <si>
    <t>材料費</t>
    <phoneticPr fontId="6"/>
  </si>
  <si>
    <t>RC-40</t>
    <phoneticPr fontId="6"/>
  </si>
  <si>
    <t>現着</t>
    <phoneticPr fontId="6"/>
  </si>
  <si>
    <t>ﾌﾟﾛﾊﾟﾝｶﾞｽ</t>
    <phoneticPr fontId="6"/>
  </si>
  <si>
    <t>kg</t>
    <phoneticPr fontId="6"/>
  </si>
  <si>
    <t>軽油</t>
    <phoneticPr fontId="6"/>
  </si>
  <si>
    <t>ℓ</t>
    <phoneticPr fontId="6"/>
  </si>
  <si>
    <t>再生密粒度As13</t>
    <phoneticPr fontId="6"/>
  </si>
  <si>
    <t>t</t>
    <phoneticPr fontId="6"/>
  </si>
  <si>
    <t>生ｺﾝ</t>
    <phoneticPr fontId="6"/>
  </si>
  <si>
    <t>m3</t>
    <phoneticPr fontId="6"/>
  </si>
  <si>
    <t>24-15-20早強</t>
    <phoneticPr fontId="6"/>
  </si>
  <si>
    <t>計</t>
    <phoneticPr fontId="6"/>
  </si>
  <si>
    <t>労務調書</t>
    <rPh sb="2" eb="4">
      <t>チョウショ</t>
    </rPh>
    <phoneticPr fontId="6"/>
  </si>
  <si>
    <t>運転工</t>
    <phoneticPr fontId="6"/>
  </si>
  <si>
    <t>人</t>
    <phoneticPr fontId="6"/>
  </si>
  <si>
    <t>直営作業員</t>
    <phoneticPr fontId="6"/>
  </si>
  <si>
    <t>労務費</t>
    <phoneticPr fontId="6"/>
  </si>
  <si>
    <t>交通誘導員　Ｂ</t>
    <phoneticPr fontId="6"/>
  </si>
  <si>
    <t>世話役</t>
    <phoneticPr fontId="6"/>
  </si>
  <si>
    <t>土工</t>
    <phoneticPr fontId="6"/>
  </si>
  <si>
    <t>機械調書</t>
    <rPh sb="2" eb="4">
      <t>チョウショ</t>
    </rPh>
    <phoneticPr fontId="6"/>
  </si>
  <si>
    <t>2.5ｔコンバインドローラ</t>
    <phoneticPr fontId="6"/>
  </si>
  <si>
    <t>台</t>
    <phoneticPr fontId="6"/>
  </si>
  <si>
    <t>機械費</t>
    <phoneticPr fontId="6"/>
  </si>
  <si>
    <t>ｱｽﾌｧﾙﾄﾌｨﾆｯｼｬ</t>
    <phoneticPr fontId="6"/>
  </si>
  <si>
    <t>W=4.5m級</t>
    <phoneticPr fontId="6"/>
  </si>
  <si>
    <t>ｺﾝﾊﾞｲﾝﾄﾞﾛｰﾗ</t>
    <phoneticPr fontId="6"/>
  </si>
  <si>
    <t>4t</t>
    <phoneticPr fontId="6"/>
  </si>
  <si>
    <t>ｺﾝﾌﾟﾚｯｻｰ</t>
    <phoneticPr fontId="6"/>
  </si>
  <si>
    <t>ﾌﾞﾚｰｶｰ　ホース5m込</t>
    <phoneticPr fontId="6"/>
  </si>
  <si>
    <t>ﾀｲﾔｼｮﾍﾞﾙ</t>
    <phoneticPr fontId="6"/>
  </si>
  <si>
    <t>0.4m3</t>
    <phoneticPr fontId="6"/>
  </si>
  <si>
    <t>ﾀｲﾔﾛｰﾗ</t>
    <phoneticPr fontId="6"/>
  </si>
  <si>
    <t>10t</t>
    <phoneticPr fontId="6"/>
  </si>
  <si>
    <t>ﾊﾞｯｸﾎｳ</t>
    <phoneticPr fontId="6"/>
  </si>
  <si>
    <t>0.1m3</t>
    <phoneticPr fontId="6"/>
  </si>
  <si>
    <t>0.25m3</t>
    <phoneticPr fontId="6"/>
  </si>
  <si>
    <t>ﾊﾞｯｸﾎｳ　アイオン</t>
    <phoneticPr fontId="6"/>
  </si>
  <si>
    <t>0.2m3</t>
    <phoneticPr fontId="6"/>
  </si>
  <si>
    <t>ﾊﾞｯｸﾎｳ（アイオン）</t>
    <phoneticPr fontId="6"/>
  </si>
  <si>
    <t>ﾌﾟﾚｰﾄ</t>
    <phoneticPr fontId="6"/>
  </si>
  <si>
    <t>ﾓｰﾀｸﾞﾚｰﾀﾞ　3.1m</t>
    <phoneticPr fontId="6"/>
  </si>
  <si>
    <t>ﾗﾝﾏ</t>
    <phoneticPr fontId="6"/>
  </si>
  <si>
    <t>発電機</t>
    <phoneticPr fontId="6"/>
  </si>
  <si>
    <t>運搬調書</t>
    <rPh sb="2" eb="4">
      <t>チョウショ</t>
    </rPh>
    <phoneticPr fontId="6"/>
  </si>
  <si>
    <t>10t車回送</t>
    <phoneticPr fontId="6"/>
  </si>
  <si>
    <t>回</t>
    <phoneticPr fontId="6"/>
  </si>
  <si>
    <t>運搬費</t>
    <phoneticPr fontId="6"/>
  </si>
  <si>
    <t>3tﾀﾞﾝﾌﾟ</t>
    <phoneticPr fontId="6"/>
  </si>
  <si>
    <t>4t車回送</t>
    <phoneticPr fontId="6"/>
  </si>
  <si>
    <t>道具車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</si>
</sst>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23</xdr:row>
          <xdr:rowOff>121920</xdr:rowOff>
        </xdr:from>
        <xdr:to>
          <xdr:col>1</xdr:col>
          <xdr:colOff>1150620</xdr:colOff>
          <xdr:row>25</xdr:row>
          <xdr:rowOff>7620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25</xdr:row>
          <xdr:rowOff>45720</xdr:rowOff>
        </xdr:from>
        <xdr:to>
          <xdr:col>1</xdr:col>
          <xdr:colOff>1150620</xdr:colOff>
          <xdr:row>26</xdr:row>
          <xdr:rowOff>99060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26</xdr:row>
          <xdr:rowOff>144780</xdr:rowOff>
        </xdr:from>
        <xdr:to>
          <xdr:col>1</xdr:col>
          <xdr:colOff>1150620</xdr:colOff>
          <xdr:row>27</xdr:row>
          <xdr:rowOff>182880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tabSelected="1" topLeftCell="A10" zoomScaleNormal="100" workbookViewId="0">
      <selection activeCell="A32" sqref="A32:AM32"/>
    </sheetView>
  </sheetViews>
  <sheetFormatPr defaultColWidth="8.125" defaultRowHeight="13.1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45317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6.899999999999999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6.149999999999999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45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45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10300000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9214000</v>
      </c>
      <c r="J16" s="413"/>
      <c r="K16" s="413"/>
      <c r="L16" s="413"/>
      <c r="M16" s="413"/>
      <c r="N16" s="413"/>
      <c r="O16" s="413"/>
      <c r="P16" s="413"/>
      <c r="Q16" s="410">
        <v>0.89459999999999995</v>
      </c>
      <c r="R16" s="410"/>
      <c r="S16" s="410"/>
      <c r="U16" s="403" t="s">
        <v>24</v>
      </c>
      <c r="V16" s="411"/>
      <c r="W16" s="411"/>
      <c r="X16" s="411"/>
      <c r="Y16" s="412">
        <v>1086000</v>
      </c>
      <c r="Z16" s="413"/>
      <c r="AA16" s="413"/>
      <c r="AB16" s="413"/>
      <c r="AC16" s="413"/>
      <c r="AD16" s="413"/>
      <c r="AE16" s="413"/>
      <c r="AF16" s="413"/>
      <c r="AG16" s="410">
        <v>0.10539999999999999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37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38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 t="s">
        <v>39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40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41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42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43</v>
      </c>
      <c r="L2" s="451"/>
      <c r="M2" s="452"/>
      <c r="N2" s="471" t="s">
        <v>3</v>
      </c>
      <c r="O2" s="472"/>
      <c r="P2" s="472"/>
      <c r="Q2" s="472"/>
      <c r="R2" s="473"/>
      <c r="S2" s="38" t="s">
        <v>44</v>
      </c>
      <c r="T2" s="349"/>
    </row>
    <row r="3" spans="1:20" ht="24.75" customHeight="1">
      <c r="A3" s="33"/>
      <c r="B3" s="39" t="s">
        <v>45</v>
      </c>
      <c r="C3" s="453">
        <v>45313</v>
      </c>
      <c r="D3" s="454"/>
      <c r="E3" s="266" t="s">
        <v>46</v>
      </c>
      <c r="F3" s="455">
        <v>45382</v>
      </c>
      <c r="G3" s="455"/>
      <c r="H3" s="455"/>
      <c r="I3" s="267"/>
      <c r="J3" s="267"/>
      <c r="K3" s="456" t="s">
        <v>47</v>
      </c>
      <c r="L3" s="457"/>
      <c r="M3" s="458"/>
      <c r="N3" s="443">
        <v>10300000</v>
      </c>
      <c r="O3" s="444"/>
      <c r="P3" s="445"/>
      <c r="Q3" s="268"/>
      <c r="R3" s="269"/>
      <c r="S3" s="40" t="s">
        <v>48</v>
      </c>
      <c r="T3" s="349"/>
    </row>
    <row r="4" spans="1:20" ht="24.75" customHeight="1" thickBot="1">
      <c r="A4" s="33"/>
      <c r="B4" s="41" t="s">
        <v>49</v>
      </c>
      <c r="C4" s="42" t="s">
        <v>50</v>
      </c>
      <c r="D4" s="43" t="s">
        <v>51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52</v>
      </c>
      <c r="C5" s="270">
        <v>30000</v>
      </c>
      <c r="D5" s="329">
        <f>IF(C5&lt;&gt;"",C5/$C$20,"")</f>
        <v>3.9195192056441074E-3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53</v>
      </c>
      <c r="C6" s="271">
        <v>660000</v>
      </c>
      <c r="D6" s="330">
        <f t="shared" ref="D6:D17" si="0">IF(C6&lt;&gt;"",C6/$C$20,"")</f>
        <v>8.6229422524170374E-2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54</v>
      </c>
      <c r="C7" s="271">
        <v>384000</v>
      </c>
      <c r="D7" s="330">
        <f t="shared" si="0"/>
        <v>5.0169845832244576E-2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55</v>
      </c>
      <c r="C8" s="271">
        <v>180000</v>
      </c>
      <c r="D8" s="330">
        <f t="shared" si="0"/>
        <v>2.3517115233864645E-2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56</v>
      </c>
      <c r="C9" s="271">
        <v>1110000</v>
      </c>
      <c r="D9" s="330">
        <f t="shared" si="0"/>
        <v>0.14502221060883197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57</v>
      </c>
      <c r="C10" s="271">
        <v>1870000</v>
      </c>
      <c r="D10" s="330">
        <f t="shared" si="0"/>
        <v>0.24431669715181603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58</v>
      </c>
      <c r="C11" s="271">
        <v>100000</v>
      </c>
      <c r="D11" s="330">
        <f t="shared" si="0"/>
        <v>1.3065064018813691E-2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59</v>
      </c>
      <c r="C12" s="271">
        <v>870000</v>
      </c>
      <c r="D12" s="330">
        <f t="shared" si="0"/>
        <v>0.11366605696367912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60</v>
      </c>
      <c r="C13" s="271">
        <v>260000</v>
      </c>
      <c r="D13" s="330">
        <f t="shared" si="0"/>
        <v>3.3969166448915601E-2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61</v>
      </c>
      <c r="C14" s="271">
        <v>530000</v>
      </c>
      <c r="D14" s="330">
        <f t="shared" si="0"/>
        <v>6.9244839299712563E-2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62</v>
      </c>
      <c r="C15" s="271">
        <v>110000</v>
      </c>
      <c r="D15" s="330">
        <f t="shared" si="0"/>
        <v>1.4371570420695061E-2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63</v>
      </c>
      <c r="C16" s="271">
        <v>1550000</v>
      </c>
      <c r="D16" s="330">
        <f t="shared" si="0"/>
        <v>0.20250849229161222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64</v>
      </c>
      <c r="C17" s="272">
        <v>0</v>
      </c>
      <c r="D17" s="330">
        <f t="shared" si="0"/>
        <v>0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65</v>
      </c>
      <c r="C18" s="272">
        <v>0</v>
      </c>
      <c r="D18" s="330">
        <f>IF(C18&lt;&gt;"",C18/$C$20,"")</f>
        <v>0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66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67</v>
      </c>
      <c r="C20" s="273">
        <f>SUM(C5:C19)</f>
        <v>7654000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68</v>
      </c>
      <c r="C21" s="61"/>
      <c r="D21" s="62" t="s">
        <v>69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70</v>
      </c>
      <c r="D22" s="65" t="s">
        <v>71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72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73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74</v>
      </c>
      <c r="F30" s="178" t="s">
        <v>75</v>
      </c>
      <c r="G30" s="177" t="s">
        <v>76</v>
      </c>
      <c r="H30" s="178" t="s">
        <v>77</v>
      </c>
      <c r="I30" s="177" t="s">
        <v>78</v>
      </c>
      <c r="J30" s="178" t="s">
        <v>79</v>
      </c>
      <c r="K30" s="177" t="s">
        <v>80</v>
      </c>
      <c r="L30" s="178" t="s">
        <v>81</v>
      </c>
      <c r="M30" s="177" t="s">
        <v>82</v>
      </c>
      <c r="N30" s="179" t="s">
        <v>83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7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83820</xdr:colOff>
                <xdr:row>23</xdr:row>
                <xdr:rowOff>121920</xdr:rowOff>
              </from>
              <to>
                <xdr:col>1</xdr:col>
                <xdr:colOff>1150620</xdr:colOff>
                <xdr:row>25</xdr:row>
                <xdr:rowOff>7620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83820</xdr:colOff>
                <xdr:row>25</xdr:row>
                <xdr:rowOff>45720</xdr:rowOff>
              </from>
              <to>
                <xdr:col>1</xdr:col>
                <xdr:colOff>1150620</xdr:colOff>
                <xdr:row>26</xdr:row>
                <xdr:rowOff>99060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83820</xdr:colOff>
                <xdr:row>26</xdr:row>
                <xdr:rowOff>144780</xdr:rowOff>
              </from>
              <to>
                <xdr:col>1</xdr:col>
                <xdr:colOff>1150620</xdr:colOff>
                <xdr:row>27</xdr:row>
                <xdr:rowOff>182880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3.1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84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85</v>
      </c>
      <c r="C3" s="75"/>
      <c r="D3" s="75"/>
      <c r="E3" s="75"/>
      <c r="F3" s="75"/>
      <c r="G3" s="75"/>
      <c r="H3" s="75"/>
      <c r="I3" s="76"/>
      <c r="J3" s="77" t="s">
        <v>86</v>
      </c>
      <c r="K3" s="75"/>
      <c r="L3" s="75"/>
      <c r="M3" s="78"/>
      <c r="N3" s="69"/>
      <c r="O3" s="69"/>
    </row>
    <row r="4" spans="1:18" ht="24.75" customHeight="1">
      <c r="A4" s="69"/>
      <c r="B4" s="477" t="s">
        <v>87</v>
      </c>
      <c r="C4" s="584"/>
      <c r="D4" s="584"/>
      <c r="E4" s="584"/>
      <c r="F4" s="584"/>
      <c r="G4" s="584"/>
      <c r="H4" s="584"/>
      <c r="I4" s="585"/>
      <c r="J4" s="79" t="s">
        <v>88</v>
      </c>
      <c r="K4" s="80" t="s">
        <v>89</v>
      </c>
      <c r="L4" s="80" t="s">
        <v>90</v>
      </c>
      <c r="M4" s="81" t="s">
        <v>91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52</v>
      </c>
      <c r="K5" s="276"/>
      <c r="L5" s="277" t="s">
        <v>92</v>
      </c>
      <c r="M5" s="278">
        <v>1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53</v>
      </c>
      <c r="K6" s="283" t="s">
        <v>93</v>
      </c>
      <c r="L6" s="284" t="s">
        <v>94</v>
      </c>
      <c r="M6" s="285">
        <v>1134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54</v>
      </c>
      <c r="K7" s="283" t="s">
        <v>95</v>
      </c>
      <c r="L7" s="284" t="s">
        <v>96</v>
      </c>
      <c r="M7" s="285">
        <v>226.8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55</v>
      </c>
      <c r="K8" s="283" t="s">
        <v>97</v>
      </c>
      <c r="L8" s="284" t="s">
        <v>96</v>
      </c>
      <c r="M8" s="285">
        <v>226.8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56</v>
      </c>
      <c r="K9" s="283" t="s">
        <v>98</v>
      </c>
      <c r="L9" s="284" t="s">
        <v>94</v>
      </c>
      <c r="M9" s="285">
        <v>1134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57</v>
      </c>
      <c r="K10" s="283" t="s">
        <v>99</v>
      </c>
      <c r="L10" s="284" t="s">
        <v>94</v>
      </c>
      <c r="M10" s="285">
        <v>1134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58</v>
      </c>
      <c r="K11" s="283" t="s">
        <v>100</v>
      </c>
      <c r="L11" s="284" t="s">
        <v>101</v>
      </c>
      <c r="M11" s="285">
        <v>23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59</v>
      </c>
      <c r="K12" s="283"/>
      <c r="L12" s="284" t="s">
        <v>102</v>
      </c>
      <c r="M12" s="285">
        <v>63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60</v>
      </c>
      <c r="K13" s="283"/>
      <c r="L13" s="284" t="s">
        <v>103</v>
      </c>
      <c r="M13" s="285">
        <v>9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61</v>
      </c>
      <c r="K14" s="283"/>
      <c r="L14" s="284" t="s">
        <v>103</v>
      </c>
      <c r="M14" s="285">
        <v>2</v>
      </c>
      <c r="N14" s="69"/>
      <c r="O14" s="69"/>
    </row>
    <row r="15" spans="1:18" ht="24.95" customHeight="1" thickTop="1">
      <c r="A15" s="69"/>
      <c r="B15" s="89" t="s">
        <v>104</v>
      </c>
      <c r="C15" s="90"/>
      <c r="D15" s="90"/>
      <c r="E15" s="90"/>
      <c r="F15" s="90"/>
      <c r="G15" s="90"/>
      <c r="H15" s="90"/>
      <c r="I15" s="91"/>
      <c r="J15" s="88" t="s">
        <v>62</v>
      </c>
      <c r="K15" s="283" t="s">
        <v>105</v>
      </c>
      <c r="L15" s="284" t="s">
        <v>106</v>
      </c>
      <c r="M15" s="285">
        <v>110</v>
      </c>
      <c r="N15" s="69"/>
      <c r="O15" s="69"/>
    </row>
    <row r="16" spans="1:18" ht="24.95" customHeight="1">
      <c r="A16" s="69"/>
      <c r="B16" s="92" t="s">
        <v>107</v>
      </c>
      <c r="C16" s="80" t="s">
        <v>108</v>
      </c>
      <c r="D16" s="80" t="s">
        <v>90</v>
      </c>
      <c r="E16" s="93" t="s">
        <v>91</v>
      </c>
      <c r="F16" s="79" t="s">
        <v>107</v>
      </c>
      <c r="G16" s="80" t="s">
        <v>108</v>
      </c>
      <c r="H16" s="80" t="s">
        <v>90</v>
      </c>
      <c r="I16" s="93" t="s">
        <v>91</v>
      </c>
      <c r="J16" s="88" t="s">
        <v>63</v>
      </c>
      <c r="K16" s="283"/>
      <c r="L16" s="284" t="s">
        <v>92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64</v>
      </c>
      <c r="K17" s="283"/>
      <c r="L17" s="284" t="s">
        <v>92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65</v>
      </c>
      <c r="K18" s="283" t="s">
        <v>109</v>
      </c>
      <c r="L18" s="284" t="s">
        <v>92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66</v>
      </c>
      <c r="K19" s="289" t="s">
        <v>110</v>
      </c>
      <c r="L19" s="290" t="s">
        <v>92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/>
  </sheetViews>
  <sheetFormatPr defaultColWidth="8.25" defaultRowHeight="13.1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111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112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113</v>
      </c>
      <c r="C5" s="485"/>
      <c r="D5" s="486"/>
      <c r="E5" s="240" t="s">
        <v>114</v>
      </c>
      <c r="F5" s="487" t="s">
        <v>115</v>
      </c>
      <c r="G5" s="488"/>
      <c r="H5" s="240" t="s">
        <v>116</v>
      </c>
      <c r="I5" s="485" t="s">
        <v>29</v>
      </c>
      <c r="J5" s="489"/>
      <c r="K5" s="490"/>
      <c r="L5" s="106" t="s">
        <v>117</v>
      </c>
      <c r="M5" s="485"/>
      <c r="N5" s="489"/>
      <c r="O5" s="491"/>
      <c r="P5" s="69"/>
    </row>
    <row r="6" spans="1:17" ht="30" customHeight="1">
      <c r="A6" s="69"/>
      <c r="B6" s="107" t="s">
        <v>118</v>
      </c>
      <c r="C6" s="485" t="s">
        <v>3</v>
      </c>
      <c r="D6" s="490"/>
      <c r="E6" s="106"/>
      <c r="F6" s="108" t="s">
        <v>119</v>
      </c>
      <c r="G6" s="108" t="s">
        <v>120</v>
      </c>
      <c r="H6" s="109" t="s">
        <v>121</v>
      </c>
      <c r="I6" s="110" t="s">
        <v>122</v>
      </c>
      <c r="J6" s="110" t="s">
        <v>123</v>
      </c>
      <c r="K6" s="110" t="s">
        <v>124</v>
      </c>
      <c r="L6" s="110" t="s">
        <v>125</v>
      </c>
      <c r="M6" s="111" t="s">
        <v>126</v>
      </c>
      <c r="N6" s="110" t="s">
        <v>127</v>
      </c>
      <c r="O6" s="112" t="s">
        <v>128</v>
      </c>
      <c r="P6" s="241"/>
      <c r="Q6" s="242"/>
    </row>
    <row r="7" spans="1:17" ht="30" customHeight="1">
      <c r="A7" s="69"/>
      <c r="B7" s="107" t="s">
        <v>129</v>
      </c>
      <c r="C7" s="485" t="s">
        <v>21</v>
      </c>
      <c r="D7" s="490"/>
      <c r="E7" s="113" t="s">
        <v>130</v>
      </c>
      <c r="F7" s="243">
        <v>10300000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131</v>
      </c>
      <c r="C8" s="485"/>
      <c r="D8" s="501"/>
      <c r="E8" s="113" t="s">
        <v>132</v>
      </c>
      <c r="F8" s="243">
        <v>9214000</v>
      </c>
      <c r="G8" s="328">
        <v>0.89459999999999995</v>
      </c>
      <c r="H8" s="244">
        <v>1703350</v>
      </c>
      <c r="I8" s="245">
        <v>1848000</v>
      </c>
      <c r="J8" s="245"/>
      <c r="K8" s="245">
        <v>519200</v>
      </c>
      <c r="L8" s="246">
        <v>970000</v>
      </c>
      <c r="M8" s="246"/>
      <c r="N8" s="247">
        <v>1370000</v>
      </c>
      <c r="O8" s="248">
        <v>190080</v>
      </c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133</v>
      </c>
      <c r="F9" s="243">
        <v>7654000</v>
      </c>
      <c r="G9" s="328">
        <v>0.74309999999999998</v>
      </c>
      <c r="H9" s="244">
        <v>1703350</v>
      </c>
      <c r="I9" s="245">
        <v>1188000</v>
      </c>
      <c r="J9" s="245"/>
      <c r="K9" s="245">
        <v>519200</v>
      </c>
      <c r="L9" s="246">
        <v>970000</v>
      </c>
      <c r="M9" s="246"/>
      <c r="N9" s="247">
        <v>470000</v>
      </c>
      <c r="O9" s="248">
        <v>190080</v>
      </c>
      <c r="P9" s="355"/>
      <c r="Q9" s="356"/>
    </row>
    <row r="10" spans="1:17" ht="30" customHeight="1">
      <c r="A10" s="69"/>
      <c r="B10" s="107" t="s">
        <v>134</v>
      </c>
      <c r="C10" s="485" t="s">
        <v>6</v>
      </c>
      <c r="D10" s="490"/>
      <c r="E10" s="114" t="s">
        <v>135</v>
      </c>
      <c r="F10" s="243">
        <v>660000</v>
      </c>
      <c r="G10" s="328">
        <v>6.4100000000000004E-2</v>
      </c>
      <c r="H10" s="244"/>
      <c r="I10" s="247">
        <v>660000</v>
      </c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136</v>
      </c>
      <c r="C11" s="485"/>
      <c r="D11" s="490"/>
      <c r="E11" s="114" t="s">
        <v>137</v>
      </c>
      <c r="F11" s="243">
        <v>900000</v>
      </c>
      <c r="G11" s="328">
        <v>8.7400000000000005E-2</v>
      </c>
      <c r="H11" s="244"/>
      <c r="I11" s="247"/>
      <c r="J11" s="247"/>
      <c r="K11" s="247"/>
      <c r="L11" s="245"/>
      <c r="M11" s="246"/>
      <c r="N11" s="247">
        <v>900000</v>
      </c>
      <c r="O11" s="248"/>
      <c r="P11" s="355"/>
      <c r="Q11" s="250"/>
    </row>
    <row r="12" spans="1:17" ht="30" customHeight="1">
      <c r="A12" s="69"/>
      <c r="B12" s="107" t="s">
        <v>138</v>
      </c>
      <c r="C12" s="485" t="s">
        <v>139</v>
      </c>
      <c r="D12" s="501"/>
      <c r="E12" s="113" t="s">
        <v>140</v>
      </c>
      <c r="F12" s="243">
        <v>1086000</v>
      </c>
      <c r="G12" s="328">
        <v>0.10539999999999999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141</v>
      </c>
      <c r="C13" s="485" t="s">
        <v>142</v>
      </c>
      <c r="D13" s="501"/>
      <c r="E13" s="169" t="s">
        <v>143</v>
      </c>
      <c r="F13" s="243">
        <v>473800</v>
      </c>
      <c r="G13" s="328">
        <v>4.5999999999999999E-2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144</v>
      </c>
      <c r="C14" s="485" t="s">
        <v>145</v>
      </c>
      <c r="D14" s="490"/>
      <c r="E14" s="114" t="s">
        <v>146</v>
      </c>
      <c r="F14" s="243">
        <v>360500</v>
      </c>
      <c r="G14" s="328">
        <v>3.5000000000000003E-2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147</v>
      </c>
      <c r="D15" s="506"/>
      <c r="E15" s="114" t="s">
        <v>148</v>
      </c>
      <c r="F15" s="243">
        <v>113300</v>
      </c>
      <c r="G15" s="328">
        <v>1.0999999999999999E-2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149</v>
      </c>
      <c r="C16" s="485" t="s">
        <v>150</v>
      </c>
      <c r="D16" s="490"/>
      <c r="E16" s="113" t="s">
        <v>151</v>
      </c>
      <c r="F16" s="243">
        <v>612200</v>
      </c>
      <c r="G16" s="328">
        <v>5.9400000000000001E-2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152</v>
      </c>
      <c r="C17" s="495" t="s">
        <v>153</v>
      </c>
      <c r="D17" s="496"/>
      <c r="E17" s="113" t="s">
        <v>154</v>
      </c>
      <c r="F17" s="243">
        <v>175100</v>
      </c>
      <c r="G17" s="328">
        <v>1.7000000000000001E-2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155</v>
      </c>
      <c r="F18" s="243">
        <v>437100</v>
      </c>
      <c r="G18" s="328">
        <v>4.24E-2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156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74"/>
  <sheetViews>
    <sheetView zoomScaleNormal="100" zoomScaleSheetLayoutView="100" workbookViewId="0"/>
  </sheetViews>
  <sheetFormatPr defaultColWidth="9" defaultRowHeight="13.1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157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158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159</v>
      </c>
      <c r="C5" s="525"/>
      <c r="D5" s="220" t="s">
        <v>160</v>
      </c>
      <c r="E5" s="220" t="s">
        <v>161</v>
      </c>
      <c r="F5" s="220" t="s">
        <v>162</v>
      </c>
      <c r="G5" s="220" t="s">
        <v>163</v>
      </c>
      <c r="H5" s="221" t="s">
        <v>164</v>
      </c>
      <c r="I5" s="220" t="s">
        <v>120</v>
      </c>
      <c r="J5" s="117" t="s">
        <v>165</v>
      </c>
      <c r="K5" s="69"/>
    </row>
    <row r="6" spans="1:11" ht="15.6" customHeight="1">
      <c r="A6" s="69"/>
      <c r="B6" s="222" t="s">
        <v>166</v>
      </c>
      <c r="C6" s="166"/>
      <c r="D6" s="507"/>
      <c r="E6" s="509"/>
      <c r="F6" s="511"/>
      <c r="G6" s="513"/>
      <c r="H6" s="377"/>
      <c r="I6" s="515"/>
      <c r="J6" s="223"/>
      <c r="K6" s="69" t="s">
        <v>167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167</v>
      </c>
    </row>
    <row r="8" spans="1:11" ht="15.6" customHeight="1">
      <c r="A8" s="69"/>
      <c r="B8" s="222" t="s">
        <v>168</v>
      </c>
      <c r="C8" s="166"/>
      <c r="D8" s="507" t="s">
        <v>92</v>
      </c>
      <c r="E8" s="509">
        <v>1</v>
      </c>
      <c r="F8" s="511">
        <v>7654000</v>
      </c>
      <c r="G8" s="513">
        <v>7654000</v>
      </c>
      <c r="H8" s="377"/>
      <c r="I8" s="515">
        <v>0.74309999999999998</v>
      </c>
      <c r="J8" s="227"/>
      <c r="K8" s="69" t="s">
        <v>167</v>
      </c>
    </row>
    <row r="9" spans="1:11" ht="15.6" customHeight="1">
      <c r="A9" s="69"/>
      <c r="B9" s="224" t="s">
        <v>169</v>
      </c>
      <c r="C9" s="225"/>
      <c r="D9" s="517"/>
      <c r="E9" s="518"/>
      <c r="F9" s="519"/>
      <c r="G9" s="520"/>
      <c r="H9" s="378" t="s">
        <v>170</v>
      </c>
      <c r="I9" s="521"/>
      <c r="J9" s="227"/>
      <c r="K9" s="69" t="s">
        <v>167</v>
      </c>
    </row>
    <row r="10" spans="1:11" ht="15.6" customHeight="1">
      <c r="A10" s="69"/>
      <c r="B10" s="222" t="s">
        <v>171</v>
      </c>
      <c r="C10" s="166"/>
      <c r="D10" s="507" t="s">
        <v>92</v>
      </c>
      <c r="E10" s="509">
        <v>1</v>
      </c>
      <c r="F10" s="511">
        <v>30000</v>
      </c>
      <c r="G10" s="513">
        <v>30000</v>
      </c>
      <c r="H10" s="377" t="s">
        <v>172</v>
      </c>
      <c r="I10" s="515">
        <v>2.8999999999999998E-3</v>
      </c>
      <c r="J10" s="223"/>
      <c r="K10" s="69" t="s">
        <v>167</v>
      </c>
    </row>
    <row r="11" spans="1:11" ht="15.6" customHeight="1">
      <c r="A11" s="69"/>
      <c r="B11" s="224" t="s">
        <v>173</v>
      </c>
      <c r="C11" s="225"/>
      <c r="D11" s="517"/>
      <c r="E11" s="518"/>
      <c r="F11" s="519"/>
      <c r="G11" s="520"/>
      <c r="H11" s="378" t="s">
        <v>174</v>
      </c>
      <c r="I11" s="521"/>
      <c r="J11" s="226"/>
      <c r="K11" s="69" t="s">
        <v>167</v>
      </c>
    </row>
    <row r="12" spans="1:11" ht="15.6" customHeight="1">
      <c r="A12" s="69"/>
      <c r="B12" s="222" t="s">
        <v>175</v>
      </c>
      <c r="C12" s="166"/>
      <c r="D12" s="507" t="s">
        <v>94</v>
      </c>
      <c r="E12" s="509">
        <v>1134</v>
      </c>
      <c r="F12" s="511">
        <v>582.01</v>
      </c>
      <c r="G12" s="513">
        <v>660000</v>
      </c>
      <c r="H12" s="377" t="s">
        <v>176</v>
      </c>
      <c r="I12" s="515">
        <v>6.4000000000000001E-2</v>
      </c>
      <c r="J12" s="223"/>
      <c r="K12" s="69" t="s">
        <v>167</v>
      </c>
    </row>
    <row r="13" spans="1:11" ht="15.6" customHeight="1">
      <c r="A13" s="69"/>
      <c r="B13" s="224" t="s">
        <v>177</v>
      </c>
      <c r="C13" s="225"/>
      <c r="D13" s="517"/>
      <c r="E13" s="518"/>
      <c r="F13" s="519"/>
      <c r="G13" s="520"/>
      <c r="H13" s="378" t="s">
        <v>174</v>
      </c>
      <c r="I13" s="521"/>
      <c r="J13" s="226"/>
      <c r="K13" s="69" t="s">
        <v>167</v>
      </c>
    </row>
    <row r="14" spans="1:11" ht="15.6" customHeight="1">
      <c r="A14" s="69"/>
      <c r="B14" s="222" t="s">
        <v>178</v>
      </c>
      <c r="C14" s="166"/>
      <c r="D14" s="507" t="s">
        <v>96</v>
      </c>
      <c r="E14" s="509">
        <v>226.8</v>
      </c>
      <c r="F14" s="511">
        <v>1693.12</v>
      </c>
      <c r="G14" s="513">
        <v>384000</v>
      </c>
      <c r="H14" s="377" t="s">
        <v>179</v>
      </c>
      <c r="I14" s="515">
        <v>3.7199999999999997E-2</v>
      </c>
      <c r="J14" s="223"/>
      <c r="K14" s="69" t="s">
        <v>167</v>
      </c>
    </row>
    <row r="15" spans="1:11" ht="15.6" customHeight="1">
      <c r="A15" s="69"/>
      <c r="B15" s="224" t="s">
        <v>180</v>
      </c>
      <c r="C15" s="225"/>
      <c r="D15" s="517"/>
      <c r="E15" s="518"/>
      <c r="F15" s="519"/>
      <c r="G15" s="520"/>
      <c r="H15" s="378" t="s">
        <v>174</v>
      </c>
      <c r="I15" s="521"/>
      <c r="J15" s="226"/>
      <c r="K15" s="69" t="s">
        <v>167</v>
      </c>
    </row>
    <row r="16" spans="1:11" ht="15.6" customHeight="1">
      <c r="A16" s="69"/>
      <c r="B16" s="222" t="s">
        <v>181</v>
      </c>
      <c r="C16" s="166"/>
      <c r="D16" s="507" t="s">
        <v>96</v>
      </c>
      <c r="E16" s="509">
        <v>226.8</v>
      </c>
      <c r="F16" s="511">
        <v>793.65</v>
      </c>
      <c r="G16" s="513">
        <v>180000</v>
      </c>
      <c r="H16" s="377" t="s">
        <v>182</v>
      </c>
      <c r="I16" s="515">
        <v>1.7399999999999999E-2</v>
      </c>
      <c r="J16" s="223"/>
      <c r="K16" s="69" t="s">
        <v>167</v>
      </c>
    </row>
    <row r="17" spans="1:11" ht="15.6" customHeight="1">
      <c r="A17" s="69"/>
      <c r="B17" s="224" t="s">
        <v>183</v>
      </c>
      <c r="C17" s="225"/>
      <c r="D17" s="517"/>
      <c r="E17" s="518"/>
      <c r="F17" s="519"/>
      <c r="G17" s="520"/>
      <c r="H17" s="378" t="s">
        <v>174</v>
      </c>
      <c r="I17" s="521"/>
      <c r="J17" s="226"/>
      <c r="K17" s="69" t="s">
        <v>167</v>
      </c>
    </row>
    <row r="18" spans="1:11" ht="15.6" customHeight="1">
      <c r="A18" s="69"/>
      <c r="B18" s="222" t="s">
        <v>184</v>
      </c>
      <c r="C18" s="166"/>
      <c r="D18" s="507" t="s">
        <v>94</v>
      </c>
      <c r="E18" s="509">
        <v>1134</v>
      </c>
      <c r="F18" s="511">
        <v>978.83</v>
      </c>
      <c r="G18" s="513">
        <v>1110000</v>
      </c>
      <c r="H18" s="377" t="s">
        <v>185</v>
      </c>
      <c r="I18" s="515">
        <v>0.1077</v>
      </c>
      <c r="J18" s="223"/>
      <c r="K18" s="69" t="s">
        <v>167</v>
      </c>
    </row>
    <row r="19" spans="1:11" ht="15.6" customHeight="1">
      <c r="A19" s="69"/>
      <c r="B19" s="224" t="s">
        <v>186</v>
      </c>
      <c r="C19" s="225"/>
      <c r="D19" s="517"/>
      <c r="E19" s="518"/>
      <c r="F19" s="519"/>
      <c r="G19" s="520"/>
      <c r="H19" s="378" t="s">
        <v>174</v>
      </c>
      <c r="I19" s="521"/>
      <c r="J19" s="226"/>
      <c r="K19" s="69" t="s">
        <v>167</v>
      </c>
    </row>
    <row r="20" spans="1:11" ht="15.6" customHeight="1">
      <c r="A20" s="69"/>
      <c r="B20" s="222" t="s">
        <v>187</v>
      </c>
      <c r="C20" s="166"/>
      <c r="D20" s="507" t="s">
        <v>94</v>
      </c>
      <c r="E20" s="509">
        <v>1134</v>
      </c>
      <c r="F20" s="511">
        <v>1649.03</v>
      </c>
      <c r="G20" s="513">
        <v>1870000</v>
      </c>
      <c r="H20" s="377" t="s">
        <v>188</v>
      </c>
      <c r="I20" s="515">
        <v>0.18149999999999999</v>
      </c>
      <c r="J20" s="223"/>
      <c r="K20" s="69" t="s">
        <v>167</v>
      </c>
    </row>
    <row r="21" spans="1:11" ht="15.6" customHeight="1">
      <c r="A21" s="69"/>
      <c r="B21" s="224" t="s">
        <v>189</v>
      </c>
      <c r="C21" s="225"/>
      <c r="D21" s="517"/>
      <c r="E21" s="518"/>
      <c r="F21" s="519"/>
      <c r="G21" s="520"/>
      <c r="H21" s="378" t="s">
        <v>174</v>
      </c>
      <c r="I21" s="521"/>
      <c r="J21" s="226"/>
      <c r="K21" s="69" t="s">
        <v>167</v>
      </c>
    </row>
    <row r="22" spans="1:11" ht="15.6" customHeight="1">
      <c r="A22" s="69"/>
      <c r="B22" s="222" t="s">
        <v>190</v>
      </c>
      <c r="C22" s="166"/>
      <c r="D22" s="507" t="s">
        <v>101</v>
      </c>
      <c r="E22" s="509">
        <v>23</v>
      </c>
      <c r="F22" s="511">
        <v>4347.83</v>
      </c>
      <c r="G22" s="513">
        <v>100000</v>
      </c>
      <c r="H22" s="377" t="s">
        <v>191</v>
      </c>
      <c r="I22" s="515">
        <v>9.7000000000000003E-3</v>
      </c>
      <c r="J22" s="223"/>
      <c r="K22" s="69" t="s">
        <v>167</v>
      </c>
    </row>
    <row r="23" spans="1:11" ht="15.6" customHeight="1">
      <c r="A23" s="69"/>
      <c r="B23" s="224" t="s">
        <v>192</v>
      </c>
      <c r="C23" s="225"/>
      <c r="D23" s="517"/>
      <c r="E23" s="518"/>
      <c r="F23" s="519"/>
      <c r="G23" s="520"/>
      <c r="H23" s="378" t="s">
        <v>174</v>
      </c>
      <c r="I23" s="521"/>
      <c r="J23" s="226"/>
      <c r="K23" s="69" t="s">
        <v>167</v>
      </c>
    </row>
    <row r="24" spans="1:11" ht="15.6" customHeight="1">
      <c r="A24" s="69"/>
      <c r="B24" s="222" t="s">
        <v>193</v>
      </c>
      <c r="C24" s="166"/>
      <c r="D24" s="507" t="s">
        <v>102</v>
      </c>
      <c r="E24" s="509">
        <v>63</v>
      </c>
      <c r="F24" s="511">
        <v>13809.53</v>
      </c>
      <c r="G24" s="513">
        <v>870000</v>
      </c>
      <c r="H24" s="377" t="s">
        <v>194</v>
      </c>
      <c r="I24" s="515">
        <v>8.4400000000000003E-2</v>
      </c>
      <c r="J24" s="223"/>
      <c r="K24" s="69" t="s">
        <v>167</v>
      </c>
    </row>
    <row r="25" spans="1:11" ht="15.6" customHeight="1">
      <c r="A25" s="69"/>
      <c r="B25" s="224" t="s">
        <v>173</v>
      </c>
      <c r="C25" s="225"/>
      <c r="D25" s="517"/>
      <c r="E25" s="518"/>
      <c r="F25" s="519"/>
      <c r="G25" s="520"/>
      <c r="H25" s="378" t="s">
        <v>174</v>
      </c>
      <c r="I25" s="521"/>
      <c r="J25" s="226"/>
      <c r="K25" s="69" t="s">
        <v>167</v>
      </c>
    </row>
    <row r="26" spans="1:11" ht="15.6" customHeight="1">
      <c r="A26" s="69"/>
      <c r="B26" s="222" t="s">
        <v>195</v>
      </c>
      <c r="C26" s="166"/>
      <c r="D26" s="507" t="s">
        <v>103</v>
      </c>
      <c r="E26" s="509">
        <v>9</v>
      </c>
      <c r="F26" s="511">
        <v>28888.89</v>
      </c>
      <c r="G26" s="513">
        <v>260000</v>
      </c>
      <c r="H26" s="377" t="s">
        <v>196</v>
      </c>
      <c r="I26" s="515">
        <v>2.52E-2</v>
      </c>
      <c r="J26" s="223"/>
      <c r="K26" s="69" t="s">
        <v>167</v>
      </c>
    </row>
    <row r="27" spans="1:11" ht="15.6" customHeight="1">
      <c r="A27" s="69"/>
      <c r="B27" s="224" t="s">
        <v>173</v>
      </c>
      <c r="C27" s="225"/>
      <c r="D27" s="517"/>
      <c r="E27" s="518"/>
      <c r="F27" s="519"/>
      <c r="G27" s="520"/>
      <c r="H27" s="378" t="s">
        <v>174</v>
      </c>
      <c r="I27" s="521"/>
      <c r="J27" s="226"/>
      <c r="K27" s="69" t="s">
        <v>167</v>
      </c>
    </row>
    <row r="28" spans="1:11" ht="15.6" customHeight="1">
      <c r="A28" s="69"/>
      <c r="B28" s="222" t="s">
        <v>197</v>
      </c>
      <c r="C28" s="166"/>
      <c r="D28" s="507" t="s">
        <v>103</v>
      </c>
      <c r="E28" s="509">
        <v>2</v>
      </c>
      <c r="F28" s="511">
        <v>265000</v>
      </c>
      <c r="G28" s="513">
        <v>530000</v>
      </c>
      <c r="H28" s="377" t="s">
        <v>198</v>
      </c>
      <c r="I28" s="515">
        <v>5.1400000000000001E-2</v>
      </c>
      <c r="J28" s="223"/>
      <c r="K28" s="69" t="s">
        <v>167</v>
      </c>
    </row>
    <row r="29" spans="1:11" ht="15.6" customHeight="1">
      <c r="A29" s="69"/>
      <c r="B29" s="224" t="s">
        <v>173</v>
      </c>
      <c r="C29" s="225"/>
      <c r="D29" s="517"/>
      <c r="E29" s="518"/>
      <c r="F29" s="519"/>
      <c r="G29" s="520"/>
      <c r="H29" s="378" t="s">
        <v>174</v>
      </c>
      <c r="I29" s="521"/>
      <c r="J29" s="226"/>
      <c r="K29" s="69" t="s">
        <v>167</v>
      </c>
    </row>
    <row r="30" spans="1:11" ht="15.6" customHeight="1">
      <c r="A30" s="69"/>
      <c r="B30" s="222" t="s">
        <v>199</v>
      </c>
      <c r="C30" s="166"/>
      <c r="D30" s="507" t="s">
        <v>106</v>
      </c>
      <c r="E30" s="509">
        <v>110</v>
      </c>
      <c r="F30" s="511">
        <v>1000</v>
      </c>
      <c r="G30" s="513">
        <v>110000</v>
      </c>
      <c r="H30" s="377" t="s">
        <v>200</v>
      </c>
      <c r="I30" s="515">
        <v>1.06E-2</v>
      </c>
      <c r="J30" s="223"/>
      <c r="K30" s="69" t="s">
        <v>167</v>
      </c>
    </row>
    <row r="31" spans="1:11" ht="15.6" customHeight="1">
      <c r="A31" s="69"/>
      <c r="B31" s="224" t="s">
        <v>201</v>
      </c>
      <c r="C31" s="225"/>
      <c r="D31" s="517"/>
      <c r="E31" s="518"/>
      <c r="F31" s="519"/>
      <c r="G31" s="520"/>
      <c r="H31" s="378" t="s">
        <v>174</v>
      </c>
      <c r="I31" s="521"/>
      <c r="J31" s="226"/>
      <c r="K31" s="69" t="s">
        <v>167</v>
      </c>
    </row>
    <row r="32" spans="1:11" ht="15.6" customHeight="1">
      <c r="A32" s="69"/>
      <c r="B32" s="222" t="s">
        <v>202</v>
      </c>
      <c r="C32" s="166"/>
      <c r="D32" s="522" t="s">
        <v>92</v>
      </c>
      <c r="E32" s="509">
        <v>1</v>
      </c>
      <c r="F32" s="511">
        <v>1550000</v>
      </c>
      <c r="G32" s="513">
        <v>1550000</v>
      </c>
      <c r="H32" s="377" t="s">
        <v>203</v>
      </c>
      <c r="I32" s="515">
        <v>0.15040000000000001</v>
      </c>
      <c r="J32" s="223"/>
      <c r="K32" s="69" t="s">
        <v>167</v>
      </c>
    </row>
    <row r="33" spans="1:11" ht="15.6" customHeight="1">
      <c r="A33" s="69"/>
      <c r="B33" s="224" t="s">
        <v>173</v>
      </c>
      <c r="C33" s="225"/>
      <c r="D33" s="522"/>
      <c r="E33" s="518"/>
      <c r="F33" s="519"/>
      <c r="G33" s="520"/>
      <c r="H33" s="379" t="s">
        <v>174</v>
      </c>
      <c r="I33" s="521"/>
      <c r="J33" s="226"/>
      <c r="K33" s="69" t="s">
        <v>167</v>
      </c>
    </row>
    <row r="34" spans="1:11" ht="15.6" customHeight="1">
      <c r="A34" s="69"/>
      <c r="B34" s="222" t="s">
        <v>204</v>
      </c>
      <c r="C34" s="166"/>
      <c r="D34" s="507"/>
      <c r="E34" s="509"/>
      <c r="F34" s="511"/>
      <c r="G34" s="513">
        <v>7654000</v>
      </c>
      <c r="H34" s="377"/>
      <c r="I34" s="515">
        <v>0.74309999999999998</v>
      </c>
      <c r="J34" s="223"/>
      <c r="K34" s="69" t="s">
        <v>167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167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515"/>
      <c r="J36" s="223"/>
      <c r="K36" s="69" t="s">
        <v>167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167</v>
      </c>
    </row>
    <row r="38" spans="1:11" ht="30" customHeight="1" thickBot="1">
      <c r="A38" s="69"/>
      <c r="B38" s="142"/>
      <c r="C38" s="142"/>
      <c r="D38" s="523" t="s">
        <v>157</v>
      </c>
      <c r="E38" s="523"/>
      <c r="F38" s="523"/>
      <c r="G38" s="523"/>
      <c r="H38" s="69"/>
      <c r="I38" s="69"/>
      <c r="J38" s="69"/>
      <c r="K38" s="69"/>
    </row>
    <row r="39" spans="1:11" ht="15.9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 spans="1:11" ht="30.95" customHeight="1">
      <c r="A40" s="144"/>
      <c r="B40" s="292" t="s">
        <v>158</v>
      </c>
      <c r="C40" s="219" t="s">
        <v>19</v>
      </c>
      <c r="D40" s="279"/>
      <c r="E40" s="293"/>
      <c r="F40" s="167"/>
      <c r="G40" s="167"/>
      <c r="H40" s="167"/>
      <c r="I40" s="167"/>
      <c r="J40" s="294"/>
      <c r="K40" s="144"/>
    </row>
    <row r="41" spans="1:11" ht="14.1" customHeight="1" thickBot="1">
      <c r="A41" s="69"/>
      <c r="B41" s="69"/>
      <c r="C41" s="69"/>
      <c r="D41" s="69"/>
      <c r="E41" s="69"/>
      <c r="F41" s="69"/>
      <c r="G41" s="69"/>
      <c r="H41" s="69"/>
      <c r="I41" s="69"/>
      <c r="J41" s="72"/>
      <c r="K41" s="69"/>
    </row>
    <row r="42" spans="1:11" ht="17.45" customHeight="1">
      <c r="A42" s="69"/>
      <c r="B42" s="524" t="s">
        <v>159</v>
      </c>
      <c r="C42" s="525"/>
      <c r="D42" s="220" t="s">
        <v>160</v>
      </c>
      <c r="E42" s="220" t="s">
        <v>161</v>
      </c>
      <c r="F42" s="220" t="s">
        <v>162</v>
      </c>
      <c r="G42" s="220" t="s">
        <v>163</v>
      </c>
      <c r="H42" s="221" t="s">
        <v>164</v>
      </c>
      <c r="I42" s="220" t="s">
        <v>120</v>
      </c>
      <c r="J42" s="117" t="s">
        <v>165</v>
      </c>
      <c r="K42" s="69"/>
    </row>
    <row r="43" spans="1:11" ht="15.6" customHeight="1">
      <c r="A43" s="69"/>
      <c r="B43" s="222" t="s">
        <v>205</v>
      </c>
      <c r="C43" s="166"/>
      <c r="D43" s="507"/>
      <c r="E43" s="509"/>
      <c r="F43" s="511"/>
      <c r="G43" s="513"/>
      <c r="H43" s="377"/>
      <c r="I43" s="515"/>
      <c r="J43" s="223"/>
      <c r="K43" s="69" t="s">
        <v>167</v>
      </c>
    </row>
    <row r="44" spans="1:11" ht="15.6" customHeight="1">
      <c r="A44" s="69"/>
      <c r="B44" s="224"/>
      <c r="C44" s="225"/>
      <c r="D44" s="517"/>
      <c r="E44" s="518"/>
      <c r="F44" s="519"/>
      <c r="G44" s="520"/>
      <c r="H44" s="378"/>
      <c r="I44" s="521"/>
      <c r="J44" s="226"/>
      <c r="K44" s="69" t="s">
        <v>167</v>
      </c>
    </row>
    <row r="45" spans="1:11" ht="15.6" customHeight="1">
      <c r="A45" s="69"/>
      <c r="B45" s="222" t="s">
        <v>206</v>
      </c>
      <c r="C45" s="166"/>
      <c r="D45" s="507" t="s">
        <v>92</v>
      </c>
      <c r="E45" s="509">
        <v>1</v>
      </c>
      <c r="F45" s="511">
        <v>660000</v>
      </c>
      <c r="G45" s="513">
        <v>660000</v>
      </c>
      <c r="H45" s="377"/>
      <c r="I45" s="515">
        <v>6.4100000000000004E-2</v>
      </c>
      <c r="J45" s="227"/>
      <c r="K45" s="69" t="s">
        <v>167</v>
      </c>
    </row>
    <row r="46" spans="1:11" ht="15.6" customHeight="1">
      <c r="A46" s="69"/>
      <c r="B46" s="224" t="s">
        <v>169</v>
      </c>
      <c r="C46" s="225"/>
      <c r="D46" s="517"/>
      <c r="E46" s="518"/>
      <c r="F46" s="519"/>
      <c r="G46" s="520"/>
      <c r="H46" s="378"/>
      <c r="I46" s="521"/>
      <c r="J46" s="227"/>
      <c r="K46" s="69" t="s">
        <v>167</v>
      </c>
    </row>
    <row r="47" spans="1:11" ht="15.6" customHeight="1">
      <c r="A47" s="69"/>
      <c r="B47" s="222" t="s">
        <v>207</v>
      </c>
      <c r="C47" s="166"/>
      <c r="D47" s="507" t="s">
        <v>92</v>
      </c>
      <c r="E47" s="509">
        <v>1</v>
      </c>
      <c r="F47" s="511">
        <v>900000</v>
      </c>
      <c r="G47" s="513">
        <v>900000</v>
      </c>
      <c r="H47" s="377"/>
      <c r="I47" s="515">
        <v>8.7400000000000005E-2</v>
      </c>
      <c r="J47" s="223"/>
      <c r="K47" s="69" t="s">
        <v>167</v>
      </c>
    </row>
    <row r="48" spans="1:11" ht="15.6" customHeight="1">
      <c r="A48" s="69"/>
      <c r="B48" s="224" t="s">
        <v>169</v>
      </c>
      <c r="C48" s="225"/>
      <c r="D48" s="517"/>
      <c r="E48" s="518"/>
      <c r="F48" s="519"/>
      <c r="G48" s="520"/>
      <c r="H48" s="378"/>
      <c r="I48" s="521"/>
      <c r="J48" s="226"/>
      <c r="K48" s="69" t="s">
        <v>167</v>
      </c>
    </row>
    <row r="49" spans="1:11" ht="15.6" customHeight="1">
      <c r="A49" s="69"/>
      <c r="B49" s="222" t="s">
        <v>208</v>
      </c>
      <c r="C49" s="166"/>
      <c r="D49" s="507"/>
      <c r="E49" s="509"/>
      <c r="F49" s="511"/>
      <c r="G49" s="513">
        <v>1560000</v>
      </c>
      <c r="H49" s="377"/>
      <c r="I49" s="515">
        <v>0.15140000000000001</v>
      </c>
      <c r="J49" s="223"/>
      <c r="K49" s="69" t="s">
        <v>167</v>
      </c>
    </row>
    <row r="50" spans="1:11" ht="15.6" customHeight="1">
      <c r="A50" s="69"/>
      <c r="B50" s="224"/>
      <c r="C50" s="225"/>
      <c r="D50" s="517"/>
      <c r="E50" s="518"/>
      <c r="F50" s="519"/>
      <c r="G50" s="520"/>
      <c r="H50" s="378"/>
      <c r="I50" s="521"/>
      <c r="J50" s="226"/>
      <c r="K50" s="69" t="s">
        <v>167</v>
      </c>
    </row>
    <row r="51" spans="1:11" ht="15.6" customHeight="1">
      <c r="A51" s="69"/>
      <c r="B51" s="222"/>
      <c r="C51" s="166"/>
      <c r="D51" s="507"/>
      <c r="E51" s="509"/>
      <c r="F51" s="511"/>
      <c r="G51" s="513"/>
      <c r="H51" s="377"/>
      <c r="I51" s="515"/>
      <c r="J51" s="223"/>
      <c r="K51" s="69" t="s">
        <v>167</v>
      </c>
    </row>
    <row r="52" spans="1:11" ht="15.6" customHeight="1">
      <c r="A52" s="69"/>
      <c r="B52" s="224"/>
      <c r="C52" s="225"/>
      <c r="D52" s="517"/>
      <c r="E52" s="518"/>
      <c r="F52" s="519"/>
      <c r="G52" s="520"/>
      <c r="H52" s="378"/>
      <c r="I52" s="521"/>
      <c r="J52" s="226"/>
      <c r="K52" s="69" t="s">
        <v>167</v>
      </c>
    </row>
    <row r="53" spans="1:11" ht="15.6" customHeight="1">
      <c r="A53" s="69"/>
      <c r="B53" s="222" t="s">
        <v>209</v>
      </c>
      <c r="C53" s="166"/>
      <c r="D53" s="507"/>
      <c r="E53" s="509"/>
      <c r="F53" s="511"/>
      <c r="G53" s="513">
        <v>9214000</v>
      </c>
      <c r="H53" s="377"/>
      <c r="I53" s="515">
        <v>0.89459999999999995</v>
      </c>
      <c r="J53" s="223"/>
      <c r="K53" s="69" t="s">
        <v>167</v>
      </c>
    </row>
    <row r="54" spans="1:11" ht="15.6" customHeight="1">
      <c r="A54" s="69"/>
      <c r="B54" s="224"/>
      <c r="C54" s="225"/>
      <c r="D54" s="517"/>
      <c r="E54" s="518"/>
      <c r="F54" s="519"/>
      <c r="G54" s="520"/>
      <c r="H54" s="378"/>
      <c r="I54" s="521"/>
      <c r="J54" s="226"/>
      <c r="K54" s="69" t="s">
        <v>167</v>
      </c>
    </row>
    <row r="55" spans="1:11" ht="15.6" customHeight="1">
      <c r="A55" s="69"/>
      <c r="B55" s="222"/>
      <c r="C55" s="166"/>
      <c r="D55" s="507"/>
      <c r="E55" s="509"/>
      <c r="F55" s="511"/>
      <c r="G55" s="513"/>
      <c r="H55" s="377"/>
      <c r="I55" s="515"/>
      <c r="J55" s="223"/>
      <c r="K55" s="69" t="s">
        <v>167</v>
      </c>
    </row>
    <row r="56" spans="1:11" ht="15.6" customHeight="1">
      <c r="A56" s="69"/>
      <c r="B56" s="224"/>
      <c r="C56" s="225"/>
      <c r="D56" s="517"/>
      <c r="E56" s="518"/>
      <c r="F56" s="519"/>
      <c r="G56" s="520"/>
      <c r="H56" s="378"/>
      <c r="I56" s="521"/>
      <c r="J56" s="226"/>
      <c r="K56" s="69" t="s">
        <v>167</v>
      </c>
    </row>
    <row r="57" spans="1:11" ht="15.6" customHeight="1">
      <c r="A57" s="69"/>
      <c r="B57" s="222" t="s">
        <v>210</v>
      </c>
      <c r="C57" s="166"/>
      <c r="D57" s="507"/>
      <c r="E57" s="509"/>
      <c r="F57" s="511"/>
      <c r="G57" s="513">
        <v>1086000</v>
      </c>
      <c r="H57" s="377"/>
      <c r="I57" s="515">
        <v>0.10539999999999999</v>
      </c>
      <c r="J57" s="223"/>
      <c r="K57" s="69" t="s">
        <v>167</v>
      </c>
    </row>
    <row r="58" spans="1:11" ht="15.6" customHeight="1">
      <c r="A58" s="69"/>
      <c r="B58" s="224"/>
      <c r="C58" s="225"/>
      <c r="D58" s="517"/>
      <c r="E58" s="518"/>
      <c r="F58" s="519"/>
      <c r="G58" s="520"/>
      <c r="H58" s="378"/>
      <c r="I58" s="521"/>
      <c r="J58" s="226"/>
      <c r="K58" s="69" t="s">
        <v>167</v>
      </c>
    </row>
    <row r="59" spans="1:11" ht="15.6" customHeight="1">
      <c r="A59" s="69"/>
      <c r="B59" s="222"/>
      <c r="C59" s="166"/>
      <c r="D59" s="507"/>
      <c r="E59" s="509"/>
      <c r="F59" s="511"/>
      <c r="G59" s="513"/>
      <c r="H59" s="377"/>
      <c r="I59" s="515"/>
      <c r="J59" s="223"/>
      <c r="K59" s="69" t="s">
        <v>167</v>
      </c>
    </row>
    <row r="60" spans="1:11" ht="15.6" customHeight="1">
      <c r="A60" s="69"/>
      <c r="B60" s="224"/>
      <c r="C60" s="225"/>
      <c r="D60" s="517"/>
      <c r="E60" s="518"/>
      <c r="F60" s="519"/>
      <c r="G60" s="520"/>
      <c r="H60" s="378"/>
      <c r="I60" s="521"/>
      <c r="J60" s="226"/>
      <c r="K60" s="69" t="s">
        <v>167</v>
      </c>
    </row>
    <row r="61" spans="1:11" ht="15.6" customHeight="1">
      <c r="A61" s="69"/>
      <c r="B61" s="222" t="s">
        <v>211</v>
      </c>
      <c r="C61" s="166"/>
      <c r="D61" s="507"/>
      <c r="E61" s="509"/>
      <c r="F61" s="511"/>
      <c r="G61" s="513">
        <v>10300000</v>
      </c>
      <c r="H61" s="377"/>
      <c r="I61" s="515">
        <v>1</v>
      </c>
      <c r="J61" s="223"/>
      <c r="K61" s="69" t="s">
        <v>167</v>
      </c>
    </row>
    <row r="62" spans="1:11" ht="15.6" customHeight="1">
      <c r="A62" s="69"/>
      <c r="B62" s="224"/>
      <c r="C62" s="225"/>
      <c r="D62" s="517"/>
      <c r="E62" s="518"/>
      <c r="F62" s="519"/>
      <c r="G62" s="520"/>
      <c r="H62" s="378"/>
      <c r="I62" s="521"/>
      <c r="J62" s="226"/>
      <c r="K62" s="69" t="s">
        <v>167</v>
      </c>
    </row>
    <row r="63" spans="1:11" ht="15.6" customHeight="1">
      <c r="A63" s="69"/>
      <c r="B63" s="222"/>
      <c r="C63" s="166"/>
      <c r="D63" s="507"/>
      <c r="E63" s="509"/>
      <c r="F63" s="511"/>
      <c r="G63" s="513"/>
      <c r="H63" s="377"/>
      <c r="I63" s="515"/>
      <c r="J63" s="223"/>
      <c r="K63" s="69" t="s">
        <v>167</v>
      </c>
    </row>
    <row r="64" spans="1:11" ht="15.6" customHeight="1">
      <c r="A64" s="69"/>
      <c r="B64" s="224"/>
      <c r="C64" s="225"/>
      <c r="D64" s="517"/>
      <c r="E64" s="518"/>
      <c r="F64" s="519"/>
      <c r="G64" s="520"/>
      <c r="H64" s="378"/>
      <c r="I64" s="521"/>
      <c r="J64" s="226"/>
      <c r="K64" s="69" t="s">
        <v>167</v>
      </c>
    </row>
    <row r="65" spans="1:11" ht="15.6" customHeight="1">
      <c r="A65" s="69"/>
      <c r="B65" s="222"/>
      <c r="C65" s="166"/>
      <c r="D65" s="507"/>
      <c r="E65" s="509"/>
      <c r="F65" s="511"/>
      <c r="G65" s="513"/>
      <c r="H65" s="377"/>
      <c r="I65" s="515"/>
      <c r="J65" s="223"/>
      <c r="K65" s="69" t="s">
        <v>167</v>
      </c>
    </row>
    <row r="66" spans="1:11" ht="15.6" customHeight="1">
      <c r="A66" s="69"/>
      <c r="B66" s="224"/>
      <c r="C66" s="225"/>
      <c r="D66" s="517"/>
      <c r="E66" s="518"/>
      <c r="F66" s="519"/>
      <c r="G66" s="520"/>
      <c r="H66" s="378"/>
      <c r="I66" s="521"/>
      <c r="J66" s="226"/>
      <c r="K66" s="69" t="s">
        <v>167</v>
      </c>
    </row>
    <row r="67" spans="1:11" ht="15.6" customHeight="1">
      <c r="A67" s="69"/>
      <c r="B67" s="222"/>
      <c r="C67" s="166"/>
      <c r="D67" s="507"/>
      <c r="E67" s="509"/>
      <c r="F67" s="511"/>
      <c r="G67" s="513"/>
      <c r="H67" s="377"/>
      <c r="I67" s="515"/>
      <c r="J67" s="223"/>
      <c r="K67" s="69" t="s">
        <v>167</v>
      </c>
    </row>
    <row r="68" spans="1:11" ht="15.6" customHeight="1">
      <c r="A68" s="69"/>
      <c r="B68" s="224"/>
      <c r="C68" s="225"/>
      <c r="D68" s="517"/>
      <c r="E68" s="518"/>
      <c r="F68" s="519"/>
      <c r="G68" s="520"/>
      <c r="H68" s="378"/>
      <c r="I68" s="521"/>
      <c r="J68" s="226"/>
      <c r="K68" s="69" t="s">
        <v>167</v>
      </c>
    </row>
    <row r="69" spans="1:11" ht="15.6" customHeight="1">
      <c r="A69" s="69"/>
      <c r="B69" s="222"/>
      <c r="C69" s="166"/>
      <c r="D69" s="522"/>
      <c r="E69" s="509"/>
      <c r="F69" s="511"/>
      <c r="G69" s="513"/>
      <c r="H69" s="377"/>
      <c r="I69" s="515"/>
      <c r="J69" s="223"/>
      <c r="K69" s="69" t="s">
        <v>167</v>
      </c>
    </row>
    <row r="70" spans="1:11" ht="15.6" customHeight="1">
      <c r="A70" s="69"/>
      <c r="B70" s="224"/>
      <c r="C70" s="225"/>
      <c r="D70" s="522"/>
      <c r="E70" s="518"/>
      <c r="F70" s="519"/>
      <c r="G70" s="520"/>
      <c r="H70" s="379"/>
      <c r="I70" s="521"/>
      <c r="J70" s="226"/>
      <c r="K70" s="69" t="s">
        <v>167</v>
      </c>
    </row>
    <row r="71" spans="1:11" ht="15.6" customHeight="1">
      <c r="A71" s="69"/>
      <c r="B71" s="222"/>
      <c r="C71" s="166"/>
      <c r="D71" s="507"/>
      <c r="E71" s="509"/>
      <c r="F71" s="511"/>
      <c r="G71" s="513"/>
      <c r="H71" s="377"/>
      <c r="I71" s="515"/>
      <c r="J71" s="223"/>
      <c r="K71" s="69" t="s">
        <v>167</v>
      </c>
    </row>
    <row r="72" spans="1:11" ht="15.6" customHeight="1">
      <c r="A72" s="69"/>
      <c r="B72" s="224"/>
      <c r="C72" s="225"/>
      <c r="D72" s="517"/>
      <c r="E72" s="518"/>
      <c r="F72" s="519"/>
      <c r="G72" s="520"/>
      <c r="H72" s="378"/>
      <c r="I72" s="521"/>
      <c r="J72" s="226"/>
      <c r="K72" s="69" t="s">
        <v>167</v>
      </c>
    </row>
    <row r="73" spans="1:11" ht="15.6" customHeight="1">
      <c r="A73" s="69"/>
      <c r="B73" s="295"/>
      <c r="C73" s="296"/>
      <c r="D73" s="507"/>
      <c r="E73" s="509"/>
      <c r="F73" s="511"/>
      <c r="G73" s="513"/>
      <c r="H73" s="377"/>
      <c r="I73" s="515"/>
      <c r="J73" s="223"/>
      <c r="K73" s="69" t="s">
        <v>167</v>
      </c>
    </row>
    <row r="74" spans="1:11" ht="15.6" customHeight="1" thickBot="1">
      <c r="A74" s="69"/>
      <c r="B74" s="228"/>
      <c r="C74" s="229"/>
      <c r="D74" s="508"/>
      <c r="E74" s="510"/>
      <c r="F74" s="512"/>
      <c r="G74" s="514"/>
      <c r="H74" s="380"/>
      <c r="I74" s="516"/>
      <c r="J74" s="230"/>
      <c r="K74" s="69" t="s">
        <v>167</v>
      </c>
    </row>
  </sheetData>
  <mergeCells count="164">
    <mergeCell ref="I6:I7"/>
    <mergeCell ref="D8:D9"/>
    <mergeCell ref="E8:E9"/>
    <mergeCell ref="F8:F9"/>
    <mergeCell ref="G8:G9"/>
    <mergeCell ref="I8:I9"/>
    <mergeCell ref="D1:G1"/>
    <mergeCell ref="B5:C5"/>
    <mergeCell ref="D6:D7"/>
    <mergeCell ref="E6:E7"/>
    <mergeCell ref="F6:F7"/>
    <mergeCell ref="G6:G7"/>
    <mergeCell ref="D12:D13"/>
    <mergeCell ref="E12:E13"/>
    <mergeCell ref="F12:F13"/>
    <mergeCell ref="G12:G13"/>
    <mergeCell ref="I12:I13"/>
    <mergeCell ref="D10:D11"/>
    <mergeCell ref="E10:E11"/>
    <mergeCell ref="F10:F11"/>
    <mergeCell ref="G10:G11"/>
    <mergeCell ref="I10:I11"/>
    <mergeCell ref="D16:D17"/>
    <mergeCell ref="E16:E17"/>
    <mergeCell ref="F16:F17"/>
    <mergeCell ref="G16:G17"/>
    <mergeCell ref="I16:I17"/>
    <mergeCell ref="D14:D15"/>
    <mergeCell ref="E14:E15"/>
    <mergeCell ref="F14:F15"/>
    <mergeCell ref="G14:G15"/>
    <mergeCell ref="I14:I15"/>
    <mergeCell ref="D20:D21"/>
    <mergeCell ref="E20:E21"/>
    <mergeCell ref="F20:F21"/>
    <mergeCell ref="G20:G21"/>
    <mergeCell ref="I20:I21"/>
    <mergeCell ref="D18:D19"/>
    <mergeCell ref="E18:E19"/>
    <mergeCell ref="F18:F19"/>
    <mergeCell ref="G18:G19"/>
    <mergeCell ref="I18:I19"/>
    <mergeCell ref="D24:D25"/>
    <mergeCell ref="E24:E25"/>
    <mergeCell ref="F24:F25"/>
    <mergeCell ref="G24:G25"/>
    <mergeCell ref="I24:I25"/>
    <mergeCell ref="D22:D23"/>
    <mergeCell ref="E22:E23"/>
    <mergeCell ref="F22:F23"/>
    <mergeCell ref="G22:G23"/>
    <mergeCell ref="I22:I23"/>
    <mergeCell ref="D28:D29"/>
    <mergeCell ref="E28:E29"/>
    <mergeCell ref="F28:F29"/>
    <mergeCell ref="G28:G29"/>
    <mergeCell ref="I28:I29"/>
    <mergeCell ref="D26:D27"/>
    <mergeCell ref="E26:E27"/>
    <mergeCell ref="F26:F27"/>
    <mergeCell ref="G26:G27"/>
    <mergeCell ref="I26:I27"/>
    <mergeCell ref="D32:D33"/>
    <mergeCell ref="E32:E33"/>
    <mergeCell ref="F32:F33"/>
    <mergeCell ref="G32:G33"/>
    <mergeCell ref="I32:I33"/>
    <mergeCell ref="D30:D31"/>
    <mergeCell ref="E30:E31"/>
    <mergeCell ref="F30:F31"/>
    <mergeCell ref="G30:G31"/>
    <mergeCell ref="I30:I31"/>
    <mergeCell ref="D36:D37"/>
    <mergeCell ref="E36:E37"/>
    <mergeCell ref="F36:F37"/>
    <mergeCell ref="G36:G37"/>
    <mergeCell ref="I36:I37"/>
    <mergeCell ref="D34:D35"/>
    <mergeCell ref="E34:E35"/>
    <mergeCell ref="F34:F35"/>
    <mergeCell ref="G34:G35"/>
    <mergeCell ref="I34:I35"/>
    <mergeCell ref="I43:I44"/>
    <mergeCell ref="D45:D46"/>
    <mergeCell ref="E45:E46"/>
    <mergeCell ref="F45:F46"/>
    <mergeCell ref="G45:G46"/>
    <mergeCell ref="I45:I46"/>
    <mergeCell ref="D38:G38"/>
    <mergeCell ref="B42:C42"/>
    <mergeCell ref="D43:D44"/>
    <mergeCell ref="E43:E44"/>
    <mergeCell ref="F43:F44"/>
    <mergeCell ref="G43:G44"/>
    <mergeCell ref="D49:D50"/>
    <mergeCell ref="E49:E50"/>
    <mergeCell ref="F49:F50"/>
    <mergeCell ref="G49:G50"/>
    <mergeCell ref="I49:I50"/>
    <mergeCell ref="D47:D48"/>
    <mergeCell ref="E47:E48"/>
    <mergeCell ref="F47:F48"/>
    <mergeCell ref="G47:G48"/>
    <mergeCell ref="I47:I48"/>
    <mergeCell ref="D53:D54"/>
    <mergeCell ref="E53:E54"/>
    <mergeCell ref="F53:F54"/>
    <mergeCell ref="G53:G54"/>
    <mergeCell ref="I53:I54"/>
    <mergeCell ref="D51:D52"/>
    <mergeCell ref="E51:E52"/>
    <mergeCell ref="F51:F52"/>
    <mergeCell ref="G51:G52"/>
    <mergeCell ref="I51:I52"/>
    <mergeCell ref="D57:D58"/>
    <mergeCell ref="E57:E58"/>
    <mergeCell ref="F57:F58"/>
    <mergeCell ref="G57:G58"/>
    <mergeCell ref="I57:I58"/>
    <mergeCell ref="D55:D56"/>
    <mergeCell ref="E55:E56"/>
    <mergeCell ref="F55:F56"/>
    <mergeCell ref="G55:G56"/>
    <mergeCell ref="I55:I56"/>
    <mergeCell ref="D61:D62"/>
    <mergeCell ref="E61:E62"/>
    <mergeCell ref="F61:F62"/>
    <mergeCell ref="G61:G62"/>
    <mergeCell ref="I61:I62"/>
    <mergeCell ref="D59:D60"/>
    <mergeCell ref="E59:E60"/>
    <mergeCell ref="F59:F60"/>
    <mergeCell ref="G59:G60"/>
    <mergeCell ref="I59:I60"/>
    <mergeCell ref="D65:D66"/>
    <mergeCell ref="E65:E66"/>
    <mergeCell ref="F65:F66"/>
    <mergeCell ref="G65:G66"/>
    <mergeCell ref="I65:I66"/>
    <mergeCell ref="D63:D64"/>
    <mergeCell ref="E63:E64"/>
    <mergeCell ref="F63:F64"/>
    <mergeCell ref="G63:G64"/>
    <mergeCell ref="I63:I64"/>
    <mergeCell ref="D69:D70"/>
    <mergeCell ref="E69:E70"/>
    <mergeCell ref="F69:F70"/>
    <mergeCell ref="G69:G70"/>
    <mergeCell ref="I69:I70"/>
    <mergeCell ref="D67:D68"/>
    <mergeCell ref="E67:E68"/>
    <mergeCell ref="F67:F68"/>
    <mergeCell ref="G67:G68"/>
    <mergeCell ref="I67:I68"/>
    <mergeCell ref="D73:D74"/>
    <mergeCell ref="E73:E74"/>
    <mergeCell ref="F73:F74"/>
    <mergeCell ref="G73:G74"/>
    <mergeCell ref="I73:I74"/>
    <mergeCell ref="D71:D72"/>
    <mergeCell ref="E71:E72"/>
    <mergeCell ref="F71:F72"/>
    <mergeCell ref="G71:G72"/>
    <mergeCell ref="I71:I72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CB48-D477-4825-BCCD-E221DD07139E}">
  <sheetPr codeName="Sheet4">
    <pageSetUpPr fitToPage="1"/>
  </sheetPr>
  <dimension ref="A1:K37"/>
  <sheetViews>
    <sheetView zoomScaleNormal="100" zoomScaleSheetLayoutView="100" workbookViewId="0"/>
  </sheetViews>
  <sheetFormatPr defaultColWidth="9" defaultRowHeight="13.1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133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158</v>
      </c>
      <c r="C3" s="219" t="s">
        <v>212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159</v>
      </c>
      <c r="C5" s="525"/>
      <c r="D5" s="220" t="s">
        <v>160</v>
      </c>
      <c r="E5" s="220" t="s">
        <v>161</v>
      </c>
      <c r="F5" s="220" t="s">
        <v>162</v>
      </c>
      <c r="G5" s="220" t="s">
        <v>163</v>
      </c>
      <c r="H5" s="221" t="s">
        <v>164</v>
      </c>
      <c r="I5" s="220" t="s">
        <v>213</v>
      </c>
      <c r="J5" s="117" t="s">
        <v>165</v>
      </c>
      <c r="K5" s="69"/>
    </row>
    <row r="6" spans="1:11" ht="15.6" customHeight="1">
      <c r="A6" s="69"/>
      <c r="B6" s="222" t="s">
        <v>214</v>
      </c>
      <c r="C6" s="166"/>
      <c r="D6" s="507" t="s">
        <v>92</v>
      </c>
      <c r="E6" s="509">
        <v>1</v>
      </c>
      <c r="F6" s="511">
        <v>7654000</v>
      </c>
      <c r="G6" s="513">
        <v>7654000</v>
      </c>
      <c r="H6" s="377"/>
      <c r="I6" s="377"/>
      <c r="J6" s="223"/>
      <c r="K6" s="69" t="s">
        <v>167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 t="s">
        <v>170</v>
      </c>
      <c r="I7" s="378"/>
      <c r="J7" s="226"/>
      <c r="K7" s="69" t="s">
        <v>167</v>
      </c>
    </row>
    <row r="8" spans="1:11" ht="15.6" customHeight="1">
      <c r="A8" s="69"/>
      <c r="B8" s="222" t="s">
        <v>215</v>
      </c>
      <c r="C8" s="166"/>
      <c r="D8" s="507" t="s">
        <v>92</v>
      </c>
      <c r="E8" s="509">
        <v>1</v>
      </c>
      <c r="F8" s="511">
        <v>30000</v>
      </c>
      <c r="G8" s="513">
        <v>30000</v>
      </c>
      <c r="H8" s="377" t="s">
        <v>172</v>
      </c>
      <c r="I8" s="377"/>
      <c r="J8" s="227"/>
      <c r="K8" s="69" t="s">
        <v>167</v>
      </c>
    </row>
    <row r="9" spans="1:11" ht="15.6" customHeight="1">
      <c r="A9" s="69"/>
      <c r="B9" s="224" t="s">
        <v>169</v>
      </c>
      <c r="C9" s="225"/>
      <c r="D9" s="517"/>
      <c r="E9" s="518"/>
      <c r="F9" s="519"/>
      <c r="G9" s="520"/>
      <c r="H9" s="378" t="s">
        <v>174</v>
      </c>
      <c r="I9" s="378"/>
      <c r="J9" s="227"/>
      <c r="K9" s="69" t="s">
        <v>167</v>
      </c>
    </row>
    <row r="10" spans="1:11" ht="15.6" customHeight="1">
      <c r="A10" s="69"/>
      <c r="B10" s="222" t="s">
        <v>216</v>
      </c>
      <c r="C10" s="166"/>
      <c r="D10" s="507" t="s">
        <v>94</v>
      </c>
      <c r="E10" s="509">
        <v>1134</v>
      </c>
      <c r="F10" s="511">
        <v>582.01</v>
      </c>
      <c r="G10" s="513">
        <v>660000</v>
      </c>
      <c r="H10" s="377" t="s">
        <v>176</v>
      </c>
      <c r="I10" s="377"/>
      <c r="J10" s="223"/>
      <c r="K10" s="69" t="s">
        <v>167</v>
      </c>
    </row>
    <row r="11" spans="1:11" ht="15.6" customHeight="1">
      <c r="A11" s="69"/>
      <c r="B11" s="224" t="s">
        <v>217</v>
      </c>
      <c r="C11" s="225"/>
      <c r="D11" s="517"/>
      <c r="E11" s="518"/>
      <c r="F11" s="519"/>
      <c r="G11" s="520"/>
      <c r="H11" s="378" t="s">
        <v>174</v>
      </c>
      <c r="I11" s="378"/>
      <c r="J11" s="226"/>
      <c r="K11" s="69" t="s">
        <v>167</v>
      </c>
    </row>
    <row r="12" spans="1:11" ht="15.6" customHeight="1">
      <c r="A12" s="69"/>
      <c r="B12" s="222" t="s">
        <v>218</v>
      </c>
      <c r="C12" s="166"/>
      <c r="D12" s="507" t="s">
        <v>96</v>
      </c>
      <c r="E12" s="509">
        <v>226.8</v>
      </c>
      <c r="F12" s="511">
        <v>1693.12</v>
      </c>
      <c r="G12" s="513">
        <v>384000</v>
      </c>
      <c r="H12" s="377" t="s">
        <v>179</v>
      </c>
      <c r="I12" s="377"/>
      <c r="J12" s="223"/>
      <c r="K12" s="69" t="s">
        <v>167</v>
      </c>
    </row>
    <row r="13" spans="1:11" ht="15.6" customHeight="1">
      <c r="A13" s="69"/>
      <c r="B13" s="224" t="s">
        <v>219</v>
      </c>
      <c r="C13" s="225"/>
      <c r="D13" s="517"/>
      <c r="E13" s="518"/>
      <c r="F13" s="519"/>
      <c r="G13" s="520"/>
      <c r="H13" s="378" t="s">
        <v>174</v>
      </c>
      <c r="I13" s="378"/>
      <c r="J13" s="226"/>
      <c r="K13" s="69" t="s">
        <v>167</v>
      </c>
    </row>
    <row r="14" spans="1:11" ht="15.6" customHeight="1">
      <c r="A14" s="69"/>
      <c r="B14" s="222" t="s">
        <v>220</v>
      </c>
      <c r="C14" s="166"/>
      <c r="D14" s="507" t="s">
        <v>96</v>
      </c>
      <c r="E14" s="509">
        <v>226.8</v>
      </c>
      <c r="F14" s="511">
        <v>793.65</v>
      </c>
      <c r="G14" s="513">
        <v>180000</v>
      </c>
      <c r="H14" s="377" t="s">
        <v>182</v>
      </c>
      <c r="I14" s="377"/>
      <c r="J14" s="223"/>
      <c r="K14" s="69" t="s">
        <v>167</v>
      </c>
    </row>
    <row r="15" spans="1:11" ht="15.6" customHeight="1">
      <c r="A15" s="69"/>
      <c r="B15" s="224" t="s">
        <v>221</v>
      </c>
      <c r="C15" s="225"/>
      <c r="D15" s="517"/>
      <c r="E15" s="518"/>
      <c r="F15" s="519"/>
      <c r="G15" s="520"/>
      <c r="H15" s="378" t="s">
        <v>174</v>
      </c>
      <c r="I15" s="378"/>
      <c r="J15" s="226"/>
      <c r="K15" s="69" t="s">
        <v>167</v>
      </c>
    </row>
    <row r="16" spans="1:11" ht="15.6" customHeight="1">
      <c r="A16" s="69"/>
      <c r="B16" s="222" t="s">
        <v>222</v>
      </c>
      <c r="C16" s="166"/>
      <c r="D16" s="507" t="s">
        <v>94</v>
      </c>
      <c r="E16" s="509">
        <v>1134</v>
      </c>
      <c r="F16" s="511">
        <v>978.83</v>
      </c>
      <c r="G16" s="513">
        <v>1110000</v>
      </c>
      <c r="H16" s="377" t="s">
        <v>185</v>
      </c>
      <c r="I16" s="377"/>
      <c r="J16" s="223"/>
      <c r="K16" s="69" t="s">
        <v>167</v>
      </c>
    </row>
    <row r="17" spans="1:11" ht="15.6" customHeight="1">
      <c r="A17" s="69"/>
      <c r="B17" s="224" t="s">
        <v>223</v>
      </c>
      <c r="C17" s="225"/>
      <c r="D17" s="517"/>
      <c r="E17" s="518"/>
      <c r="F17" s="519"/>
      <c r="G17" s="520"/>
      <c r="H17" s="378" t="s">
        <v>174</v>
      </c>
      <c r="I17" s="378"/>
      <c r="J17" s="226"/>
      <c r="K17" s="69" t="s">
        <v>167</v>
      </c>
    </row>
    <row r="18" spans="1:11" ht="15.6" customHeight="1">
      <c r="A18" s="69"/>
      <c r="B18" s="222" t="s">
        <v>224</v>
      </c>
      <c r="C18" s="166"/>
      <c r="D18" s="507" t="s">
        <v>94</v>
      </c>
      <c r="E18" s="509">
        <v>1134</v>
      </c>
      <c r="F18" s="511">
        <v>1649.03</v>
      </c>
      <c r="G18" s="513">
        <v>1870000</v>
      </c>
      <c r="H18" s="377" t="s">
        <v>188</v>
      </c>
      <c r="I18" s="377"/>
      <c r="J18" s="223"/>
      <c r="K18" s="69" t="s">
        <v>167</v>
      </c>
    </row>
    <row r="19" spans="1:11" ht="15.6" customHeight="1">
      <c r="A19" s="69"/>
      <c r="B19" s="224" t="s">
        <v>225</v>
      </c>
      <c r="C19" s="225"/>
      <c r="D19" s="517"/>
      <c r="E19" s="518"/>
      <c r="F19" s="519"/>
      <c r="G19" s="520"/>
      <c r="H19" s="378" t="s">
        <v>174</v>
      </c>
      <c r="I19" s="378"/>
      <c r="J19" s="226"/>
      <c r="K19" s="69" t="s">
        <v>167</v>
      </c>
    </row>
    <row r="20" spans="1:11" ht="15.6" customHeight="1">
      <c r="A20" s="69"/>
      <c r="B20" s="222" t="s">
        <v>226</v>
      </c>
      <c r="C20" s="166"/>
      <c r="D20" s="507" t="s">
        <v>101</v>
      </c>
      <c r="E20" s="509">
        <v>23</v>
      </c>
      <c r="F20" s="511">
        <v>4347.83</v>
      </c>
      <c r="G20" s="513">
        <v>100000</v>
      </c>
      <c r="H20" s="377" t="s">
        <v>191</v>
      </c>
      <c r="I20" s="377"/>
      <c r="J20" s="223"/>
      <c r="K20" s="69" t="s">
        <v>167</v>
      </c>
    </row>
    <row r="21" spans="1:11" ht="15.6" customHeight="1">
      <c r="A21" s="69"/>
      <c r="B21" s="224" t="s">
        <v>227</v>
      </c>
      <c r="C21" s="225"/>
      <c r="D21" s="517"/>
      <c r="E21" s="518"/>
      <c r="F21" s="519"/>
      <c r="G21" s="520"/>
      <c r="H21" s="378" t="s">
        <v>174</v>
      </c>
      <c r="I21" s="378"/>
      <c r="J21" s="226"/>
      <c r="K21" s="69" t="s">
        <v>167</v>
      </c>
    </row>
    <row r="22" spans="1:11" ht="15.6" customHeight="1">
      <c r="A22" s="69"/>
      <c r="B22" s="222" t="s">
        <v>228</v>
      </c>
      <c r="C22" s="166"/>
      <c r="D22" s="507" t="s">
        <v>102</v>
      </c>
      <c r="E22" s="509">
        <v>63</v>
      </c>
      <c r="F22" s="511">
        <v>13809.53</v>
      </c>
      <c r="G22" s="513">
        <v>870000</v>
      </c>
      <c r="H22" s="377" t="s">
        <v>194</v>
      </c>
      <c r="I22" s="377"/>
      <c r="J22" s="223"/>
      <c r="K22" s="69" t="s">
        <v>167</v>
      </c>
    </row>
    <row r="23" spans="1:11" ht="15.6" customHeight="1">
      <c r="A23" s="69"/>
      <c r="B23" s="224" t="s">
        <v>169</v>
      </c>
      <c r="C23" s="225"/>
      <c r="D23" s="517"/>
      <c r="E23" s="518"/>
      <c r="F23" s="519"/>
      <c r="G23" s="520"/>
      <c r="H23" s="378" t="s">
        <v>174</v>
      </c>
      <c r="I23" s="378"/>
      <c r="J23" s="226"/>
      <c r="K23" s="69" t="s">
        <v>167</v>
      </c>
    </row>
    <row r="24" spans="1:11" ht="15.6" customHeight="1">
      <c r="A24" s="69"/>
      <c r="B24" s="222" t="s">
        <v>229</v>
      </c>
      <c r="C24" s="166"/>
      <c r="D24" s="507" t="s">
        <v>103</v>
      </c>
      <c r="E24" s="509">
        <v>9</v>
      </c>
      <c r="F24" s="511">
        <v>28888.89</v>
      </c>
      <c r="G24" s="513">
        <v>260000</v>
      </c>
      <c r="H24" s="377" t="s">
        <v>196</v>
      </c>
      <c r="I24" s="377"/>
      <c r="J24" s="223"/>
      <c r="K24" s="69" t="s">
        <v>167</v>
      </c>
    </row>
    <row r="25" spans="1:11" ht="15.6" customHeight="1">
      <c r="A25" s="69"/>
      <c r="B25" s="224" t="s">
        <v>169</v>
      </c>
      <c r="C25" s="225"/>
      <c r="D25" s="517"/>
      <c r="E25" s="518"/>
      <c r="F25" s="519"/>
      <c r="G25" s="520"/>
      <c r="H25" s="378" t="s">
        <v>174</v>
      </c>
      <c r="I25" s="378"/>
      <c r="J25" s="226"/>
      <c r="K25" s="69" t="s">
        <v>167</v>
      </c>
    </row>
    <row r="26" spans="1:11" ht="15.6" customHeight="1">
      <c r="A26" s="69"/>
      <c r="B26" s="222" t="s">
        <v>230</v>
      </c>
      <c r="C26" s="166"/>
      <c r="D26" s="507" t="s">
        <v>103</v>
      </c>
      <c r="E26" s="509">
        <v>2</v>
      </c>
      <c r="F26" s="511">
        <v>265000</v>
      </c>
      <c r="G26" s="513">
        <v>530000</v>
      </c>
      <c r="H26" s="377" t="s">
        <v>198</v>
      </c>
      <c r="I26" s="377"/>
      <c r="J26" s="223"/>
      <c r="K26" s="69" t="s">
        <v>167</v>
      </c>
    </row>
    <row r="27" spans="1:11" ht="15.6" customHeight="1">
      <c r="A27" s="69"/>
      <c r="B27" s="224" t="s">
        <v>169</v>
      </c>
      <c r="C27" s="225"/>
      <c r="D27" s="517"/>
      <c r="E27" s="518"/>
      <c r="F27" s="519"/>
      <c r="G27" s="520"/>
      <c r="H27" s="378" t="s">
        <v>174</v>
      </c>
      <c r="I27" s="378"/>
      <c r="J27" s="226"/>
      <c r="K27" s="69" t="s">
        <v>167</v>
      </c>
    </row>
    <row r="28" spans="1:11" ht="15.6" customHeight="1">
      <c r="A28" s="69"/>
      <c r="B28" s="222" t="s">
        <v>231</v>
      </c>
      <c r="C28" s="166"/>
      <c r="D28" s="507" t="s">
        <v>106</v>
      </c>
      <c r="E28" s="509">
        <v>110</v>
      </c>
      <c r="F28" s="511">
        <v>1000</v>
      </c>
      <c r="G28" s="513">
        <v>110000</v>
      </c>
      <c r="H28" s="377" t="s">
        <v>200</v>
      </c>
      <c r="I28" s="377"/>
      <c r="J28" s="223"/>
      <c r="K28" s="69" t="s">
        <v>167</v>
      </c>
    </row>
    <row r="29" spans="1:11" ht="15.6" customHeight="1">
      <c r="A29" s="69"/>
      <c r="B29" s="224" t="s">
        <v>232</v>
      </c>
      <c r="C29" s="225"/>
      <c r="D29" s="517"/>
      <c r="E29" s="518"/>
      <c r="F29" s="519"/>
      <c r="G29" s="520"/>
      <c r="H29" s="378" t="s">
        <v>174</v>
      </c>
      <c r="I29" s="378"/>
      <c r="J29" s="226"/>
      <c r="K29" s="69" t="s">
        <v>167</v>
      </c>
    </row>
    <row r="30" spans="1:11" ht="15.6" customHeight="1">
      <c r="A30" s="69"/>
      <c r="B30" s="222" t="s">
        <v>233</v>
      </c>
      <c r="C30" s="166"/>
      <c r="D30" s="507" t="s">
        <v>92</v>
      </c>
      <c r="E30" s="509">
        <v>1</v>
      </c>
      <c r="F30" s="511">
        <v>1550000</v>
      </c>
      <c r="G30" s="513">
        <v>1550000</v>
      </c>
      <c r="H30" s="377" t="s">
        <v>203</v>
      </c>
      <c r="I30" s="377"/>
      <c r="J30" s="223"/>
      <c r="K30" s="69" t="s">
        <v>167</v>
      </c>
    </row>
    <row r="31" spans="1:11" ht="15.6" customHeight="1">
      <c r="A31" s="69"/>
      <c r="B31" s="224" t="s">
        <v>169</v>
      </c>
      <c r="C31" s="225"/>
      <c r="D31" s="517"/>
      <c r="E31" s="518"/>
      <c r="F31" s="519"/>
      <c r="G31" s="520"/>
      <c r="H31" s="378" t="s">
        <v>174</v>
      </c>
      <c r="I31" s="378"/>
      <c r="J31" s="226"/>
      <c r="K31" s="69" t="s">
        <v>167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377"/>
      <c r="J32" s="223"/>
      <c r="K32" s="69" t="s">
        <v>167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167</v>
      </c>
    </row>
    <row r="34" spans="1:11" ht="15.6" customHeight="1">
      <c r="A34" s="69"/>
      <c r="B34" s="222" t="s">
        <v>234</v>
      </c>
      <c r="C34" s="166"/>
      <c r="D34" s="507"/>
      <c r="E34" s="509"/>
      <c r="F34" s="511"/>
      <c r="G34" s="513">
        <v>7654000</v>
      </c>
      <c r="H34" s="377"/>
      <c r="I34" s="377"/>
      <c r="J34" s="223"/>
      <c r="K34" s="69" t="s">
        <v>167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167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167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167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198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1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せんなん里海公園バスケットボールコート・スケートボード舗装工事</v>
      </c>
      <c r="G1" s="300"/>
      <c r="H1" s="190" t="s">
        <v>235</v>
      </c>
      <c r="I1" s="327">
        <v>10300000</v>
      </c>
      <c r="J1" s="333">
        <f>I4/I$1</f>
        <v>0.8945631067961165</v>
      </c>
      <c r="K1" s="193"/>
      <c r="L1" s="194">
        <v>3</v>
      </c>
      <c r="M1" s="195"/>
      <c r="N1" s="195"/>
      <c r="O1" s="300"/>
      <c r="P1" s="190" t="s">
        <v>130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130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236</v>
      </c>
      <c r="B2" s="198" t="s">
        <v>237</v>
      </c>
      <c r="C2" s="200" t="s">
        <v>238</v>
      </c>
      <c r="D2" s="200" t="s">
        <v>239</v>
      </c>
      <c r="E2" s="200" t="s">
        <v>240</v>
      </c>
      <c r="F2" s="200" t="s">
        <v>160</v>
      </c>
      <c r="G2" s="526" t="s">
        <v>241</v>
      </c>
      <c r="H2" s="527"/>
      <c r="I2" s="527"/>
      <c r="J2" s="527"/>
      <c r="K2" s="527"/>
      <c r="L2" s="527"/>
      <c r="M2" s="527"/>
      <c r="N2" s="528"/>
      <c r="O2" s="526" t="s">
        <v>242</v>
      </c>
      <c r="P2" s="527"/>
      <c r="Q2" s="527"/>
      <c r="R2" s="527"/>
      <c r="S2" s="527"/>
      <c r="T2" s="527"/>
      <c r="U2" s="527"/>
      <c r="V2" s="528"/>
      <c r="W2" s="526" t="s">
        <v>243</v>
      </c>
      <c r="X2" s="527"/>
      <c r="Y2" s="527"/>
      <c r="Z2" s="527"/>
      <c r="AA2" s="527"/>
      <c r="AB2" s="527"/>
      <c r="AC2" s="527"/>
      <c r="AD2" s="528"/>
      <c r="AE2" s="199" t="s">
        <v>244</v>
      </c>
      <c r="AF2" s="529" t="s">
        <v>165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161</v>
      </c>
      <c r="H3" s="205" t="s">
        <v>162</v>
      </c>
      <c r="I3" s="205" t="s">
        <v>163</v>
      </c>
      <c r="J3" s="206" t="s">
        <v>245</v>
      </c>
      <c r="K3" s="207"/>
      <c r="L3" s="208" t="s">
        <v>246</v>
      </c>
      <c r="M3" s="208" t="s">
        <v>247</v>
      </c>
      <c r="N3" s="209" t="s">
        <v>164</v>
      </c>
      <c r="O3" s="204" t="s">
        <v>161</v>
      </c>
      <c r="P3" s="205" t="s">
        <v>162</v>
      </c>
      <c r="Q3" s="205" t="s">
        <v>163</v>
      </c>
      <c r="R3" s="206" t="s">
        <v>245</v>
      </c>
      <c r="S3" s="210"/>
      <c r="T3" s="208" t="s">
        <v>246</v>
      </c>
      <c r="U3" s="208" t="s">
        <v>247</v>
      </c>
      <c r="V3" s="209" t="s">
        <v>164</v>
      </c>
      <c r="W3" s="204" t="s">
        <v>161</v>
      </c>
      <c r="X3" s="205" t="s">
        <v>162</v>
      </c>
      <c r="Y3" s="205" t="s">
        <v>163</v>
      </c>
      <c r="Z3" s="206" t="s">
        <v>245</v>
      </c>
      <c r="AA3" s="207"/>
      <c r="AB3" s="208" t="s">
        <v>246</v>
      </c>
      <c r="AC3" s="208" t="s">
        <v>247</v>
      </c>
      <c r="AD3" s="209" t="s">
        <v>164</v>
      </c>
      <c r="AE3" s="202"/>
      <c r="AF3" s="530"/>
    </row>
    <row r="4" spans="1:32">
      <c r="A4" s="301">
        <v>0</v>
      </c>
      <c r="B4" s="336"/>
      <c r="C4" s="336" t="s">
        <v>248</v>
      </c>
      <c r="D4" s="334"/>
      <c r="E4" s="336"/>
      <c r="F4" s="339" t="s">
        <v>92</v>
      </c>
      <c r="G4" s="302">
        <v>1</v>
      </c>
      <c r="H4" s="303">
        <v>9214000</v>
      </c>
      <c r="I4" s="303">
        <v>9214000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/>
    </row>
    <row r="5" spans="1:32">
      <c r="A5" s="301">
        <v>1</v>
      </c>
      <c r="B5" s="336"/>
      <c r="C5" s="336" t="s">
        <v>249</v>
      </c>
      <c r="D5" s="334" t="s">
        <v>250</v>
      </c>
      <c r="E5" s="336"/>
      <c r="F5" s="339" t="s">
        <v>92</v>
      </c>
      <c r="G5" s="302">
        <v>1</v>
      </c>
      <c r="H5" s="303">
        <v>7654000</v>
      </c>
      <c r="I5" s="303">
        <v>7654000</v>
      </c>
      <c r="J5" s="211"/>
      <c r="K5" s="212" t="str">
        <f>IF(OR(J5="",G5=J5),"","*")</f>
        <v/>
      </c>
      <c r="L5" s="332">
        <f>IF($A5&lt;=L$1,I5/I$4,"")</f>
        <v>0.83069242457130454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/>
    </row>
    <row r="6" spans="1:32">
      <c r="A6" s="301">
        <v>2</v>
      </c>
      <c r="B6" s="336"/>
      <c r="C6" s="336" t="s">
        <v>249</v>
      </c>
      <c r="D6" s="334" t="s">
        <v>251</v>
      </c>
      <c r="E6" s="336"/>
      <c r="F6" s="339" t="s">
        <v>92</v>
      </c>
      <c r="G6" s="302">
        <v>1</v>
      </c>
      <c r="H6" s="303">
        <v>7654000</v>
      </c>
      <c r="I6" s="303">
        <v>7654000</v>
      </c>
      <c r="J6" s="211"/>
      <c r="K6" s="212" t="str">
        <f>IF(OR(J6="",G6=J6),"","*")</f>
        <v/>
      </c>
      <c r="L6" s="332">
        <f>IF($A6&lt;=L$1,I6/I$4,"")</f>
        <v>0.83069242457130454</v>
      </c>
      <c r="M6" s="337"/>
      <c r="N6" s="338" t="s">
        <v>170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/>
    </row>
    <row r="7" spans="1:32">
      <c r="A7" s="301">
        <v>3</v>
      </c>
      <c r="B7" s="336"/>
      <c r="C7" s="336" t="s">
        <v>174</v>
      </c>
      <c r="D7" s="334" t="s">
        <v>252</v>
      </c>
      <c r="E7" s="336"/>
      <c r="F7" s="339" t="s">
        <v>92</v>
      </c>
      <c r="G7" s="302">
        <v>1</v>
      </c>
      <c r="H7" s="303">
        <v>30000</v>
      </c>
      <c r="I7" s="303">
        <v>30000</v>
      </c>
      <c r="J7" s="211">
        <v>1</v>
      </c>
      <c r="K7" s="212" t="str">
        <f>IF(OR(J7="",G7=J7),"","*")</f>
        <v/>
      </c>
      <c r="L7" s="332">
        <f>IF($A7&lt;=L$1,I7/I$4,"")</f>
        <v>3.2559149120902973E-3</v>
      </c>
      <c r="M7" s="337"/>
      <c r="N7" s="338" t="s">
        <v>253</v>
      </c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/>
    </row>
    <row r="8" spans="1:32">
      <c r="A8" s="301">
        <v>4</v>
      </c>
      <c r="B8" s="336"/>
      <c r="C8" s="336"/>
      <c r="D8" s="334" t="s">
        <v>254</v>
      </c>
      <c r="E8" s="336"/>
      <c r="F8" s="339" t="s">
        <v>92</v>
      </c>
      <c r="G8" s="302">
        <v>1</v>
      </c>
      <c r="H8" s="303">
        <v>30000</v>
      </c>
      <c r="I8" s="303">
        <v>30000</v>
      </c>
      <c r="J8" s="211"/>
      <c r="K8" s="212" t="str">
        <f>IF(OR(J8="",G8=J8),"","*")</f>
        <v/>
      </c>
      <c r="L8" s="332" t="str">
        <f>IF($A8&lt;=L$1,I8/I$4,"")</f>
        <v/>
      </c>
      <c r="M8" s="337"/>
      <c r="N8" s="338"/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/>
      <c r="AF8" s="335"/>
    </row>
    <row r="9" spans="1:32">
      <c r="A9" s="301">
        <v>3</v>
      </c>
      <c r="B9" s="336"/>
      <c r="C9" s="336" t="s">
        <v>174</v>
      </c>
      <c r="D9" s="334" t="s">
        <v>255</v>
      </c>
      <c r="E9" s="336" t="s">
        <v>93</v>
      </c>
      <c r="F9" s="339" t="s">
        <v>94</v>
      </c>
      <c r="G9" s="302">
        <v>1134</v>
      </c>
      <c r="H9" s="303">
        <v>582.01</v>
      </c>
      <c r="I9" s="303">
        <v>660000</v>
      </c>
      <c r="J9" s="211">
        <v>1134</v>
      </c>
      <c r="K9" s="212" t="str">
        <f>IF(OR(J9="",G9=J9),"","*")</f>
        <v/>
      </c>
      <c r="L9" s="332">
        <f>IF($A9&lt;=L$1,I9/I$4,"")</f>
        <v>7.1630128065986537E-2</v>
      </c>
      <c r="M9" s="337"/>
      <c r="N9" s="338" t="s">
        <v>256</v>
      </c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/>
      <c r="AF9" s="335"/>
    </row>
    <row r="10" spans="1:32">
      <c r="A10" s="301">
        <v>4</v>
      </c>
      <c r="B10" s="336"/>
      <c r="C10" s="336" t="s">
        <v>121</v>
      </c>
      <c r="D10" s="334" t="s">
        <v>257</v>
      </c>
      <c r="E10" s="336"/>
      <c r="F10" s="339" t="s">
        <v>258</v>
      </c>
      <c r="G10" s="302">
        <v>210</v>
      </c>
      <c r="H10" s="303">
        <v>150</v>
      </c>
      <c r="I10" s="303">
        <v>31500</v>
      </c>
      <c r="J10" s="211"/>
      <c r="K10" s="212" t="str">
        <f>IF(OR(J10="",G10=J10),"","*")</f>
        <v/>
      </c>
      <c r="L10" s="332" t="str">
        <f>IF($A10&lt;=L$1,I10/I$4,"")</f>
        <v/>
      </c>
      <c r="M10" s="337"/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 t="s">
        <v>259</v>
      </c>
      <c r="AF10" s="335"/>
    </row>
    <row r="11" spans="1:32">
      <c r="A11" s="301">
        <v>4</v>
      </c>
      <c r="B11" s="336"/>
      <c r="C11" s="336" t="s">
        <v>122</v>
      </c>
      <c r="D11" s="334" t="s">
        <v>260</v>
      </c>
      <c r="E11" s="336" t="s">
        <v>261</v>
      </c>
      <c r="F11" s="339" t="s">
        <v>262</v>
      </c>
      <c r="G11" s="302">
        <v>6</v>
      </c>
      <c r="H11" s="303">
        <v>24000</v>
      </c>
      <c r="I11" s="303">
        <v>144000</v>
      </c>
      <c r="J11" s="211"/>
      <c r="K11" s="212" t="str">
        <f>IF(OR(J11="",G11=J11),"","*")</f>
        <v/>
      </c>
      <c r="L11" s="332" t="str">
        <f>IF($A11&lt;=L$1,I11/I$4,"")</f>
        <v/>
      </c>
      <c r="M11" s="337"/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 t="s">
        <v>263</v>
      </c>
      <c r="AF11" s="335"/>
    </row>
    <row r="12" spans="1:32">
      <c r="A12" s="301">
        <v>4</v>
      </c>
      <c r="B12" s="336"/>
      <c r="C12" s="336" t="s">
        <v>122</v>
      </c>
      <c r="D12" s="334" t="s">
        <v>264</v>
      </c>
      <c r="E12" s="336" t="s">
        <v>261</v>
      </c>
      <c r="F12" s="339" t="s">
        <v>262</v>
      </c>
      <c r="G12" s="302">
        <v>6</v>
      </c>
      <c r="H12" s="303">
        <v>22000</v>
      </c>
      <c r="I12" s="303">
        <v>132000</v>
      </c>
      <c r="J12" s="211"/>
      <c r="K12" s="212" t="str">
        <f>IF(OR(J12="",G12=J12),"","*")</f>
        <v/>
      </c>
      <c r="L12" s="332" t="str">
        <f>IF($A12&lt;=L$1,I12/I$4,"")</f>
        <v/>
      </c>
      <c r="M12" s="337"/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 t="s">
        <v>265</v>
      </c>
      <c r="AF12" s="335"/>
    </row>
    <row r="13" spans="1:32">
      <c r="A13" s="301">
        <v>4</v>
      </c>
      <c r="B13" s="336"/>
      <c r="C13" s="336" t="s">
        <v>128</v>
      </c>
      <c r="D13" s="334" t="s">
        <v>266</v>
      </c>
      <c r="E13" s="336"/>
      <c r="F13" s="339" t="s">
        <v>262</v>
      </c>
      <c r="G13" s="302">
        <v>6</v>
      </c>
      <c r="H13" s="303">
        <v>3840</v>
      </c>
      <c r="I13" s="303">
        <v>23040</v>
      </c>
      <c r="J13" s="211"/>
      <c r="K13" s="212" t="str">
        <f>IF(OR(J13="",G13=J13),"","*")</f>
        <v/>
      </c>
      <c r="L13" s="332" t="str">
        <f>IF($A13&lt;=L$1,I13/I$4,"")</f>
        <v/>
      </c>
      <c r="M13" s="337"/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/>
      <c r="AF13" s="335"/>
    </row>
    <row r="14" spans="1:32">
      <c r="A14" s="301">
        <v>4</v>
      </c>
      <c r="B14" s="336"/>
      <c r="C14" s="336" t="s">
        <v>128</v>
      </c>
      <c r="D14" s="334" t="s">
        <v>267</v>
      </c>
      <c r="E14" s="336" t="s">
        <v>261</v>
      </c>
      <c r="F14" s="339" t="s">
        <v>262</v>
      </c>
      <c r="G14" s="302">
        <v>6</v>
      </c>
      <c r="H14" s="303">
        <v>3520</v>
      </c>
      <c r="I14" s="303">
        <v>21120</v>
      </c>
      <c r="J14" s="211"/>
      <c r="K14" s="212" t="str">
        <f>IF(OR(J14="",G14=J14),"","*")</f>
        <v/>
      </c>
      <c r="L14" s="332" t="str">
        <f>IF($A14&lt;=L$1,I14/I$4,"")</f>
        <v/>
      </c>
      <c r="M14" s="337"/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/>
      <c r="AF14" s="335"/>
    </row>
    <row r="15" spans="1:32">
      <c r="A15" s="301">
        <v>4</v>
      </c>
      <c r="B15" s="336"/>
      <c r="C15" s="336" t="s">
        <v>124</v>
      </c>
      <c r="D15" s="334" t="s">
        <v>268</v>
      </c>
      <c r="E15" s="336" t="s">
        <v>269</v>
      </c>
      <c r="F15" s="339" t="s">
        <v>101</v>
      </c>
      <c r="G15" s="302">
        <v>6</v>
      </c>
      <c r="H15" s="303">
        <v>6000</v>
      </c>
      <c r="I15" s="303">
        <v>36000</v>
      </c>
      <c r="J15" s="211"/>
      <c r="K15" s="212" t="str">
        <f>IF(OR(J15="",G15=J15),"","*")</f>
        <v/>
      </c>
      <c r="L15" s="332" t="str">
        <f>IF($A15&lt;=L$1,I15/I$4,"")</f>
        <v/>
      </c>
      <c r="M15" s="337"/>
      <c r="N15" s="338"/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 t="s">
        <v>270</v>
      </c>
      <c r="AF15" s="335"/>
    </row>
    <row r="16" spans="1:32">
      <c r="A16" s="301">
        <v>4</v>
      </c>
      <c r="B16" s="336"/>
      <c r="C16" s="336" t="s">
        <v>124</v>
      </c>
      <c r="D16" s="334" t="s">
        <v>271</v>
      </c>
      <c r="E16" s="336"/>
      <c r="F16" s="339" t="s">
        <v>101</v>
      </c>
      <c r="G16" s="302">
        <v>6</v>
      </c>
      <c r="H16" s="303">
        <v>1000</v>
      </c>
      <c r="I16" s="303">
        <v>6000</v>
      </c>
      <c r="J16" s="211"/>
      <c r="K16" s="212" t="str">
        <f>IF(OR(J16="",G16=J16),"","*")</f>
        <v/>
      </c>
      <c r="L16" s="332" t="str">
        <f>IF($A16&lt;=L$1,I16/I$4,"")</f>
        <v/>
      </c>
      <c r="M16" s="337"/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 t="s">
        <v>272</v>
      </c>
      <c r="AF16" s="335"/>
    </row>
    <row r="17" spans="1:32">
      <c r="A17" s="301">
        <v>4</v>
      </c>
      <c r="B17" s="336"/>
      <c r="C17" s="336" t="s">
        <v>124</v>
      </c>
      <c r="D17" s="334" t="s">
        <v>273</v>
      </c>
      <c r="E17" s="336"/>
      <c r="F17" s="339" t="s">
        <v>101</v>
      </c>
      <c r="G17" s="302">
        <v>6</v>
      </c>
      <c r="H17" s="303">
        <v>1000</v>
      </c>
      <c r="I17" s="303">
        <v>6000</v>
      </c>
      <c r="J17" s="211"/>
      <c r="K17" s="212" t="str">
        <f>IF(OR(J17="",G17=J17),"","*")</f>
        <v/>
      </c>
      <c r="L17" s="332" t="str">
        <f>IF($A17&lt;=L$1,I17/I$4,"")</f>
        <v/>
      </c>
      <c r="M17" s="337"/>
      <c r="N17" s="338"/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 t="s">
        <v>274</v>
      </c>
      <c r="AF17" s="335"/>
    </row>
    <row r="18" spans="1:32">
      <c r="A18" s="301">
        <v>4</v>
      </c>
      <c r="B18" s="336"/>
      <c r="C18" s="336" t="s">
        <v>124</v>
      </c>
      <c r="D18" s="334" t="s">
        <v>275</v>
      </c>
      <c r="E18" s="336" t="s">
        <v>276</v>
      </c>
      <c r="F18" s="339" t="s">
        <v>101</v>
      </c>
      <c r="G18" s="302">
        <v>6</v>
      </c>
      <c r="H18" s="303">
        <v>12000</v>
      </c>
      <c r="I18" s="303">
        <v>72000</v>
      </c>
      <c r="J18" s="211"/>
      <c r="K18" s="212" t="str">
        <f>IF(OR(J18="",G18=J18),"","*")</f>
        <v/>
      </c>
      <c r="L18" s="332" t="str">
        <f>IF($A18&lt;=L$1,I18/I$4,"")</f>
        <v/>
      </c>
      <c r="M18" s="337"/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 t="s">
        <v>277</v>
      </c>
      <c r="AF18" s="335"/>
    </row>
    <row r="19" spans="1:32">
      <c r="A19" s="301">
        <v>4</v>
      </c>
      <c r="B19" s="336"/>
      <c r="C19" s="336" t="s">
        <v>124</v>
      </c>
      <c r="D19" s="334" t="s">
        <v>275</v>
      </c>
      <c r="E19" s="336" t="s">
        <v>278</v>
      </c>
      <c r="F19" s="339" t="s">
        <v>101</v>
      </c>
      <c r="G19" s="302">
        <v>6</v>
      </c>
      <c r="H19" s="303">
        <v>8000</v>
      </c>
      <c r="I19" s="303">
        <v>48000</v>
      </c>
      <c r="J19" s="211"/>
      <c r="K19" s="212" t="str">
        <f>IF(OR(J19="",G19=J19),"","*")</f>
        <v/>
      </c>
      <c r="L19" s="332" t="str">
        <f>IF($A19&lt;=L$1,I19/I$4,"")</f>
        <v/>
      </c>
      <c r="M19" s="337"/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 t="s">
        <v>279</v>
      </c>
      <c r="AF19" s="335"/>
    </row>
    <row r="20" spans="1:32">
      <c r="A20" s="301">
        <v>4</v>
      </c>
      <c r="B20" s="336"/>
      <c r="C20" s="336" t="s">
        <v>125</v>
      </c>
      <c r="D20" s="334" t="s">
        <v>280</v>
      </c>
      <c r="E20" s="336"/>
      <c r="F20" s="339" t="s">
        <v>101</v>
      </c>
      <c r="G20" s="302">
        <v>6</v>
      </c>
      <c r="H20" s="303">
        <v>8000</v>
      </c>
      <c r="I20" s="303">
        <v>48000</v>
      </c>
      <c r="J20" s="211"/>
      <c r="K20" s="212" t="str">
        <f>IF(OR(J20="",G20=J20),"","*")</f>
        <v/>
      </c>
      <c r="L20" s="332" t="str">
        <f>IF($A20&lt;=L$1,I20/I$4,"")</f>
        <v/>
      </c>
      <c r="M20" s="337"/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 t="s">
        <v>281</v>
      </c>
      <c r="AF20" s="335"/>
    </row>
    <row r="21" spans="1:32">
      <c r="A21" s="301">
        <v>4</v>
      </c>
      <c r="B21" s="336"/>
      <c r="C21" s="336"/>
      <c r="D21" s="334" t="s">
        <v>282</v>
      </c>
      <c r="E21" s="336"/>
      <c r="F21" s="339" t="s">
        <v>92</v>
      </c>
      <c r="G21" s="302">
        <v>1</v>
      </c>
      <c r="H21" s="303">
        <v>85000</v>
      </c>
      <c r="I21" s="303">
        <v>85000</v>
      </c>
      <c r="J21" s="211"/>
      <c r="K21" s="212" t="str">
        <f>IF(OR(J21="",G21=J21),"","*")</f>
        <v/>
      </c>
      <c r="L21" s="332" t="str">
        <f>IF($A21&lt;=L$1,I21/I$4,"")</f>
        <v/>
      </c>
      <c r="M21" s="337"/>
      <c r="N21" s="338"/>
      <c r="O21" s="304">
        <v>0</v>
      </c>
      <c r="P21" s="305">
        <v>0</v>
      </c>
      <c r="Q21" s="305">
        <v>0</v>
      </c>
      <c r="R21" s="211">
        <v>0</v>
      </c>
      <c r="S21" s="212"/>
      <c r="T21" s="213" t="e">
        <v>#DIV/0!</v>
      </c>
      <c r="U21" s="214"/>
      <c r="V21" s="215"/>
      <c r="W21" s="304">
        <v>0</v>
      </c>
      <c r="X21" s="305">
        <v>0</v>
      </c>
      <c r="Y21" s="305">
        <v>0</v>
      </c>
      <c r="Z21" s="211">
        <v>0</v>
      </c>
      <c r="AA21" s="212"/>
      <c r="AB21" s="213" t="e">
        <v>#DIV/0!</v>
      </c>
      <c r="AC21" s="214"/>
      <c r="AD21" s="215"/>
      <c r="AE21" s="336"/>
      <c r="AF21" s="335"/>
    </row>
    <row r="22" spans="1:32">
      <c r="A22" s="301">
        <v>4</v>
      </c>
      <c r="B22" s="336"/>
      <c r="C22" s="336"/>
      <c r="D22" s="334" t="s">
        <v>283</v>
      </c>
      <c r="E22" s="336"/>
      <c r="F22" s="339" t="s">
        <v>92</v>
      </c>
      <c r="G22" s="302">
        <v>1</v>
      </c>
      <c r="H22" s="303">
        <v>7340</v>
      </c>
      <c r="I22" s="303">
        <v>7340</v>
      </c>
      <c r="J22" s="211"/>
      <c r="K22" s="212" t="str">
        <f>IF(OR(J22="",G22=J22),"","*")</f>
        <v/>
      </c>
      <c r="L22" s="332" t="str">
        <f>IF($A22&lt;=L$1,I22/I$4,"")</f>
        <v/>
      </c>
      <c r="M22" s="337"/>
      <c r="N22" s="338"/>
      <c r="O22" s="304">
        <v>0</v>
      </c>
      <c r="P22" s="305">
        <v>0</v>
      </c>
      <c r="Q22" s="305">
        <v>0</v>
      </c>
      <c r="R22" s="211">
        <v>0</v>
      </c>
      <c r="S22" s="212"/>
      <c r="T22" s="213" t="e">
        <v>#DIV/0!</v>
      </c>
      <c r="U22" s="214"/>
      <c r="V22" s="215"/>
      <c r="W22" s="304">
        <v>0</v>
      </c>
      <c r="X22" s="305">
        <v>0</v>
      </c>
      <c r="Y22" s="305">
        <v>0</v>
      </c>
      <c r="Z22" s="211">
        <v>0</v>
      </c>
      <c r="AA22" s="212"/>
      <c r="AB22" s="213" t="e">
        <v>#DIV/0!</v>
      </c>
      <c r="AC22" s="214"/>
      <c r="AD22" s="215"/>
      <c r="AE22" s="336"/>
      <c r="AF22" s="335"/>
    </row>
    <row r="23" spans="1:32">
      <c r="A23" s="301">
        <v>3</v>
      </c>
      <c r="B23" s="336"/>
      <c r="C23" s="336" t="s">
        <v>174</v>
      </c>
      <c r="D23" s="334" t="s">
        <v>284</v>
      </c>
      <c r="E23" s="336" t="s">
        <v>95</v>
      </c>
      <c r="F23" s="339" t="s">
        <v>96</v>
      </c>
      <c r="G23" s="302">
        <v>226.8</v>
      </c>
      <c r="H23" s="303">
        <v>1693.12</v>
      </c>
      <c r="I23" s="303">
        <v>384000</v>
      </c>
      <c r="J23" s="211">
        <v>226.8</v>
      </c>
      <c r="K23" s="212" t="str">
        <f>IF(OR(J23="",G23=J23),"","*")</f>
        <v/>
      </c>
      <c r="L23" s="332">
        <f>IF($A23&lt;=L$1,I23/I$4,"")</f>
        <v>4.1675710874755807E-2</v>
      </c>
      <c r="M23" s="337"/>
      <c r="N23" s="338" t="s">
        <v>285</v>
      </c>
      <c r="O23" s="304">
        <v>0</v>
      </c>
      <c r="P23" s="305">
        <v>0</v>
      </c>
      <c r="Q23" s="305">
        <v>0</v>
      </c>
      <c r="R23" s="211">
        <v>0</v>
      </c>
      <c r="S23" s="212"/>
      <c r="T23" s="213" t="e">
        <v>#DIV/0!</v>
      </c>
      <c r="U23" s="214"/>
      <c r="V23" s="215"/>
      <c r="W23" s="304">
        <v>0</v>
      </c>
      <c r="X23" s="305">
        <v>0</v>
      </c>
      <c r="Y23" s="305">
        <v>0</v>
      </c>
      <c r="Z23" s="211">
        <v>0</v>
      </c>
      <c r="AA23" s="212"/>
      <c r="AB23" s="213" t="e">
        <v>#DIV/0!</v>
      </c>
      <c r="AC23" s="214"/>
      <c r="AD23" s="215"/>
      <c r="AE23" s="336"/>
      <c r="AF23" s="335"/>
    </row>
    <row r="24" spans="1:32">
      <c r="A24" s="301">
        <v>4</v>
      </c>
      <c r="B24" s="336"/>
      <c r="C24" s="336" t="s">
        <v>125</v>
      </c>
      <c r="D24" s="334" t="s">
        <v>280</v>
      </c>
      <c r="E24" s="336"/>
      <c r="F24" s="339" t="s">
        <v>101</v>
      </c>
      <c r="G24" s="302">
        <v>12</v>
      </c>
      <c r="H24" s="303">
        <v>32000</v>
      </c>
      <c r="I24" s="303">
        <v>384000</v>
      </c>
      <c r="J24" s="211"/>
      <c r="K24" s="212" t="str">
        <f>IF(OR(J24="",G24=J24),"","*")</f>
        <v/>
      </c>
      <c r="L24" s="332" t="str">
        <f>IF($A24&lt;=L$1,I24/I$4,"")</f>
        <v/>
      </c>
      <c r="M24" s="337"/>
      <c r="N24" s="338"/>
      <c r="O24" s="304">
        <v>0</v>
      </c>
      <c r="P24" s="305">
        <v>0</v>
      </c>
      <c r="Q24" s="305">
        <v>0</v>
      </c>
      <c r="R24" s="211">
        <v>0</v>
      </c>
      <c r="S24" s="212"/>
      <c r="T24" s="213" t="e">
        <v>#DIV/0!</v>
      </c>
      <c r="U24" s="214"/>
      <c r="V24" s="215"/>
      <c r="W24" s="304">
        <v>0</v>
      </c>
      <c r="X24" s="305">
        <v>0</v>
      </c>
      <c r="Y24" s="305">
        <v>0</v>
      </c>
      <c r="Z24" s="211">
        <v>0</v>
      </c>
      <c r="AA24" s="212"/>
      <c r="AB24" s="213" t="e">
        <v>#DIV/0!</v>
      </c>
      <c r="AC24" s="214"/>
      <c r="AD24" s="215"/>
      <c r="AE24" s="336" t="s">
        <v>281</v>
      </c>
      <c r="AF24" s="335"/>
    </row>
    <row r="25" spans="1:32">
      <c r="A25" s="301">
        <v>3</v>
      </c>
      <c r="B25" s="336"/>
      <c r="C25" s="336" t="s">
        <v>174</v>
      </c>
      <c r="D25" s="334" t="s">
        <v>286</v>
      </c>
      <c r="E25" s="336" t="s">
        <v>97</v>
      </c>
      <c r="F25" s="339" t="s">
        <v>96</v>
      </c>
      <c r="G25" s="302">
        <v>226.8</v>
      </c>
      <c r="H25" s="303">
        <v>793.65</v>
      </c>
      <c r="I25" s="303">
        <v>180000</v>
      </c>
      <c r="J25" s="211">
        <v>226.8</v>
      </c>
      <c r="K25" s="212" t="str">
        <f>IF(OR(J25="",G25=J25),"","*")</f>
        <v/>
      </c>
      <c r="L25" s="332">
        <f>IF($A25&lt;=L$1,I25/I$4,"")</f>
        <v>1.9535489472541783E-2</v>
      </c>
      <c r="M25" s="337"/>
      <c r="N25" s="338" t="s">
        <v>287</v>
      </c>
      <c r="O25" s="304">
        <v>0</v>
      </c>
      <c r="P25" s="305">
        <v>0</v>
      </c>
      <c r="Q25" s="305">
        <v>0</v>
      </c>
      <c r="R25" s="211">
        <v>0</v>
      </c>
      <c r="S25" s="212"/>
      <c r="T25" s="213" t="e">
        <v>#DIV/0!</v>
      </c>
      <c r="U25" s="214"/>
      <c r="V25" s="215"/>
      <c r="W25" s="304">
        <v>0</v>
      </c>
      <c r="X25" s="305">
        <v>0</v>
      </c>
      <c r="Y25" s="305">
        <v>0</v>
      </c>
      <c r="Z25" s="211">
        <v>0</v>
      </c>
      <c r="AA25" s="212"/>
      <c r="AB25" s="213" t="e">
        <v>#DIV/0!</v>
      </c>
      <c r="AC25" s="214"/>
      <c r="AD25" s="215"/>
      <c r="AE25" s="336"/>
      <c r="AF25" s="335"/>
    </row>
    <row r="26" spans="1:32">
      <c r="A26" s="301">
        <v>4</v>
      </c>
      <c r="B26" s="336"/>
      <c r="C26" s="336" t="s">
        <v>121</v>
      </c>
      <c r="D26" s="334" t="s">
        <v>257</v>
      </c>
      <c r="E26" s="336"/>
      <c r="F26" s="339" t="s">
        <v>258</v>
      </c>
      <c r="G26" s="302">
        <v>50</v>
      </c>
      <c r="H26" s="303">
        <v>150</v>
      </c>
      <c r="I26" s="303">
        <v>7500</v>
      </c>
      <c r="J26" s="211"/>
      <c r="K26" s="212" t="str">
        <f>IF(OR(J26="",G26=J26),"","*")</f>
        <v/>
      </c>
      <c r="L26" s="332" t="str">
        <f>IF($A26&lt;=L$1,I26/I$4,"")</f>
        <v/>
      </c>
      <c r="M26" s="337"/>
      <c r="N26" s="338"/>
      <c r="O26" s="304">
        <v>0</v>
      </c>
      <c r="P26" s="305">
        <v>0</v>
      </c>
      <c r="Q26" s="305">
        <v>0</v>
      </c>
      <c r="R26" s="211">
        <v>0</v>
      </c>
      <c r="S26" s="212"/>
      <c r="T26" s="213" t="e">
        <v>#DIV/0!</v>
      </c>
      <c r="U26" s="214"/>
      <c r="V26" s="215"/>
      <c r="W26" s="304">
        <v>0</v>
      </c>
      <c r="X26" s="305">
        <v>0</v>
      </c>
      <c r="Y26" s="305">
        <v>0</v>
      </c>
      <c r="Z26" s="211">
        <v>0</v>
      </c>
      <c r="AA26" s="212"/>
      <c r="AB26" s="213" t="e">
        <v>#DIV/0!</v>
      </c>
      <c r="AC26" s="214"/>
      <c r="AD26" s="215"/>
      <c r="AE26" s="336" t="s">
        <v>259</v>
      </c>
      <c r="AF26" s="335"/>
    </row>
    <row r="27" spans="1:32">
      <c r="A27" s="301">
        <v>4</v>
      </c>
      <c r="B27" s="336"/>
      <c r="C27" s="336" t="s">
        <v>122</v>
      </c>
      <c r="D27" s="334" t="s">
        <v>260</v>
      </c>
      <c r="E27" s="336" t="s">
        <v>261</v>
      </c>
      <c r="F27" s="339" t="s">
        <v>262</v>
      </c>
      <c r="G27" s="302">
        <v>2</v>
      </c>
      <c r="H27" s="303">
        <v>24000</v>
      </c>
      <c r="I27" s="303">
        <v>48000</v>
      </c>
      <c r="J27" s="211"/>
      <c r="K27" s="212" t="str">
        <f>IF(OR(J27="",G27=J27),"","*")</f>
        <v/>
      </c>
      <c r="L27" s="332" t="str">
        <f>IF($A27&lt;=L$1,I27/I$4,"")</f>
        <v/>
      </c>
      <c r="M27" s="337"/>
      <c r="N27" s="338"/>
      <c r="O27" s="304">
        <v>0</v>
      </c>
      <c r="P27" s="305">
        <v>0</v>
      </c>
      <c r="Q27" s="305">
        <v>0</v>
      </c>
      <c r="R27" s="211">
        <v>0</v>
      </c>
      <c r="S27" s="212"/>
      <c r="T27" s="213" t="e">
        <v>#DIV/0!</v>
      </c>
      <c r="U27" s="214"/>
      <c r="V27" s="215"/>
      <c r="W27" s="304">
        <v>0</v>
      </c>
      <c r="X27" s="305">
        <v>0</v>
      </c>
      <c r="Y27" s="305">
        <v>0</v>
      </c>
      <c r="Z27" s="211">
        <v>0</v>
      </c>
      <c r="AA27" s="212"/>
      <c r="AB27" s="213" t="e">
        <v>#DIV/0!</v>
      </c>
      <c r="AC27" s="214"/>
      <c r="AD27" s="215"/>
      <c r="AE27" s="336" t="s">
        <v>263</v>
      </c>
      <c r="AF27" s="335"/>
    </row>
    <row r="28" spans="1:32">
      <c r="A28" s="301">
        <v>4</v>
      </c>
      <c r="B28" s="336"/>
      <c r="C28" s="336" t="s">
        <v>122</v>
      </c>
      <c r="D28" s="334" t="s">
        <v>264</v>
      </c>
      <c r="E28" s="336" t="s">
        <v>261</v>
      </c>
      <c r="F28" s="339" t="s">
        <v>262</v>
      </c>
      <c r="G28" s="302">
        <v>2</v>
      </c>
      <c r="H28" s="303">
        <v>22000</v>
      </c>
      <c r="I28" s="303">
        <v>44000</v>
      </c>
      <c r="J28" s="211"/>
      <c r="K28" s="212" t="str">
        <f>IF(OR(J28="",G28=J28),"","*")</f>
        <v/>
      </c>
      <c r="L28" s="332" t="str">
        <f>IF($A28&lt;=L$1,I28/I$4,"")</f>
        <v/>
      </c>
      <c r="M28" s="337"/>
      <c r="N28" s="338"/>
      <c r="O28" s="304">
        <v>0</v>
      </c>
      <c r="P28" s="305">
        <v>0</v>
      </c>
      <c r="Q28" s="305">
        <v>0</v>
      </c>
      <c r="R28" s="211">
        <v>0</v>
      </c>
      <c r="S28" s="212"/>
      <c r="T28" s="213" t="e">
        <v>#DIV/0!</v>
      </c>
      <c r="U28" s="214"/>
      <c r="V28" s="215"/>
      <c r="W28" s="304">
        <v>0</v>
      </c>
      <c r="X28" s="305">
        <v>0</v>
      </c>
      <c r="Y28" s="305">
        <v>0</v>
      </c>
      <c r="Z28" s="211">
        <v>0</v>
      </c>
      <c r="AA28" s="212"/>
      <c r="AB28" s="213" t="e">
        <v>#DIV/0!</v>
      </c>
      <c r="AC28" s="214"/>
      <c r="AD28" s="215"/>
      <c r="AE28" s="336" t="s">
        <v>265</v>
      </c>
      <c r="AF28" s="335"/>
    </row>
    <row r="29" spans="1:32">
      <c r="A29" s="301">
        <v>4</v>
      </c>
      <c r="B29" s="336"/>
      <c r="C29" s="336" t="s">
        <v>128</v>
      </c>
      <c r="D29" s="334" t="s">
        <v>266</v>
      </c>
      <c r="E29" s="336"/>
      <c r="F29" s="339" t="s">
        <v>262</v>
      </c>
      <c r="G29" s="302">
        <v>2</v>
      </c>
      <c r="H29" s="303">
        <v>3840</v>
      </c>
      <c r="I29" s="303">
        <v>7680</v>
      </c>
      <c r="J29" s="211"/>
      <c r="K29" s="212" t="str">
        <f>IF(OR(J29="",G29=J29),"","*")</f>
        <v/>
      </c>
      <c r="L29" s="332" t="str">
        <f>IF($A29&lt;=L$1,I29/I$4,"")</f>
        <v/>
      </c>
      <c r="M29" s="337"/>
      <c r="N29" s="338"/>
      <c r="O29" s="304">
        <v>0</v>
      </c>
      <c r="P29" s="305">
        <v>0</v>
      </c>
      <c r="Q29" s="305">
        <v>0</v>
      </c>
      <c r="R29" s="211">
        <v>0</v>
      </c>
      <c r="S29" s="212"/>
      <c r="T29" s="213" t="e">
        <v>#DIV/0!</v>
      </c>
      <c r="U29" s="214"/>
      <c r="V29" s="215"/>
      <c r="W29" s="304">
        <v>0</v>
      </c>
      <c r="X29" s="305">
        <v>0</v>
      </c>
      <c r="Y29" s="305">
        <v>0</v>
      </c>
      <c r="Z29" s="211">
        <v>0</v>
      </c>
      <c r="AA29" s="212"/>
      <c r="AB29" s="213" t="e">
        <v>#DIV/0!</v>
      </c>
      <c r="AC29" s="214"/>
      <c r="AD29" s="215"/>
      <c r="AE29" s="336"/>
      <c r="AF29" s="335"/>
    </row>
    <row r="30" spans="1:32">
      <c r="A30" s="301">
        <v>4</v>
      </c>
      <c r="B30" s="336"/>
      <c r="C30" s="336" t="s">
        <v>128</v>
      </c>
      <c r="D30" s="334" t="s">
        <v>267</v>
      </c>
      <c r="E30" s="336" t="s">
        <v>261</v>
      </c>
      <c r="F30" s="339" t="s">
        <v>262</v>
      </c>
      <c r="G30" s="302">
        <v>2</v>
      </c>
      <c r="H30" s="303">
        <v>3520</v>
      </c>
      <c r="I30" s="303">
        <v>7040</v>
      </c>
      <c r="J30" s="211"/>
      <c r="K30" s="212" t="str">
        <f>IF(OR(J30="",G30=J30),"","*")</f>
        <v/>
      </c>
      <c r="L30" s="332" t="str">
        <f>IF($A30&lt;=L$1,I30/I$4,"")</f>
        <v/>
      </c>
      <c r="M30" s="337"/>
      <c r="N30" s="338"/>
      <c r="O30" s="304">
        <v>0</v>
      </c>
      <c r="P30" s="305">
        <v>0</v>
      </c>
      <c r="Q30" s="305">
        <v>0</v>
      </c>
      <c r="R30" s="211">
        <v>0</v>
      </c>
      <c r="S30" s="212"/>
      <c r="T30" s="213" t="e">
        <v>#DIV/0!</v>
      </c>
      <c r="U30" s="214"/>
      <c r="V30" s="215"/>
      <c r="W30" s="304">
        <v>0</v>
      </c>
      <c r="X30" s="305">
        <v>0</v>
      </c>
      <c r="Y30" s="305">
        <v>0</v>
      </c>
      <c r="Z30" s="211">
        <v>0</v>
      </c>
      <c r="AA30" s="212"/>
      <c r="AB30" s="213" t="e">
        <v>#DIV/0!</v>
      </c>
      <c r="AC30" s="214"/>
      <c r="AD30" s="215"/>
      <c r="AE30" s="336"/>
      <c r="AF30" s="335"/>
    </row>
    <row r="31" spans="1:32">
      <c r="A31" s="301">
        <v>4</v>
      </c>
      <c r="B31" s="336"/>
      <c r="C31" s="336" t="s">
        <v>124</v>
      </c>
      <c r="D31" s="334" t="s">
        <v>288</v>
      </c>
      <c r="E31" s="336"/>
      <c r="F31" s="339" t="s">
        <v>101</v>
      </c>
      <c r="G31" s="302">
        <v>2</v>
      </c>
      <c r="H31" s="303">
        <v>5000</v>
      </c>
      <c r="I31" s="303">
        <v>10000</v>
      </c>
      <c r="J31" s="211"/>
      <c r="K31" s="212" t="str">
        <f>IF(OR(J31="",G31=J31),"","*")</f>
        <v/>
      </c>
      <c r="L31" s="332" t="str">
        <f>IF($A31&lt;=L$1,I31/I$4,"")</f>
        <v/>
      </c>
      <c r="M31" s="337"/>
      <c r="N31" s="338"/>
      <c r="O31" s="304">
        <v>0</v>
      </c>
      <c r="P31" s="305">
        <v>0</v>
      </c>
      <c r="Q31" s="305">
        <v>0</v>
      </c>
      <c r="R31" s="211">
        <v>0</v>
      </c>
      <c r="S31" s="212"/>
      <c r="T31" s="213" t="e">
        <v>#DIV/0!</v>
      </c>
      <c r="U31" s="214"/>
      <c r="V31" s="215"/>
      <c r="W31" s="304">
        <v>0</v>
      </c>
      <c r="X31" s="305">
        <v>0</v>
      </c>
      <c r="Y31" s="305">
        <v>0</v>
      </c>
      <c r="Z31" s="211">
        <v>0</v>
      </c>
      <c r="AA31" s="212"/>
      <c r="AB31" s="213" t="e">
        <v>#DIV/0!</v>
      </c>
      <c r="AC31" s="214"/>
      <c r="AD31" s="215"/>
      <c r="AE31" s="336"/>
      <c r="AF31" s="335"/>
    </row>
    <row r="32" spans="1:32">
      <c r="A32" s="301">
        <v>4</v>
      </c>
      <c r="B32" s="336"/>
      <c r="C32" s="336" t="s">
        <v>124</v>
      </c>
      <c r="D32" s="334" t="s">
        <v>271</v>
      </c>
      <c r="E32" s="336"/>
      <c r="F32" s="339" t="s">
        <v>101</v>
      </c>
      <c r="G32" s="302">
        <v>2</v>
      </c>
      <c r="H32" s="303">
        <v>1000</v>
      </c>
      <c r="I32" s="303">
        <v>2000</v>
      </c>
      <c r="J32" s="211"/>
      <c r="K32" s="212" t="str">
        <f>IF(OR(J32="",G32=J32),"","*")</f>
        <v/>
      </c>
      <c r="L32" s="332" t="str">
        <f>IF($A32&lt;=L$1,I32/I$4,"")</f>
        <v/>
      </c>
      <c r="M32" s="337"/>
      <c r="N32" s="338"/>
      <c r="O32" s="304">
        <v>0</v>
      </c>
      <c r="P32" s="305">
        <v>0</v>
      </c>
      <c r="Q32" s="305">
        <v>0</v>
      </c>
      <c r="R32" s="211">
        <v>0</v>
      </c>
      <c r="S32" s="212"/>
      <c r="T32" s="213" t="e">
        <v>#DIV/0!</v>
      </c>
      <c r="U32" s="214"/>
      <c r="V32" s="215"/>
      <c r="W32" s="304">
        <v>0</v>
      </c>
      <c r="X32" s="305">
        <v>0</v>
      </c>
      <c r="Y32" s="305">
        <v>0</v>
      </c>
      <c r="Z32" s="211">
        <v>0</v>
      </c>
      <c r="AA32" s="212"/>
      <c r="AB32" s="213" t="e">
        <v>#DIV/0!</v>
      </c>
      <c r="AC32" s="214"/>
      <c r="AD32" s="215"/>
      <c r="AE32" s="336" t="s">
        <v>272</v>
      </c>
      <c r="AF32" s="335"/>
    </row>
    <row r="33" spans="1:32">
      <c r="A33" s="301">
        <v>4</v>
      </c>
      <c r="B33" s="336"/>
      <c r="C33" s="336" t="s">
        <v>124</v>
      </c>
      <c r="D33" s="334" t="s">
        <v>273</v>
      </c>
      <c r="E33" s="336"/>
      <c r="F33" s="339" t="s">
        <v>101</v>
      </c>
      <c r="G33" s="302">
        <v>2</v>
      </c>
      <c r="H33" s="303">
        <v>1000</v>
      </c>
      <c r="I33" s="303">
        <v>2000</v>
      </c>
      <c r="J33" s="211"/>
      <c r="K33" s="212" t="str">
        <f>IF(OR(J33="",G33=J33),"","*")</f>
        <v/>
      </c>
      <c r="L33" s="332" t="str">
        <f>IF($A33&lt;=L$1,I33/I$4,"")</f>
        <v/>
      </c>
      <c r="M33" s="337"/>
      <c r="N33" s="338"/>
      <c r="O33" s="304">
        <v>0</v>
      </c>
      <c r="P33" s="305">
        <v>0</v>
      </c>
      <c r="Q33" s="305">
        <v>0</v>
      </c>
      <c r="R33" s="211">
        <v>0</v>
      </c>
      <c r="S33" s="212"/>
      <c r="T33" s="213" t="e">
        <v>#DIV/0!</v>
      </c>
      <c r="U33" s="214"/>
      <c r="V33" s="215"/>
      <c r="W33" s="304">
        <v>0</v>
      </c>
      <c r="X33" s="305">
        <v>0</v>
      </c>
      <c r="Y33" s="305">
        <v>0</v>
      </c>
      <c r="Z33" s="211">
        <v>0</v>
      </c>
      <c r="AA33" s="212"/>
      <c r="AB33" s="213" t="e">
        <v>#DIV/0!</v>
      </c>
      <c r="AC33" s="214"/>
      <c r="AD33" s="215"/>
      <c r="AE33" s="336" t="s">
        <v>274</v>
      </c>
      <c r="AF33" s="335"/>
    </row>
    <row r="34" spans="1:32">
      <c r="A34" s="301">
        <v>4</v>
      </c>
      <c r="B34" s="336"/>
      <c r="C34" s="336" t="s">
        <v>124</v>
      </c>
      <c r="D34" s="334" t="s">
        <v>275</v>
      </c>
      <c r="E34" s="336" t="s">
        <v>278</v>
      </c>
      <c r="F34" s="339" t="s">
        <v>101</v>
      </c>
      <c r="G34" s="302">
        <v>2</v>
      </c>
      <c r="H34" s="303">
        <v>8000</v>
      </c>
      <c r="I34" s="303">
        <v>16000</v>
      </c>
      <c r="J34" s="211"/>
      <c r="K34" s="212" t="str">
        <f>IF(OR(J34="",G34=J34),"","*")</f>
        <v/>
      </c>
      <c r="L34" s="332" t="str">
        <f>IF($A34&lt;=L$1,I34/I$4,"")</f>
        <v/>
      </c>
      <c r="M34" s="337"/>
      <c r="N34" s="338"/>
      <c r="O34" s="304">
        <v>0</v>
      </c>
      <c r="P34" s="305">
        <v>0</v>
      </c>
      <c r="Q34" s="305">
        <v>0</v>
      </c>
      <c r="R34" s="211">
        <v>0</v>
      </c>
      <c r="S34" s="212"/>
      <c r="T34" s="213" t="e">
        <v>#DIV/0!</v>
      </c>
      <c r="U34" s="214"/>
      <c r="V34" s="215"/>
      <c r="W34" s="304">
        <v>0</v>
      </c>
      <c r="X34" s="305">
        <v>0</v>
      </c>
      <c r="Y34" s="305">
        <v>0</v>
      </c>
      <c r="Z34" s="211">
        <v>0</v>
      </c>
      <c r="AA34" s="212"/>
      <c r="AB34" s="213" t="e">
        <v>#DIV/0!</v>
      </c>
      <c r="AC34" s="214"/>
      <c r="AD34" s="215"/>
      <c r="AE34" s="336" t="s">
        <v>279</v>
      </c>
      <c r="AF34" s="335"/>
    </row>
    <row r="35" spans="1:32">
      <c r="A35" s="301">
        <v>4</v>
      </c>
      <c r="B35" s="336"/>
      <c r="C35" s="336" t="s">
        <v>125</v>
      </c>
      <c r="D35" s="334" t="s">
        <v>289</v>
      </c>
      <c r="E35" s="336"/>
      <c r="F35" s="339" t="s">
        <v>101</v>
      </c>
      <c r="G35" s="302">
        <v>2</v>
      </c>
      <c r="H35" s="303">
        <v>6000</v>
      </c>
      <c r="I35" s="303">
        <v>12000</v>
      </c>
      <c r="J35" s="211"/>
      <c r="K35" s="212" t="str">
        <f>IF(OR(J35="",G35=J35),"","*")</f>
        <v/>
      </c>
      <c r="L35" s="332" t="str">
        <f>IF($A35&lt;=L$1,I35/I$4,"")</f>
        <v/>
      </c>
      <c r="M35" s="337"/>
      <c r="N35" s="338"/>
      <c r="O35" s="304">
        <v>0</v>
      </c>
      <c r="P35" s="305">
        <v>0</v>
      </c>
      <c r="Q35" s="305">
        <v>0</v>
      </c>
      <c r="R35" s="211">
        <v>0</v>
      </c>
      <c r="S35" s="212"/>
      <c r="T35" s="213" t="e">
        <v>#DIV/0!</v>
      </c>
      <c r="U35" s="214"/>
      <c r="V35" s="215"/>
      <c r="W35" s="304">
        <v>0</v>
      </c>
      <c r="X35" s="305">
        <v>0</v>
      </c>
      <c r="Y35" s="305">
        <v>0</v>
      </c>
      <c r="Z35" s="211">
        <v>0</v>
      </c>
      <c r="AA35" s="212"/>
      <c r="AB35" s="213" t="e">
        <v>#DIV/0!</v>
      </c>
      <c r="AC35" s="214"/>
      <c r="AD35" s="215"/>
      <c r="AE35" s="336"/>
      <c r="AF35" s="335"/>
    </row>
    <row r="36" spans="1:32">
      <c r="A36" s="301">
        <v>4</v>
      </c>
      <c r="B36" s="336"/>
      <c r="C36" s="336"/>
      <c r="D36" s="334" t="s">
        <v>282</v>
      </c>
      <c r="E36" s="336"/>
      <c r="F36" s="339" t="s">
        <v>92</v>
      </c>
      <c r="G36" s="302">
        <v>1</v>
      </c>
      <c r="H36" s="303">
        <v>23000</v>
      </c>
      <c r="I36" s="303">
        <v>23000</v>
      </c>
      <c r="J36" s="211"/>
      <c r="K36" s="212" t="str">
        <f>IF(OR(J36="",G36=J36),"","*")</f>
        <v/>
      </c>
      <c r="L36" s="332" t="str">
        <f>IF($A36&lt;=L$1,I36/I$4,"")</f>
        <v/>
      </c>
      <c r="M36" s="337"/>
      <c r="N36" s="338"/>
      <c r="O36" s="304">
        <v>0</v>
      </c>
      <c r="P36" s="305">
        <v>0</v>
      </c>
      <c r="Q36" s="305">
        <v>0</v>
      </c>
      <c r="R36" s="211">
        <v>0</v>
      </c>
      <c r="S36" s="212"/>
      <c r="T36" s="213" t="e">
        <v>#DIV/0!</v>
      </c>
      <c r="U36" s="214"/>
      <c r="V36" s="215"/>
      <c r="W36" s="304">
        <v>0</v>
      </c>
      <c r="X36" s="305">
        <v>0</v>
      </c>
      <c r="Y36" s="305">
        <v>0</v>
      </c>
      <c r="Z36" s="211">
        <v>0</v>
      </c>
      <c r="AA36" s="212"/>
      <c r="AB36" s="213" t="e">
        <v>#DIV/0!</v>
      </c>
      <c r="AC36" s="214"/>
      <c r="AD36" s="215"/>
      <c r="AE36" s="336"/>
      <c r="AF36" s="335"/>
    </row>
    <row r="37" spans="1:32">
      <c r="A37" s="301">
        <v>4</v>
      </c>
      <c r="B37" s="336"/>
      <c r="C37" s="336"/>
      <c r="D37" s="334" t="s">
        <v>283</v>
      </c>
      <c r="E37" s="336"/>
      <c r="F37" s="339" t="s">
        <v>92</v>
      </c>
      <c r="G37" s="302">
        <v>1</v>
      </c>
      <c r="H37" s="303">
        <v>780</v>
      </c>
      <c r="I37" s="303">
        <v>780</v>
      </c>
      <c r="J37" s="211"/>
      <c r="K37" s="212" t="str">
        <f>IF(OR(J37="",G37=J37),"","*")</f>
        <v/>
      </c>
      <c r="L37" s="332" t="str">
        <f>IF($A37&lt;=L$1,I37/I$4,"")</f>
        <v/>
      </c>
      <c r="M37" s="337"/>
      <c r="N37" s="338"/>
      <c r="O37" s="304">
        <v>0</v>
      </c>
      <c r="P37" s="305">
        <v>0</v>
      </c>
      <c r="Q37" s="305">
        <v>0</v>
      </c>
      <c r="R37" s="211">
        <v>0</v>
      </c>
      <c r="S37" s="212"/>
      <c r="T37" s="213" t="e">
        <v>#DIV/0!</v>
      </c>
      <c r="U37" s="214"/>
      <c r="V37" s="215"/>
      <c r="W37" s="304">
        <v>0</v>
      </c>
      <c r="X37" s="305">
        <v>0</v>
      </c>
      <c r="Y37" s="305">
        <v>0</v>
      </c>
      <c r="Z37" s="211">
        <v>0</v>
      </c>
      <c r="AA37" s="212"/>
      <c r="AB37" s="213" t="e">
        <v>#DIV/0!</v>
      </c>
      <c r="AC37" s="214"/>
      <c r="AD37" s="215"/>
      <c r="AE37" s="336"/>
      <c r="AF37" s="335"/>
    </row>
    <row r="38" spans="1:32">
      <c r="A38" s="301">
        <v>3</v>
      </c>
      <c r="B38" s="336"/>
      <c r="C38" s="336" t="s">
        <v>174</v>
      </c>
      <c r="D38" s="334" t="s">
        <v>290</v>
      </c>
      <c r="E38" s="336" t="s">
        <v>98</v>
      </c>
      <c r="F38" s="339" t="s">
        <v>94</v>
      </c>
      <c r="G38" s="302">
        <v>1134</v>
      </c>
      <c r="H38" s="303">
        <v>978.83</v>
      </c>
      <c r="I38" s="303">
        <v>1110000</v>
      </c>
      <c r="J38" s="211">
        <v>1134</v>
      </c>
      <c r="K38" s="212" t="str">
        <f>IF(OR(J38="",G38=J38),"","*")</f>
        <v/>
      </c>
      <c r="L38" s="332">
        <f>IF($A38&lt;=L$1,I38/I$4,"")</f>
        <v>0.120468851747341</v>
      </c>
      <c r="M38" s="337"/>
      <c r="N38" s="338" t="s">
        <v>291</v>
      </c>
      <c r="O38" s="304">
        <v>0</v>
      </c>
      <c r="P38" s="305">
        <v>0</v>
      </c>
      <c r="Q38" s="305">
        <v>0</v>
      </c>
      <c r="R38" s="211">
        <v>0</v>
      </c>
      <c r="S38" s="212"/>
      <c r="T38" s="213" t="e">
        <v>#DIV/0!</v>
      </c>
      <c r="U38" s="214"/>
      <c r="V38" s="215"/>
      <c r="W38" s="304">
        <v>0</v>
      </c>
      <c r="X38" s="305">
        <v>0</v>
      </c>
      <c r="Y38" s="305">
        <v>0</v>
      </c>
      <c r="Z38" s="211">
        <v>0</v>
      </c>
      <c r="AA38" s="212"/>
      <c r="AB38" s="213" t="e">
        <v>#DIV/0!</v>
      </c>
      <c r="AC38" s="214"/>
      <c r="AD38" s="215"/>
      <c r="AE38" s="336"/>
      <c r="AF38" s="335"/>
    </row>
    <row r="39" spans="1:32">
      <c r="A39" s="301">
        <v>4</v>
      </c>
      <c r="B39" s="336"/>
      <c r="C39" s="336" t="s">
        <v>121</v>
      </c>
      <c r="D39" s="334" t="s">
        <v>292</v>
      </c>
      <c r="E39" s="336" t="s">
        <v>293</v>
      </c>
      <c r="F39" s="339" t="s">
        <v>294</v>
      </c>
      <c r="G39" s="302">
        <v>400</v>
      </c>
      <c r="H39" s="303">
        <v>700</v>
      </c>
      <c r="I39" s="303">
        <v>280000</v>
      </c>
      <c r="J39" s="211"/>
      <c r="K39" s="212" t="str">
        <f>IF(OR(J39="",G39=J39),"","*")</f>
        <v/>
      </c>
      <c r="L39" s="332" t="str">
        <f>IF($A39&lt;=L$1,I39/I$4,"")</f>
        <v/>
      </c>
      <c r="M39" s="337"/>
      <c r="N39" s="338"/>
      <c r="O39" s="304">
        <v>0</v>
      </c>
      <c r="P39" s="305">
        <v>0</v>
      </c>
      <c r="Q39" s="305">
        <v>0</v>
      </c>
      <c r="R39" s="211">
        <v>0</v>
      </c>
      <c r="S39" s="212"/>
      <c r="T39" s="213" t="e">
        <v>#DIV/0!</v>
      </c>
      <c r="U39" s="214"/>
      <c r="V39" s="215"/>
      <c r="W39" s="304">
        <v>0</v>
      </c>
      <c r="X39" s="305">
        <v>0</v>
      </c>
      <c r="Y39" s="305">
        <v>0</v>
      </c>
      <c r="Z39" s="211">
        <v>0</v>
      </c>
      <c r="AA39" s="212"/>
      <c r="AB39" s="213" t="e">
        <v>#DIV/0!</v>
      </c>
      <c r="AC39" s="214"/>
      <c r="AD39" s="215"/>
      <c r="AE39" s="336" t="s">
        <v>295</v>
      </c>
      <c r="AF39" s="335"/>
    </row>
    <row r="40" spans="1:32">
      <c r="A40" s="301">
        <v>4</v>
      </c>
      <c r="B40" s="336"/>
      <c r="C40" s="336" t="s">
        <v>296</v>
      </c>
      <c r="D40" s="334" t="s">
        <v>297</v>
      </c>
      <c r="E40" s="336"/>
      <c r="F40" s="339" t="s">
        <v>92</v>
      </c>
      <c r="G40" s="302">
        <v>1</v>
      </c>
      <c r="H40" s="303">
        <v>810000</v>
      </c>
      <c r="I40" s="303">
        <v>810000</v>
      </c>
      <c r="J40" s="211">
        <v>1</v>
      </c>
      <c r="K40" s="212" t="str">
        <f>IF(OR(J40="",G40=J40),"","*")</f>
        <v/>
      </c>
      <c r="L40" s="332" t="str">
        <f>IF($A40&lt;=L$1,I40/I$4,"")</f>
        <v/>
      </c>
      <c r="M40" s="337"/>
      <c r="N40" s="338" t="s">
        <v>298</v>
      </c>
      <c r="O40" s="304">
        <v>0</v>
      </c>
      <c r="P40" s="305">
        <v>0</v>
      </c>
      <c r="Q40" s="305">
        <v>0</v>
      </c>
      <c r="R40" s="211">
        <v>0</v>
      </c>
      <c r="S40" s="212"/>
      <c r="T40" s="213" t="e">
        <v>#DIV/0!</v>
      </c>
      <c r="U40" s="214"/>
      <c r="V40" s="215"/>
      <c r="W40" s="304">
        <v>0</v>
      </c>
      <c r="X40" s="305">
        <v>0</v>
      </c>
      <c r="Y40" s="305">
        <v>0</v>
      </c>
      <c r="Z40" s="211">
        <v>0</v>
      </c>
      <c r="AA40" s="212"/>
      <c r="AB40" s="213" t="e">
        <v>#DIV/0!</v>
      </c>
      <c r="AC40" s="214"/>
      <c r="AD40" s="215"/>
      <c r="AE40" s="336"/>
      <c r="AF40" s="335"/>
    </row>
    <row r="41" spans="1:32">
      <c r="A41" s="301">
        <v>5</v>
      </c>
      <c r="B41" s="336"/>
      <c r="C41" s="336" t="s">
        <v>121</v>
      </c>
      <c r="D41" s="334" t="s">
        <v>299</v>
      </c>
      <c r="E41" s="336"/>
      <c r="F41" s="339" t="s">
        <v>258</v>
      </c>
      <c r="G41" s="302">
        <v>80</v>
      </c>
      <c r="H41" s="303">
        <v>150</v>
      </c>
      <c r="I41" s="303">
        <v>12000</v>
      </c>
      <c r="J41" s="211"/>
      <c r="K41" s="212" t="str">
        <f>IF(OR(J41="",G41=J41),"","*")</f>
        <v/>
      </c>
      <c r="L41" s="332" t="str">
        <f>IF($A41&lt;=L$1,I41/I$4,"")</f>
        <v/>
      </c>
      <c r="M41" s="337"/>
      <c r="N41" s="338"/>
      <c r="O41" s="304">
        <v>0</v>
      </c>
      <c r="P41" s="305">
        <v>0</v>
      </c>
      <c r="Q41" s="305">
        <v>0</v>
      </c>
      <c r="R41" s="211">
        <v>0</v>
      </c>
      <c r="S41" s="212"/>
      <c r="T41" s="213" t="e">
        <v>#DIV/0!</v>
      </c>
      <c r="U41" s="214"/>
      <c r="V41" s="215"/>
      <c r="W41" s="304">
        <v>0</v>
      </c>
      <c r="X41" s="305">
        <v>0</v>
      </c>
      <c r="Y41" s="305">
        <v>0</v>
      </c>
      <c r="Z41" s="211">
        <v>0</v>
      </c>
      <c r="AA41" s="212"/>
      <c r="AB41" s="213" t="e">
        <v>#DIV/0!</v>
      </c>
      <c r="AC41" s="214"/>
      <c r="AD41" s="215"/>
      <c r="AE41" s="336" t="s">
        <v>259</v>
      </c>
      <c r="AF41" s="335"/>
    </row>
    <row r="42" spans="1:32">
      <c r="A42" s="301">
        <v>5</v>
      </c>
      <c r="B42" s="336"/>
      <c r="C42" s="336" t="s">
        <v>121</v>
      </c>
      <c r="D42" s="334" t="s">
        <v>299</v>
      </c>
      <c r="E42" s="336"/>
      <c r="F42" s="339" t="s">
        <v>258</v>
      </c>
      <c r="G42" s="302">
        <v>80</v>
      </c>
      <c r="H42" s="303">
        <v>150</v>
      </c>
      <c r="I42" s="303">
        <v>12000</v>
      </c>
      <c r="J42" s="211"/>
      <c r="K42" s="212" t="str">
        <f>IF(OR(J42="",G42=J42),"","*")</f>
        <v/>
      </c>
      <c r="L42" s="332" t="str">
        <f>IF($A42&lt;=L$1,I42/I$4,"")</f>
        <v/>
      </c>
      <c r="M42" s="337"/>
      <c r="N42" s="338"/>
      <c r="O42" s="304">
        <v>0</v>
      </c>
      <c r="P42" s="305">
        <v>0</v>
      </c>
      <c r="Q42" s="305">
        <v>0</v>
      </c>
      <c r="R42" s="211">
        <v>0</v>
      </c>
      <c r="S42" s="212"/>
      <c r="T42" s="213" t="e">
        <v>#DIV/0!</v>
      </c>
      <c r="U42" s="214"/>
      <c r="V42" s="215"/>
      <c r="W42" s="304">
        <v>0</v>
      </c>
      <c r="X42" s="305">
        <v>0</v>
      </c>
      <c r="Y42" s="305">
        <v>0</v>
      </c>
      <c r="Z42" s="211">
        <v>0</v>
      </c>
      <c r="AA42" s="212"/>
      <c r="AB42" s="213" t="e">
        <v>#DIV/0!</v>
      </c>
      <c r="AC42" s="214"/>
      <c r="AD42" s="215"/>
      <c r="AE42" s="336" t="s">
        <v>259</v>
      </c>
      <c r="AF42" s="335"/>
    </row>
    <row r="43" spans="1:32">
      <c r="A43" s="301">
        <v>5</v>
      </c>
      <c r="B43" s="336"/>
      <c r="C43" s="336" t="s">
        <v>122</v>
      </c>
      <c r="D43" s="334" t="s">
        <v>300</v>
      </c>
      <c r="E43" s="336" t="s">
        <v>261</v>
      </c>
      <c r="F43" s="339" t="s">
        <v>262</v>
      </c>
      <c r="G43" s="302">
        <v>4</v>
      </c>
      <c r="H43" s="303">
        <v>24000</v>
      </c>
      <c r="I43" s="303">
        <v>96000</v>
      </c>
      <c r="J43" s="211"/>
      <c r="K43" s="212" t="str">
        <f>IF(OR(J43="",G43=J43),"","*")</f>
        <v/>
      </c>
      <c r="L43" s="332" t="str">
        <f>IF($A43&lt;=L$1,I43/I$4,"")</f>
        <v/>
      </c>
      <c r="M43" s="337"/>
      <c r="N43" s="338"/>
      <c r="O43" s="304">
        <v>0</v>
      </c>
      <c r="P43" s="305">
        <v>0</v>
      </c>
      <c r="Q43" s="305">
        <v>0</v>
      </c>
      <c r="R43" s="211">
        <v>0</v>
      </c>
      <c r="S43" s="212"/>
      <c r="T43" s="213" t="e">
        <v>#DIV/0!</v>
      </c>
      <c r="U43" s="214"/>
      <c r="V43" s="215"/>
      <c r="W43" s="304">
        <v>0</v>
      </c>
      <c r="X43" s="305">
        <v>0</v>
      </c>
      <c r="Y43" s="305">
        <v>0</v>
      </c>
      <c r="Z43" s="211">
        <v>0</v>
      </c>
      <c r="AA43" s="212"/>
      <c r="AB43" s="213" t="e">
        <v>#DIV/0!</v>
      </c>
      <c r="AC43" s="214"/>
      <c r="AD43" s="215"/>
      <c r="AE43" s="336" t="s">
        <v>263</v>
      </c>
      <c r="AF43" s="335"/>
    </row>
    <row r="44" spans="1:32">
      <c r="A44" s="301">
        <v>5</v>
      </c>
      <c r="B44" s="336"/>
      <c r="C44" s="336" t="s">
        <v>122</v>
      </c>
      <c r="D44" s="334" t="s">
        <v>301</v>
      </c>
      <c r="E44" s="336" t="s">
        <v>261</v>
      </c>
      <c r="F44" s="339" t="s">
        <v>262</v>
      </c>
      <c r="G44" s="302">
        <v>2</v>
      </c>
      <c r="H44" s="303">
        <v>22000</v>
      </c>
      <c r="I44" s="303">
        <v>44000</v>
      </c>
      <c r="J44" s="211"/>
      <c r="K44" s="212" t="str">
        <f>IF(OR(J44="",G44=J44),"","*")</f>
        <v/>
      </c>
      <c r="L44" s="332" t="str">
        <f>IF($A44&lt;=L$1,I44/I$4,"")</f>
        <v/>
      </c>
      <c r="M44" s="337"/>
      <c r="N44" s="338"/>
      <c r="O44" s="304">
        <v>0</v>
      </c>
      <c r="P44" s="305">
        <v>0</v>
      </c>
      <c r="Q44" s="305">
        <v>0</v>
      </c>
      <c r="R44" s="211">
        <v>0</v>
      </c>
      <c r="S44" s="212"/>
      <c r="T44" s="213" t="e">
        <v>#DIV/0!</v>
      </c>
      <c r="U44" s="214"/>
      <c r="V44" s="215"/>
      <c r="W44" s="304">
        <v>0</v>
      </c>
      <c r="X44" s="305">
        <v>0</v>
      </c>
      <c r="Y44" s="305">
        <v>0</v>
      </c>
      <c r="Z44" s="211">
        <v>0</v>
      </c>
      <c r="AA44" s="212"/>
      <c r="AB44" s="213" t="e">
        <v>#DIV/0!</v>
      </c>
      <c r="AC44" s="214"/>
      <c r="AD44" s="215"/>
      <c r="AE44" s="336" t="s">
        <v>265</v>
      </c>
      <c r="AF44" s="335"/>
    </row>
    <row r="45" spans="1:32">
      <c r="A45" s="301">
        <v>5</v>
      </c>
      <c r="B45" s="336"/>
      <c r="C45" s="336" t="s">
        <v>128</v>
      </c>
      <c r="D45" s="334" t="s">
        <v>302</v>
      </c>
      <c r="E45" s="336"/>
      <c r="F45" s="339" t="s">
        <v>262</v>
      </c>
      <c r="G45" s="302">
        <v>4</v>
      </c>
      <c r="H45" s="303">
        <v>3840</v>
      </c>
      <c r="I45" s="303">
        <v>15360</v>
      </c>
      <c r="J45" s="211"/>
      <c r="K45" s="212" t="str">
        <f>IF(OR(J45="",G45=J45),"","*")</f>
        <v/>
      </c>
      <c r="L45" s="332" t="str">
        <f>IF($A45&lt;=L$1,I45/I$4,"")</f>
        <v/>
      </c>
      <c r="M45" s="337"/>
      <c r="N45" s="338"/>
      <c r="O45" s="304">
        <v>0</v>
      </c>
      <c r="P45" s="305">
        <v>0</v>
      </c>
      <c r="Q45" s="305">
        <v>0</v>
      </c>
      <c r="R45" s="211">
        <v>0</v>
      </c>
      <c r="S45" s="212"/>
      <c r="T45" s="213" t="e">
        <v>#DIV/0!</v>
      </c>
      <c r="U45" s="214"/>
      <c r="V45" s="215"/>
      <c r="W45" s="304">
        <v>0</v>
      </c>
      <c r="X45" s="305">
        <v>0</v>
      </c>
      <c r="Y45" s="305">
        <v>0</v>
      </c>
      <c r="Z45" s="211">
        <v>0</v>
      </c>
      <c r="AA45" s="212"/>
      <c r="AB45" s="213" t="e">
        <v>#DIV/0!</v>
      </c>
      <c r="AC45" s="214"/>
      <c r="AD45" s="215"/>
      <c r="AE45" s="336"/>
      <c r="AF45" s="335"/>
    </row>
    <row r="46" spans="1:32">
      <c r="A46" s="301">
        <v>5</v>
      </c>
      <c r="B46" s="336"/>
      <c r="C46" s="336" t="s">
        <v>128</v>
      </c>
      <c r="D46" s="334" t="s">
        <v>303</v>
      </c>
      <c r="E46" s="336" t="s">
        <v>261</v>
      </c>
      <c r="F46" s="339" t="s">
        <v>262</v>
      </c>
      <c r="G46" s="302">
        <v>2</v>
      </c>
      <c r="H46" s="303">
        <v>3520</v>
      </c>
      <c r="I46" s="303">
        <v>7040</v>
      </c>
      <c r="J46" s="211"/>
      <c r="K46" s="212" t="str">
        <f>IF(OR(J46="",G46=J46),"","*")</f>
        <v/>
      </c>
      <c r="L46" s="332" t="str">
        <f>IF($A46&lt;=L$1,I46/I$4,"")</f>
        <v/>
      </c>
      <c r="M46" s="337"/>
      <c r="N46" s="338"/>
      <c r="O46" s="304">
        <v>0</v>
      </c>
      <c r="P46" s="305">
        <v>0</v>
      </c>
      <c r="Q46" s="305">
        <v>0</v>
      </c>
      <c r="R46" s="211">
        <v>0</v>
      </c>
      <c r="S46" s="212"/>
      <c r="T46" s="213" t="e">
        <v>#DIV/0!</v>
      </c>
      <c r="U46" s="214"/>
      <c r="V46" s="215"/>
      <c r="W46" s="304">
        <v>0</v>
      </c>
      <c r="X46" s="305">
        <v>0</v>
      </c>
      <c r="Y46" s="305">
        <v>0</v>
      </c>
      <c r="Z46" s="211">
        <v>0</v>
      </c>
      <c r="AA46" s="212"/>
      <c r="AB46" s="213" t="e">
        <v>#DIV/0!</v>
      </c>
      <c r="AC46" s="214"/>
      <c r="AD46" s="215"/>
      <c r="AE46" s="336"/>
      <c r="AF46" s="335"/>
    </row>
    <row r="47" spans="1:32">
      <c r="A47" s="301">
        <v>5</v>
      </c>
      <c r="B47" s="336"/>
      <c r="C47" s="336" t="s">
        <v>124</v>
      </c>
      <c r="D47" s="334" t="s">
        <v>304</v>
      </c>
      <c r="E47" s="336" t="s">
        <v>305</v>
      </c>
      <c r="F47" s="339" t="s">
        <v>101</v>
      </c>
      <c r="G47" s="302">
        <v>4</v>
      </c>
      <c r="H47" s="303">
        <v>7000</v>
      </c>
      <c r="I47" s="303">
        <v>28000</v>
      </c>
      <c r="J47" s="211"/>
      <c r="K47" s="212" t="str">
        <f>IF(OR(J47="",G47=J47),"","*")</f>
        <v/>
      </c>
      <c r="L47" s="332" t="str">
        <f>IF($A47&lt;=L$1,I47/I$4,"")</f>
        <v/>
      </c>
      <c r="M47" s="337"/>
      <c r="N47" s="338"/>
      <c r="O47" s="304">
        <v>0</v>
      </c>
      <c r="P47" s="305">
        <v>0</v>
      </c>
      <c r="Q47" s="305">
        <v>0</v>
      </c>
      <c r="R47" s="211">
        <v>0</v>
      </c>
      <c r="S47" s="212"/>
      <c r="T47" s="213" t="e">
        <v>#DIV/0!</v>
      </c>
      <c r="U47" s="214"/>
      <c r="V47" s="215"/>
      <c r="W47" s="304">
        <v>0</v>
      </c>
      <c r="X47" s="305">
        <v>0</v>
      </c>
      <c r="Y47" s="305">
        <v>0</v>
      </c>
      <c r="Z47" s="211">
        <v>0</v>
      </c>
      <c r="AA47" s="212"/>
      <c r="AB47" s="213" t="e">
        <v>#DIV/0!</v>
      </c>
      <c r="AC47" s="214"/>
      <c r="AD47" s="215"/>
      <c r="AE47" s="336" t="s">
        <v>306</v>
      </c>
      <c r="AF47" s="335"/>
    </row>
    <row r="48" spans="1:32">
      <c r="A48" s="301">
        <v>5</v>
      </c>
      <c r="B48" s="336"/>
      <c r="C48" s="336" t="s">
        <v>124</v>
      </c>
      <c r="D48" s="334" t="s">
        <v>307</v>
      </c>
      <c r="E48" s="336" t="s">
        <v>269</v>
      </c>
      <c r="F48" s="339" t="s">
        <v>101</v>
      </c>
      <c r="G48" s="302">
        <v>4</v>
      </c>
      <c r="H48" s="303">
        <v>6000</v>
      </c>
      <c r="I48" s="303">
        <v>24000</v>
      </c>
      <c r="J48" s="211"/>
      <c r="K48" s="212" t="str">
        <f>IF(OR(J48="",G48=J48),"","*")</f>
        <v/>
      </c>
      <c r="L48" s="332" t="str">
        <f>IF($A48&lt;=L$1,I48/I$4,"")</f>
        <v/>
      </c>
      <c r="M48" s="337"/>
      <c r="N48" s="338"/>
      <c r="O48" s="304">
        <v>0</v>
      </c>
      <c r="P48" s="305">
        <v>0</v>
      </c>
      <c r="Q48" s="305">
        <v>0</v>
      </c>
      <c r="R48" s="211">
        <v>0</v>
      </c>
      <c r="S48" s="212"/>
      <c r="T48" s="213" t="e">
        <v>#DIV/0!</v>
      </c>
      <c r="U48" s="214"/>
      <c r="V48" s="215"/>
      <c r="W48" s="304">
        <v>0</v>
      </c>
      <c r="X48" s="305">
        <v>0</v>
      </c>
      <c r="Y48" s="305">
        <v>0</v>
      </c>
      <c r="Z48" s="211">
        <v>0</v>
      </c>
      <c r="AA48" s="212"/>
      <c r="AB48" s="213" t="e">
        <v>#DIV/0!</v>
      </c>
      <c r="AC48" s="214"/>
      <c r="AD48" s="215"/>
      <c r="AE48" s="336" t="s">
        <v>270</v>
      </c>
      <c r="AF48" s="335"/>
    </row>
    <row r="49" spans="1:32">
      <c r="A49" s="301">
        <v>5</v>
      </c>
      <c r="B49" s="336"/>
      <c r="C49" s="336" t="s">
        <v>124</v>
      </c>
      <c r="D49" s="334" t="s">
        <v>308</v>
      </c>
      <c r="E49" s="336"/>
      <c r="F49" s="339" t="s">
        <v>101</v>
      </c>
      <c r="G49" s="302">
        <v>4</v>
      </c>
      <c r="H49" s="303">
        <v>1000</v>
      </c>
      <c r="I49" s="303">
        <v>4000</v>
      </c>
      <c r="J49" s="211"/>
      <c r="K49" s="212" t="str">
        <f>IF(OR(J49="",G49=J49),"","*")</f>
        <v/>
      </c>
      <c r="L49" s="332" t="str">
        <f>IF($A49&lt;=L$1,I49/I$4,"")</f>
        <v/>
      </c>
      <c r="M49" s="337"/>
      <c r="N49" s="338"/>
      <c r="O49" s="304">
        <v>0</v>
      </c>
      <c r="P49" s="305">
        <v>0</v>
      </c>
      <c r="Q49" s="305">
        <v>0</v>
      </c>
      <c r="R49" s="211">
        <v>0</v>
      </c>
      <c r="S49" s="212"/>
      <c r="T49" s="213" t="e">
        <v>#DIV/0!</v>
      </c>
      <c r="U49" s="214"/>
      <c r="V49" s="215"/>
      <c r="W49" s="304">
        <v>0</v>
      </c>
      <c r="X49" s="305">
        <v>0</v>
      </c>
      <c r="Y49" s="305">
        <v>0</v>
      </c>
      <c r="Z49" s="211">
        <v>0</v>
      </c>
      <c r="AA49" s="212"/>
      <c r="AB49" s="213" t="e">
        <v>#DIV/0!</v>
      </c>
      <c r="AC49" s="214"/>
      <c r="AD49" s="215"/>
      <c r="AE49" s="336" t="s">
        <v>272</v>
      </c>
      <c r="AF49" s="335"/>
    </row>
    <row r="50" spans="1:32">
      <c r="A50" s="301">
        <v>5</v>
      </c>
      <c r="B50" s="336"/>
      <c r="C50" s="336" t="s">
        <v>124</v>
      </c>
      <c r="D50" s="334" t="s">
        <v>309</v>
      </c>
      <c r="E50" s="336"/>
      <c r="F50" s="339" t="s">
        <v>101</v>
      </c>
      <c r="G50" s="302">
        <v>4</v>
      </c>
      <c r="H50" s="303">
        <v>1000</v>
      </c>
      <c r="I50" s="303">
        <v>4000</v>
      </c>
      <c r="J50" s="211"/>
      <c r="K50" s="212" t="str">
        <f>IF(OR(J50="",G50=J50),"","*")</f>
        <v/>
      </c>
      <c r="L50" s="332" t="str">
        <f>IF($A50&lt;=L$1,I50/I$4,"")</f>
        <v/>
      </c>
      <c r="M50" s="337"/>
      <c r="N50" s="338"/>
      <c r="O50" s="304">
        <v>0</v>
      </c>
      <c r="P50" s="305">
        <v>0</v>
      </c>
      <c r="Q50" s="305">
        <v>0</v>
      </c>
      <c r="R50" s="211">
        <v>0</v>
      </c>
      <c r="S50" s="212"/>
      <c r="T50" s="213" t="e">
        <v>#DIV/0!</v>
      </c>
      <c r="U50" s="214"/>
      <c r="V50" s="215"/>
      <c r="W50" s="304">
        <v>0</v>
      </c>
      <c r="X50" s="305">
        <v>0</v>
      </c>
      <c r="Y50" s="305">
        <v>0</v>
      </c>
      <c r="Z50" s="211">
        <v>0</v>
      </c>
      <c r="AA50" s="212"/>
      <c r="AB50" s="213" t="e">
        <v>#DIV/0!</v>
      </c>
      <c r="AC50" s="214"/>
      <c r="AD50" s="215"/>
      <c r="AE50" s="336" t="s">
        <v>274</v>
      </c>
      <c r="AF50" s="335"/>
    </row>
    <row r="51" spans="1:32">
      <c r="A51" s="301">
        <v>5</v>
      </c>
      <c r="B51" s="336"/>
      <c r="C51" s="336" t="s">
        <v>124</v>
      </c>
      <c r="D51" s="334" t="s">
        <v>310</v>
      </c>
      <c r="E51" s="336" t="s">
        <v>278</v>
      </c>
      <c r="F51" s="339" t="s">
        <v>101</v>
      </c>
      <c r="G51" s="302">
        <v>4</v>
      </c>
      <c r="H51" s="303">
        <v>8000</v>
      </c>
      <c r="I51" s="303">
        <v>32000</v>
      </c>
      <c r="J51" s="211"/>
      <c r="K51" s="212" t="str">
        <f>IF(OR(J51="",G51=J51),"","*")</f>
        <v/>
      </c>
      <c r="L51" s="332" t="str">
        <f>IF($A51&lt;=L$1,I51/I$4,"")</f>
        <v/>
      </c>
      <c r="M51" s="337"/>
      <c r="N51" s="338"/>
      <c r="O51" s="304">
        <v>0</v>
      </c>
      <c r="P51" s="305">
        <v>0</v>
      </c>
      <c r="Q51" s="305">
        <v>0</v>
      </c>
      <c r="R51" s="211">
        <v>0</v>
      </c>
      <c r="S51" s="212"/>
      <c r="T51" s="213" t="e">
        <v>#DIV/0!</v>
      </c>
      <c r="U51" s="214"/>
      <c r="V51" s="215"/>
      <c r="W51" s="304">
        <v>0</v>
      </c>
      <c r="X51" s="305">
        <v>0</v>
      </c>
      <c r="Y51" s="305">
        <v>0</v>
      </c>
      <c r="Z51" s="211">
        <v>0</v>
      </c>
      <c r="AA51" s="212"/>
      <c r="AB51" s="213" t="e">
        <v>#DIV/0!</v>
      </c>
      <c r="AC51" s="214"/>
      <c r="AD51" s="215"/>
      <c r="AE51" s="336" t="s">
        <v>279</v>
      </c>
      <c r="AF51" s="335"/>
    </row>
    <row r="52" spans="1:32">
      <c r="A52" s="301">
        <v>5</v>
      </c>
      <c r="B52" s="336"/>
      <c r="C52" s="336" t="s">
        <v>125</v>
      </c>
      <c r="D52" s="334" t="s">
        <v>311</v>
      </c>
      <c r="E52" s="336"/>
      <c r="F52" s="339" t="s">
        <v>101</v>
      </c>
      <c r="G52" s="302">
        <v>4</v>
      </c>
      <c r="H52" s="303">
        <v>8000</v>
      </c>
      <c r="I52" s="303">
        <v>32000</v>
      </c>
      <c r="J52" s="211"/>
      <c r="K52" s="212" t="str">
        <f>IF(OR(J52="",G52=J52),"","*")</f>
        <v/>
      </c>
      <c r="L52" s="332" t="str">
        <f>IF($A52&lt;=L$1,I52/I$4,"")</f>
        <v/>
      </c>
      <c r="M52" s="337"/>
      <c r="N52" s="338"/>
      <c r="O52" s="304">
        <v>0</v>
      </c>
      <c r="P52" s="305">
        <v>0</v>
      </c>
      <c r="Q52" s="305">
        <v>0</v>
      </c>
      <c r="R52" s="211">
        <v>0</v>
      </c>
      <c r="S52" s="212"/>
      <c r="T52" s="213" t="e">
        <v>#DIV/0!</v>
      </c>
      <c r="U52" s="214"/>
      <c r="V52" s="215"/>
      <c r="W52" s="304">
        <v>0</v>
      </c>
      <c r="X52" s="305">
        <v>0</v>
      </c>
      <c r="Y52" s="305">
        <v>0</v>
      </c>
      <c r="Z52" s="211">
        <v>0</v>
      </c>
      <c r="AA52" s="212"/>
      <c r="AB52" s="213" t="e">
        <v>#DIV/0!</v>
      </c>
      <c r="AC52" s="214"/>
      <c r="AD52" s="215"/>
      <c r="AE52" s="336" t="s">
        <v>281</v>
      </c>
      <c r="AF52" s="335"/>
    </row>
    <row r="53" spans="1:32">
      <c r="A53" s="301">
        <v>5</v>
      </c>
      <c r="B53" s="336"/>
      <c r="C53" s="336" t="s">
        <v>125</v>
      </c>
      <c r="D53" s="334" t="s">
        <v>312</v>
      </c>
      <c r="E53" s="336"/>
      <c r="F53" s="339" t="s">
        <v>101</v>
      </c>
      <c r="G53" s="302">
        <v>4</v>
      </c>
      <c r="H53" s="303">
        <v>6000</v>
      </c>
      <c r="I53" s="303">
        <v>24000</v>
      </c>
      <c r="J53" s="211"/>
      <c r="K53" s="212" t="str">
        <f>IF(OR(J53="",G53=J53),"","*")</f>
        <v/>
      </c>
      <c r="L53" s="332" t="str">
        <f>IF($A53&lt;=L$1,I53/I$4,"")</f>
        <v/>
      </c>
      <c r="M53" s="337"/>
      <c r="N53" s="338"/>
      <c r="O53" s="304">
        <v>0</v>
      </c>
      <c r="P53" s="305">
        <v>0</v>
      </c>
      <c r="Q53" s="305">
        <v>0</v>
      </c>
      <c r="R53" s="211">
        <v>0</v>
      </c>
      <c r="S53" s="212"/>
      <c r="T53" s="213" t="e">
        <v>#DIV/0!</v>
      </c>
      <c r="U53" s="214"/>
      <c r="V53" s="215"/>
      <c r="W53" s="304">
        <v>0</v>
      </c>
      <c r="X53" s="305">
        <v>0</v>
      </c>
      <c r="Y53" s="305">
        <v>0</v>
      </c>
      <c r="Z53" s="211">
        <v>0</v>
      </c>
      <c r="AA53" s="212"/>
      <c r="AB53" s="213" t="e">
        <v>#DIV/0!</v>
      </c>
      <c r="AC53" s="214"/>
      <c r="AD53" s="215"/>
      <c r="AE53" s="336"/>
      <c r="AF53" s="335"/>
    </row>
    <row r="54" spans="1:32">
      <c r="A54" s="301">
        <v>5</v>
      </c>
      <c r="B54" s="336"/>
      <c r="C54" s="336"/>
      <c r="D54" s="334" t="s">
        <v>313</v>
      </c>
      <c r="E54" s="336"/>
      <c r="F54" s="339" t="s">
        <v>92</v>
      </c>
      <c r="G54" s="302">
        <v>1</v>
      </c>
      <c r="H54" s="303">
        <v>105000</v>
      </c>
      <c r="I54" s="303">
        <v>105000</v>
      </c>
      <c r="J54" s="211"/>
      <c r="K54" s="212" t="str">
        <f>IF(OR(J54="",G54=J54),"","*")</f>
        <v/>
      </c>
      <c r="L54" s="332" t="str">
        <f>IF($A54&lt;=L$1,I54/I$4,"")</f>
        <v/>
      </c>
      <c r="M54" s="337"/>
      <c r="N54" s="338"/>
      <c r="O54" s="304">
        <v>0</v>
      </c>
      <c r="P54" s="305">
        <v>0</v>
      </c>
      <c r="Q54" s="305">
        <v>0</v>
      </c>
      <c r="R54" s="211">
        <v>0</v>
      </c>
      <c r="S54" s="212"/>
      <c r="T54" s="213" t="e">
        <v>#DIV/0!</v>
      </c>
      <c r="U54" s="214"/>
      <c r="V54" s="215"/>
      <c r="W54" s="304">
        <v>0</v>
      </c>
      <c r="X54" s="305">
        <v>0</v>
      </c>
      <c r="Y54" s="305">
        <v>0</v>
      </c>
      <c r="Z54" s="211">
        <v>0</v>
      </c>
      <c r="AA54" s="212"/>
      <c r="AB54" s="213" t="e">
        <v>#DIV/0!</v>
      </c>
      <c r="AC54" s="214"/>
      <c r="AD54" s="215"/>
      <c r="AE54" s="336"/>
      <c r="AF54" s="335"/>
    </row>
    <row r="55" spans="1:32">
      <c r="A55" s="301">
        <v>5</v>
      </c>
      <c r="B55" s="336"/>
      <c r="C55" s="336"/>
      <c r="D55" s="334" t="s">
        <v>314</v>
      </c>
      <c r="E55" s="336"/>
      <c r="F55" s="339" t="s">
        <v>92</v>
      </c>
      <c r="G55" s="302">
        <v>1</v>
      </c>
      <c r="H55" s="303">
        <v>2400</v>
      </c>
      <c r="I55" s="303">
        <v>2400</v>
      </c>
      <c r="J55" s="211"/>
      <c r="K55" s="212" t="str">
        <f>IF(OR(J55="",G55=J55),"","*")</f>
        <v/>
      </c>
      <c r="L55" s="332" t="str">
        <f>IF($A55&lt;=L$1,I55/I$4,"")</f>
        <v/>
      </c>
      <c r="M55" s="337"/>
      <c r="N55" s="338"/>
      <c r="O55" s="304">
        <v>0</v>
      </c>
      <c r="P55" s="305">
        <v>0</v>
      </c>
      <c r="Q55" s="305">
        <v>0</v>
      </c>
      <c r="R55" s="211">
        <v>0</v>
      </c>
      <c r="S55" s="212"/>
      <c r="T55" s="213" t="e">
        <v>#DIV/0!</v>
      </c>
      <c r="U55" s="214"/>
      <c r="V55" s="215"/>
      <c r="W55" s="304">
        <v>0</v>
      </c>
      <c r="X55" s="305">
        <v>0</v>
      </c>
      <c r="Y55" s="305">
        <v>0</v>
      </c>
      <c r="Z55" s="211">
        <v>0</v>
      </c>
      <c r="AA55" s="212"/>
      <c r="AB55" s="213" t="e">
        <v>#DIV/0!</v>
      </c>
      <c r="AC55" s="214"/>
      <c r="AD55" s="215"/>
      <c r="AE55" s="336"/>
      <c r="AF55" s="335"/>
    </row>
    <row r="56" spans="1:32">
      <c r="A56" s="301">
        <v>5</v>
      </c>
      <c r="B56" s="336"/>
      <c r="C56" s="336" t="s">
        <v>121</v>
      </c>
      <c r="D56" s="334" t="s">
        <v>299</v>
      </c>
      <c r="E56" s="336"/>
      <c r="F56" s="339" t="s">
        <v>258</v>
      </c>
      <c r="G56" s="302">
        <v>100</v>
      </c>
      <c r="H56" s="303">
        <v>150</v>
      </c>
      <c r="I56" s="303">
        <v>15000</v>
      </c>
      <c r="J56" s="211"/>
      <c r="K56" s="212" t="str">
        <f>IF(OR(J56="",G56=J56),"","*")</f>
        <v/>
      </c>
      <c r="L56" s="332" t="str">
        <f>IF($A56&lt;=L$1,I56/I$4,"")</f>
        <v/>
      </c>
      <c r="M56" s="337"/>
      <c r="N56" s="338"/>
      <c r="O56" s="304">
        <v>0</v>
      </c>
      <c r="P56" s="305">
        <v>0</v>
      </c>
      <c r="Q56" s="305">
        <v>0</v>
      </c>
      <c r="R56" s="211">
        <v>0</v>
      </c>
      <c r="S56" s="212"/>
      <c r="T56" s="213" t="e">
        <v>#DIV/0!</v>
      </c>
      <c r="U56" s="214"/>
      <c r="V56" s="215"/>
      <c r="W56" s="304">
        <v>0</v>
      </c>
      <c r="X56" s="305">
        <v>0</v>
      </c>
      <c r="Y56" s="305">
        <v>0</v>
      </c>
      <c r="Z56" s="211">
        <v>0</v>
      </c>
      <c r="AA56" s="212"/>
      <c r="AB56" s="213" t="e">
        <v>#DIV/0!</v>
      </c>
      <c r="AC56" s="214"/>
      <c r="AD56" s="215"/>
      <c r="AE56" s="336" t="s">
        <v>259</v>
      </c>
      <c r="AF56" s="335"/>
    </row>
    <row r="57" spans="1:32">
      <c r="A57" s="301">
        <v>5</v>
      </c>
      <c r="B57" s="336"/>
      <c r="C57" s="336" t="s">
        <v>122</v>
      </c>
      <c r="D57" s="334" t="s">
        <v>300</v>
      </c>
      <c r="E57" s="336" t="s">
        <v>261</v>
      </c>
      <c r="F57" s="339" t="s">
        <v>262</v>
      </c>
      <c r="G57" s="302">
        <v>2</v>
      </c>
      <c r="H57" s="303">
        <v>24000</v>
      </c>
      <c r="I57" s="303">
        <v>48000</v>
      </c>
      <c r="J57" s="211"/>
      <c r="K57" s="212" t="str">
        <f>IF(OR(J57="",G57=J57),"","*")</f>
        <v/>
      </c>
      <c r="L57" s="332" t="str">
        <f>IF($A57&lt;=L$1,I57/I$4,"")</f>
        <v/>
      </c>
      <c r="M57" s="337"/>
      <c r="N57" s="338"/>
      <c r="O57" s="304">
        <v>0</v>
      </c>
      <c r="P57" s="305">
        <v>0</v>
      </c>
      <c r="Q57" s="305">
        <v>0</v>
      </c>
      <c r="R57" s="211">
        <v>0</v>
      </c>
      <c r="S57" s="212"/>
      <c r="T57" s="213" t="e">
        <v>#DIV/0!</v>
      </c>
      <c r="U57" s="214"/>
      <c r="V57" s="215"/>
      <c r="W57" s="304">
        <v>0</v>
      </c>
      <c r="X57" s="305">
        <v>0</v>
      </c>
      <c r="Y57" s="305">
        <v>0</v>
      </c>
      <c r="Z57" s="211">
        <v>0</v>
      </c>
      <c r="AA57" s="212"/>
      <c r="AB57" s="213" t="e">
        <v>#DIV/0!</v>
      </c>
      <c r="AC57" s="214"/>
      <c r="AD57" s="215"/>
      <c r="AE57" s="336" t="s">
        <v>263</v>
      </c>
      <c r="AF57" s="335"/>
    </row>
    <row r="58" spans="1:32">
      <c r="A58" s="301">
        <v>5</v>
      </c>
      <c r="B58" s="336"/>
      <c r="C58" s="336" t="s">
        <v>122</v>
      </c>
      <c r="D58" s="334" t="s">
        <v>301</v>
      </c>
      <c r="E58" s="336" t="s">
        <v>261</v>
      </c>
      <c r="F58" s="339" t="s">
        <v>262</v>
      </c>
      <c r="G58" s="302">
        <v>6</v>
      </c>
      <c r="H58" s="303">
        <v>22000</v>
      </c>
      <c r="I58" s="303">
        <v>132000</v>
      </c>
      <c r="J58" s="211"/>
      <c r="K58" s="212" t="str">
        <f>IF(OR(J58="",G58=J58),"","*")</f>
        <v/>
      </c>
      <c r="L58" s="332" t="str">
        <f>IF($A58&lt;=L$1,I58/I$4,"")</f>
        <v/>
      </c>
      <c r="M58" s="337"/>
      <c r="N58" s="338"/>
      <c r="O58" s="304">
        <v>0</v>
      </c>
      <c r="P58" s="305">
        <v>0</v>
      </c>
      <c r="Q58" s="305">
        <v>0</v>
      </c>
      <c r="R58" s="211">
        <v>0</v>
      </c>
      <c r="S58" s="212"/>
      <c r="T58" s="213" t="e">
        <v>#DIV/0!</v>
      </c>
      <c r="U58" s="214"/>
      <c r="V58" s="215"/>
      <c r="W58" s="304">
        <v>0</v>
      </c>
      <c r="X58" s="305">
        <v>0</v>
      </c>
      <c r="Y58" s="305">
        <v>0</v>
      </c>
      <c r="Z58" s="211">
        <v>0</v>
      </c>
      <c r="AA58" s="212"/>
      <c r="AB58" s="213" t="e">
        <v>#DIV/0!</v>
      </c>
      <c r="AC58" s="214"/>
      <c r="AD58" s="215"/>
      <c r="AE58" s="336" t="s">
        <v>265</v>
      </c>
      <c r="AF58" s="335"/>
    </row>
    <row r="59" spans="1:32">
      <c r="A59" s="301">
        <v>5</v>
      </c>
      <c r="B59" s="336"/>
      <c r="C59" s="336" t="s">
        <v>122</v>
      </c>
      <c r="D59" s="334" t="s">
        <v>315</v>
      </c>
      <c r="E59" s="336" t="s">
        <v>261</v>
      </c>
      <c r="F59" s="339" t="s">
        <v>262</v>
      </c>
      <c r="G59" s="302">
        <v>2</v>
      </c>
      <c r="H59" s="303">
        <v>20000</v>
      </c>
      <c r="I59" s="303">
        <v>40000</v>
      </c>
      <c r="J59" s="211"/>
      <c r="K59" s="212" t="str">
        <f>IF(OR(J59="",G59=J59),"","*")</f>
        <v/>
      </c>
      <c r="L59" s="332" t="str">
        <f>IF($A59&lt;=L$1,I59/I$4,"")</f>
        <v/>
      </c>
      <c r="M59" s="337"/>
      <c r="N59" s="338"/>
      <c r="O59" s="304">
        <v>0</v>
      </c>
      <c r="P59" s="305">
        <v>0</v>
      </c>
      <c r="Q59" s="305">
        <v>0</v>
      </c>
      <c r="R59" s="211">
        <v>0</v>
      </c>
      <c r="S59" s="212"/>
      <c r="T59" s="213" t="e">
        <v>#DIV/0!</v>
      </c>
      <c r="U59" s="214"/>
      <c r="V59" s="215"/>
      <c r="W59" s="304">
        <v>0</v>
      </c>
      <c r="X59" s="305">
        <v>0</v>
      </c>
      <c r="Y59" s="305">
        <v>0</v>
      </c>
      <c r="Z59" s="211">
        <v>0</v>
      </c>
      <c r="AA59" s="212"/>
      <c r="AB59" s="213" t="e">
        <v>#DIV/0!</v>
      </c>
      <c r="AC59" s="214"/>
      <c r="AD59" s="215"/>
      <c r="AE59" s="336" t="s">
        <v>316</v>
      </c>
      <c r="AF59" s="335"/>
    </row>
    <row r="60" spans="1:32">
      <c r="A60" s="301">
        <v>5</v>
      </c>
      <c r="B60" s="336"/>
      <c r="C60" s="336" t="s">
        <v>128</v>
      </c>
      <c r="D60" s="334" t="s">
        <v>302</v>
      </c>
      <c r="E60" s="336"/>
      <c r="F60" s="339" t="s">
        <v>262</v>
      </c>
      <c r="G60" s="302">
        <v>2</v>
      </c>
      <c r="H60" s="303">
        <v>3840</v>
      </c>
      <c r="I60" s="303">
        <v>7680</v>
      </c>
      <c r="J60" s="211"/>
      <c r="K60" s="212" t="str">
        <f>IF(OR(J60="",G60=J60),"","*")</f>
        <v/>
      </c>
      <c r="L60" s="332" t="str">
        <f>IF($A60&lt;=L$1,I60/I$4,"")</f>
        <v/>
      </c>
      <c r="M60" s="337"/>
      <c r="N60" s="338"/>
      <c r="O60" s="304">
        <v>0</v>
      </c>
      <c r="P60" s="305">
        <v>0</v>
      </c>
      <c r="Q60" s="305">
        <v>0</v>
      </c>
      <c r="R60" s="211">
        <v>0</v>
      </c>
      <c r="S60" s="212"/>
      <c r="T60" s="213" t="e">
        <v>#DIV/0!</v>
      </c>
      <c r="U60" s="214"/>
      <c r="V60" s="215"/>
      <c r="W60" s="304">
        <v>0</v>
      </c>
      <c r="X60" s="305">
        <v>0</v>
      </c>
      <c r="Y60" s="305">
        <v>0</v>
      </c>
      <c r="Z60" s="211">
        <v>0</v>
      </c>
      <c r="AA60" s="212"/>
      <c r="AB60" s="213" t="e">
        <v>#DIV/0!</v>
      </c>
      <c r="AC60" s="214"/>
      <c r="AD60" s="215"/>
      <c r="AE60" s="336"/>
      <c r="AF60" s="335"/>
    </row>
    <row r="61" spans="1:32">
      <c r="A61" s="301">
        <v>5</v>
      </c>
      <c r="B61" s="336"/>
      <c r="C61" s="336" t="s">
        <v>128</v>
      </c>
      <c r="D61" s="334" t="s">
        <v>303</v>
      </c>
      <c r="E61" s="336" t="s">
        <v>261</v>
      </c>
      <c r="F61" s="339" t="s">
        <v>262</v>
      </c>
      <c r="G61" s="302">
        <v>6</v>
      </c>
      <c r="H61" s="303">
        <v>3520</v>
      </c>
      <c r="I61" s="303">
        <v>21120</v>
      </c>
      <c r="J61" s="211"/>
      <c r="K61" s="212" t="str">
        <f>IF(OR(J61="",G61=J61),"","*")</f>
        <v/>
      </c>
      <c r="L61" s="332" t="str">
        <f>IF($A61&lt;=L$1,I61/I$4,"")</f>
        <v/>
      </c>
      <c r="M61" s="337"/>
      <c r="N61" s="338"/>
      <c r="O61" s="304">
        <v>0</v>
      </c>
      <c r="P61" s="305">
        <v>0</v>
      </c>
      <c r="Q61" s="305">
        <v>0</v>
      </c>
      <c r="R61" s="211">
        <v>0</v>
      </c>
      <c r="S61" s="212"/>
      <c r="T61" s="213" t="e">
        <v>#DIV/0!</v>
      </c>
      <c r="U61" s="214"/>
      <c r="V61" s="215"/>
      <c r="W61" s="304">
        <v>0</v>
      </c>
      <c r="X61" s="305">
        <v>0</v>
      </c>
      <c r="Y61" s="305">
        <v>0</v>
      </c>
      <c r="Z61" s="211">
        <v>0</v>
      </c>
      <c r="AA61" s="212"/>
      <c r="AB61" s="213" t="e">
        <v>#DIV/0!</v>
      </c>
      <c r="AC61" s="214"/>
      <c r="AD61" s="215"/>
      <c r="AE61" s="336"/>
      <c r="AF61" s="335"/>
    </row>
    <row r="62" spans="1:32">
      <c r="A62" s="301">
        <v>5</v>
      </c>
      <c r="B62" s="336"/>
      <c r="C62" s="336" t="s">
        <v>128</v>
      </c>
      <c r="D62" s="334" t="s">
        <v>317</v>
      </c>
      <c r="E62" s="336" t="s">
        <v>261</v>
      </c>
      <c r="F62" s="339" t="s">
        <v>262</v>
      </c>
      <c r="G62" s="302">
        <v>2</v>
      </c>
      <c r="H62" s="303">
        <v>3200</v>
      </c>
      <c r="I62" s="303">
        <v>6400</v>
      </c>
      <c r="J62" s="211"/>
      <c r="K62" s="212" t="str">
        <f>IF(OR(J62="",G62=J62),"","*")</f>
        <v/>
      </c>
      <c r="L62" s="332" t="str">
        <f>IF($A62&lt;=L$1,I62/I$4,"")</f>
        <v/>
      </c>
      <c r="M62" s="337"/>
      <c r="N62" s="338"/>
      <c r="O62" s="304">
        <v>0</v>
      </c>
      <c r="P62" s="305">
        <v>0</v>
      </c>
      <c r="Q62" s="305">
        <v>0</v>
      </c>
      <c r="R62" s="211">
        <v>0</v>
      </c>
      <c r="S62" s="212"/>
      <c r="T62" s="213" t="e">
        <v>#DIV/0!</v>
      </c>
      <c r="U62" s="214"/>
      <c r="V62" s="215"/>
      <c r="W62" s="304">
        <v>0</v>
      </c>
      <c r="X62" s="305">
        <v>0</v>
      </c>
      <c r="Y62" s="305">
        <v>0</v>
      </c>
      <c r="Z62" s="211">
        <v>0</v>
      </c>
      <c r="AA62" s="212"/>
      <c r="AB62" s="213" t="e">
        <v>#DIV/0!</v>
      </c>
      <c r="AC62" s="214"/>
      <c r="AD62" s="215"/>
      <c r="AE62" s="336"/>
      <c r="AF62" s="335"/>
    </row>
    <row r="63" spans="1:32">
      <c r="A63" s="301">
        <v>5</v>
      </c>
      <c r="B63" s="336"/>
      <c r="C63" s="336" t="s">
        <v>124</v>
      </c>
      <c r="D63" s="334" t="s">
        <v>304</v>
      </c>
      <c r="E63" s="336" t="s">
        <v>305</v>
      </c>
      <c r="F63" s="339" t="s">
        <v>101</v>
      </c>
      <c r="G63" s="302">
        <v>2</v>
      </c>
      <c r="H63" s="303">
        <v>7000</v>
      </c>
      <c r="I63" s="303">
        <v>14000</v>
      </c>
      <c r="J63" s="211"/>
      <c r="K63" s="212" t="str">
        <f>IF(OR(J63="",G63=J63),"","*")</f>
        <v/>
      </c>
      <c r="L63" s="332" t="str">
        <f>IF($A63&lt;=L$1,I63/I$4,"")</f>
        <v/>
      </c>
      <c r="M63" s="337"/>
      <c r="N63" s="338"/>
      <c r="O63" s="304">
        <v>0</v>
      </c>
      <c r="P63" s="305">
        <v>0</v>
      </c>
      <c r="Q63" s="305">
        <v>0</v>
      </c>
      <c r="R63" s="211">
        <v>0</v>
      </c>
      <c r="S63" s="212"/>
      <c r="T63" s="213" t="e">
        <v>#DIV/0!</v>
      </c>
      <c r="U63" s="214"/>
      <c r="V63" s="215"/>
      <c r="W63" s="304">
        <v>0</v>
      </c>
      <c r="X63" s="305">
        <v>0</v>
      </c>
      <c r="Y63" s="305">
        <v>0</v>
      </c>
      <c r="Z63" s="211">
        <v>0</v>
      </c>
      <c r="AA63" s="212"/>
      <c r="AB63" s="213" t="e">
        <v>#DIV/0!</v>
      </c>
      <c r="AC63" s="214"/>
      <c r="AD63" s="215"/>
      <c r="AE63" s="336" t="s">
        <v>306</v>
      </c>
      <c r="AF63" s="335"/>
    </row>
    <row r="64" spans="1:32">
      <c r="A64" s="301">
        <v>5</v>
      </c>
      <c r="B64" s="336"/>
      <c r="C64" s="336" t="s">
        <v>124</v>
      </c>
      <c r="D64" s="334" t="s">
        <v>307</v>
      </c>
      <c r="E64" s="336" t="s">
        <v>269</v>
      </c>
      <c r="F64" s="339" t="s">
        <v>101</v>
      </c>
      <c r="G64" s="302">
        <v>2</v>
      </c>
      <c r="H64" s="303">
        <v>6000</v>
      </c>
      <c r="I64" s="303">
        <v>12000</v>
      </c>
      <c r="J64" s="211"/>
      <c r="K64" s="212" t="str">
        <f>IF(OR(J64="",G64=J64),"","*")</f>
        <v/>
      </c>
      <c r="L64" s="332" t="str">
        <f>IF($A64&lt;=L$1,I64/I$4,"")</f>
        <v/>
      </c>
      <c r="M64" s="337"/>
      <c r="N64" s="338"/>
      <c r="O64" s="304">
        <v>0</v>
      </c>
      <c r="P64" s="305">
        <v>0</v>
      </c>
      <c r="Q64" s="305">
        <v>0</v>
      </c>
      <c r="R64" s="211">
        <v>0</v>
      </c>
      <c r="S64" s="212"/>
      <c r="T64" s="213" t="e">
        <v>#DIV/0!</v>
      </c>
      <c r="U64" s="214"/>
      <c r="V64" s="215"/>
      <c r="W64" s="304">
        <v>0</v>
      </c>
      <c r="X64" s="305">
        <v>0</v>
      </c>
      <c r="Y64" s="305">
        <v>0</v>
      </c>
      <c r="Z64" s="211">
        <v>0</v>
      </c>
      <c r="AA64" s="212"/>
      <c r="AB64" s="213" t="e">
        <v>#DIV/0!</v>
      </c>
      <c r="AC64" s="214"/>
      <c r="AD64" s="215"/>
      <c r="AE64" s="336" t="s">
        <v>270</v>
      </c>
      <c r="AF64" s="335"/>
    </row>
    <row r="65" spans="1:32">
      <c r="A65" s="301">
        <v>5</v>
      </c>
      <c r="B65" s="336"/>
      <c r="C65" s="336" t="s">
        <v>124</v>
      </c>
      <c r="D65" s="334" t="s">
        <v>308</v>
      </c>
      <c r="E65" s="336"/>
      <c r="F65" s="339" t="s">
        <v>101</v>
      </c>
      <c r="G65" s="302">
        <v>2</v>
      </c>
      <c r="H65" s="303">
        <v>1000</v>
      </c>
      <c r="I65" s="303">
        <v>2000</v>
      </c>
      <c r="J65" s="211"/>
      <c r="K65" s="212" t="str">
        <f>IF(OR(J65="",G65=J65),"","*")</f>
        <v/>
      </c>
      <c r="L65" s="332" t="str">
        <f>IF($A65&lt;=L$1,I65/I$4,"")</f>
        <v/>
      </c>
      <c r="M65" s="337"/>
      <c r="N65" s="338"/>
      <c r="O65" s="304">
        <v>0</v>
      </c>
      <c r="P65" s="305">
        <v>0</v>
      </c>
      <c r="Q65" s="305">
        <v>0</v>
      </c>
      <c r="R65" s="211">
        <v>0</v>
      </c>
      <c r="S65" s="212"/>
      <c r="T65" s="213" t="e">
        <v>#DIV/0!</v>
      </c>
      <c r="U65" s="214"/>
      <c r="V65" s="215"/>
      <c r="W65" s="304">
        <v>0</v>
      </c>
      <c r="X65" s="305">
        <v>0</v>
      </c>
      <c r="Y65" s="305">
        <v>0</v>
      </c>
      <c r="Z65" s="211">
        <v>0</v>
      </c>
      <c r="AA65" s="212"/>
      <c r="AB65" s="213" t="e">
        <v>#DIV/0!</v>
      </c>
      <c r="AC65" s="214"/>
      <c r="AD65" s="215"/>
      <c r="AE65" s="336" t="s">
        <v>272</v>
      </c>
      <c r="AF65" s="335"/>
    </row>
    <row r="66" spans="1:32">
      <c r="A66" s="301">
        <v>5</v>
      </c>
      <c r="B66" s="336"/>
      <c r="C66" s="336" t="s">
        <v>124</v>
      </c>
      <c r="D66" s="334" t="s">
        <v>309</v>
      </c>
      <c r="E66" s="336"/>
      <c r="F66" s="339" t="s">
        <v>101</v>
      </c>
      <c r="G66" s="302">
        <v>2</v>
      </c>
      <c r="H66" s="303">
        <v>1000</v>
      </c>
      <c r="I66" s="303">
        <v>2000</v>
      </c>
      <c r="J66" s="211"/>
      <c r="K66" s="212" t="str">
        <f>IF(OR(J66="",G66=J66),"","*")</f>
        <v/>
      </c>
      <c r="L66" s="332" t="str">
        <f>IF($A66&lt;=L$1,I66/I$4,"")</f>
        <v/>
      </c>
      <c r="M66" s="337"/>
      <c r="N66" s="338"/>
      <c r="O66" s="304">
        <v>0</v>
      </c>
      <c r="P66" s="305">
        <v>0</v>
      </c>
      <c r="Q66" s="305">
        <v>0</v>
      </c>
      <c r="R66" s="211">
        <v>0</v>
      </c>
      <c r="S66" s="212"/>
      <c r="T66" s="213" t="e">
        <v>#DIV/0!</v>
      </c>
      <c r="U66" s="214"/>
      <c r="V66" s="215"/>
      <c r="W66" s="304">
        <v>0</v>
      </c>
      <c r="X66" s="305">
        <v>0</v>
      </c>
      <c r="Y66" s="305">
        <v>0</v>
      </c>
      <c r="Z66" s="211">
        <v>0</v>
      </c>
      <c r="AA66" s="212"/>
      <c r="AB66" s="213" t="e">
        <v>#DIV/0!</v>
      </c>
      <c r="AC66" s="214"/>
      <c r="AD66" s="215"/>
      <c r="AE66" s="336" t="s">
        <v>274</v>
      </c>
      <c r="AF66" s="335"/>
    </row>
    <row r="67" spans="1:32">
      <c r="A67" s="301">
        <v>5</v>
      </c>
      <c r="B67" s="336"/>
      <c r="C67" s="336" t="s">
        <v>124</v>
      </c>
      <c r="D67" s="334" t="s">
        <v>310</v>
      </c>
      <c r="E67" s="336" t="s">
        <v>278</v>
      </c>
      <c r="F67" s="339" t="s">
        <v>101</v>
      </c>
      <c r="G67" s="302">
        <v>2</v>
      </c>
      <c r="H67" s="303">
        <v>8000</v>
      </c>
      <c r="I67" s="303">
        <v>16000</v>
      </c>
      <c r="J67" s="211"/>
      <c r="K67" s="212" t="str">
        <f>IF(OR(J67="",G67=J67),"","*")</f>
        <v/>
      </c>
      <c r="L67" s="332" t="str">
        <f>IF($A67&lt;=L$1,I67/I$4,"")</f>
        <v/>
      </c>
      <c r="M67" s="337"/>
      <c r="N67" s="338"/>
      <c r="O67" s="304">
        <v>0</v>
      </c>
      <c r="P67" s="305">
        <v>0</v>
      </c>
      <c r="Q67" s="305">
        <v>0</v>
      </c>
      <c r="R67" s="211">
        <v>0</v>
      </c>
      <c r="S67" s="212"/>
      <c r="T67" s="213" t="e">
        <v>#DIV/0!</v>
      </c>
      <c r="U67" s="214"/>
      <c r="V67" s="215"/>
      <c r="W67" s="304">
        <v>0</v>
      </c>
      <c r="X67" s="305">
        <v>0</v>
      </c>
      <c r="Y67" s="305">
        <v>0</v>
      </c>
      <c r="Z67" s="211">
        <v>0</v>
      </c>
      <c r="AA67" s="212"/>
      <c r="AB67" s="213" t="e">
        <v>#DIV/0!</v>
      </c>
      <c r="AC67" s="214"/>
      <c r="AD67" s="215"/>
      <c r="AE67" s="336" t="s">
        <v>279</v>
      </c>
      <c r="AF67" s="335"/>
    </row>
    <row r="68" spans="1:32">
      <c r="A68" s="301">
        <v>5</v>
      </c>
      <c r="B68" s="336"/>
      <c r="C68" s="336" t="s">
        <v>124</v>
      </c>
      <c r="D68" s="334" t="s">
        <v>318</v>
      </c>
      <c r="E68" s="336"/>
      <c r="F68" s="339" t="s">
        <v>101</v>
      </c>
      <c r="G68" s="302">
        <v>2</v>
      </c>
      <c r="H68" s="303">
        <v>12000</v>
      </c>
      <c r="I68" s="303">
        <v>24000</v>
      </c>
      <c r="J68" s="211"/>
      <c r="K68" s="212" t="str">
        <f>IF(OR(J68="",G68=J68),"","*")</f>
        <v/>
      </c>
      <c r="L68" s="332" t="str">
        <f>IF($A68&lt;=L$1,I68/I$4,"")</f>
        <v/>
      </c>
      <c r="M68" s="337"/>
      <c r="N68" s="338"/>
      <c r="O68" s="304">
        <v>0</v>
      </c>
      <c r="P68" s="305">
        <v>0</v>
      </c>
      <c r="Q68" s="305">
        <v>0</v>
      </c>
      <c r="R68" s="211">
        <v>0</v>
      </c>
      <c r="S68" s="212"/>
      <c r="T68" s="213" t="e">
        <v>#DIV/0!</v>
      </c>
      <c r="U68" s="214"/>
      <c r="V68" s="215"/>
      <c r="W68" s="304">
        <v>0</v>
      </c>
      <c r="X68" s="305">
        <v>0</v>
      </c>
      <c r="Y68" s="305">
        <v>0</v>
      </c>
      <c r="Z68" s="211">
        <v>0</v>
      </c>
      <c r="AA68" s="212"/>
      <c r="AB68" s="213" t="e">
        <v>#DIV/0!</v>
      </c>
      <c r="AC68" s="214"/>
      <c r="AD68" s="215"/>
      <c r="AE68" s="336"/>
      <c r="AF68" s="335"/>
    </row>
    <row r="69" spans="1:32">
      <c r="A69" s="301">
        <v>5</v>
      </c>
      <c r="B69" s="336"/>
      <c r="C69" s="336" t="s">
        <v>125</v>
      </c>
      <c r="D69" s="334" t="s">
        <v>311</v>
      </c>
      <c r="E69" s="336"/>
      <c r="F69" s="339" t="s">
        <v>101</v>
      </c>
      <c r="G69" s="302">
        <v>2</v>
      </c>
      <c r="H69" s="303">
        <v>8000</v>
      </c>
      <c r="I69" s="303">
        <v>16000</v>
      </c>
      <c r="J69" s="211"/>
      <c r="K69" s="212" t="str">
        <f>IF(OR(J69="",G69=J69),"","*")</f>
        <v/>
      </c>
      <c r="L69" s="332" t="str">
        <f>IF($A69&lt;=L$1,I69/I$4,"")</f>
        <v/>
      </c>
      <c r="M69" s="337"/>
      <c r="N69" s="338"/>
      <c r="O69" s="304">
        <v>0</v>
      </c>
      <c r="P69" s="305">
        <v>0</v>
      </c>
      <c r="Q69" s="305">
        <v>0</v>
      </c>
      <c r="R69" s="211">
        <v>0</v>
      </c>
      <c r="S69" s="212"/>
      <c r="T69" s="213" t="e">
        <v>#DIV/0!</v>
      </c>
      <c r="U69" s="214"/>
      <c r="V69" s="215"/>
      <c r="W69" s="304">
        <v>0</v>
      </c>
      <c r="X69" s="305">
        <v>0</v>
      </c>
      <c r="Y69" s="305">
        <v>0</v>
      </c>
      <c r="Z69" s="211">
        <v>0</v>
      </c>
      <c r="AA69" s="212"/>
      <c r="AB69" s="213" t="e">
        <v>#DIV/0!</v>
      </c>
      <c r="AC69" s="214"/>
      <c r="AD69" s="215"/>
      <c r="AE69" s="336" t="s">
        <v>281</v>
      </c>
      <c r="AF69" s="335"/>
    </row>
    <row r="70" spans="1:32">
      <c r="A70" s="301">
        <v>5</v>
      </c>
      <c r="B70" s="336"/>
      <c r="C70" s="336" t="s">
        <v>125</v>
      </c>
      <c r="D70" s="334" t="s">
        <v>312</v>
      </c>
      <c r="E70" s="336"/>
      <c r="F70" s="339" t="s">
        <v>101</v>
      </c>
      <c r="G70" s="302">
        <v>2</v>
      </c>
      <c r="H70" s="303">
        <v>6000</v>
      </c>
      <c r="I70" s="303">
        <v>12000</v>
      </c>
      <c r="J70" s="211"/>
      <c r="K70" s="212" t="str">
        <f>IF(OR(J70="",G70=J70),"","*")</f>
        <v/>
      </c>
      <c r="L70" s="332" t="str">
        <f>IF($A70&lt;=L$1,I70/I$4,"")</f>
        <v/>
      </c>
      <c r="M70" s="337"/>
      <c r="N70" s="338"/>
      <c r="O70" s="304">
        <v>0</v>
      </c>
      <c r="P70" s="305">
        <v>0</v>
      </c>
      <c r="Q70" s="305">
        <v>0</v>
      </c>
      <c r="R70" s="211">
        <v>0</v>
      </c>
      <c r="S70" s="212"/>
      <c r="T70" s="213" t="e">
        <v>#DIV/0!</v>
      </c>
      <c r="U70" s="214"/>
      <c r="V70" s="215"/>
      <c r="W70" s="304">
        <v>0</v>
      </c>
      <c r="X70" s="305">
        <v>0</v>
      </c>
      <c r="Y70" s="305">
        <v>0</v>
      </c>
      <c r="Z70" s="211">
        <v>0</v>
      </c>
      <c r="AA70" s="212"/>
      <c r="AB70" s="213" t="e">
        <v>#DIV/0!</v>
      </c>
      <c r="AC70" s="214"/>
      <c r="AD70" s="215"/>
      <c r="AE70" s="336"/>
      <c r="AF70" s="335"/>
    </row>
    <row r="71" spans="1:32">
      <c r="A71" s="301">
        <v>4</v>
      </c>
      <c r="B71" s="336"/>
      <c r="C71" s="336"/>
      <c r="D71" s="334" t="s">
        <v>283</v>
      </c>
      <c r="E71" s="336"/>
      <c r="F71" s="339" t="s">
        <v>92</v>
      </c>
      <c r="G71" s="302">
        <v>1</v>
      </c>
      <c r="H71" s="303">
        <v>20000</v>
      </c>
      <c r="I71" s="303">
        <v>20000</v>
      </c>
      <c r="J71" s="211"/>
      <c r="K71" s="212" t="str">
        <f>IF(OR(J71="",G71=J71),"","*")</f>
        <v/>
      </c>
      <c r="L71" s="332" t="str">
        <f>IF($A71&lt;=L$1,I71/I$4,"")</f>
        <v/>
      </c>
      <c r="M71" s="337"/>
      <c r="N71" s="338"/>
      <c r="O71" s="304">
        <v>0</v>
      </c>
      <c r="P71" s="305">
        <v>0</v>
      </c>
      <c r="Q71" s="305">
        <v>0</v>
      </c>
      <c r="R71" s="211">
        <v>0</v>
      </c>
      <c r="S71" s="212"/>
      <c r="T71" s="213" t="e">
        <v>#DIV/0!</v>
      </c>
      <c r="U71" s="214"/>
      <c r="V71" s="215"/>
      <c r="W71" s="304">
        <v>0</v>
      </c>
      <c r="X71" s="305">
        <v>0</v>
      </c>
      <c r="Y71" s="305">
        <v>0</v>
      </c>
      <c r="Z71" s="211">
        <v>0</v>
      </c>
      <c r="AA71" s="212"/>
      <c r="AB71" s="213" t="e">
        <v>#DIV/0!</v>
      </c>
      <c r="AC71" s="214"/>
      <c r="AD71" s="215"/>
      <c r="AE71" s="336"/>
      <c r="AF71" s="335"/>
    </row>
    <row r="72" spans="1:32">
      <c r="A72" s="301">
        <v>3</v>
      </c>
      <c r="B72" s="336"/>
      <c r="C72" s="336" t="s">
        <v>174</v>
      </c>
      <c r="D72" s="334" t="s">
        <v>319</v>
      </c>
      <c r="E72" s="336" t="s">
        <v>99</v>
      </c>
      <c r="F72" s="339" t="s">
        <v>94</v>
      </c>
      <c r="G72" s="302">
        <v>1134</v>
      </c>
      <c r="H72" s="303">
        <v>1649.03</v>
      </c>
      <c r="I72" s="303">
        <v>1870000</v>
      </c>
      <c r="J72" s="211">
        <v>1134</v>
      </c>
      <c r="K72" s="212" t="str">
        <f>IF(OR(J72="",G72=J72),"","*")</f>
        <v/>
      </c>
      <c r="L72" s="332">
        <f>IF($A72&lt;=L$1,I72/I$4,"")</f>
        <v>0.2029520295202952</v>
      </c>
      <c r="M72" s="337"/>
      <c r="N72" s="338" t="s">
        <v>320</v>
      </c>
      <c r="O72" s="304">
        <v>0</v>
      </c>
      <c r="P72" s="305">
        <v>0</v>
      </c>
      <c r="Q72" s="305">
        <v>0</v>
      </c>
      <c r="R72" s="211">
        <v>0</v>
      </c>
      <c r="S72" s="212"/>
      <c r="T72" s="213" t="e">
        <v>#DIV/0!</v>
      </c>
      <c r="U72" s="214"/>
      <c r="V72" s="215"/>
      <c r="W72" s="304">
        <v>0</v>
      </c>
      <c r="X72" s="305">
        <v>0</v>
      </c>
      <c r="Y72" s="305">
        <v>0</v>
      </c>
      <c r="Z72" s="211">
        <v>0</v>
      </c>
      <c r="AA72" s="212"/>
      <c r="AB72" s="213" t="e">
        <v>#DIV/0!</v>
      </c>
      <c r="AC72" s="214"/>
      <c r="AD72" s="215"/>
      <c r="AE72" s="336"/>
      <c r="AF72" s="335"/>
    </row>
    <row r="73" spans="1:32">
      <c r="A73" s="301">
        <v>4</v>
      </c>
      <c r="B73" s="336"/>
      <c r="C73" s="336"/>
      <c r="D73" s="334" t="s">
        <v>321</v>
      </c>
      <c r="E73" s="336"/>
      <c r="F73" s="339" t="s">
        <v>322</v>
      </c>
      <c r="G73" s="302">
        <v>1360</v>
      </c>
      <c r="H73" s="303">
        <v>120</v>
      </c>
      <c r="I73" s="303">
        <v>163200</v>
      </c>
      <c r="J73" s="211"/>
      <c r="K73" s="212" t="str">
        <f>IF(OR(J73="",G73=J73),"","*")</f>
        <v/>
      </c>
      <c r="L73" s="332" t="str">
        <f>IF($A73&lt;=L$1,I73/I$4,"")</f>
        <v/>
      </c>
      <c r="M73" s="337"/>
      <c r="N73" s="338"/>
      <c r="O73" s="304">
        <v>0</v>
      </c>
      <c r="P73" s="305">
        <v>0</v>
      </c>
      <c r="Q73" s="305">
        <v>0</v>
      </c>
      <c r="R73" s="211">
        <v>0</v>
      </c>
      <c r="S73" s="212"/>
      <c r="T73" s="213" t="e">
        <v>#DIV/0!</v>
      </c>
      <c r="U73" s="214"/>
      <c r="V73" s="215"/>
      <c r="W73" s="304">
        <v>0</v>
      </c>
      <c r="X73" s="305">
        <v>0</v>
      </c>
      <c r="Y73" s="305">
        <v>0</v>
      </c>
      <c r="Z73" s="211">
        <v>0</v>
      </c>
      <c r="AA73" s="212"/>
      <c r="AB73" s="213" t="e">
        <v>#DIV/0!</v>
      </c>
      <c r="AC73" s="214"/>
      <c r="AD73" s="215"/>
      <c r="AE73" s="336"/>
      <c r="AF73" s="335"/>
    </row>
    <row r="74" spans="1:32">
      <c r="A74" s="301">
        <v>4</v>
      </c>
      <c r="B74" s="336"/>
      <c r="C74" s="336"/>
      <c r="D74" s="334" t="s">
        <v>323</v>
      </c>
      <c r="E74" s="336"/>
      <c r="F74" s="339" t="s">
        <v>101</v>
      </c>
      <c r="G74" s="302">
        <v>1</v>
      </c>
      <c r="H74" s="303">
        <v>45000</v>
      </c>
      <c r="I74" s="303">
        <v>45000</v>
      </c>
      <c r="J74" s="211"/>
      <c r="K74" s="212" t="str">
        <f>IF(OR(J74="",G74=J74),"","*")</f>
        <v/>
      </c>
      <c r="L74" s="332" t="str">
        <f>IF($A74&lt;=L$1,I74/I$4,"")</f>
        <v/>
      </c>
      <c r="M74" s="337"/>
      <c r="N74" s="338"/>
      <c r="O74" s="304">
        <v>0</v>
      </c>
      <c r="P74" s="305">
        <v>0</v>
      </c>
      <c r="Q74" s="305">
        <v>0</v>
      </c>
      <c r="R74" s="211">
        <v>0</v>
      </c>
      <c r="S74" s="212"/>
      <c r="T74" s="213" t="e">
        <v>#DIV/0!</v>
      </c>
      <c r="U74" s="214"/>
      <c r="V74" s="215"/>
      <c r="W74" s="304">
        <v>0</v>
      </c>
      <c r="X74" s="305">
        <v>0</v>
      </c>
      <c r="Y74" s="305">
        <v>0</v>
      </c>
      <c r="Z74" s="211">
        <v>0</v>
      </c>
      <c r="AA74" s="212"/>
      <c r="AB74" s="213" t="e">
        <v>#DIV/0!</v>
      </c>
      <c r="AC74" s="214"/>
      <c r="AD74" s="215"/>
      <c r="AE74" s="336"/>
      <c r="AF74" s="335"/>
    </row>
    <row r="75" spans="1:32">
      <c r="A75" s="301">
        <v>4</v>
      </c>
      <c r="B75" s="336"/>
      <c r="C75" s="336" t="s">
        <v>121</v>
      </c>
      <c r="D75" s="334" t="s">
        <v>324</v>
      </c>
      <c r="E75" s="336" t="s">
        <v>293</v>
      </c>
      <c r="F75" s="339" t="s">
        <v>325</v>
      </c>
      <c r="G75" s="302">
        <v>140</v>
      </c>
      <c r="H75" s="303">
        <v>9000</v>
      </c>
      <c r="I75" s="303">
        <v>1260000</v>
      </c>
      <c r="J75" s="211"/>
      <c r="K75" s="212" t="str">
        <f>IF(OR(J75="",G75=J75),"","*")</f>
        <v/>
      </c>
      <c r="L75" s="332" t="str">
        <f>IF($A75&lt;=L$1,I75/I$4,"")</f>
        <v/>
      </c>
      <c r="M75" s="337"/>
      <c r="N75" s="338"/>
      <c r="O75" s="304">
        <v>0</v>
      </c>
      <c r="P75" s="305">
        <v>0</v>
      </c>
      <c r="Q75" s="305">
        <v>0</v>
      </c>
      <c r="R75" s="211">
        <v>0</v>
      </c>
      <c r="S75" s="212"/>
      <c r="T75" s="213" t="e">
        <v>#DIV/0!</v>
      </c>
      <c r="U75" s="214"/>
      <c r="V75" s="215"/>
      <c r="W75" s="304">
        <v>0</v>
      </c>
      <c r="X75" s="305">
        <v>0</v>
      </c>
      <c r="Y75" s="305">
        <v>0</v>
      </c>
      <c r="Z75" s="211">
        <v>0</v>
      </c>
      <c r="AA75" s="212"/>
      <c r="AB75" s="213" t="e">
        <v>#DIV/0!</v>
      </c>
      <c r="AC75" s="214"/>
      <c r="AD75" s="215"/>
      <c r="AE75" s="336" t="s">
        <v>326</v>
      </c>
      <c r="AF75" s="335"/>
    </row>
    <row r="76" spans="1:32">
      <c r="A76" s="301">
        <v>4</v>
      </c>
      <c r="B76" s="336"/>
      <c r="C76" s="336" t="s">
        <v>296</v>
      </c>
      <c r="D76" s="334" t="s">
        <v>327</v>
      </c>
      <c r="E76" s="336"/>
      <c r="F76" s="339" t="s">
        <v>92</v>
      </c>
      <c r="G76" s="302">
        <v>1</v>
      </c>
      <c r="H76" s="303">
        <v>400000</v>
      </c>
      <c r="I76" s="303">
        <v>400000</v>
      </c>
      <c r="J76" s="211">
        <v>1</v>
      </c>
      <c r="K76" s="212" t="str">
        <f>IF(OR(J76="",G76=J76),"","*")</f>
        <v/>
      </c>
      <c r="L76" s="332" t="str">
        <f>IF($A76&lt;=L$1,I76/I$4,"")</f>
        <v/>
      </c>
      <c r="M76" s="337"/>
      <c r="N76" s="338" t="s">
        <v>328</v>
      </c>
      <c r="O76" s="304">
        <v>0</v>
      </c>
      <c r="P76" s="305">
        <v>0</v>
      </c>
      <c r="Q76" s="305">
        <v>0</v>
      </c>
      <c r="R76" s="211">
        <v>0</v>
      </c>
      <c r="S76" s="212"/>
      <c r="T76" s="213" t="e">
        <v>#DIV/0!</v>
      </c>
      <c r="U76" s="214"/>
      <c r="V76" s="215"/>
      <c r="W76" s="304">
        <v>0</v>
      </c>
      <c r="X76" s="305">
        <v>0</v>
      </c>
      <c r="Y76" s="305">
        <v>0</v>
      </c>
      <c r="Z76" s="211">
        <v>0</v>
      </c>
      <c r="AA76" s="212"/>
      <c r="AB76" s="213" t="e">
        <v>#DIV/0!</v>
      </c>
      <c r="AC76" s="214"/>
      <c r="AD76" s="215"/>
      <c r="AE76" s="336"/>
      <c r="AF76" s="335"/>
    </row>
    <row r="77" spans="1:32">
      <c r="A77" s="301">
        <v>5</v>
      </c>
      <c r="B77" s="336"/>
      <c r="C77" s="336" t="s">
        <v>122</v>
      </c>
      <c r="D77" s="334" t="s">
        <v>300</v>
      </c>
      <c r="E77" s="336" t="s">
        <v>261</v>
      </c>
      <c r="F77" s="339" t="s">
        <v>262</v>
      </c>
      <c r="G77" s="302">
        <v>1</v>
      </c>
      <c r="H77" s="303">
        <v>24000</v>
      </c>
      <c r="I77" s="303">
        <v>24000</v>
      </c>
      <c r="J77" s="211"/>
      <c r="K77" s="212" t="str">
        <f>IF(OR(J77="",G77=J77),"","*")</f>
        <v/>
      </c>
      <c r="L77" s="332" t="str">
        <f>IF($A77&lt;=L$1,I77/I$4,"")</f>
        <v/>
      </c>
      <c r="M77" s="337"/>
      <c r="N77" s="338"/>
      <c r="O77" s="304">
        <v>0</v>
      </c>
      <c r="P77" s="305">
        <v>0</v>
      </c>
      <c r="Q77" s="305">
        <v>0</v>
      </c>
      <c r="R77" s="211">
        <v>0</v>
      </c>
      <c r="S77" s="212"/>
      <c r="T77" s="213" t="e">
        <v>#DIV/0!</v>
      </c>
      <c r="U77" s="214"/>
      <c r="V77" s="215"/>
      <c r="W77" s="304">
        <v>0</v>
      </c>
      <c r="X77" s="305">
        <v>0</v>
      </c>
      <c r="Y77" s="305">
        <v>0</v>
      </c>
      <c r="Z77" s="211">
        <v>0</v>
      </c>
      <c r="AA77" s="212"/>
      <c r="AB77" s="213" t="e">
        <v>#DIV/0!</v>
      </c>
      <c r="AC77" s="214"/>
      <c r="AD77" s="215"/>
      <c r="AE77" s="336" t="s">
        <v>263</v>
      </c>
      <c r="AF77" s="335"/>
    </row>
    <row r="78" spans="1:32">
      <c r="A78" s="301">
        <v>5</v>
      </c>
      <c r="B78" s="336"/>
      <c r="C78" s="336" t="s">
        <v>122</v>
      </c>
      <c r="D78" s="334" t="s">
        <v>301</v>
      </c>
      <c r="E78" s="336" t="s">
        <v>261</v>
      </c>
      <c r="F78" s="339" t="s">
        <v>262</v>
      </c>
      <c r="G78" s="302">
        <v>5</v>
      </c>
      <c r="H78" s="303">
        <v>22000</v>
      </c>
      <c r="I78" s="303">
        <v>110000</v>
      </c>
      <c r="J78" s="211"/>
      <c r="K78" s="212" t="str">
        <f>IF(OR(J78="",G78=J78),"","*")</f>
        <v/>
      </c>
      <c r="L78" s="332" t="str">
        <f>IF($A78&lt;=L$1,I78/I$4,"")</f>
        <v/>
      </c>
      <c r="M78" s="337"/>
      <c r="N78" s="338"/>
      <c r="O78" s="304">
        <v>0</v>
      </c>
      <c r="P78" s="305">
        <v>0</v>
      </c>
      <c r="Q78" s="305">
        <v>0</v>
      </c>
      <c r="R78" s="211">
        <v>0</v>
      </c>
      <c r="S78" s="212"/>
      <c r="T78" s="213" t="e">
        <v>#DIV/0!</v>
      </c>
      <c r="U78" s="214"/>
      <c r="V78" s="215"/>
      <c r="W78" s="304">
        <v>0</v>
      </c>
      <c r="X78" s="305">
        <v>0</v>
      </c>
      <c r="Y78" s="305">
        <v>0</v>
      </c>
      <c r="Z78" s="211">
        <v>0</v>
      </c>
      <c r="AA78" s="212"/>
      <c r="AB78" s="213" t="e">
        <v>#DIV/0!</v>
      </c>
      <c r="AC78" s="214"/>
      <c r="AD78" s="215"/>
      <c r="AE78" s="336" t="s">
        <v>265</v>
      </c>
      <c r="AF78" s="335"/>
    </row>
    <row r="79" spans="1:32">
      <c r="A79" s="301">
        <v>5</v>
      </c>
      <c r="B79" s="336"/>
      <c r="C79" s="336" t="s">
        <v>122</v>
      </c>
      <c r="D79" s="334" t="s">
        <v>315</v>
      </c>
      <c r="E79" s="336" t="s">
        <v>261</v>
      </c>
      <c r="F79" s="339" t="s">
        <v>262</v>
      </c>
      <c r="G79" s="302">
        <v>3</v>
      </c>
      <c r="H79" s="303">
        <v>20000</v>
      </c>
      <c r="I79" s="303">
        <v>60000</v>
      </c>
      <c r="J79" s="211"/>
      <c r="K79" s="212" t="str">
        <f>IF(OR(J79="",G79=J79),"","*")</f>
        <v/>
      </c>
      <c r="L79" s="332" t="str">
        <f>IF($A79&lt;=L$1,I79/I$4,"")</f>
        <v/>
      </c>
      <c r="M79" s="337"/>
      <c r="N79" s="338"/>
      <c r="O79" s="304">
        <v>0</v>
      </c>
      <c r="P79" s="305">
        <v>0</v>
      </c>
      <c r="Q79" s="305">
        <v>0</v>
      </c>
      <c r="R79" s="211">
        <v>0</v>
      </c>
      <c r="S79" s="212"/>
      <c r="T79" s="213" t="e">
        <v>#DIV/0!</v>
      </c>
      <c r="U79" s="214"/>
      <c r="V79" s="215"/>
      <c r="W79" s="304">
        <v>0</v>
      </c>
      <c r="X79" s="305">
        <v>0</v>
      </c>
      <c r="Y79" s="305">
        <v>0</v>
      </c>
      <c r="Z79" s="211">
        <v>0</v>
      </c>
      <c r="AA79" s="212"/>
      <c r="AB79" s="213" t="e">
        <v>#DIV/0!</v>
      </c>
      <c r="AC79" s="214"/>
      <c r="AD79" s="215"/>
      <c r="AE79" s="336" t="s">
        <v>316</v>
      </c>
      <c r="AF79" s="335"/>
    </row>
    <row r="80" spans="1:32">
      <c r="A80" s="301">
        <v>5</v>
      </c>
      <c r="B80" s="336"/>
      <c r="C80" s="336" t="s">
        <v>128</v>
      </c>
      <c r="D80" s="334" t="s">
        <v>302</v>
      </c>
      <c r="E80" s="336"/>
      <c r="F80" s="339" t="s">
        <v>262</v>
      </c>
      <c r="G80" s="302">
        <v>1</v>
      </c>
      <c r="H80" s="303">
        <v>3840</v>
      </c>
      <c r="I80" s="303">
        <v>3840</v>
      </c>
      <c r="J80" s="211"/>
      <c r="K80" s="212" t="str">
        <f>IF(OR(J80="",G80=J80),"","*")</f>
        <v/>
      </c>
      <c r="L80" s="332" t="str">
        <f>IF($A80&lt;=L$1,I80/I$4,"")</f>
        <v/>
      </c>
      <c r="M80" s="337"/>
      <c r="N80" s="338"/>
      <c r="O80" s="304">
        <v>0</v>
      </c>
      <c r="P80" s="305">
        <v>0</v>
      </c>
      <c r="Q80" s="305">
        <v>0</v>
      </c>
      <c r="R80" s="211">
        <v>0</v>
      </c>
      <c r="S80" s="212"/>
      <c r="T80" s="213" t="e">
        <v>#DIV/0!</v>
      </c>
      <c r="U80" s="214"/>
      <c r="V80" s="215"/>
      <c r="W80" s="304">
        <v>0</v>
      </c>
      <c r="X80" s="305">
        <v>0</v>
      </c>
      <c r="Y80" s="305">
        <v>0</v>
      </c>
      <c r="Z80" s="211">
        <v>0</v>
      </c>
      <c r="AA80" s="212"/>
      <c r="AB80" s="213" t="e">
        <v>#DIV/0!</v>
      </c>
      <c r="AC80" s="214"/>
      <c r="AD80" s="215"/>
      <c r="AE80" s="336"/>
      <c r="AF80" s="335"/>
    </row>
    <row r="81" spans="1:32">
      <c r="A81" s="301">
        <v>5</v>
      </c>
      <c r="B81" s="336"/>
      <c r="C81" s="336" t="s">
        <v>128</v>
      </c>
      <c r="D81" s="334" t="s">
        <v>303</v>
      </c>
      <c r="E81" s="336" t="s">
        <v>261</v>
      </c>
      <c r="F81" s="339" t="s">
        <v>262</v>
      </c>
      <c r="G81" s="302">
        <v>5</v>
      </c>
      <c r="H81" s="303">
        <v>3520</v>
      </c>
      <c r="I81" s="303">
        <v>17600</v>
      </c>
      <c r="J81" s="211"/>
      <c r="K81" s="212" t="str">
        <f>IF(OR(J81="",G81=J81),"","*")</f>
        <v/>
      </c>
      <c r="L81" s="332" t="str">
        <f>IF($A81&lt;=L$1,I81/I$4,"")</f>
        <v/>
      </c>
      <c r="M81" s="337"/>
      <c r="N81" s="338"/>
      <c r="O81" s="304">
        <v>0</v>
      </c>
      <c r="P81" s="305">
        <v>0</v>
      </c>
      <c r="Q81" s="305">
        <v>0</v>
      </c>
      <c r="R81" s="211">
        <v>0</v>
      </c>
      <c r="S81" s="212"/>
      <c r="T81" s="213" t="e">
        <v>#DIV/0!</v>
      </c>
      <c r="U81" s="214"/>
      <c r="V81" s="215"/>
      <c r="W81" s="304">
        <v>0</v>
      </c>
      <c r="X81" s="305">
        <v>0</v>
      </c>
      <c r="Y81" s="305">
        <v>0</v>
      </c>
      <c r="Z81" s="211">
        <v>0</v>
      </c>
      <c r="AA81" s="212"/>
      <c r="AB81" s="213" t="e">
        <v>#DIV/0!</v>
      </c>
      <c r="AC81" s="214"/>
      <c r="AD81" s="215"/>
      <c r="AE81" s="336"/>
      <c r="AF81" s="335"/>
    </row>
    <row r="82" spans="1:32">
      <c r="A82" s="301">
        <v>5</v>
      </c>
      <c r="B82" s="336"/>
      <c r="C82" s="336" t="s">
        <v>128</v>
      </c>
      <c r="D82" s="334" t="s">
        <v>317</v>
      </c>
      <c r="E82" s="336" t="s">
        <v>261</v>
      </c>
      <c r="F82" s="339" t="s">
        <v>262</v>
      </c>
      <c r="G82" s="302">
        <v>3</v>
      </c>
      <c r="H82" s="303">
        <v>3200</v>
      </c>
      <c r="I82" s="303">
        <v>9600</v>
      </c>
      <c r="J82" s="211"/>
      <c r="K82" s="212" t="str">
        <f>IF(OR(J82="",G82=J82),"","*")</f>
        <v/>
      </c>
      <c r="L82" s="332" t="str">
        <f>IF($A82&lt;=L$1,I82/I$4,"")</f>
        <v/>
      </c>
      <c r="M82" s="337"/>
      <c r="N82" s="338"/>
      <c r="O82" s="304">
        <v>0</v>
      </c>
      <c r="P82" s="305">
        <v>0</v>
      </c>
      <c r="Q82" s="305">
        <v>0</v>
      </c>
      <c r="R82" s="211">
        <v>0</v>
      </c>
      <c r="S82" s="212"/>
      <c r="T82" s="213" t="e">
        <v>#DIV/0!</v>
      </c>
      <c r="U82" s="214"/>
      <c r="V82" s="215"/>
      <c r="W82" s="304">
        <v>0</v>
      </c>
      <c r="X82" s="305">
        <v>0</v>
      </c>
      <c r="Y82" s="305">
        <v>0</v>
      </c>
      <c r="Z82" s="211">
        <v>0</v>
      </c>
      <c r="AA82" s="212"/>
      <c r="AB82" s="213" t="e">
        <v>#DIV/0!</v>
      </c>
      <c r="AC82" s="214"/>
      <c r="AD82" s="215"/>
      <c r="AE82" s="336"/>
      <c r="AF82" s="335"/>
    </row>
    <row r="83" spans="1:32">
      <c r="A83" s="301">
        <v>5</v>
      </c>
      <c r="B83" s="336"/>
      <c r="C83" s="336" t="s">
        <v>124</v>
      </c>
      <c r="D83" s="334" t="s">
        <v>329</v>
      </c>
      <c r="E83" s="336" t="s">
        <v>330</v>
      </c>
      <c r="F83" s="339" t="s">
        <v>101</v>
      </c>
      <c r="G83" s="302">
        <v>1</v>
      </c>
      <c r="H83" s="303">
        <v>45000</v>
      </c>
      <c r="I83" s="303">
        <v>45000</v>
      </c>
      <c r="J83" s="211"/>
      <c r="K83" s="212" t="str">
        <f>IF(OR(J83="",G83=J83),"","*")</f>
        <v/>
      </c>
      <c r="L83" s="332" t="str">
        <f>IF($A83&lt;=L$1,I83/I$4,"")</f>
        <v/>
      </c>
      <c r="M83" s="337"/>
      <c r="N83" s="338"/>
      <c r="O83" s="304">
        <v>0</v>
      </c>
      <c r="P83" s="305">
        <v>0</v>
      </c>
      <c r="Q83" s="305">
        <v>0</v>
      </c>
      <c r="R83" s="211">
        <v>0</v>
      </c>
      <c r="S83" s="212"/>
      <c r="T83" s="213" t="e">
        <v>#DIV/0!</v>
      </c>
      <c r="U83" s="214"/>
      <c r="V83" s="215"/>
      <c r="W83" s="304">
        <v>0</v>
      </c>
      <c r="X83" s="305">
        <v>0</v>
      </c>
      <c r="Y83" s="305">
        <v>0</v>
      </c>
      <c r="Z83" s="211">
        <v>0</v>
      </c>
      <c r="AA83" s="212"/>
      <c r="AB83" s="213" t="e">
        <v>#DIV/0!</v>
      </c>
      <c r="AC83" s="214"/>
      <c r="AD83" s="215"/>
      <c r="AE83" s="336" t="s">
        <v>331</v>
      </c>
      <c r="AF83" s="335"/>
    </row>
    <row r="84" spans="1:32">
      <c r="A84" s="301">
        <v>5</v>
      </c>
      <c r="B84" s="336"/>
      <c r="C84" s="336" t="s">
        <v>124</v>
      </c>
      <c r="D84" s="334" t="s">
        <v>304</v>
      </c>
      <c r="E84" s="336" t="s">
        <v>305</v>
      </c>
      <c r="F84" s="339" t="s">
        <v>101</v>
      </c>
      <c r="G84" s="302">
        <v>1</v>
      </c>
      <c r="H84" s="303">
        <v>7000</v>
      </c>
      <c r="I84" s="303">
        <v>7000</v>
      </c>
      <c r="J84" s="211"/>
      <c r="K84" s="212" t="str">
        <f>IF(OR(J84="",G84=J84),"","*")</f>
        <v/>
      </c>
      <c r="L84" s="332" t="str">
        <f>IF($A84&lt;=L$1,I84/I$4,"")</f>
        <v/>
      </c>
      <c r="M84" s="337"/>
      <c r="N84" s="338"/>
      <c r="O84" s="304">
        <v>0</v>
      </c>
      <c r="P84" s="305">
        <v>0</v>
      </c>
      <c r="Q84" s="305">
        <v>0</v>
      </c>
      <c r="R84" s="211">
        <v>0</v>
      </c>
      <c r="S84" s="212"/>
      <c r="T84" s="213" t="e">
        <v>#DIV/0!</v>
      </c>
      <c r="U84" s="214"/>
      <c r="V84" s="215"/>
      <c r="W84" s="304">
        <v>0</v>
      </c>
      <c r="X84" s="305">
        <v>0</v>
      </c>
      <c r="Y84" s="305">
        <v>0</v>
      </c>
      <c r="Z84" s="211">
        <v>0</v>
      </c>
      <c r="AA84" s="212"/>
      <c r="AB84" s="213" t="e">
        <v>#DIV/0!</v>
      </c>
      <c r="AC84" s="214"/>
      <c r="AD84" s="215"/>
      <c r="AE84" s="336" t="s">
        <v>306</v>
      </c>
      <c r="AF84" s="335"/>
    </row>
    <row r="85" spans="1:32">
      <c r="A85" s="301">
        <v>5</v>
      </c>
      <c r="B85" s="336"/>
      <c r="C85" s="336" t="s">
        <v>124</v>
      </c>
      <c r="D85" s="334" t="s">
        <v>307</v>
      </c>
      <c r="E85" s="336" t="s">
        <v>269</v>
      </c>
      <c r="F85" s="339" t="s">
        <v>101</v>
      </c>
      <c r="G85" s="302">
        <v>1</v>
      </c>
      <c r="H85" s="303">
        <v>6000</v>
      </c>
      <c r="I85" s="303">
        <v>6000</v>
      </c>
      <c r="J85" s="211"/>
      <c r="K85" s="212" t="str">
        <f>IF(OR(J85="",G85=J85),"","*")</f>
        <v/>
      </c>
      <c r="L85" s="332" t="str">
        <f>IF($A85&lt;=L$1,I85/I$4,"")</f>
        <v/>
      </c>
      <c r="M85" s="337"/>
      <c r="N85" s="338"/>
      <c r="O85" s="304">
        <v>0</v>
      </c>
      <c r="P85" s="305">
        <v>0</v>
      </c>
      <c r="Q85" s="305">
        <v>0</v>
      </c>
      <c r="R85" s="211">
        <v>0</v>
      </c>
      <c r="S85" s="212"/>
      <c r="T85" s="213" t="e">
        <v>#DIV/0!</v>
      </c>
      <c r="U85" s="214"/>
      <c r="V85" s="215"/>
      <c r="W85" s="304">
        <v>0</v>
      </c>
      <c r="X85" s="305">
        <v>0</v>
      </c>
      <c r="Y85" s="305">
        <v>0</v>
      </c>
      <c r="Z85" s="211">
        <v>0</v>
      </c>
      <c r="AA85" s="212"/>
      <c r="AB85" s="213" t="e">
        <v>#DIV/0!</v>
      </c>
      <c r="AC85" s="214"/>
      <c r="AD85" s="215"/>
      <c r="AE85" s="336" t="s">
        <v>270</v>
      </c>
      <c r="AF85" s="335"/>
    </row>
    <row r="86" spans="1:32">
      <c r="A86" s="301">
        <v>5</v>
      </c>
      <c r="B86" s="336"/>
      <c r="C86" s="336" t="s">
        <v>124</v>
      </c>
      <c r="D86" s="334" t="s">
        <v>309</v>
      </c>
      <c r="E86" s="336"/>
      <c r="F86" s="339" t="s">
        <v>101</v>
      </c>
      <c r="G86" s="302">
        <v>2</v>
      </c>
      <c r="H86" s="303">
        <v>1000</v>
      </c>
      <c r="I86" s="303">
        <v>2000</v>
      </c>
      <c r="J86" s="211"/>
      <c r="K86" s="212" t="str">
        <f>IF(OR(J86="",G86=J86),"","*")</f>
        <v/>
      </c>
      <c r="L86" s="332" t="str">
        <f>IF($A86&lt;=L$1,I86/I$4,"")</f>
        <v/>
      </c>
      <c r="M86" s="337"/>
      <c r="N86" s="338"/>
      <c r="O86" s="304">
        <v>0</v>
      </c>
      <c r="P86" s="305">
        <v>0</v>
      </c>
      <c r="Q86" s="305">
        <v>0</v>
      </c>
      <c r="R86" s="211">
        <v>0</v>
      </c>
      <c r="S86" s="212"/>
      <c r="T86" s="213" t="e">
        <v>#DIV/0!</v>
      </c>
      <c r="U86" s="214"/>
      <c r="V86" s="215"/>
      <c r="W86" s="304">
        <v>0</v>
      </c>
      <c r="X86" s="305">
        <v>0</v>
      </c>
      <c r="Y86" s="305">
        <v>0</v>
      </c>
      <c r="Z86" s="211">
        <v>0</v>
      </c>
      <c r="AA86" s="212"/>
      <c r="AB86" s="213" t="e">
        <v>#DIV/0!</v>
      </c>
      <c r="AC86" s="214"/>
      <c r="AD86" s="215"/>
      <c r="AE86" s="336" t="s">
        <v>274</v>
      </c>
      <c r="AF86" s="335"/>
    </row>
    <row r="87" spans="1:32">
      <c r="A87" s="301">
        <v>5</v>
      </c>
      <c r="B87" s="336"/>
      <c r="C87" s="336" t="s">
        <v>124</v>
      </c>
      <c r="D87" s="334" t="s">
        <v>332</v>
      </c>
      <c r="E87" s="336" t="s">
        <v>333</v>
      </c>
      <c r="F87" s="339" t="s">
        <v>101</v>
      </c>
      <c r="G87" s="302">
        <v>1</v>
      </c>
      <c r="H87" s="303">
        <v>8000</v>
      </c>
      <c r="I87" s="303">
        <v>8000</v>
      </c>
      <c r="J87" s="211"/>
      <c r="K87" s="212" t="str">
        <f>IF(OR(J87="",G87=J87),"","*")</f>
        <v/>
      </c>
      <c r="L87" s="332" t="str">
        <f>IF($A87&lt;=L$1,I87/I$4,"")</f>
        <v/>
      </c>
      <c r="M87" s="337"/>
      <c r="N87" s="338"/>
      <c r="O87" s="304">
        <v>0</v>
      </c>
      <c r="P87" s="305">
        <v>0</v>
      </c>
      <c r="Q87" s="305">
        <v>0</v>
      </c>
      <c r="R87" s="211">
        <v>0</v>
      </c>
      <c r="S87" s="212"/>
      <c r="T87" s="213" t="e">
        <v>#DIV/0!</v>
      </c>
      <c r="U87" s="214"/>
      <c r="V87" s="215"/>
      <c r="W87" s="304">
        <v>0</v>
      </c>
      <c r="X87" s="305">
        <v>0</v>
      </c>
      <c r="Y87" s="305">
        <v>0</v>
      </c>
      <c r="Z87" s="211">
        <v>0</v>
      </c>
      <c r="AA87" s="212"/>
      <c r="AB87" s="213" t="e">
        <v>#DIV/0!</v>
      </c>
      <c r="AC87" s="214"/>
      <c r="AD87" s="215"/>
      <c r="AE87" s="336" t="s">
        <v>334</v>
      </c>
      <c r="AF87" s="335"/>
    </row>
    <row r="88" spans="1:32">
      <c r="A88" s="301">
        <v>5</v>
      </c>
      <c r="B88" s="336"/>
      <c r="C88" s="336" t="s">
        <v>125</v>
      </c>
      <c r="D88" s="334" t="s">
        <v>311</v>
      </c>
      <c r="E88" s="336"/>
      <c r="F88" s="339" t="s">
        <v>101</v>
      </c>
      <c r="G88" s="302">
        <v>2</v>
      </c>
      <c r="H88" s="303">
        <v>8000</v>
      </c>
      <c r="I88" s="303">
        <v>16000</v>
      </c>
      <c r="J88" s="211"/>
      <c r="K88" s="212" t="str">
        <f>IF(OR(J88="",G88=J88),"","*")</f>
        <v/>
      </c>
      <c r="L88" s="332" t="str">
        <f>IF($A88&lt;=L$1,I88/I$4,"")</f>
        <v/>
      </c>
      <c r="M88" s="337"/>
      <c r="N88" s="338"/>
      <c r="O88" s="304">
        <v>0</v>
      </c>
      <c r="P88" s="305">
        <v>0</v>
      </c>
      <c r="Q88" s="305">
        <v>0</v>
      </c>
      <c r="R88" s="211">
        <v>0</v>
      </c>
      <c r="S88" s="212"/>
      <c r="T88" s="213" t="e">
        <v>#DIV/0!</v>
      </c>
      <c r="U88" s="214"/>
      <c r="V88" s="215"/>
      <c r="W88" s="304">
        <v>0</v>
      </c>
      <c r="X88" s="305">
        <v>0</v>
      </c>
      <c r="Y88" s="305">
        <v>0</v>
      </c>
      <c r="Z88" s="211">
        <v>0</v>
      </c>
      <c r="AA88" s="212"/>
      <c r="AB88" s="213" t="e">
        <v>#DIV/0!</v>
      </c>
      <c r="AC88" s="214"/>
      <c r="AD88" s="215"/>
      <c r="AE88" s="336" t="s">
        <v>281</v>
      </c>
      <c r="AF88" s="335"/>
    </row>
    <row r="89" spans="1:32">
      <c r="A89" s="301">
        <v>5</v>
      </c>
      <c r="B89" s="336"/>
      <c r="C89" s="336" t="s">
        <v>125</v>
      </c>
      <c r="D89" s="334" t="s">
        <v>312</v>
      </c>
      <c r="E89" s="336"/>
      <c r="F89" s="339" t="s">
        <v>101</v>
      </c>
      <c r="G89" s="302">
        <v>2</v>
      </c>
      <c r="H89" s="303">
        <v>6000</v>
      </c>
      <c r="I89" s="303">
        <v>12000</v>
      </c>
      <c r="J89" s="211"/>
      <c r="K89" s="212" t="str">
        <f>IF(OR(J89="",G89=J89),"","*")</f>
        <v/>
      </c>
      <c r="L89" s="332" t="str">
        <f>IF($A89&lt;=L$1,I89/I$4,"")</f>
        <v/>
      </c>
      <c r="M89" s="337"/>
      <c r="N89" s="338"/>
      <c r="O89" s="304">
        <v>0</v>
      </c>
      <c r="P89" s="305">
        <v>0</v>
      </c>
      <c r="Q89" s="305">
        <v>0</v>
      </c>
      <c r="R89" s="211">
        <v>0</v>
      </c>
      <c r="S89" s="212"/>
      <c r="T89" s="213" t="e">
        <v>#DIV/0!</v>
      </c>
      <c r="U89" s="214"/>
      <c r="V89" s="215"/>
      <c r="W89" s="304">
        <v>0</v>
      </c>
      <c r="X89" s="305">
        <v>0</v>
      </c>
      <c r="Y89" s="305">
        <v>0</v>
      </c>
      <c r="Z89" s="211">
        <v>0</v>
      </c>
      <c r="AA89" s="212"/>
      <c r="AB89" s="213" t="e">
        <v>#DIV/0!</v>
      </c>
      <c r="AC89" s="214"/>
      <c r="AD89" s="215"/>
      <c r="AE89" s="336"/>
      <c r="AF89" s="335"/>
    </row>
    <row r="90" spans="1:32">
      <c r="A90" s="301">
        <v>5</v>
      </c>
      <c r="B90" s="336"/>
      <c r="C90" s="336"/>
      <c r="D90" s="334" t="s">
        <v>335</v>
      </c>
      <c r="E90" s="336"/>
      <c r="F90" s="339" t="s">
        <v>92</v>
      </c>
      <c r="G90" s="302">
        <v>1</v>
      </c>
      <c r="H90" s="303">
        <v>10000</v>
      </c>
      <c r="I90" s="303">
        <v>10000</v>
      </c>
      <c r="J90" s="211"/>
      <c r="K90" s="212" t="str">
        <f>IF(OR(J90="",G90=J90),"","*")</f>
        <v/>
      </c>
      <c r="L90" s="332" t="str">
        <f>IF($A90&lt;=L$1,I90/I$4,"")</f>
        <v/>
      </c>
      <c r="M90" s="337"/>
      <c r="N90" s="338"/>
      <c r="O90" s="304">
        <v>0</v>
      </c>
      <c r="P90" s="305">
        <v>0</v>
      </c>
      <c r="Q90" s="305">
        <v>0</v>
      </c>
      <c r="R90" s="211">
        <v>0</v>
      </c>
      <c r="S90" s="212"/>
      <c r="T90" s="213" t="e">
        <v>#DIV/0!</v>
      </c>
      <c r="U90" s="214"/>
      <c r="V90" s="215"/>
      <c r="W90" s="304">
        <v>0</v>
      </c>
      <c r="X90" s="305">
        <v>0</v>
      </c>
      <c r="Y90" s="305">
        <v>0</v>
      </c>
      <c r="Z90" s="211">
        <v>0</v>
      </c>
      <c r="AA90" s="212"/>
      <c r="AB90" s="213" t="e">
        <v>#DIV/0!</v>
      </c>
      <c r="AC90" s="214"/>
      <c r="AD90" s="215"/>
      <c r="AE90" s="336"/>
      <c r="AF90" s="335"/>
    </row>
    <row r="91" spans="1:32">
      <c r="A91" s="301">
        <v>5</v>
      </c>
      <c r="B91" s="336"/>
      <c r="C91" s="336" t="s">
        <v>121</v>
      </c>
      <c r="D91" s="334" t="s">
        <v>299</v>
      </c>
      <c r="E91" s="336"/>
      <c r="F91" s="339" t="s">
        <v>258</v>
      </c>
      <c r="G91" s="302">
        <v>60</v>
      </c>
      <c r="H91" s="303">
        <v>150</v>
      </c>
      <c r="I91" s="303">
        <v>9000</v>
      </c>
      <c r="J91" s="211"/>
      <c r="K91" s="212" t="str">
        <f>IF(OR(J91="",G91=J91),"","*")</f>
        <v/>
      </c>
      <c r="L91" s="332" t="str">
        <f>IF($A91&lt;=L$1,I91/I$4,"")</f>
        <v/>
      </c>
      <c r="M91" s="337"/>
      <c r="N91" s="338"/>
      <c r="O91" s="304">
        <v>0</v>
      </c>
      <c r="P91" s="305">
        <v>0</v>
      </c>
      <c r="Q91" s="305">
        <v>0</v>
      </c>
      <c r="R91" s="211">
        <v>0</v>
      </c>
      <c r="S91" s="212"/>
      <c r="T91" s="213" t="e">
        <v>#DIV/0!</v>
      </c>
      <c r="U91" s="214"/>
      <c r="V91" s="215"/>
      <c r="W91" s="304">
        <v>0</v>
      </c>
      <c r="X91" s="305">
        <v>0</v>
      </c>
      <c r="Y91" s="305">
        <v>0</v>
      </c>
      <c r="Z91" s="211">
        <v>0</v>
      </c>
      <c r="AA91" s="212"/>
      <c r="AB91" s="213" t="e">
        <v>#DIV/0!</v>
      </c>
      <c r="AC91" s="214"/>
      <c r="AD91" s="215"/>
      <c r="AE91" s="336" t="s">
        <v>259</v>
      </c>
      <c r="AF91" s="335"/>
    </row>
    <row r="92" spans="1:32">
      <c r="A92" s="301">
        <v>5</v>
      </c>
      <c r="B92" s="336"/>
      <c r="C92" s="336" t="s">
        <v>121</v>
      </c>
      <c r="D92" s="334" t="s">
        <v>336</v>
      </c>
      <c r="E92" s="336"/>
      <c r="F92" s="339" t="s">
        <v>337</v>
      </c>
      <c r="G92" s="302">
        <v>10</v>
      </c>
      <c r="H92" s="303">
        <v>350</v>
      </c>
      <c r="I92" s="303">
        <v>3500</v>
      </c>
      <c r="J92" s="211"/>
      <c r="K92" s="212" t="str">
        <f>IF(OR(J92="",G92=J92),"","*")</f>
        <v/>
      </c>
      <c r="L92" s="332" t="str">
        <f>IF($A92&lt;=L$1,I92/I$4,"")</f>
        <v/>
      </c>
      <c r="M92" s="337"/>
      <c r="N92" s="338"/>
      <c r="O92" s="304">
        <v>0</v>
      </c>
      <c r="P92" s="305">
        <v>0</v>
      </c>
      <c r="Q92" s="305">
        <v>0</v>
      </c>
      <c r="R92" s="211">
        <v>0</v>
      </c>
      <c r="S92" s="212"/>
      <c r="T92" s="213" t="e">
        <v>#DIV/0!</v>
      </c>
      <c r="U92" s="214"/>
      <c r="V92" s="215"/>
      <c r="W92" s="304">
        <v>0</v>
      </c>
      <c r="X92" s="305">
        <v>0</v>
      </c>
      <c r="Y92" s="305">
        <v>0</v>
      </c>
      <c r="Z92" s="211">
        <v>0</v>
      </c>
      <c r="AA92" s="212"/>
      <c r="AB92" s="213" t="e">
        <v>#DIV/0!</v>
      </c>
      <c r="AC92" s="214"/>
      <c r="AD92" s="215"/>
      <c r="AE92" s="336" t="s">
        <v>338</v>
      </c>
      <c r="AF92" s="335"/>
    </row>
    <row r="93" spans="1:32">
      <c r="A93" s="301">
        <v>5</v>
      </c>
      <c r="B93" s="336"/>
      <c r="C93" s="336"/>
      <c r="D93" s="334" t="s">
        <v>313</v>
      </c>
      <c r="E93" s="336"/>
      <c r="F93" s="339" t="s">
        <v>92</v>
      </c>
      <c r="G93" s="302">
        <v>1</v>
      </c>
      <c r="H93" s="303">
        <v>52000</v>
      </c>
      <c r="I93" s="303">
        <v>52000</v>
      </c>
      <c r="J93" s="211"/>
      <c r="K93" s="212" t="str">
        <f>IF(OR(J93="",G93=J93),"","*")</f>
        <v/>
      </c>
      <c r="L93" s="332" t="str">
        <f>IF($A93&lt;=L$1,I93/I$4,"")</f>
        <v/>
      </c>
      <c r="M93" s="337"/>
      <c r="N93" s="338"/>
      <c r="O93" s="304">
        <v>0</v>
      </c>
      <c r="P93" s="305">
        <v>0</v>
      </c>
      <c r="Q93" s="305">
        <v>0</v>
      </c>
      <c r="R93" s="211">
        <v>0</v>
      </c>
      <c r="S93" s="212"/>
      <c r="T93" s="213" t="e">
        <v>#DIV/0!</v>
      </c>
      <c r="U93" s="214"/>
      <c r="V93" s="215"/>
      <c r="W93" s="304">
        <v>0</v>
      </c>
      <c r="X93" s="305">
        <v>0</v>
      </c>
      <c r="Y93" s="305">
        <v>0</v>
      </c>
      <c r="Z93" s="211">
        <v>0</v>
      </c>
      <c r="AA93" s="212"/>
      <c r="AB93" s="213" t="e">
        <v>#DIV/0!</v>
      </c>
      <c r="AC93" s="214"/>
      <c r="AD93" s="215"/>
      <c r="AE93" s="336"/>
      <c r="AF93" s="335"/>
    </row>
    <row r="94" spans="1:32">
      <c r="A94" s="301">
        <v>5</v>
      </c>
      <c r="B94" s="336"/>
      <c r="C94" s="336"/>
      <c r="D94" s="334" t="s">
        <v>314</v>
      </c>
      <c r="E94" s="336"/>
      <c r="F94" s="339" t="s">
        <v>92</v>
      </c>
      <c r="G94" s="302">
        <v>1</v>
      </c>
      <c r="H94" s="303">
        <v>4460</v>
      </c>
      <c r="I94" s="303">
        <v>4460</v>
      </c>
      <c r="J94" s="211"/>
      <c r="K94" s="212" t="str">
        <f>IF(OR(J94="",G94=J94),"","*")</f>
        <v/>
      </c>
      <c r="L94" s="332" t="str">
        <f>IF($A94&lt;=L$1,I94/I$4,"")</f>
        <v/>
      </c>
      <c r="M94" s="337"/>
      <c r="N94" s="338"/>
      <c r="O94" s="304">
        <v>0</v>
      </c>
      <c r="P94" s="305">
        <v>0</v>
      </c>
      <c r="Q94" s="305">
        <v>0</v>
      </c>
      <c r="R94" s="211">
        <v>0</v>
      </c>
      <c r="S94" s="212"/>
      <c r="T94" s="213" t="e">
        <v>#DIV/0!</v>
      </c>
      <c r="U94" s="214"/>
      <c r="V94" s="215"/>
      <c r="W94" s="304">
        <v>0</v>
      </c>
      <c r="X94" s="305">
        <v>0</v>
      </c>
      <c r="Y94" s="305">
        <v>0</v>
      </c>
      <c r="Z94" s="211">
        <v>0</v>
      </c>
      <c r="AA94" s="212"/>
      <c r="AB94" s="213" t="e">
        <v>#DIV/0!</v>
      </c>
      <c r="AC94" s="214"/>
      <c r="AD94" s="215"/>
      <c r="AE94" s="336"/>
      <c r="AF94" s="335"/>
    </row>
    <row r="95" spans="1:32">
      <c r="A95" s="301">
        <v>4</v>
      </c>
      <c r="B95" s="336"/>
      <c r="C95" s="336"/>
      <c r="D95" s="334" t="s">
        <v>283</v>
      </c>
      <c r="E95" s="336"/>
      <c r="F95" s="339" t="s">
        <v>92</v>
      </c>
      <c r="G95" s="302">
        <v>1</v>
      </c>
      <c r="H95" s="303">
        <v>1800</v>
      </c>
      <c r="I95" s="303">
        <v>1800</v>
      </c>
      <c r="J95" s="211"/>
      <c r="K95" s="212" t="str">
        <f>IF(OR(J95="",G95=J95),"","*")</f>
        <v/>
      </c>
      <c r="L95" s="332" t="str">
        <f>IF($A95&lt;=L$1,I95/I$4,"")</f>
        <v/>
      </c>
      <c r="M95" s="337"/>
      <c r="N95" s="338"/>
      <c r="O95" s="304">
        <v>0</v>
      </c>
      <c r="P95" s="305">
        <v>0</v>
      </c>
      <c r="Q95" s="305">
        <v>0</v>
      </c>
      <c r="R95" s="211">
        <v>0</v>
      </c>
      <c r="S95" s="212"/>
      <c r="T95" s="213" t="e">
        <v>#DIV/0!</v>
      </c>
      <c r="U95" s="214"/>
      <c r="V95" s="215"/>
      <c r="W95" s="304">
        <v>0</v>
      </c>
      <c r="X95" s="305">
        <v>0</v>
      </c>
      <c r="Y95" s="305">
        <v>0</v>
      </c>
      <c r="Z95" s="211">
        <v>0</v>
      </c>
      <c r="AA95" s="212"/>
      <c r="AB95" s="213" t="e">
        <v>#DIV/0!</v>
      </c>
      <c r="AC95" s="214"/>
      <c r="AD95" s="215"/>
      <c r="AE95" s="336"/>
      <c r="AF95" s="335"/>
    </row>
    <row r="96" spans="1:32">
      <c r="A96" s="301">
        <v>3</v>
      </c>
      <c r="B96" s="336"/>
      <c r="C96" s="336" t="s">
        <v>174</v>
      </c>
      <c r="D96" s="334" t="s">
        <v>339</v>
      </c>
      <c r="E96" s="336" t="s">
        <v>100</v>
      </c>
      <c r="F96" s="339" t="s">
        <v>101</v>
      </c>
      <c r="G96" s="302">
        <v>23</v>
      </c>
      <c r="H96" s="303">
        <v>4347.83</v>
      </c>
      <c r="I96" s="303">
        <v>100000</v>
      </c>
      <c r="J96" s="211">
        <v>23</v>
      </c>
      <c r="K96" s="212" t="str">
        <f>IF(OR(J96="",G96=J96),"","*")</f>
        <v/>
      </c>
      <c r="L96" s="332">
        <f>IF($A96&lt;=L$1,I96/I$4,"")</f>
        <v>1.0853049706967658E-2</v>
      </c>
      <c r="M96" s="337"/>
      <c r="N96" s="338" t="s">
        <v>340</v>
      </c>
      <c r="O96" s="304">
        <v>0</v>
      </c>
      <c r="P96" s="305">
        <v>0</v>
      </c>
      <c r="Q96" s="305">
        <v>0</v>
      </c>
      <c r="R96" s="211">
        <v>0</v>
      </c>
      <c r="S96" s="212"/>
      <c r="T96" s="213" t="e">
        <v>#DIV/0!</v>
      </c>
      <c r="U96" s="214"/>
      <c r="V96" s="215"/>
      <c r="W96" s="304">
        <v>0</v>
      </c>
      <c r="X96" s="305">
        <v>0</v>
      </c>
      <c r="Y96" s="305">
        <v>0</v>
      </c>
      <c r="Z96" s="211">
        <v>0</v>
      </c>
      <c r="AA96" s="212"/>
      <c r="AB96" s="213" t="e">
        <v>#DIV/0!</v>
      </c>
      <c r="AC96" s="214"/>
      <c r="AD96" s="215"/>
      <c r="AE96" s="336"/>
      <c r="AF96" s="335"/>
    </row>
    <row r="97" spans="1:32">
      <c r="A97" s="301">
        <v>4</v>
      </c>
      <c r="B97" s="336"/>
      <c r="C97" s="336"/>
      <c r="D97" s="334" t="s">
        <v>327</v>
      </c>
      <c r="E97" s="336"/>
      <c r="F97" s="339" t="s">
        <v>92</v>
      </c>
      <c r="G97" s="302">
        <v>1</v>
      </c>
      <c r="H97" s="303">
        <v>100000</v>
      </c>
      <c r="I97" s="303">
        <v>100000</v>
      </c>
      <c r="J97" s="211"/>
      <c r="K97" s="212" t="str">
        <f>IF(OR(J97="",G97=J97),"","*")</f>
        <v/>
      </c>
      <c r="L97" s="332" t="str">
        <f>IF($A97&lt;=L$1,I97/I$4,"")</f>
        <v/>
      </c>
      <c r="M97" s="337"/>
      <c r="N97" s="338"/>
      <c r="O97" s="304">
        <v>0</v>
      </c>
      <c r="P97" s="305">
        <v>0</v>
      </c>
      <c r="Q97" s="305">
        <v>0</v>
      </c>
      <c r="R97" s="211">
        <v>0</v>
      </c>
      <c r="S97" s="212"/>
      <c r="T97" s="213" t="e">
        <v>#DIV/0!</v>
      </c>
      <c r="U97" s="214"/>
      <c r="V97" s="215"/>
      <c r="W97" s="304">
        <v>0</v>
      </c>
      <c r="X97" s="305">
        <v>0</v>
      </c>
      <c r="Y97" s="305">
        <v>0</v>
      </c>
      <c r="Z97" s="211">
        <v>0</v>
      </c>
      <c r="AA97" s="212"/>
      <c r="AB97" s="213" t="e">
        <v>#DIV/0!</v>
      </c>
      <c r="AC97" s="214"/>
      <c r="AD97" s="215"/>
      <c r="AE97" s="336"/>
      <c r="AF97" s="335"/>
    </row>
    <row r="98" spans="1:32">
      <c r="A98" s="301">
        <v>3</v>
      </c>
      <c r="B98" s="336"/>
      <c r="C98" s="336" t="s">
        <v>174</v>
      </c>
      <c r="D98" s="334" t="s">
        <v>341</v>
      </c>
      <c r="E98" s="336"/>
      <c r="F98" s="339" t="s">
        <v>102</v>
      </c>
      <c r="G98" s="302">
        <v>63</v>
      </c>
      <c r="H98" s="303">
        <v>13809.53</v>
      </c>
      <c r="I98" s="303">
        <v>870000</v>
      </c>
      <c r="J98" s="211">
        <v>63</v>
      </c>
      <c r="K98" s="212" t="str">
        <f>IF(OR(J98="",G98=J98),"","*")</f>
        <v/>
      </c>
      <c r="L98" s="332">
        <f>IF($A98&lt;=L$1,I98/I$4,"")</f>
        <v>9.4421532450618628E-2</v>
      </c>
      <c r="M98" s="337"/>
      <c r="N98" s="338" t="s">
        <v>342</v>
      </c>
      <c r="O98" s="304">
        <v>0</v>
      </c>
      <c r="P98" s="305">
        <v>0</v>
      </c>
      <c r="Q98" s="305">
        <v>0</v>
      </c>
      <c r="R98" s="211">
        <v>0</v>
      </c>
      <c r="S98" s="212"/>
      <c r="T98" s="213" t="e">
        <v>#DIV/0!</v>
      </c>
      <c r="U98" s="214"/>
      <c r="V98" s="215"/>
      <c r="W98" s="304">
        <v>0</v>
      </c>
      <c r="X98" s="305">
        <v>0</v>
      </c>
      <c r="Y98" s="305">
        <v>0</v>
      </c>
      <c r="Z98" s="211">
        <v>0</v>
      </c>
      <c r="AA98" s="212"/>
      <c r="AB98" s="213" t="e">
        <v>#DIV/0!</v>
      </c>
      <c r="AC98" s="214"/>
      <c r="AD98" s="215"/>
      <c r="AE98" s="336"/>
      <c r="AF98" s="335"/>
    </row>
    <row r="99" spans="1:32">
      <c r="A99" s="301">
        <v>4</v>
      </c>
      <c r="B99" s="336"/>
      <c r="C99" s="336"/>
      <c r="D99" s="334" t="s">
        <v>343</v>
      </c>
      <c r="E99" s="336"/>
      <c r="F99" s="339" t="s">
        <v>344</v>
      </c>
      <c r="G99" s="302">
        <v>34</v>
      </c>
      <c r="H99" s="303">
        <v>2630</v>
      </c>
      <c r="I99" s="303">
        <v>89420</v>
      </c>
      <c r="J99" s="211"/>
      <c r="K99" s="212" t="str">
        <f>IF(OR(J99="",G99=J99),"","*")</f>
        <v/>
      </c>
      <c r="L99" s="332" t="str">
        <f>IF($A99&lt;=L$1,I99/I$4,"")</f>
        <v/>
      </c>
      <c r="M99" s="337"/>
      <c r="N99" s="338"/>
      <c r="O99" s="304">
        <v>0</v>
      </c>
      <c r="P99" s="305">
        <v>0</v>
      </c>
      <c r="Q99" s="305">
        <v>0</v>
      </c>
      <c r="R99" s="211">
        <v>0</v>
      </c>
      <c r="S99" s="212"/>
      <c r="T99" s="213" t="e">
        <v>#DIV/0!</v>
      </c>
      <c r="U99" s="214"/>
      <c r="V99" s="215"/>
      <c r="W99" s="304">
        <v>0</v>
      </c>
      <c r="X99" s="305">
        <v>0</v>
      </c>
      <c r="Y99" s="305">
        <v>0</v>
      </c>
      <c r="Z99" s="211">
        <v>0</v>
      </c>
      <c r="AA99" s="212"/>
      <c r="AB99" s="213" t="e">
        <v>#DIV/0!</v>
      </c>
      <c r="AC99" s="214"/>
      <c r="AD99" s="215"/>
      <c r="AE99" s="336"/>
      <c r="AF99" s="335"/>
    </row>
    <row r="100" spans="1:32">
      <c r="A100" s="301">
        <v>4</v>
      </c>
      <c r="B100" s="336"/>
      <c r="C100" s="336"/>
      <c r="D100" s="334" t="s">
        <v>345</v>
      </c>
      <c r="E100" s="336"/>
      <c r="F100" s="339" t="s">
        <v>92</v>
      </c>
      <c r="G100" s="302">
        <v>1</v>
      </c>
      <c r="H100" s="303">
        <v>3000</v>
      </c>
      <c r="I100" s="303">
        <v>3000</v>
      </c>
      <c r="J100" s="211"/>
      <c r="K100" s="212" t="str">
        <f>IF(OR(J100="",G100=J100),"","*")</f>
        <v/>
      </c>
      <c r="L100" s="332" t="str">
        <f>IF($A100&lt;=L$1,I100/I$4,"")</f>
        <v/>
      </c>
      <c r="M100" s="337"/>
      <c r="N100" s="338"/>
      <c r="O100" s="304">
        <v>0</v>
      </c>
      <c r="P100" s="305">
        <v>0</v>
      </c>
      <c r="Q100" s="305">
        <v>0</v>
      </c>
      <c r="R100" s="211">
        <v>0</v>
      </c>
      <c r="S100" s="212"/>
      <c r="T100" s="213" t="e">
        <v>#DIV/0!</v>
      </c>
      <c r="U100" s="214"/>
      <c r="V100" s="215"/>
      <c r="W100" s="304">
        <v>0</v>
      </c>
      <c r="X100" s="305">
        <v>0</v>
      </c>
      <c r="Y100" s="305">
        <v>0</v>
      </c>
      <c r="Z100" s="211">
        <v>0</v>
      </c>
      <c r="AA100" s="212"/>
      <c r="AB100" s="213" t="e">
        <v>#DIV/0!</v>
      </c>
      <c r="AC100" s="214"/>
      <c r="AD100" s="215"/>
      <c r="AE100" s="336"/>
      <c r="AF100" s="335"/>
    </row>
    <row r="101" spans="1:32">
      <c r="A101" s="301">
        <v>4</v>
      </c>
      <c r="B101" s="336"/>
      <c r="C101" s="336" t="s">
        <v>296</v>
      </c>
      <c r="D101" s="334" t="s">
        <v>346</v>
      </c>
      <c r="E101" s="336"/>
      <c r="F101" s="339" t="s">
        <v>92</v>
      </c>
      <c r="G101" s="302">
        <v>1</v>
      </c>
      <c r="H101" s="303">
        <v>160000</v>
      </c>
      <c r="I101" s="303">
        <v>160000</v>
      </c>
      <c r="J101" s="211">
        <v>1</v>
      </c>
      <c r="K101" s="212" t="str">
        <f>IF(OR(J101="",G101=J101),"","*")</f>
        <v/>
      </c>
      <c r="L101" s="332" t="str">
        <f>IF($A101&lt;=L$1,I101/I$4,"")</f>
        <v/>
      </c>
      <c r="M101" s="337"/>
      <c r="N101" s="338" t="s">
        <v>347</v>
      </c>
      <c r="O101" s="304">
        <v>0</v>
      </c>
      <c r="P101" s="305">
        <v>0</v>
      </c>
      <c r="Q101" s="305">
        <v>0</v>
      </c>
      <c r="R101" s="211">
        <v>0</v>
      </c>
      <c r="S101" s="212"/>
      <c r="T101" s="213" t="e">
        <v>#DIV/0!</v>
      </c>
      <c r="U101" s="214"/>
      <c r="V101" s="215"/>
      <c r="W101" s="304">
        <v>0</v>
      </c>
      <c r="X101" s="305">
        <v>0</v>
      </c>
      <c r="Y101" s="305">
        <v>0</v>
      </c>
      <c r="Z101" s="211">
        <v>0</v>
      </c>
      <c r="AA101" s="212"/>
      <c r="AB101" s="213" t="e">
        <v>#DIV/0!</v>
      </c>
      <c r="AC101" s="214"/>
      <c r="AD101" s="215"/>
      <c r="AE101" s="336"/>
      <c r="AF101" s="335"/>
    </row>
    <row r="102" spans="1:32">
      <c r="A102" s="301">
        <v>5</v>
      </c>
      <c r="B102" s="336"/>
      <c r="C102" s="336" t="s">
        <v>122</v>
      </c>
      <c r="D102" s="334" t="s">
        <v>300</v>
      </c>
      <c r="E102" s="336" t="s">
        <v>261</v>
      </c>
      <c r="F102" s="339" t="s">
        <v>262</v>
      </c>
      <c r="G102" s="302">
        <v>2</v>
      </c>
      <c r="H102" s="303">
        <v>24000</v>
      </c>
      <c r="I102" s="303">
        <v>48000</v>
      </c>
      <c r="J102" s="211"/>
      <c r="K102" s="212" t="str">
        <f>IF(OR(J102="",G102=J102),"","*")</f>
        <v/>
      </c>
      <c r="L102" s="332" t="str">
        <f>IF($A102&lt;=L$1,I102/I$4,"")</f>
        <v/>
      </c>
      <c r="M102" s="337"/>
      <c r="N102" s="338"/>
      <c r="O102" s="304">
        <v>0</v>
      </c>
      <c r="P102" s="305">
        <v>0</v>
      </c>
      <c r="Q102" s="305">
        <v>0</v>
      </c>
      <c r="R102" s="211">
        <v>0</v>
      </c>
      <c r="S102" s="212"/>
      <c r="T102" s="213" t="e">
        <v>#DIV/0!</v>
      </c>
      <c r="U102" s="214"/>
      <c r="V102" s="215"/>
      <c r="W102" s="304">
        <v>0</v>
      </c>
      <c r="X102" s="305">
        <v>0</v>
      </c>
      <c r="Y102" s="305">
        <v>0</v>
      </c>
      <c r="Z102" s="211">
        <v>0</v>
      </c>
      <c r="AA102" s="212"/>
      <c r="AB102" s="213" t="e">
        <v>#DIV/0!</v>
      </c>
      <c r="AC102" s="214"/>
      <c r="AD102" s="215"/>
      <c r="AE102" s="336" t="s">
        <v>263</v>
      </c>
      <c r="AF102" s="335"/>
    </row>
    <row r="103" spans="1:32">
      <c r="A103" s="301">
        <v>5</v>
      </c>
      <c r="B103" s="336"/>
      <c r="C103" s="336" t="s">
        <v>122</v>
      </c>
      <c r="D103" s="334" t="s">
        <v>315</v>
      </c>
      <c r="E103" s="336" t="s">
        <v>261</v>
      </c>
      <c r="F103" s="339" t="s">
        <v>262</v>
      </c>
      <c r="G103" s="302">
        <v>2</v>
      </c>
      <c r="H103" s="303">
        <v>20000</v>
      </c>
      <c r="I103" s="303">
        <v>40000</v>
      </c>
      <c r="J103" s="211"/>
      <c r="K103" s="212" t="str">
        <f>IF(OR(J103="",G103=J103),"","*")</f>
        <v/>
      </c>
      <c r="L103" s="332" t="str">
        <f>IF($A103&lt;=L$1,I103/I$4,"")</f>
        <v/>
      </c>
      <c r="M103" s="337"/>
      <c r="N103" s="338"/>
      <c r="O103" s="304">
        <v>0</v>
      </c>
      <c r="P103" s="305">
        <v>0</v>
      </c>
      <c r="Q103" s="305">
        <v>0</v>
      </c>
      <c r="R103" s="211">
        <v>0</v>
      </c>
      <c r="S103" s="212"/>
      <c r="T103" s="213" t="e">
        <v>#DIV/0!</v>
      </c>
      <c r="U103" s="214"/>
      <c r="V103" s="215"/>
      <c r="W103" s="304">
        <v>0</v>
      </c>
      <c r="X103" s="305">
        <v>0</v>
      </c>
      <c r="Y103" s="305">
        <v>0</v>
      </c>
      <c r="Z103" s="211">
        <v>0</v>
      </c>
      <c r="AA103" s="212"/>
      <c r="AB103" s="213" t="e">
        <v>#DIV/0!</v>
      </c>
      <c r="AC103" s="214"/>
      <c r="AD103" s="215"/>
      <c r="AE103" s="336" t="s">
        <v>316</v>
      </c>
      <c r="AF103" s="335"/>
    </row>
    <row r="104" spans="1:32">
      <c r="A104" s="301">
        <v>5</v>
      </c>
      <c r="B104" s="336"/>
      <c r="C104" s="336" t="s">
        <v>128</v>
      </c>
      <c r="D104" s="334" t="s">
        <v>302</v>
      </c>
      <c r="E104" s="336"/>
      <c r="F104" s="339" t="s">
        <v>262</v>
      </c>
      <c r="G104" s="302">
        <v>2</v>
      </c>
      <c r="H104" s="303">
        <v>3840</v>
      </c>
      <c r="I104" s="303">
        <v>7680</v>
      </c>
      <c r="J104" s="211"/>
      <c r="K104" s="212" t="str">
        <f>IF(OR(J104="",G104=J104),"","*")</f>
        <v/>
      </c>
      <c r="L104" s="332" t="str">
        <f>IF($A104&lt;=L$1,I104/I$4,"")</f>
        <v/>
      </c>
      <c r="M104" s="337"/>
      <c r="N104" s="338"/>
      <c r="O104" s="304">
        <v>0</v>
      </c>
      <c r="P104" s="305">
        <v>0</v>
      </c>
      <c r="Q104" s="305">
        <v>0</v>
      </c>
      <c r="R104" s="211">
        <v>0</v>
      </c>
      <c r="S104" s="212"/>
      <c r="T104" s="213" t="e">
        <v>#DIV/0!</v>
      </c>
      <c r="U104" s="214"/>
      <c r="V104" s="215"/>
      <c r="W104" s="304">
        <v>0</v>
      </c>
      <c r="X104" s="305">
        <v>0</v>
      </c>
      <c r="Y104" s="305">
        <v>0</v>
      </c>
      <c r="Z104" s="211">
        <v>0</v>
      </c>
      <c r="AA104" s="212"/>
      <c r="AB104" s="213" t="e">
        <v>#DIV/0!</v>
      </c>
      <c r="AC104" s="214"/>
      <c r="AD104" s="215"/>
      <c r="AE104" s="336"/>
      <c r="AF104" s="335"/>
    </row>
    <row r="105" spans="1:32">
      <c r="A105" s="301">
        <v>5</v>
      </c>
      <c r="B105" s="336"/>
      <c r="C105" s="336" t="s">
        <v>128</v>
      </c>
      <c r="D105" s="334" t="s">
        <v>317</v>
      </c>
      <c r="E105" s="336" t="s">
        <v>261</v>
      </c>
      <c r="F105" s="339" t="s">
        <v>262</v>
      </c>
      <c r="G105" s="302">
        <v>2</v>
      </c>
      <c r="H105" s="303">
        <v>3200</v>
      </c>
      <c r="I105" s="303">
        <v>6400</v>
      </c>
      <c r="J105" s="211"/>
      <c r="K105" s="212" t="str">
        <f>IF(OR(J105="",G105=J105),"","*")</f>
        <v/>
      </c>
      <c r="L105" s="332" t="str">
        <f>IF($A105&lt;=L$1,I105/I$4,"")</f>
        <v/>
      </c>
      <c r="M105" s="337"/>
      <c r="N105" s="338"/>
      <c r="O105" s="304">
        <v>0</v>
      </c>
      <c r="P105" s="305">
        <v>0</v>
      </c>
      <c r="Q105" s="305">
        <v>0</v>
      </c>
      <c r="R105" s="211">
        <v>0</v>
      </c>
      <c r="S105" s="212"/>
      <c r="T105" s="213" t="e">
        <v>#DIV/0!</v>
      </c>
      <c r="U105" s="214"/>
      <c r="V105" s="215"/>
      <c r="W105" s="304">
        <v>0</v>
      </c>
      <c r="X105" s="305">
        <v>0</v>
      </c>
      <c r="Y105" s="305">
        <v>0</v>
      </c>
      <c r="Z105" s="211">
        <v>0</v>
      </c>
      <c r="AA105" s="212"/>
      <c r="AB105" s="213" t="e">
        <v>#DIV/0!</v>
      </c>
      <c r="AC105" s="214"/>
      <c r="AD105" s="215"/>
      <c r="AE105" s="336"/>
      <c r="AF105" s="335"/>
    </row>
    <row r="106" spans="1:32">
      <c r="A106" s="301">
        <v>5</v>
      </c>
      <c r="B106" s="336"/>
      <c r="C106" s="336" t="s">
        <v>124</v>
      </c>
      <c r="D106" s="334" t="s">
        <v>310</v>
      </c>
      <c r="E106" s="336" t="s">
        <v>278</v>
      </c>
      <c r="F106" s="339" t="s">
        <v>101</v>
      </c>
      <c r="G106" s="302">
        <v>2</v>
      </c>
      <c r="H106" s="303">
        <v>8000</v>
      </c>
      <c r="I106" s="303">
        <v>16000</v>
      </c>
      <c r="J106" s="211"/>
      <c r="K106" s="212" t="str">
        <f>IF(OR(J106="",G106=J106),"","*")</f>
        <v/>
      </c>
      <c r="L106" s="332" t="str">
        <f>IF($A106&lt;=L$1,I106/I$4,"")</f>
        <v/>
      </c>
      <c r="M106" s="337"/>
      <c r="N106" s="338"/>
      <c r="O106" s="304">
        <v>0</v>
      </c>
      <c r="P106" s="305">
        <v>0</v>
      </c>
      <c r="Q106" s="305">
        <v>0</v>
      </c>
      <c r="R106" s="211">
        <v>0</v>
      </c>
      <c r="S106" s="212"/>
      <c r="T106" s="213" t="e">
        <v>#DIV/0!</v>
      </c>
      <c r="U106" s="214"/>
      <c r="V106" s="215"/>
      <c r="W106" s="304">
        <v>0</v>
      </c>
      <c r="X106" s="305">
        <v>0</v>
      </c>
      <c r="Y106" s="305">
        <v>0</v>
      </c>
      <c r="Z106" s="211">
        <v>0</v>
      </c>
      <c r="AA106" s="212"/>
      <c r="AB106" s="213" t="e">
        <v>#DIV/0!</v>
      </c>
      <c r="AC106" s="214"/>
      <c r="AD106" s="215"/>
      <c r="AE106" s="336" t="s">
        <v>279</v>
      </c>
      <c r="AF106" s="335"/>
    </row>
    <row r="107" spans="1:32">
      <c r="A107" s="301">
        <v>5</v>
      </c>
      <c r="B107" s="336"/>
      <c r="C107" s="336" t="s">
        <v>124</v>
      </c>
      <c r="D107" s="334" t="s">
        <v>308</v>
      </c>
      <c r="E107" s="336"/>
      <c r="F107" s="339" t="s">
        <v>101</v>
      </c>
      <c r="G107" s="302">
        <v>2</v>
      </c>
      <c r="H107" s="303">
        <v>1000</v>
      </c>
      <c r="I107" s="303">
        <v>2000</v>
      </c>
      <c r="J107" s="211"/>
      <c r="K107" s="212" t="str">
        <f>IF(OR(J107="",G107=J107),"","*")</f>
        <v/>
      </c>
      <c r="L107" s="332" t="str">
        <f>IF($A107&lt;=L$1,I107/I$4,"")</f>
        <v/>
      </c>
      <c r="M107" s="337"/>
      <c r="N107" s="338"/>
      <c r="O107" s="304">
        <v>0</v>
      </c>
      <c r="P107" s="305">
        <v>0</v>
      </c>
      <c r="Q107" s="305">
        <v>0</v>
      </c>
      <c r="R107" s="211">
        <v>0</v>
      </c>
      <c r="S107" s="212"/>
      <c r="T107" s="213" t="e">
        <v>#DIV/0!</v>
      </c>
      <c r="U107" s="214"/>
      <c r="V107" s="215"/>
      <c r="W107" s="304">
        <v>0</v>
      </c>
      <c r="X107" s="305">
        <v>0</v>
      </c>
      <c r="Y107" s="305">
        <v>0</v>
      </c>
      <c r="Z107" s="211">
        <v>0</v>
      </c>
      <c r="AA107" s="212"/>
      <c r="AB107" s="213" t="e">
        <v>#DIV/0!</v>
      </c>
      <c r="AC107" s="214"/>
      <c r="AD107" s="215"/>
      <c r="AE107" s="336" t="s">
        <v>272</v>
      </c>
      <c r="AF107" s="335"/>
    </row>
    <row r="108" spans="1:32">
      <c r="A108" s="301">
        <v>5</v>
      </c>
      <c r="B108" s="336"/>
      <c r="C108" s="336" t="s">
        <v>124</v>
      </c>
      <c r="D108" s="334" t="s">
        <v>309</v>
      </c>
      <c r="E108" s="336"/>
      <c r="F108" s="339" t="s">
        <v>101</v>
      </c>
      <c r="G108" s="302">
        <v>2</v>
      </c>
      <c r="H108" s="303">
        <v>1000</v>
      </c>
      <c r="I108" s="303">
        <v>2000</v>
      </c>
      <c r="J108" s="211"/>
      <c r="K108" s="212" t="str">
        <f>IF(OR(J108="",G108=J108),"","*")</f>
        <v/>
      </c>
      <c r="L108" s="332" t="str">
        <f>IF($A108&lt;=L$1,I108/I$4,"")</f>
        <v/>
      </c>
      <c r="M108" s="337"/>
      <c r="N108" s="338"/>
      <c r="O108" s="304">
        <v>0</v>
      </c>
      <c r="P108" s="305">
        <v>0</v>
      </c>
      <c r="Q108" s="305">
        <v>0</v>
      </c>
      <c r="R108" s="211">
        <v>0</v>
      </c>
      <c r="S108" s="212"/>
      <c r="T108" s="213" t="e">
        <v>#DIV/0!</v>
      </c>
      <c r="U108" s="214"/>
      <c r="V108" s="215"/>
      <c r="W108" s="304">
        <v>0</v>
      </c>
      <c r="X108" s="305">
        <v>0</v>
      </c>
      <c r="Y108" s="305">
        <v>0</v>
      </c>
      <c r="Z108" s="211">
        <v>0</v>
      </c>
      <c r="AA108" s="212"/>
      <c r="AB108" s="213" t="e">
        <v>#DIV/0!</v>
      </c>
      <c r="AC108" s="214"/>
      <c r="AD108" s="215"/>
      <c r="AE108" s="336" t="s">
        <v>274</v>
      </c>
      <c r="AF108" s="335"/>
    </row>
    <row r="109" spans="1:32">
      <c r="A109" s="301">
        <v>5</v>
      </c>
      <c r="B109" s="336"/>
      <c r="C109" s="336" t="s">
        <v>125</v>
      </c>
      <c r="D109" s="334" t="s">
        <v>312</v>
      </c>
      <c r="E109" s="336"/>
      <c r="F109" s="339" t="s">
        <v>101</v>
      </c>
      <c r="G109" s="302">
        <v>2</v>
      </c>
      <c r="H109" s="303">
        <v>6000</v>
      </c>
      <c r="I109" s="303">
        <v>12000</v>
      </c>
      <c r="J109" s="211"/>
      <c r="K109" s="212" t="str">
        <f>IF(OR(J109="",G109=J109),"","*")</f>
        <v/>
      </c>
      <c r="L109" s="332" t="str">
        <f>IF($A109&lt;=L$1,I109/I$4,"")</f>
        <v/>
      </c>
      <c r="M109" s="337"/>
      <c r="N109" s="338"/>
      <c r="O109" s="304">
        <v>0</v>
      </c>
      <c r="P109" s="305">
        <v>0</v>
      </c>
      <c r="Q109" s="305">
        <v>0</v>
      </c>
      <c r="R109" s="211">
        <v>0</v>
      </c>
      <c r="S109" s="212"/>
      <c r="T109" s="213" t="e">
        <v>#DIV/0!</v>
      </c>
      <c r="U109" s="214"/>
      <c r="V109" s="215"/>
      <c r="W109" s="304">
        <v>0</v>
      </c>
      <c r="X109" s="305">
        <v>0</v>
      </c>
      <c r="Y109" s="305">
        <v>0</v>
      </c>
      <c r="Z109" s="211">
        <v>0</v>
      </c>
      <c r="AA109" s="212"/>
      <c r="AB109" s="213" t="e">
        <v>#DIV/0!</v>
      </c>
      <c r="AC109" s="214"/>
      <c r="AD109" s="215"/>
      <c r="AE109" s="336"/>
      <c r="AF109" s="335"/>
    </row>
    <row r="110" spans="1:32">
      <c r="A110" s="301">
        <v>5</v>
      </c>
      <c r="B110" s="336"/>
      <c r="C110" s="336"/>
      <c r="D110" s="334" t="s">
        <v>313</v>
      </c>
      <c r="E110" s="336"/>
      <c r="F110" s="339" t="s">
        <v>92</v>
      </c>
      <c r="G110" s="302">
        <v>1</v>
      </c>
      <c r="H110" s="303">
        <v>21000</v>
      </c>
      <c r="I110" s="303">
        <v>21000</v>
      </c>
      <c r="J110" s="211"/>
      <c r="K110" s="212" t="str">
        <f>IF(OR(J110="",G110=J110),"","*")</f>
        <v/>
      </c>
      <c r="L110" s="332" t="str">
        <f>IF($A110&lt;=L$1,I110/I$4,"")</f>
        <v/>
      </c>
      <c r="M110" s="337"/>
      <c r="N110" s="338"/>
      <c r="O110" s="304">
        <v>0</v>
      </c>
      <c r="P110" s="305">
        <v>0</v>
      </c>
      <c r="Q110" s="305">
        <v>0</v>
      </c>
      <c r="R110" s="211">
        <v>0</v>
      </c>
      <c r="S110" s="212"/>
      <c r="T110" s="213" t="e">
        <v>#DIV/0!</v>
      </c>
      <c r="U110" s="214"/>
      <c r="V110" s="215"/>
      <c r="W110" s="304">
        <v>0</v>
      </c>
      <c r="X110" s="305">
        <v>0</v>
      </c>
      <c r="Y110" s="305">
        <v>0</v>
      </c>
      <c r="Z110" s="211">
        <v>0</v>
      </c>
      <c r="AA110" s="212"/>
      <c r="AB110" s="213" t="e">
        <v>#DIV/0!</v>
      </c>
      <c r="AC110" s="214"/>
      <c r="AD110" s="215"/>
      <c r="AE110" s="336"/>
      <c r="AF110" s="335"/>
    </row>
    <row r="111" spans="1:32">
      <c r="A111" s="301">
        <v>5</v>
      </c>
      <c r="B111" s="336"/>
      <c r="C111" s="336"/>
      <c r="D111" s="334" t="s">
        <v>314</v>
      </c>
      <c r="E111" s="336"/>
      <c r="F111" s="339" t="s">
        <v>92</v>
      </c>
      <c r="G111" s="302">
        <v>1</v>
      </c>
      <c r="H111" s="303">
        <v>420</v>
      </c>
      <c r="I111" s="303">
        <v>420</v>
      </c>
      <c r="J111" s="211"/>
      <c r="K111" s="212" t="str">
        <f>IF(OR(J111="",G111=J111),"","*")</f>
        <v/>
      </c>
      <c r="L111" s="332" t="str">
        <f>IF($A111&lt;=L$1,I111/I$4,"")</f>
        <v/>
      </c>
      <c r="M111" s="337"/>
      <c r="N111" s="338"/>
      <c r="O111" s="304">
        <v>0</v>
      </c>
      <c r="P111" s="305">
        <v>0</v>
      </c>
      <c r="Q111" s="305">
        <v>0</v>
      </c>
      <c r="R111" s="211">
        <v>0</v>
      </c>
      <c r="S111" s="212"/>
      <c r="T111" s="213" t="e">
        <v>#DIV/0!</v>
      </c>
      <c r="U111" s="214"/>
      <c r="V111" s="215"/>
      <c r="W111" s="304">
        <v>0</v>
      </c>
      <c r="X111" s="305">
        <v>0</v>
      </c>
      <c r="Y111" s="305">
        <v>0</v>
      </c>
      <c r="Z111" s="211">
        <v>0</v>
      </c>
      <c r="AA111" s="212"/>
      <c r="AB111" s="213" t="e">
        <v>#DIV/0!</v>
      </c>
      <c r="AC111" s="214"/>
      <c r="AD111" s="215"/>
      <c r="AE111" s="336"/>
      <c r="AF111" s="335"/>
    </row>
    <row r="112" spans="1:32">
      <c r="A112" s="301">
        <v>5</v>
      </c>
      <c r="B112" s="336"/>
      <c r="C112" s="336" t="s">
        <v>121</v>
      </c>
      <c r="D112" s="334" t="s">
        <v>299</v>
      </c>
      <c r="E112" s="336"/>
      <c r="F112" s="339" t="s">
        <v>258</v>
      </c>
      <c r="G112" s="302">
        <v>30</v>
      </c>
      <c r="H112" s="303">
        <v>150</v>
      </c>
      <c r="I112" s="303">
        <v>4500</v>
      </c>
      <c r="J112" s="211"/>
      <c r="K112" s="212" t="str">
        <f>IF(OR(J112="",G112=J112),"","*")</f>
        <v/>
      </c>
      <c r="L112" s="332" t="str">
        <f>IF($A112&lt;=L$1,I112/I$4,"")</f>
        <v/>
      </c>
      <c r="M112" s="337"/>
      <c r="N112" s="338"/>
      <c r="O112" s="304">
        <v>0</v>
      </c>
      <c r="P112" s="305">
        <v>0</v>
      </c>
      <c r="Q112" s="305">
        <v>0</v>
      </c>
      <c r="R112" s="211">
        <v>0</v>
      </c>
      <c r="S112" s="212"/>
      <c r="T112" s="213" t="e">
        <v>#DIV/0!</v>
      </c>
      <c r="U112" s="214"/>
      <c r="V112" s="215"/>
      <c r="W112" s="304">
        <v>0</v>
      </c>
      <c r="X112" s="305">
        <v>0</v>
      </c>
      <c r="Y112" s="305">
        <v>0</v>
      </c>
      <c r="Z112" s="211">
        <v>0</v>
      </c>
      <c r="AA112" s="212"/>
      <c r="AB112" s="213" t="e">
        <v>#DIV/0!</v>
      </c>
      <c r="AC112" s="214"/>
      <c r="AD112" s="215"/>
      <c r="AE112" s="336" t="s">
        <v>259</v>
      </c>
      <c r="AF112" s="335"/>
    </row>
    <row r="113" spans="1:32">
      <c r="A113" s="301">
        <v>4</v>
      </c>
      <c r="B113" s="336"/>
      <c r="C113" s="336"/>
      <c r="D113" s="334" t="s">
        <v>348</v>
      </c>
      <c r="E113" s="336"/>
      <c r="F113" s="339" t="s">
        <v>92</v>
      </c>
      <c r="G113" s="302">
        <v>1</v>
      </c>
      <c r="H113" s="303">
        <v>20000</v>
      </c>
      <c r="I113" s="303">
        <v>20000</v>
      </c>
      <c r="J113" s="211"/>
      <c r="K113" s="212" t="str">
        <f>IF(OR(J113="",G113=J113),"","*")</f>
        <v/>
      </c>
      <c r="L113" s="332" t="str">
        <f>IF($A113&lt;=L$1,I113/I$4,"")</f>
        <v/>
      </c>
      <c r="M113" s="337"/>
      <c r="N113" s="338"/>
      <c r="O113" s="304">
        <v>0</v>
      </c>
      <c r="P113" s="305">
        <v>0</v>
      </c>
      <c r="Q113" s="305">
        <v>0</v>
      </c>
      <c r="R113" s="211">
        <v>0</v>
      </c>
      <c r="S113" s="212"/>
      <c r="T113" s="213" t="e">
        <v>#DIV/0!</v>
      </c>
      <c r="U113" s="214"/>
      <c r="V113" s="215"/>
      <c r="W113" s="304">
        <v>0</v>
      </c>
      <c r="X113" s="305">
        <v>0</v>
      </c>
      <c r="Y113" s="305">
        <v>0</v>
      </c>
      <c r="Z113" s="211">
        <v>0</v>
      </c>
      <c r="AA113" s="212"/>
      <c r="AB113" s="213" t="e">
        <v>#DIV/0!</v>
      </c>
      <c r="AC113" s="214"/>
      <c r="AD113" s="215"/>
      <c r="AE113" s="336"/>
      <c r="AF113" s="335"/>
    </row>
    <row r="114" spans="1:32">
      <c r="A114" s="301">
        <v>4</v>
      </c>
      <c r="B114" s="336"/>
      <c r="C114" s="336" t="s">
        <v>296</v>
      </c>
      <c r="D114" s="334" t="s">
        <v>349</v>
      </c>
      <c r="E114" s="336"/>
      <c r="F114" s="339" t="s">
        <v>92</v>
      </c>
      <c r="G114" s="302">
        <v>1</v>
      </c>
      <c r="H114" s="303">
        <v>594400</v>
      </c>
      <c r="I114" s="303">
        <v>594400</v>
      </c>
      <c r="J114" s="211">
        <v>1</v>
      </c>
      <c r="K114" s="212" t="str">
        <f>IF(OR(J114="",G114=J114),"","*")</f>
        <v/>
      </c>
      <c r="L114" s="332" t="str">
        <f>IF($A114&lt;=L$1,I114/I$4,"")</f>
        <v/>
      </c>
      <c r="M114" s="337"/>
      <c r="N114" s="338" t="s">
        <v>350</v>
      </c>
      <c r="O114" s="304">
        <v>0</v>
      </c>
      <c r="P114" s="305">
        <v>0</v>
      </c>
      <c r="Q114" s="305">
        <v>0</v>
      </c>
      <c r="R114" s="211">
        <v>0</v>
      </c>
      <c r="S114" s="212"/>
      <c r="T114" s="213" t="e">
        <v>#DIV/0!</v>
      </c>
      <c r="U114" s="214"/>
      <c r="V114" s="215"/>
      <c r="W114" s="304">
        <v>0</v>
      </c>
      <c r="X114" s="305">
        <v>0</v>
      </c>
      <c r="Y114" s="305">
        <v>0</v>
      </c>
      <c r="Z114" s="211">
        <v>0</v>
      </c>
      <c r="AA114" s="212"/>
      <c r="AB114" s="213" t="e">
        <v>#DIV/0!</v>
      </c>
      <c r="AC114" s="214"/>
      <c r="AD114" s="215"/>
      <c r="AE114" s="336"/>
      <c r="AF114" s="335"/>
    </row>
    <row r="115" spans="1:32">
      <c r="A115" s="301">
        <v>5</v>
      </c>
      <c r="B115" s="336"/>
      <c r="C115" s="336"/>
      <c r="D115" s="334" t="s">
        <v>351</v>
      </c>
      <c r="E115" s="336"/>
      <c r="F115" s="339" t="s">
        <v>102</v>
      </c>
      <c r="G115" s="302">
        <v>64</v>
      </c>
      <c r="H115" s="303">
        <v>7400</v>
      </c>
      <c r="I115" s="303">
        <v>473600</v>
      </c>
      <c r="J115" s="211"/>
      <c r="K115" s="212" t="str">
        <f>IF(OR(J115="",G115=J115),"","*")</f>
        <v/>
      </c>
      <c r="L115" s="332" t="str">
        <f>IF($A115&lt;=L$1,I115/I$4,"")</f>
        <v/>
      </c>
      <c r="M115" s="337"/>
      <c r="N115" s="338"/>
      <c r="O115" s="304">
        <v>0</v>
      </c>
      <c r="P115" s="305">
        <v>0</v>
      </c>
      <c r="Q115" s="305">
        <v>0</v>
      </c>
      <c r="R115" s="211">
        <v>0</v>
      </c>
      <c r="S115" s="212"/>
      <c r="T115" s="213" t="e">
        <v>#DIV/0!</v>
      </c>
      <c r="U115" s="214"/>
      <c r="V115" s="215"/>
      <c r="W115" s="304">
        <v>0</v>
      </c>
      <c r="X115" s="305">
        <v>0</v>
      </c>
      <c r="Y115" s="305">
        <v>0</v>
      </c>
      <c r="Z115" s="211">
        <v>0</v>
      </c>
      <c r="AA115" s="212"/>
      <c r="AB115" s="213" t="e">
        <v>#DIV/0!</v>
      </c>
      <c r="AC115" s="214"/>
      <c r="AD115" s="215"/>
      <c r="AE115" s="336"/>
      <c r="AF115" s="335"/>
    </row>
    <row r="116" spans="1:32">
      <c r="A116" s="301">
        <v>5</v>
      </c>
      <c r="B116" s="336"/>
      <c r="C116" s="336"/>
      <c r="D116" s="334" t="s">
        <v>352</v>
      </c>
      <c r="E116" s="336"/>
      <c r="F116" s="339" t="s">
        <v>102</v>
      </c>
      <c r="G116" s="302">
        <v>63</v>
      </c>
      <c r="H116" s="303">
        <v>1600</v>
      </c>
      <c r="I116" s="303">
        <v>100800</v>
      </c>
      <c r="J116" s="211"/>
      <c r="K116" s="212" t="str">
        <f>IF(OR(J116="",G116=J116),"","*")</f>
        <v/>
      </c>
      <c r="L116" s="332" t="str">
        <f>IF($A116&lt;=L$1,I116/I$4,"")</f>
        <v/>
      </c>
      <c r="M116" s="337"/>
      <c r="N116" s="338"/>
      <c r="O116" s="304">
        <v>0</v>
      </c>
      <c r="P116" s="305">
        <v>0</v>
      </c>
      <c r="Q116" s="305">
        <v>0</v>
      </c>
      <c r="R116" s="211">
        <v>0</v>
      </c>
      <c r="S116" s="212"/>
      <c r="T116" s="213" t="e">
        <v>#DIV/0!</v>
      </c>
      <c r="U116" s="214"/>
      <c r="V116" s="215"/>
      <c r="W116" s="304">
        <v>0</v>
      </c>
      <c r="X116" s="305">
        <v>0</v>
      </c>
      <c r="Y116" s="305">
        <v>0</v>
      </c>
      <c r="Z116" s="211">
        <v>0</v>
      </c>
      <c r="AA116" s="212"/>
      <c r="AB116" s="213" t="e">
        <v>#DIV/0!</v>
      </c>
      <c r="AC116" s="214"/>
      <c r="AD116" s="215"/>
      <c r="AE116" s="336"/>
      <c r="AF116" s="335"/>
    </row>
    <row r="117" spans="1:32">
      <c r="A117" s="301">
        <v>5</v>
      </c>
      <c r="B117" s="336"/>
      <c r="C117" s="336"/>
      <c r="D117" s="334" t="s">
        <v>353</v>
      </c>
      <c r="E117" s="336"/>
      <c r="F117" s="339" t="s">
        <v>92</v>
      </c>
      <c r="G117" s="302">
        <v>1</v>
      </c>
      <c r="H117" s="303">
        <v>20000</v>
      </c>
      <c r="I117" s="303">
        <v>20000</v>
      </c>
      <c r="J117" s="211"/>
      <c r="K117" s="212" t="str">
        <f>IF(OR(J117="",G117=J117),"","*")</f>
        <v/>
      </c>
      <c r="L117" s="332" t="str">
        <f>IF($A117&lt;=L$1,I117/I$4,"")</f>
        <v/>
      </c>
      <c r="M117" s="337"/>
      <c r="N117" s="338"/>
      <c r="O117" s="304">
        <v>0</v>
      </c>
      <c r="P117" s="305">
        <v>0</v>
      </c>
      <c r="Q117" s="305">
        <v>0</v>
      </c>
      <c r="R117" s="211">
        <v>0</v>
      </c>
      <c r="S117" s="212"/>
      <c r="T117" s="213" t="e">
        <v>#DIV/0!</v>
      </c>
      <c r="U117" s="214"/>
      <c r="V117" s="215"/>
      <c r="W117" s="304">
        <v>0</v>
      </c>
      <c r="X117" s="305">
        <v>0</v>
      </c>
      <c r="Y117" s="305">
        <v>0</v>
      </c>
      <c r="Z117" s="211">
        <v>0</v>
      </c>
      <c r="AA117" s="212"/>
      <c r="AB117" s="213" t="e">
        <v>#DIV/0!</v>
      </c>
      <c r="AC117" s="214"/>
      <c r="AD117" s="215"/>
      <c r="AE117" s="336"/>
      <c r="AF117" s="335"/>
    </row>
    <row r="118" spans="1:32">
      <c r="A118" s="301">
        <v>4</v>
      </c>
      <c r="B118" s="336"/>
      <c r="C118" s="336"/>
      <c r="D118" s="334" t="s">
        <v>283</v>
      </c>
      <c r="E118" s="336"/>
      <c r="F118" s="339" t="s">
        <v>92</v>
      </c>
      <c r="G118" s="302">
        <v>1</v>
      </c>
      <c r="H118" s="303">
        <v>3180</v>
      </c>
      <c r="I118" s="303">
        <v>3180</v>
      </c>
      <c r="J118" s="211"/>
      <c r="K118" s="212" t="str">
        <f>IF(OR(J118="",G118=J118),"","*")</f>
        <v/>
      </c>
      <c r="L118" s="332" t="str">
        <f>IF($A118&lt;=L$1,I118/I$4,"")</f>
        <v/>
      </c>
      <c r="M118" s="337"/>
      <c r="N118" s="338"/>
      <c r="O118" s="304">
        <v>0</v>
      </c>
      <c r="P118" s="305">
        <v>0</v>
      </c>
      <c r="Q118" s="305">
        <v>0</v>
      </c>
      <c r="R118" s="211">
        <v>0</v>
      </c>
      <c r="S118" s="212"/>
      <c r="T118" s="213" t="e">
        <v>#DIV/0!</v>
      </c>
      <c r="U118" s="214"/>
      <c r="V118" s="215"/>
      <c r="W118" s="304">
        <v>0</v>
      </c>
      <c r="X118" s="305">
        <v>0</v>
      </c>
      <c r="Y118" s="305">
        <v>0</v>
      </c>
      <c r="Z118" s="211">
        <v>0</v>
      </c>
      <c r="AA118" s="212"/>
      <c r="AB118" s="213" t="e">
        <v>#DIV/0!</v>
      </c>
      <c r="AC118" s="214"/>
      <c r="AD118" s="215"/>
      <c r="AE118" s="336"/>
      <c r="AF118" s="335"/>
    </row>
    <row r="119" spans="1:32">
      <c r="A119" s="301">
        <v>3</v>
      </c>
      <c r="B119" s="336"/>
      <c r="C119" s="336" t="s">
        <v>174</v>
      </c>
      <c r="D119" s="334" t="s">
        <v>354</v>
      </c>
      <c r="E119" s="336"/>
      <c r="F119" s="339" t="s">
        <v>103</v>
      </c>
      <c r="G119" s="302">
        <v>9</v>
      </c>
      <c r="H119" s="303">
        <v>28888.89</v>
      </c>
      <c r="I119" s="303">
        <v>260000</v>
      </c>
      <c r="J119" s="211">
        <v>9</v>
      </c>
      <c r="K119" s="212" t="str">
        <f>IF(OR(J119="",G119=J119),"","*")</f>
        <v/>
      </c>
      <c r="L119" s="332">
        <f>IF($A119&lt;=L$1,I119/I$4,"")</f>
        <v>2.8217929238115912E-2</v>
      </c>
      <c r="M119" s="337"/>
      <c r="N119" s="338" t="s">
        <v>355</v>
      </c>
      <c r="O119" s="304">
        <v>0</v>
      </c>
      <c r="P119" s="305">
        <v>0</v>
      </c>
      <c r="Q119" s="305">
        <v>0</v>
      </c>
      <c r="R119" s="211">
        <v>0</v>
      </c>
      <c r="S119" s="212"/>
      <c r="T119" s="213" t="e">
        <v>#DIV/0!</v>
      </c>
      <c r="U119" s="214"/>
      <c r="V119" s="215"/>
      <c r="W119" s="304">
        <v>0</v>
      </c>
      <c r="X119" s="305">
        <v>0</v>
      </c>
      <c r="Y119" s="305">
        <v>0</v>
      </c>
      <c r="Z119" s="211">
        <v>0</v>
      </c>
      <c r="AA119" s="212"/>
      <c r="AB119" s="213" t="e">
        <v>#DIV/0!</v>
      </c>
      <c r="AC119" s="214"/>
      <c r="AD119" s="215"/>
      <c r="AE119" s="336"/>
      <c r="AF119" s="335"/>
    </row>
    <row r="120" spans="1:32">
      <c r="A120" s="301">
        <v>4</v>
      </c>
      <c r="B120" s="336"/>
      <c r="C120" s="336"/>
      <c r="D120" s="334" t="s">
        <v>356</v>
      </c>
      <c r="E120" s="336" t="s">
        <v>357</v>
      </c>
      <c r="F120" s="339" t="s">
        <v>358</v>
      </c>
      <c r="G120" s="302">
        <v>9</v>
      </c>
      <c r="H120" s="303">
        <v>12300</v>
      </c>
      <c r="I120" s="303">
        <v>110700</v>
      </c>
      <c r="J120" s="211"/>
      <c r="K120" s="212" t="str">
        <f>IF(OR(J120="",G120=J120),"","*")</f>
        <v/>
      </c>
      <c r="L120" s="332" t="str">
        <f>IF($A120&lt;=L$1,I120/I$4,"")</f>
        <v/>
      </c>
      <c r="M120" s="337"/>
      <c r="N120" s="338"/>
      <c r="O120" s="304">
        <v>0</v>
      </c>
      <c r="P120" s="305">
        <v>0</v>
      </c>
      <c r="Q120" s="305">
        <v>0</v>
      </c>
      <c r="R120" s="211">
        <v>0</v>
      </c>
      <c r="S120" s="212"/>
      <c r="T120" s="213" t="e">
        <v>#DIV/0!</v>
      </c>
      <c r="U120" s="214"/>
      <c r="V120" s="215"/>
      <c r="W120" s="304">
        <v>0</v>
      </c>
      <c r="X120" s="305">
        <v>0</v>
      </c>
      <c r="Y120" s="305">
        <v>0</v>
      </c>
      <c r="Z120" s="211">
        <v>0</v>
      </c>
      <c r="AA120" s="212"/>
      <c r="AB120" s="213" t="e">
        <v>#DIV/0!</v>
      </c>
      <c r="AC120" s="214"/>
      <c r="AD120" s="215"/>
      <c r="AE120" s="336"/>
      <c r="AF120" s="335"/>
    </row>
    <row r="121" spans="1:32">
      <c r="A121" s="301">
        <v>4</v>
      </c>
      <c r="B121" s="336"/>
      <c r="C121" s="336"/>
      <c r="D121" s="334" t="s">
        <v>359</v>
      </c>
      <c r="E121" s="336"/>
      <c r="F121" s="339" t="s">
        <v>358</v>
      </c>
      <c r="G121" s="302">
        <v>2</v>
      </c>
      <c r="H121" s="303">
        <v>4030</v>
      </c>
      <c r="I121" s="303">
        <v>8060</v>
      </c>
      <c r="J121" s="211"/>
      <c r="K121" s="212" t="str">
        <f>IF(OR(J121="",G121=J121),"","*")</f>
        <v/>
      </c>
      <c r="L121" s="332" t="str">
        <f>IF($A121&lt;=L$1,I121/I$4,"")</f>
        <v/>
      </c>
      <c r="M121" s="337"/>
      <c r="N121" s="338"/>
      <c r="O121" s="304">
        <v>0</v>
      </c>
      <c r="P121" s="305">
        <v>0</v>
      </c>
      <c r="Q121" s="305">
        <v>0</v>
      </c>
      <c r="R121" s="211">
        <v>0</v>
      </c>
      <c r="S121" s="212"/>
      <c r="T121" s="213" t="e">
        <v>#DIV/0!</v>
      </c>
      <c r="U121" s="214"/>
      <c r="V121" s="215"/>
      <c r="W121" s="304">
        <v>0</v>
      </c>
      <c r="X121" s="305">
        <v>0</v>
      </c>
      <c r="Y121" s="305">
        <v>0</v>
      </c>
      <c r="Z121" s="211">
        <v>0</v>
      </c>
      <c r="AA121" s="212"/>
      <c r="AB121" s="213" t="e">
        <v>#DIV/0!</v>
      </c>
      <c r="AC121" s="214"/>
      <c r="AD121" s="215"/>
      <c r="AE121" s="336"/>
      <c r="AF121" s="335"/>
    </row>
    <row r="122" spans="1:32">
      <c r="A122" s="301">
        <v>4</v>
      </c>
      <c r="B122" s="336"/>
      <c r="C122" s="336"/>
      <c r="D122" s="334" t="s">
        <v>345</v>
      </c>
      <c r="E122" s="336"/>
      <c r="F122" s="339" t="s">
        <v>92</v>
      </c>
      <c r="G122" s="302">
        <v>1</v>
      </c>
      <c r="H122" s="303">
        <v>2000</v>
      </c>
      <c r="I122" s="303">
        <v>2000</v>
      </c>
      <c r="J122" s="211"/>
      <c r="K122" s="212" t="str">
        <f>IF(OR(J122="",G122=J122),"","*")</f>
        <v/>
      </c>
      <c r="L122" s="332" t="str">
        <f>IF($A122&lt;=L$1,I122/I$4,"")</f>
        <v/>
      </c>
      <c r="M122" s="337"/>
      <c r="N122" s="338"/>
      <c r="O122" s="304">
        <v>0</v>
      </c>
      <c r="P122" s="305">
        <v>0</v>
      </c>
      <c r="Q122" s="305">
        <v>0</v>
      </c>
      <c r="R122" s="211">
        <v>0</v>
      </c>
      <c r="S122" s="212"/>
      <c r="T122" s="213" t="e">
        <v>#DIV/0!</v>
      </c>
      <c r="U122" s="214"/>
      <c r="V122" s="215"/>
      <c r="W122" s="304">
        <v>0</v>
      </c>
      <c r="X122" s="305">
        <v>0</v>
      </c>
      <c r="Y122" s="305">
        <v>0</v>
      </c>
      <c r="Z122" s="211">
        <v>0</v>
      </c>
      <c r="AA122" s="212"/>
      <c r="AB122" s="213" t="e">
        <v>#DIV/0!</v>
      </c>
      <c r="AC122" s="214"/>
      <c r="AD122" s="215"/>
      <c r="AE122" s="336"/>
      <c r="AF122" s="335"/>
    </row>
    <row r="123" spans="1:32">
      <c r="A123" s="301">
        <v>4</v>
      </c>
      <c r="B123" s="336"/>
      <c r="C123" s="336"/>
      <c r="D123" s="334" t="s">
        <v>360</v>
      </c>
      <c r="E123" s="336" t="s">
        <v>361</v>
      </c>
      <c r="F123" s="339" t="s">
        <v>92</v>
      </c>
      <c r="G123" s="302">
        <v>1</v>
      </c>
      <c r="H123" s="303">
        <v>100000</v>
      </c>
      <c r="I123" s="303">
        <v>100000</v>
      </c>
      <c r="J123" s="211"/>
      <c r="K123" s="212" t="str">
        <f>IF(OR(J123="",G123=J123),"","*")</f>
        <v/>
      </c>
      <c r="L123" s="332" t="str">
        <f>IF($A123&lt;=L$1,I123/I$4,"")</f>
        <v/>
      </c>
      <c r="M123" s="337"/>
      <c r="N123" s="338"/>
      <c r="O123" s="304">
        <v>0</v>
      </c>
      <c r="P123" s="305">
        <v>0</v>
      </c>
      <c r="Q123" s="305">
        <v>0</v>
      </c>
      <c r="R123" s="211">
        <v>0</v>
      </c>
      <c r="S123" s="212"/>
      <c r="T123" s="213" t="e">
        <v>#DIV/0!</v>
      </c>
      <c r="U123" s="214"/>
      <c r="V123" s="215"/>
      <c r="W123" s="304">
        <v>0</v>
      </c>
      <c r="X123" s="305">
        <v>0</v>
      </c>
      <c r="Y123" s="305">
        <v>0</v>
      </c>
      <c r="Z123" s="211">
        <v>0</v>
      </c>
      <c r="AA123" s="212"/>
      <c r="AB123" s="213" t="e">
        <v>#DIV/0!</v>
      </c>
      <c r="AC123" s="214"/>
      <c r="AD123" s="215"/>
      <c r="AE123" s="336"/>
      <c r="AF123" s="335"/>
    </row>
    <row r="124" spans="1:32">
      <c r="A124" s="301">
        <v>4</v>
      </c>
      <c r="B124" s="336"/>
      <c r="C124" s="336" t="s">
        <v>296</v>
      </c>
      <c r="D124" s="334" t="s">
        <v>327</v>
      </c>
      <c r="E124" s="336"/>
      <c r="F124" s="339" t="s">
        <v>92</v>
      </c>
      <c r="G124" s="302">
        <v>1</v>
      </c>
      <c r="H124" s="303">
        <v>30000</v>
      </c>
      <c r="I124" s="303">
        <v>30000</v>
      </c>
      <c r="J124" s="211">
        <v>1</v>
      </c>
      <c r="K124" s="212" t="str">
        <f>IF(OR(J124="",G124=J124),"","*")</f>
        <v/>
      </c>
      <c r="L124" s="332" t="str">
        <f>IF($A124&lt;=L$1,I124/I$4,"")</f>
        <v/>
      </c>
      <c r="M124" s="337"/>
      <c r="N124" s="338" t="s">
        <v>362</v>
      </c>
      <c r="O124" s="304">
        <v>0</v>
      </c>
      <c r="P124" s="305">
        <v>0</v>
      </c>
      <c r="Q124" s="305">
        <v>0</v>
      </c>
      <c r="R124" s="211">
        <v>0</v>
      </c>
      <c r="S124" s="212"/>
      <c r="T124" s="213" t="e">
        <v>#DIV/0!</v>
      </c>
      <c r="U124" s="214"/>
      <c r="V124" s="215"/>
      <c r="W124" s="304">
        <v>0</v>
      </c>
      <c r="X124" s="305">
        <v>0</v>
      </c>
      <c r="Y124" s="305">
        <v>0</v>
      </c>
      <c r="Z124" s="211">
        <v>0</v>
      </c>
      <c r="AA124" s="212"/>
      <c r="AB124" s="213" t="e">
        <v>#DIV/0!</v>
      </c>
      <c r="AC124" s="214"/>
      <c r="AD124" s="215"/>
      <c r="AE124" s="336"/>
      <c r="AF124" s="335"/>
    </row>
    <row r="125" spans="1:32">
      <c r="A125" s="301">
        <v>5</v>
      </c>
      <c r="B125" s="336"/>
      <c r="C125" s="336" t="s">
        <v>122</v>
      </c>
      <c r="D125" s="334" t="s">
        <v>300</v>
      </c>
      <c r="E125" s="336" t="s">
        <v>261</v>
      </c>
      <c r="F125" s="339" t="s">
        <v>262</v>
      </c>
      <c r="G125" s="302">
        <v>1</v>
      </c>
      <c r="H125" s="303">
        <v>24000</v>
      </c>
      <c r="I125" s="303">
        <v>24000</v>
      </c>
      <c r="J125" s="211"/>
      <c r="K125" s="212" t="str">
        <f>IF(OR(J125="",G125=J125),"","*")</f>
        <v/>
      </c>
      <c r="L125" s="332" t="str">
        <f>IF($A125&lt;=L$1,I125/I$4,"")</f>
        <v/>
      </c>
      <c r="M125" s="337"/>
      <c r="N125" s="338"/>
      <c r="O125" s="304">
        <v>0</v>
      </c>
      <c r="P125" s="305">
        <v>0</v>
      </c>
      <c r="Q125" s="305">
        <v>0</v>
      </c>
      <c r="R125" s="211">
        <v>0</v>
      </c>
      <c r="S125" s="212"/>
      <c r="T125" s="213" t="e">
        <v>#DIV/0!</v>
      </c>
      <c r="U125" s="214"/>
      <c r="V125" s="215"/>
      <c r="W125" s="304">
        <v>0</v>
      </c>
      <c r="X125" s="305">
        <v>0</v>
      </c>
      <c r="Y125" s="305">
        <v>0</v>
      </c>
      <c r="Z125" s="211">
        <v>0</v>
      </c>
      <c r="AA125" s="212"/>
      <c r="AB125" s="213" t="e">
        <v>#DIV/0!</v>
      </c>
      <c r="AC125" s="214"/>
      <c r="AD125" s="215"/>
      <c r="AE125" s="336" t="s">
        <v>263</v>
      </c>
      <c r="AF125" s="335"/>
    </row>
    <row r="126" spans="1:32">
      <c r="A126" s="301">
        <v>5</v>
      </c>
      <c r="B126" s="336"/>
      <c r="C126" s="336" t="s">
        <v>128</v>
      </c>
      <c r="D126" s="334" t="s">
        <v>302</v>
      </c>
      <c r="E126" s="336"/>
      <c r="F126" s="339" t="s">
        <v>262</v>
      </c>
      <c r="G126" s="302">
        <v>1</v>
      </c>
      <c r="H126" s="303">
        <v>3840</v>
      </c>
      <c r="I126" s="303">
        <v>3840</v>
      </c>
      <c r="J126" s="211"/>
      <c r="K126" s="212" t="str">
        <f>IF(OR(J126="",G126=J126),"","*")</f>
        <v/>
      </c>
      <c r="L126" s="332" t="str">
        <f>IF($A126&lt;=L$1,I126/I$4,"")</f>
        <v/>
      </c>
      <c r="M126" s="337"/>
      <c r="N126" s="338"/>
      <c r="O126" s="304">
        <v>0</v>
      </c>
      <c r="P126" s="305">
        <v>0</v>
      </c>
      <c r="Q126" s="305">
        <v>0</v>
      </c>
      <c r="R126" s="211">
        <v>0</v>
      </c>
      <c r="S126" s="212"/>
      <c r="T126" s="213" t="e">
        <v>#DIV/0!</v>
      </c>
      <c r="U126" s="214"/>
      <c r="V126" s="215"/>
      <c r="W126" s="304">
        <v>0</v>
      </c>
      <c r="X126" s="305">
        <v>0</v>
      </c>
      <c r="Y126" s="305">
        <v>0</v>
      </c>
      <c r="Z126" s="211">
        <v>0</v>
      </c>
      <c r="AA126" s="212"/>
      <c r="AB126" s="213" t="e">
        <v>#DIV/0!</v>
      </c>
      <c r="AC126" s="214"/>
      <c r="AD126" s="215"/>
      <c r="AE126" s="336"/>
      <c r="AF126" s="335"/>
    </row>
    <row r="127" spans="1:32">
      <c r="A127" s="301">
        <v>5</v>
      </c>
      <c r="B127" s="336"/>
      <c r="C127" s="336"/>
      <c r="D127" s="334" t="s">
        <v>314</v>
      </c>
      <c r="E127" s="336"/>
      <c r="F127" s="339" t="s">
        <v>92</v>
      </c>
      <c r="G127" s="302">
        <v>1</v>
      </c>
      <c r="H127" s="303">
        <v>2160</v>
      </c>
      <c r="I127" s="303">
        <v>2160</v>
      </c>
      <c r="J127" s="211"/>
      <c r="K127" s="212" t="str">
        <f>IF(OR(J127="",G127=J127),"","*")</f>
        <v/>
      </c>
      <c r="L127" s="332" t="str">
        <f>IF($A127&lt;=L$1,I127/I$4,"")</f>
        <v/>
      </c>
      <c r="M127" s="337"/>
      <c r="N127" s="338"/>
      <c r="O127" s="304">
        <v>0</v>
      </c>
      <c r="P127" s="305">
        <v>0</v>
      </c>
      <c r="Q127" s="305">
        <v>0</v>
      </c>
      <c r="R127" s="211">
        <v>0</v>
      </c>
      <c r="S127" s="212"/>
      <c r="T127" s="213" t="e">
        <v>#DIV/0!</v>
      </c>
      <c r="U127" s="214"/>
      <c r="V127" s="215"/>
      <c r="W127" s="304">
        <v>0</v>
      </c>
      <c r="X127" s="305">
        <v>0</v>
      </c>
      <c r="Y127" s="305">
        <v>0</v>
      </c>
      <c r="Z127" s="211">
        <v>0</v>
      </c>
      <c r="AA127" s="212"/>
      <c r="AB127" s="213" t="e">
        <v>#DIV/0!</v>
      </c>
      <c r="AC127" s="214"/>
      <c r="AD127" s="215"/>
      <c r="AE127" s="336"/>
      <c r="AF127" s="335"/>
    </row>
    <row r="128" spans="1:32">
      <c r="A128" s="301">
        <v>4</v>
      </c>
      <c r="B128" s="336"/>
      <c r="C128" s="336"/>
      <c r="D128" s="334" t="s">
        <v>283</v>
      </c>
      <c r="E128" s="336"/>
      <c r="F128" s="339" t="s">
        <v>92</v>
      </c>
      <c r="G128" s="302">
        <v>1</v>
      </c>
      <c r="H128" s="303">
        <v>9240</v>
      </c>
      <c r="I128" s="303">
        <v>9240</v>
      </c>
      <c r="J128" s="211"/>
      <c r="K128" s="212" t="str">
        <f>IF(OR(J128="",G128=J128),"","*")</f>
        <v/>
      </c>
      <c r="L128" s="332" t="str">
        <f>IF($A128&lt;=L$1,I128/I$4,"")</f>
        <v/>
      </c>
      <c r="M128" s="337"/>
      <c r="N128" s="338"/>
      <c r="O128" s="304">
        <v>0</v>
      </c>
      <c r="P128" s="305">
        <v>0</v>
      </c>
      <c r="Q128" s="305">
        <v>0</v>
      </c>
      <c r="R128" s="211">
        <v>0</v>
      </c>
      <c r="S128" s="212"/>
      <c r="T128" s="213" t="e">
        <v>#DIV/0!</v>
      </c>
      <c r="U128" s="214"/>
      <c r="V128" s="215"/>
      <c r="W128" s="304">
        <v>0</v>
      </c>
      <c r="X128" s="305">
        <v>0</v>
      </c>
      <c r="Y128" s="305">
        <v>0</v>
      </c>
      <c r="Z128" s="211">
        <v>0</v>
      </c>
      <c r="AA128" s="212"/>
      <c r="AB128" s="213" t="e">
        <v>#DIV/0!</v>
      </c>
      <c r="AC128" s="214"/>
      <c r="AD128" s="215"/>
      <c r="AE128" s="336"/>
      <c r="AF128" s="335"/>
    </row>
    <row r="129" spans="1:32">
      <c r="A129" s="301">
        <v>3</v>
      </c>
      <c r="B129" s="336"/>
      <c r="C129" s="336" t="s">
        <v>174</v>
      </c>
      <c r="D129" s="334" t="s">
        <v>363</v>
      </c>
      <c r="E129" s="336"/>
      <c r="F129" s="339" t="s">
        <v>103</v>
      </c>
      <c r="G129" s="302">
        <v>2</v>
      </c>
      <c r="H129" s="303">
        <v>265000</v>
      </c>
      <c r="I129" s="303">
        <v>530000</v>
      </c>
      <c r="J129" s="211">
        <v>2</v>
      </c>
      <c r="K129" s="212" t="str">
        <f>IF(OR(J129="",G129=J129),"","*")</f>
        <v/>
      </c>
      <c r="L129" s="332">
        <f>IF($A129&lt;=L$1,I129/I$4,"")</f>
        <v>5.7521163446928585E-2</v>
      </c>
      <c r="M129" s="337"/>
      <c r="N129" s="338" t="s">
        <v>364</v>
      </c>
      <c r="O129" s="304">
        <v>0</v>
      </c>
      <c r="P129" s="305">
        <v>0</v>
      </c>
      <c r="Q129" s="305">
        <v>0</v>
      </c>
      <c r="R129" s="211">
        <v>0</v>
      </c>
      <c r="S129" s="212"/>
      <c r="T129" s="213" t="e">
        <v>#DIV/0!</v>
      </c>
      <c r="U129" s="214"/>
      <c r="V129" s="215"/>
      <c r="W129" s="304">
        <v>0</v>
      </c>
      <c r="X129" s="305">
        <v>0</v>
      </c>
      <c r="Y129" s="305">
        <v>0</v>
      </c>
      <c r="Z129" s="211">
        <v>0</v>
      </c>
      <c r="AA129" s="212"/>
      <c r="AB129" s="213" t="e">
        <v>#DIV/0!</v>
      </c>
      <c r="AC129" s="214"/>
      <c r="AD129" s="215"/>
      <c r="AE129" s="336"/>
      <c r="AF129" s="335"/>
    </row>
    <row r="130" spans="1:32">
      <c r="A130" s="301">
        <v>4</v>
      </c>
      <c r="B130" s="336"/>
      <c r="C130" s="336" t="s">
        <v>121</v>
      </c>
      <c r="D130" s="334" t="s">
        <v>365</v>
      </c>
      <c r="E130" s="336" t="s">
        <v>366</v>
      </c>
      <c r="F130" s="339" t="s">
        <v>367</v>
      </c>
      <c r="G130" s="302">
        <v>2</v>
      </c>
      <c r="H130" s="303">
        <v>28300</v>
      </c>
      <c r="I130" s="303">
        <v>56600</v>
      </c>
      <c r="J130" s="211"/>
      <c r="K130" s="212" t="str">
        <f>IF(OR(J130="",G130=J130),"","*")</f>
        <v/>
      </c>
      <c r="L130" s="332" t="str">
        <f>IF($A130&lt;=L$1,I130/I$4,"")</f>
        <v/>
      </c>
      <c r="M130" s="337"/>
      <c r="N130" s="338"/>
      <c r="O130" s="304">
        <v>0</v>
      </c>
      <c r="P130" s="305">
        <v>0</v>
      </c>
      <c r="Q130" s="305">
        <v>0</v>
      </c>
      <c r="R130" s="211">
        <v>0</v>
      </c>
      <c r="S130" s="212"/>
      <c r="T130" s="213" t="e">
        <v>#DIV/0!</v>
      </c>
      <c r="U130" s="214"/>
      <c r="V130" s="215"/>
      <c r="W130" s="304">
        <v>0</v>
      </c>
      <c r="X130" s="305">
        <v>0</v>
      </c>
      <c r="Y130" s="305">
        <v>0</v>
      </c>
      <c r="Z130" s="211">
        <v>0</v>
      </c>
      <c r="AA130" s="212"/>
      <c r="AB130" s="213" t="e">
        <v>#DIV/0!</v>
      </c>
      <c r="AC130" s="214"/>
      <c r="AD130" s="215"/>
      <c r="AE130" s="336" t="s">
        <v>368</v>
      </c>
      <c r="AF130" s="335"/>
    </row>
    <row r="131" spans="1:32">
      <c r="A131" s="301">
        <v>4</v>
      </c>
      <c r="B131" s="336"/>
      <c r="C131" s="336" t="s">
        <v>124</v>
      </c>
      <c r="D131" s="334" t="s">
        <v>369</v>
      </c>
      <c r="E131" s="336" t="s">
        <v>370</v>
      </c>
      <c r="F131" s="339" t="s">
        <v>101</v>
      </c>
      <c r="G131" s="302">
        <v>1</v>
      </c>
      <c r="H131" s="303">
        <v>10000</v>
      </c>
      <c r="I131" s="303">
        <v>10000</v>
      </c>
      <c r="J131" s="211"/>
      <c r="K131" s="212" t="str">
        <f>IF(OR(J131="",G131=J131),"","*")</f>
        <v/>
      </c>
      <c r="L131" s="332" t="str">
        <f>IF($A131&lt;=L$1,I131/I$4,"")</f>
        <v/>
      </c>
      <c r="M131" s="337"/>
      <c r="N131" s="338"/>
      <c r="O131" s="304">
        <v>0</v>
      </c>
      <c r="P131" s="305">
        <v>0</v>
      </c>
      <c r="Q131" s="305">
        <v>0</v>
      </c>
      <c r="R131" s="211">
        <v>0</v>
      </c>
      <c r="S131" s="212"/>
      <c r="T131" s="213" t="e">
        <v>#DIV/0!</v>
      </c>
      <c r="U131" s="214"/>
      <c r="V131" s="215"/>
      <c r="W131" s="304">
        <v>0</v>
      </c>
      <c r="X131" s="305">
        <v>0</v>
      </c>
      <c r="Y131" s="305">
        <v>0</v>
      </c>
      <c r="Z131" s="211">
        <v>0</v>
      </c>
      <c r="AA131" s="212"/>
      <c r="AB131" s="213" t="e">
        <v>#DIV/0!</v>
      </c>
      <c r="AC131" s="214"/>
      <c r="AD131" s="215"/>
      <c r="AE131" s="336"/>
      <c r="AF131" s="335"/>
    </row>
    <row r="132" spans="1:32">
      <c r="A132" s="301">
        <v>4</v>
      </c>
      <c r="B132" s="336"/>
      <c r="C132" s="336"/>
      <c r="D132" s="334" t="s">
        <v>371</v>
      </c>
      <c r="E132" s="336"/>
      <c r="F132" s="339" t="s">
        <v>367</v>
      </c>
      <c r="G132" s="302">
        <v>1</v>
      </c>
      <c r="H132" s="303">
        <v>2000</v>
      </c>
      <c r="I132" s="303">
        <v>2000</v>
      </c>
      <c r="J132" s="211"/>
      <c r="K132" s="212" t="str">
        <f>IF(OR(J132="",G132=J132),"","*")</f>
        <v/>
      </c>
      <c r="L132" s="332" t="str">
        <f>IF($A132&lt;=L$1,I132/I$4,"")</f>
        <v/>
      </c>
      <c r="M132" s="337"/>
      <c r="N132" s="338"/>
      <c r="O132" s="304">
        <v>0</v>
      </c>
      <c r="P132" s="305">
        <v>0</v>
      </c>
      <c r="Q132" s="305">
        <v>0</v>
      </c>
      <c r="R132" s="211">
        <v>0</v>
      </c>
      <c r="S132" s="212"/>
      <c r="T132" s="213" t="e">
        <v>#DIV/0!</v>
      </c>
      <c r="U132" s="214"/>
      <c r="V132" s="215"/>
      <c r="W132" s="304">
        <v>0</v>
      </c>
      <c r="X132" s="305">
        <v>0</v>
      </c>
      <c r="Y132" s="305">
        <v>0</v>
      </c>
      <c r="Z132" s="211">
        <v>0</v>
      </c>
      <c r="AA132" s="212"/>
      <c r="AB132" s="213" t="e">
        <v>#DIV/0!</v>
      </c>
      <c r="AC132" s="214"/>
      <c r="AD132" s="215"/>
      <c r="AE132" s="336"/>
      <c r="AF132" s="335"/>
    </row>
    <row r="133" spans="1:32">
      <c r="A133" s="301">
        <v>4</v>
      </c>
      <c r="B133" s="336"/>
      <c r="C133" s="336"/>
      <c r="D133" s="334" t="s">
        <v>372</v>
      </c>
      <c r="E133" s="336" t="s">
        <v>373</v>
      </c>
      <c r="F133" s="339" t="s">
        <v>374</v>
      </c>
      <c r="G133" s="302">
        <v>710</v>
      </c>
      <c r="H133" s="303">
        <v>250</v>
      </c>
      <c r="I133" s="303">
        <v>177500</v>
      </c>
      <c r="J133" s="211"/>
      <c r="K133" s="212" t="str">
        <f>IF(OR(J133="",G133=J133),"","*")</f>
        <v/>
      </c>
      <c r="L133" s="332" t="str">
        <f>IF($A133&lt;=L$1,I133/I$4,"")</f>
        <v/>
      </c>
      <c r="M133" s="337"/>
      <c r="N133" s="338"/>
      <c r="O133" s="304">
        <v>0</v>
      </c>
      <c r="P133" s="305">
        <v>0</v>
      </c>
      <c r="Q133" s="305">
        <v>0</v>
      </c>
      <c r="R133" s="211">
        <v>0</v>
      </c>
      <c r="S133" s="212"/>
      <c r="T133" s="213" t="e">
        <v>#DIV/0!</v>
      </c>
      <c r="U133" s="214"/>
      <c r="V133" s="215"/>
      <c r="W133" s="304">
        <v>0</v>
      </c>
      <c r="X133" s="305">
        <v>0</v>
      </c>
      <c r="Y133" s="305">
        <v>0</v>
      </c>
      <c r="Z133" s="211">
        <v>0</v>
      </c>
      <c r="AA133" s="212"/>
      <c r="AB133" s="213" t="e">
        <v>#DIV/0!</v>
      </c>
      <c r="AC133" s="214"/>
      <c r="AD133" s="215"/>
      <c r="AE133" s="336"/>
      <c r="AF133" s="335"/>
    </row>
    <row r="134" spans="1:32">
      <c r="A134" s="301">
        <v>4</v>
      </c>
      <c r="B134" s="336"/>
      <c r="C134" s="336"/>
      <c r="D134" s="334" t="s">
        <v>375</v>
      </c>
      <c r="E134" s="336" t="s">
        <v>376</v>
      </c>
      <c r="F134" s="339" t="s">
        <v>358</v>
      </c>
      <c r="G134" s="302">
        <v>2</v>
      </c>
      <c r="H134" s="303">
        <v>5000</v>
      </c>
      <c r="I134" s="303">
        <v>10000</v>
      </c>
      <c r="J134" s="211"/>
      <c r="K134" s="212" t="str">
        <f>IF(OR(J134="",G134=J134),"","*")</f>
        <v/>
      </c>
      <c r="L134" s="332" t="str">
        <f>IF($A134&lt;=L$1,I134/I$4,"")</f>
        <v/>
      </c>
      <c r="M134" s="337"/>
      <c r="N134" s="338"/>
      <c r="O134" s="304">
        <v>0</v>
      </c>
      <c r="P134" s="305">
        <v>0</v>
      </c>
      <c r="Q134" s="305">
        <v>0</v>
      </c>
      <c r="R134" s="211">
        <v>0</v>
      </c>
      <c r="S134" s="212"/>
      <c r="T134" s="213" t="e">
        <v>#DIV/0!</v>
      </c>
      <c r="U134" s="214"/>
      <c r="V134" s="215"/>
      <c r="W134" s="304">
        <v>0</v>
      </c>
      <c r="X134" s="305">
        <v>0</v>
      </c>
      <c r="Y134" s="305">
        <v>0</v>
      </c>
      <c r="Z134" s="211">
        <v>0</v>
      </c>
      <c r="AA134" s="212"/>
      <c r="AB134" s="213" t="e">
        <v>#DIV/0!</v>
      </c>
      <c r="AC134" s="214"/>
      <c r="AD134" s="215"/>
      <c r="AE134" s="336"/>
      <c r="AF134" s="335"/>
    </row>
    <row r="135" spans="1:32">
      <c r="A135" s="301">
        <v>4</v>
      </c>
      <c r="B135" s="336"/>
      <c r="C135" s="336"/>
      <c r="D135" s="334" t="s">
        <v>377</v>
      </c>
      <c r="E135" s="336"/>
      <c r="F135" s="339" t="s">
        <v>294</v>
      </c>
      <c r="G135" s="302">
        <v>1</v>
      </c>
      <c r="H135" s="303">
        <v>700</v>
      </c>
      <c r="I135" s="303">
        <v>700</v>
      </c>
      <c r="J135" s="211"/>
      <c r="K135" s="212" t="str">
        <f>IF(OR(J135="",G135=J135),"","*")</f>
        <v/>
      </c>
      <c r="L135" s="332" t="str">
        <f>IF($A135&lt;=L$1,I135/I$4,"")</f>
        <v/>
      </c>
      <c r="M135" s="337"/>
      <c r="N135" s="338"/>
      <c r="O135" s="304">
        <v>0</v>
      </c>
      <c r="P135" s="305">
        <v>0</v>
      </c>
      <c r="Q135" s="305">
        <v>0</v>
      </c>
      <c r="R135" s="211">
        <v>0</v>
      </c>
      <c r="S135" s="212"/>
      <c r="T135" s="213" t="e">
        <v>#DIV/0!</v>
      </c>
      <c r="U135" s="214"/>
      <c r="V135" s="215"/>
      <c r="W135" s="304">
        <v>0</v>
      </c>
      <c r="X135" s="305">
        <v>0</v>
      </c>
      <c r="Y135" s="305">
        <v>0</v>
      </c>
      <c r="Z135" s="211">
        <v>0</v>
      </c>
      <c r="AA135" s="212"/>
      <c r="AB135" s="213" t="e">
        <v>#DIV/0!</v>
      </c>
      <c r="AC135" s="214"/>
      <c r="AD135" s="215"/>
      <c r="AE135" s="336"/>
      <c r="AF135" s="335"/>
    </row>
    <row r="136" spans="1:32">
      <c r="A136" s="301">
        <v>4</v>
      </c>
      <c r="B136" s="336"/>
      <c r="C136" s="336" t="s">
        <v>121</v>
      </c>
      <c r="D136" s="334" t="s">
        <v>378</v>
      </c>
      <c r="E136" s="336"/>
      <c r="F136" s="339" t="s">
        <v>294</v>
      </c>
      <c r="G136" s="302">
        <v>2</v>
      </c>
      <c r="H136" s="303">
        <v>2500</v>
      </c>
      <c r="I136" s="303">
        <v>5000</v>
      </c>
      <c r="J136" s="211"/>
      <c r="K136" s="212" t="str">
        <f>IF(OR(J136="",G136=J136),"","*")</f>
        <v/>
      </c>
      <c r="L136" s="332" t="str">
        <f>IF($A136&lt;=L$1,I136/I$4,"")</f>
        <v/>
      </c>
      <c r="M136" s="337"/>
      <c r="N136" s="338"/>
      <c r="O136" s="304">
        <v>0</v>
      </c>
      <c r="P136" s="305">
        <v>0</v>
      </c>
      <c r="Q136" s="305">
        <v>0</v>
      </c>
      <c r="R136" s="211">
        <v>0</v>
      </c>
      <c r="S136" s="212"/>
      <c r="T136" s="213" t="e">
        <v>#DIV/0!</v>
      </c>
      <c r="U136" s="214"/>
      <c r="V136" s="215"/>
      <c r="W136" s="304">
        <v>0</v>
      </c>
      <c r="X136" s="305">
        <v>0</v>
      </c>
      <c r="Y136" s="305">
        <v>0</v>
      </c>
      <c r="Z136" s="211">
        <v>0</v>
      </c>
      <c r="AA136" s="212"/>
      <c r="AB136" s="213" t="e">
        <v>#DIV/0!</v>
      </c>
      <c r="AC136" s="214"/>
      <c r="AD136" s="215"/>
      <c r="AE136" s="336"/>
      <c r="AF136" s="335"/>
    </row>
    <row r="137" spans="1:32">
      <c r="A137" s="301">
        <v>4</v>
      </c>
      <c r="B137" s="336"/>
      <c r="C137" s="336" t="s">
        <v>296</v>
      </c>
      <c r="D137" s="334" t="s">
        <v>379</v>
      </c>
      <c r="E137" s="336"/>
      <c r="F137" s="339" t="s">
        <v>92</v>
      </c>
      <c r="G137" s="302">
        <v>1</v>
      </c>
      <c r="H137" s="303">
        <v>110000</v>
      </c>
      <c r="I137" s="303">
        <v>110000</v>
      </c>
      <c r="J137" s="211">
        <v>1</v>
      </c>
      <c r="K137" s="212" t="str">
        <f>IF(OR(J137="",G137=J137),"","*")</f>
        <v/>
      </c>
      <c r="L137" s="332" t="str">
        <f>IF($A137&lt;=L$1,I137/I$4,"")</f>
        <v/>
      </c>
      <c r="M137" s="337"/>
      <c r="N137" s="338" t="s">
        <v>380</v>
      </c>
      <c r="O137" s="304">
        <v>0</v>
      </c>
      <c r="P137" s="305">
        <v>0</v>
      </c>
      <c r="Q137" s="305">
        <v>0</v>
      </c>
      <c r="R137" s="211">
        <v>0</v>
      </c>
      <c r="S137" s="212"/>
      <c r="T137" s="213" t="e">
        <v>#DIV/0!</v>
      </c>
      <c r="U137" s="214"/>
      <c r="V137" s="215"/>
      <c r="W137" s="304">
        <v>0</v>
      </c>
      <c r="X137" s="305">
        <v>0</v>
      </c>
      <c r="Y137" s="305">
        <v>0</v>
      </c>
      <c r="Z137" s="211">
        <v>0</v>
      </c>
      <c r="AA137" s="212"/>
      <c r="AB137" s="213" t="e">
        <v>#DIV/0!</v>
      </c>
      <c r="AC137" s="214"/>
      <c r="AD137" s="215"/>
      <c r="AE137" s="336"/>
      <c r="AF137" s="335"/>
    </row>
    <row r="138" spans="1:32">
      <c r="A138" s="301">
        <v>5</v>
      </c>
      <c r="B138" s="336"/>
      <c r="C138" s="336" t="s">
        <v>124</v>
      </c>
      <c r="D138" s="334" t="s">
        <v>310</v>
      </c>
      <c r="E138" s="336" t="s">
        <v>278</v>
      </c>
      <c r="F138" s="339" t="s">
        <v>101</v>
      </c>
      <c r="G138" s="302">
        <v>1</v>
      </c>
      <c r="H138" s="303">
        <v>8000</v>
      </c>
      <c r="I138" s="303">
        <v>8000</v>
      </c>
      <c r="J138" s="211"/>
      <c r="K138" s="212" t="str">
        <f>IF(OR(J138="",G138=J138),"","*")</f>
        <v/>
      </c>
      <c r="L138" s="332" t="str">
        <f>IF($A138&lt;=L$1,I138/I$4,"")</f>
        <v/>
      </c>
      <c r="M138" s="337"/>
      <c r="N138" s="338"/>
      <c r="O138" s="304">
        <v>0</v>
      </c>
      <c r="P138" s="305">
        <v>0</v>
      </c>
      <c r="Q138" s="305">
        <v>0</v>
      </c>
      <c r="R138" s="211">
        <v>0</v>
      </c>
      <c r="S138" s="212"/>
      <c r="T138" s="213" t="e">
        <v>#DIV/0!</v>
      </c>
      <c r="U138" s="214"/>
      <c r="V138" s="215"/>
      <c r="W138" s="304">
        <v>0</v>
      </c>
      <c r="X138" s="305">
        <v>0</v>
      </c>
      <c r="Y138" s="305">
        <v>0</v>
      </c>
      <c r="Z138" s="211">
        <v>0</v>
      </c>
      <c r="AA138" s="212"/>
      <c r="AB138" s="213" t="e">
        <v>#DIV/0!</v>
      </c>
      <c r="AC138" s="214"/>
      <c r="AD138" s="215"/>
      <c r="AE138" s="336" t="s">
        <v>279</v>
      </c>
      <c r="AF138" s="335"/>
    </row>
    <row r="139" spans="1:32">
      <c r="A139" s="301">
        <v>5</v>
      </c>
      <c r="B139" s="336"/>
      <c r="C139" s="336" t="s">
        <v>124</v>
      </c>
      <c r="D139" s="334" t="s">
        <v>381</v>
      </c>
      <c r="E139" s="336" t="s">
        <v>278</v>
      </c>
      <c r="F139" s="339" t="s">
        <v>101</v>
      </c>
      <c r="G139" s="302">
        <v>1</v>
      </c>
      <c r="H139" s="303">
        <v>8000</v>
      </c>
      <c r="I139" s="303">
        <v>8000</v>
      </c>
      <c r="J139" s="211"/>
      <c r="K139" s="212" t="str">
        <f>IF(OR(J139="",G139=J139),"","*")</f>
        <v/>
      </c>
      <c r="L139" s="332" t="str">
        <f>IF($A139&lt;=L$1,I139/I$4,"")</f>
        <v/>
      </c>
      <c r="M139" s="337"/>
      <c r="N139" s="338"/>
      <c r="O139" s="304">
        <v>0</v>
      </c>
      <c r="P139" s="305">
        <v>0</v>
      </c>
      <c r="Q139" s="305">
        <v>0</v>
      </c>
      <c r="R139" s="211">
        <v>0</v>
      </c>
      <c r="S139" s="212"/>
      <c r="T139" s="213" t="e">
        <v>#DIV/0!</v>
      </c>
      <c r="U139" s="214"/>
      <c r="V139" s="215"/>
      <c r="W139" s="304">
        <v>0</v>
      </c>
      <c r="X139" s="305">
        <v>0</v>
      </c>
      <c r="Y139" s="305">
        <v>0</v>
      </c>
      <c r="Z139" s="211">
        <v>0</v>
      </c>
      <c r="AA139" s="212"/>
      <c r="AB139" s="213" t="e">
        <v>#DIV/0!</v>
      </c>
      <c r="AC139" s="214"/>
      <c r="AD139" s="215"/>
      <c r="AE139" s="336" t="s">
        <v>279</v>
      </c>
      <c r="AF139" s="335"/>
    </row>
    <row r="140" spans="1:32">
      <c r="A140" s="301">
        <v>5</v>
      </c>
      <c r="B140" s="336"/>
      <c r="C140" s="336" t="s">
        <v>122</v>
      </c>
      <c r="D140" s="334" t="s">
        <v>300</v>
      </c>
      <c r="E140" s="336" t="s">
        <v>261</v>
      </c>
      <c r="F140" s="339" t="s">
        <v>262</v>
      </c>
      <c r="G140" s="302">
        <v>1</v>
      </c>
      <c r="H140" s="303">
        <v>24000</v>
      </c>
      <c r="I140" s="303">
        <v>24000</v>
      </c>
      <c r="J140" s="211"/>
      <c r="K140" s="212" t="str">
        <f>IF(OR(J140="",G140=J140),"","*")</f>
        <v/>
      </c>
      <c r="L140" s="332" t="str">
        <f>IF($A140&lt;=L$1,I140/I$4,"")</f>
        <v/>
      </c>
      <c r="M140" s="337"/>
      <c r="N140" s="338"/>
      <c r="O140" s="304">
        <v>0</v>
      </c>
      <c r="P140" s="305">
        <v>0</v>
      </c>
      <c r="Q140" s="305">
        <v>0</v>
      </c>
      <c r="R140" s="211">
        <v>0</v>
      </c>
      <c r="S140" s="212"/>
      <c r="T140" s="213" t="e">
        <v>#DIV/0!</v>
      </c>
      <c r="U140" s="214"/>
      <c r="V140" s="215"/>
      <c r="W140" s="304">
        <v>0</v>
      </c>
      <c r="X140" s="305">
        <v>0</v>
      </c>
      <c r="Y140" s="305">
        <v>0</v>
      </c>
      <c r="Z140" s="211">
        <v>0</v>
      </c>
      <c r="AA140" s="212"/>
      <c r="AB140" s="213" t="e">
        <v>#DIV/0!</v>
      </c>
      <c r="AC140" s="214"/>
      <c r="AD140" s="215"/>
      <c r="AE140" s="336" t="s">
        <v>263</v>
      </c>
      <c r="AF140" s="335"/>
    </row>
    <row r="141" spans="1:32">
      <c r="A141" s="301">
        <v>5</v>
      </c>
      <c r="B141" s="336"/>
      <c r="C141" s="336" t="s">
        <v>122</v>
      </c>
      <c r="D141" s="334" t="s">
        <v>315</v>
      </c>
      <c r="E141" s="336" t="s">
        <v>261</v>
      </c>
      <c r="F141" s="339" t="s">
        <v>262</v>
      </c>
      <c r="G141" s="302">
        <v>1</v>
      </c>
      <c r="H141" s="303">
        <v>20000</v>
      </c>
      <c r="I141" s="303">
        <v>20000</v>
      </c>
      <c r="J141" s="211"/>
      <c r="K141" s="212" t="str">
        <f>IF(OR(J141="",G141=J141),"","*")</f>
        <v/>
      </c>
      <c r="L141" s="332" t="str">
        <f>IF($A141&lt;=L$1,I141/I$4,"")</f>
        <v/>
      </c>
      <c r="M141" s="337"/>
      <c r="N141" s="338"/>
      <c r="O141" s="304">
        <v>0</v>
      </c>
      <c r="P141" s="305">
        <v>0</v>
      </c>
      <c r="Q141" s="305">
        <v>0</v>
      </c>
      <c r="R141" s="211">
        <v>0</v>
      </c>
      <c r="S141" s="212"/>
      <c r="T141" s="213" t="e">
        <v>#DIV/0!</v>
      </c>
      <c r="U141" s="214"/>
      <c r="V141" s="215"/>
      <c r="W141" s="304">
        <v>0</v>
      </c>
      <c r="X141" s="305">
        <v>0</v>
      </c>
      <c r="Y141" s="305">
        <v>0</v>
      </c>
      <c r="Z141" s="211">
        <v>0</v>
      </c>
      <c r="AA141" s="212"/>
      <c r="AB141" s="213" t="e">
        <v>#DIV/0!</v>
      </c>
      <c r="AC141" s="214"/>
      <c r="AD141" s="215"/>
      <c r="AE141" s="336" t="s">
        <v>316</v>
      </c>
      <c r="AF141" s="335"/>
    </row>
    <row r="142" spans="1:32">
      <c r="A142" s="301">
        <v>5</v>
      </c>
      <c r="B142" s="336"/>
      <c r="C142" s="336" t="s">
        <v>128</v>
      </c>
      <c r="D142" s="334" t="s">
        <v>302</v>
      </c>
      <c r="E142" s="336"/>
      <c r="F142" s="339" t="s">
        <v>262</v>
      </c>
      <c r="G142" s="302">
        <v>1</v>
      </c>
      <c r="H142" s="303">
        <v>3840</v>
      </c>
      <c r="I142" s="303">
        <v>3840</v>
      </c>
      <c r="J142" s="211"/>
      <c r="K142" s="212" t="str">
        <f>IF(OR(J142="",G142=J142),"","*")</f>
        <v/>
      </c>
      <c r="L142" s="332" t="str">
        <f>IF($A142&lt;=L$1,I142/I$4,"")</f>
        <v/>
      </c>
      <c r="M142" s="337"/>
      <c r="N142" s="338"/>
      <c r="O142" s="304">
        <v>0</v>
      </c>
      <c r="P142" s="305">
        <v>0</v>
      </c>
      <c r="Q142" s="305">
        <v>0</v>
      </c>
      <c r="R142" s="211">
        <v>0</v>
      </c>
      <c r="S142" s="212"/>
      <c r="T142" s="213" t="e">
        <v>#DIV/0!</v>
      </c>
      <c r="U142" s="214"/>
      <c r="V142" s="215"/>
      <c r="W142" s="304">
        <v>0</v>
      </c>
      <c r="X142" s="305">
        <v>0</v>
      </c>
      <c r="Y142" s="305">
        <v>0</v>
      </c>
      <c r="Z142" s="211">
        <v>0</v>
      </c>
      <c r="AA142" s="212"/>
      <c r="AB142" s="213" t="e">
        <v>#DIV/0!</v>
      </c>
      <c r="AC142" s="214"/>
      <c r="AD142" s="215"/>
      <c r="AE142" s="336"/>
      <c r="AF142" s="335"/>
    </row>
    <row r="143" spans="1:32">
      <c r="A143" s="301">
        <v>5</v>
      </c>
      <c r="B143" s="336"/>
      <c r="C143" s="336" t="s">
        <v>128</v>
      </c>
      <c r="D143" s="334" t="s">
        <v>317</v>
      </c>
      <c r="E143" s="336" t="s">
        <v>261</v>
      </c>
      <c r="F143" s="339" t="s">
        <v>262</v>
      </c>
      <c r="G143" s="302">
        <v>1</v>
      </c>
      <c r="H143" s="303">
        <v>3200</v>
      </c>
      <c r="I143" s="303">
        <v>3200</v>
      </c>
      <c r="J143" s="211"/>
      <c r="K143" s="212" t="str">
        <f>IF(OR(J143="",G143=J143),"","*")</f>
        <v/>
      </c>
      <c r="L143" s="332" t="str">
        <f>IF($A143&lt;=L$1,I143/I$4,"")</f>
        <v/>
      </c>
      <c r="M143" s="337"/>
      <c r="N143" s="338"/>
      <c r="O143" s="304">
        <v>0</v>
      </c>
      <c r="P143" s="305">
        <v>0</v>
      </c>
      <c r="Q143" s="305">
        <v>0</v>
      </c>
      <c r="R143" s="211">
        <v>0</v>
      </c>
      <c r="S143" s="212"/>
      <c r="T143" s="213" t="e">
        <v>#DIV/0!</v>
      </c>
      <c r="U143" s="214"/>
      <c r="V143" s="215"/>
      <c r="W143" s="304">
        <v>0</v>
      </c>
      <c r="X143" s="305">
        <v>0</v>
      </c>
      <c r="Y143" s="305">
        <v>0</v>
      </c>
      <c r="Z143" s="211">
        <v>0</v>
      </c>
      <c r="AA143" s="212"/>
      <c r="AB143" s="213" t="e">
        <v>#DIV/0!</v>
      </c>
      <c r="AC143" s="214"/>
      <c r="AD143" s="215"/>
      <c r="AE143" s="336"/>
      <c r="AF143" s="335"/>
    </row>
    <row r="144" spans="1:32">
      <c r="A144" s="301">
        <v>5</v>
      </c>
      <c r="B144" s="336"/>
      <c r="C144" s="336" t="s">
        <v>125</v>
      </c>
      <c r="D144" s="334" t="s">
        <v>311</v>
      </c>
      <c r="E144" s="336"/>
      <c r="F144" s="339" t="s">
        <v>101</v>
      </c>
      <c r="G144" s="302">
        <v>1</v>
      </c>
      <c r="H144" s="303">
        <v>8000</v>
      </c>
      <c r="I144" s="303">
        <v>8000</v>
      </c>
      <c r="J144" s="211"/>
      <c r="K144" s="212" t="str">
        <f>IF(OR(J144="",G144=J144),"","*")</f>
        <v/>
      </c>
      <c r="L144" s="332" t="str">
        <f>IF($A144&lt;=L$1,I144/I$4,"")</f>
        <v/>
      </c>
      <c r="M144" s="337"/>
      <c r="N144" s="338"/>
      <c r="O144" s="304">
        <v>0</v>
      </c>
      <c r="P144" s="305">
        <v>0</v>
      </c>
      <c r="Q144" s="305">
        <v>0</v>
      </c>
      <c r="R144" s="211">
        <v>0</v>
      </c>
      <c r="S144" s="212"/>
      <c r="T144" s="213" t="e">
        <v>#DIV/0!</v>
      </c>
      <c r="U144" s="214"/>
      <c r="V144" s="215"/>
      <c r="W144" s="304">
        <v>0</v>
      </c>
      <c r="X144" s="305">
        <v>0</v>
      </c>
      <c r="Y144" s="305">
        <v>0</v>
      </c>
      <c r="Z144" s="211">
        <v>0</v>
      </c>
      <c r="AA144" s="212"/>
      <c r="AB144" s="213" t="e">
        <v>#DIV/0!</v>
      </c>
      <c r="AC144" s="214"/>
      <c r="AD144" s="215"/>
      <c r="AE144" s="336" t="s">
        <v>281</v>
      </c>
      <c r="AF144" s="335"/>
    </row>
    <row r="145" spans="1:32">
      <c r="A145" s="301">
        <v>5</v>
      </c>
      <c r="B145" s="336"/>
      <c r="C145" s="336" t="s">
        <v>124</v>
      </c>
      <c r="D145" s="334" t="s">
        <v>382</v>
      </c>
      <c r="E145" s="336" t="s">
        <v>383</v>
      </c>
      <c r="F145" s="339" t="s">
        <v>101</v>
      </c>
      <c r="G145" s="302">
        <v>1</v>
      </c>
      <c r="H145" s="303">
        <v>10000</v>
      </c>
      <c r="I145" s="303">
        <v>10000</v>
      </c>
      <c r="J145" s="211"/>
      <c r="K145" s="212" t="str">
        <f>IF(OR(J145="",G145=J145),"","*")</f>
        <v/>
      </c>
      <c r="L145" s="332" t="str">
        <f>IF($A145&lt;=L$1,I145/I$4,"")</f>
        <v/>
      </c>
      <c r="M145" s="337"/>
      <c r="N145" s="338"/>
      <c r="O145" s="304">
        <v>0</v>
      </c>
      <c r="P145" s="305">
        <v>0</v>
      </c>
      <c r="Q145" s="305">
        <v>0</v>
      </c>
      <c r="R145" s="211">
        <v>0</v>
      </c>
      <c r="S145" s="212"/>
      <c r="T145" s="213" t="e">
        <v>#DIV/0!</v>
      </c>
      <c r="U145" s="214"/>
      <c r="V145" s="215"/>
      <c r="W145" s="304">
        <v>0</v>
      </c>
      <c r="X145" s="305">
        <v>0</v>
      </c>
      <c r="Y145" s="305">
        <v>0</v>
      </c>
      <c r="Z145" s="211">
        <v>0</v>
      </c>
      <c r="AA145" s="212"/>
      <c r="AB145" s="213" t="e">
        <v>#DIV/0!</v>
      </c>
      <c r="AC145" s="214"/>
      <c r="AD145" s="215"/>
      <c r="AE145" s="336"/>
      <c r="AF145" s="335"/>
    </row>
    <row r="146" spans="1:32">
      <c r="A146" s="301">
        <v>5</v>
      </c>
      <c r="B146" s="336"/>
      <c r="C146" s="336"/>
      <c r="D146" s="334" t="s">
        <v>314</v>
      </c>
      <c r="E146" s="336"/>
      <c r="F146" s="339" t="s">
        <v>92</v>
      </c>
      <c r="G146" s="302">
        <v>1</v>
      </c>
      <c r="H146" s="303">
        <v>7210</v>
      </c>
      <c r="I146" s="303">
        <v>7210</v>
      </c>
      <c r="J146" s="211"/>
      <c r="K146" s="212" t="str">
        <f>IF(OR(J146="",G146=J146),"","*")</f>
        <v/>
      </c>
      <c r="L146" s="332" t="str">
        <f>IF($A146&lt;=L$1,I146/I$4,"")</f>
        <v/>
      </c>
      <c r="M146" s="337"/>
      <c r="N146" s="338"/>
      <c r="O146" s="304">
        <v>0</v>
      </c>
      <c r="P146" s="305">
        <v>0</v>
      </c>
      <c r="Q146" s="305">
        <v>0</v>
      </c>
      <c r="R146" s="211">
        <v>0</v>
      </c>
      <c r="S146" s="212"/>
      <c r="T146" s="213" t="e">
        <v>#DIV/0!</v>
      </c>
      <c r="U146" s="214"/>
      <c r="V146" s="215"/>
      <c r="W146" s="304">
        <v>0</v>
      </c>
      <c r="X146" s="305">
        <v>0</v>
      </c>
      <c r="Y146" s="305">
        <v>0</v>
      </c>
      <c r="Z146" s="211">
        <v>0</v>
      </c>
      <c r="AA146" s="212"/>
      <c r="AB146" s="213" t="e">
        <v>#DIV/0!</v>
      </c>
      <c r="AC146" s="214"/>
      <c r="AD146" s="215"/>
      <c r="AE146" s="336"/>
      <c r="AF146" s="335"/>
    </row>
    <row r="147" spans="1:32">
      <c r="A147" s="301">
        <v>5</v>
      </c>
      <c r="B147" s="336"/>
      <c r="C147" s="336"/>
      <c r="D147" s="334" t="s">
        <v>313</v>
      </c>
      <c r="E147" s="336"/>
      <c r="F147" s="339" t="s">
        <v>92</v>
      </c>
      <c r="G147" s="302">
        <v>1</v>
      </c>
      <c r="H147" s="303">
        <v>14000</v>
      </c>
      <c r="I147" s="303">
        <v>14000</v>
      </c>
      <c r="J147" s="211"/>
      <c r="K147" s="212" t="str">
        <f>IF(OR(J147="",G147=J147),"","*")</f>
        <v/>
      </c>
      <c r="L147" s="332" t="str">
        <f>IF($A147&lt;=L$1,I147/I$4,"")</f>
        <v/>
      </c>
      <c r="M147" s="337"/>
      <c r="N147" s="338"/>
      <c r="O147" s="304">
        <v>0</v>
      </c>
      <c r="P147" s="305">
        <v>0</v>
      </c>
      <c r="Q147" s="305">
        <v>0</v>
      </c>
      <c r="R147" s="211">
        <v>0</v>
      </c>
      <c r="S147" s="212"/>
      <c r="T147" s="213" t="e">
        <v>#DIV/0!</v>
      </c>
      <c r="U147" s="214"/>
      <c r="V147" s="215"/>
      <c r="W147" s="304">
        <v>0</v>
      </c>
      <c r="X147" s="305">
        <v>0</v>
      </c>
      <c r="Y147" s="305">
        <v>0</v>
      </c>
      <c r="Z147" s="211">
        <v>0</v>
      </c>
      <c r="AA147" s="212"/>
      <c r="AB147" s="213" t="e">
        <v>#DIV/0!</v>
      </c>
      <c r="AC147" s="214"/>
      <c r="AD147" s="215"/>
      <c r="AE147" s="336"/>
      <c r="AF147" s="335"/>
    </row>
    <row r="148" spans="1:32">
      <c r="A148" s="301">
        <v>5</v>
      </c>
      <c r="B148" s="336"/>
      <c r="C148" s="336" t="s">
        <v>121</v>
      </c>
      <c r="D148" s="334" t="s">
        <v>299</v>
      </c>
      <c r="E148" s="336"/>
      <c r="F148" s="339" t="s">
        <v>258</v>
      </c>
      <c r="G148" s="302">
        <v>25</v>
      </c>
      <c r="H148" s="303">
        <v>150</v>
      </c>
      <c r="I148" s="303">
        <v>3750</v>
      </c>
      <c r="J148" s="211"/>
      <c r="K148" s="212" t="str">
        <f>IF(OR(J148="",G148=J148),"","*")</f>
        <v/>
      </c>
      <c r="L148" s="332" t="str">
        <f>IF($A148&lt;=L$1,I148/I$4,"")</f>
        <v/>
      </c>
      <c r="M148" s="337"/>
      <c r="N148" s="338"/>
      <c r="O148" s="304">
        <v>0</v>
      </c>
      <c r="P148" s="305">
        <v>0</v>
      </c>
      <c r="Q148" s="305">
        <v>0</v>
      </c>
      <c r="R148" s="211">
        <v>0</v>
      </c>
      <c r="S148" s="212"/>
      <c r="T148" s="213" t="e">
        <v>#DIV/0!</v>
      </c>
      <c r="U148" s="214"/>
      <c r="V148" s="215"/>
      <c r="W148" s="304">
        <v>0</v>
      </c>
      <c r="X148" s="305">
        <v>0</v>
      </c>
      <c r="Y148" s="305">
        <v>0</v>
      </c>
      <c r="Z148" s="211">
        <v>0</v>
      </c>
      <c r="AA148" s="212"/>
      <c r="AB148" s="213" t="e">
        <v>#DIV/0!</v>
      </c>
      <c r="AC148" s="214"/>
      <c r="AD148" s="215"/>
      <c r="AE148" s="336" t="s">
        <v>259</v>
      </c>
      <c r="AF148" s="335"/>
    </row>
    <row r="149" spans="1:32">
      <c r="A149" s="301">
        <v>4</v>
      </c>
      <c r="B149" s="336"/>
      <c r="C149" s="336" t="s">
        <v>296</v>
      </c>
      <c r="D149" s="334" t="s">
        <v>384</v>
      </c>
      <c r="E149" s="336"/>
      <c r="F149" s="339" t="s">
        <v>92</v>
      </c>
      <c r="G149" s="302">
        <v>1</v>
      </c>
      <c r="H149" s="303">
        <v>130000</v>
      </c>
      <c r="I149" s="303">
        <v>130000</v>
      </c>
      <c r="J149" s="211">
        <v>1</v>
      </c>
      <c r="K149" s="212" t="str">
        <f>IF(OR(J149="",G149=J149),"","*")</f>
        <v/>
      </c>
      <c r="L149" s="332" t="str">
        <f>IF($A149&lt;=L$1,I149/I$4,"")</f>
        <v/>
      </c>
      <c r="M149" s="337"/>
      <c r="N149" s="338" t="s">
        <v>385</v>
      </c>
      <c r="O149" s="304">
        <v>0</v>
      </c>
      <c r="P149" s="305">
        <v>0</v>
      </c>
      <c r="Q149" s="305">
        <v>0</v>
      </c>
      <c r="R149" s="211">
        <v>0</v>
      </c>
      <c r="S149" s="212"/>
      <c r="T149" s="213" t="e">
        <v>#DIV/0!</v>
      </c>
      <c r="U149" s="214"/>
      <c r="V149" s="215"/>
      <c r="W149" s="304">
        <v>0</v>
      </c>
      <c r="X149" s="305">
        <v>0</v>
      </c>
      <c r="Y149" s="305">
        <v>0</v>
      </c>
      <c r="Z149" s="211">
        <v>0</v>
      </c>
      <c r="AA149" s="212"/>
      <c r="AB149" s="213" t="e">
        <v>#DIV/0!</v>
      </c>
      <c r="AC149" s="214"/>
      <c r="AD149" s="215"/>
      <c r="AE149" s="336"/>
      <c r="AF149" s="335"/>
    </row>
    <row r="150" spans="1:32">
      <c r="A150" s="301">
        <v>5</v>
      </c>
      <c r="B150" s="336"/>
      <c r="C150" s="336" t="s">
        <v>124</v>
      </c>
      <c r="D150" s="334" t="s">
        <v>310</v>
      </c>
      <c r="E150" s="336" t="s">
        <v>278</v>
      </c>
      <c r="F150" s="339" t="s">
        <v>101</v>
      </c>
      <c r="G150" s="302">
        <v>1</v>
      </c>
      <c r="H150" s="303">
        <v>8000</v>
      </c>
      <c r="I150" s="303">
        <v>8000</v>
      </c>
      <c r="J150" s="211"/>
      <c r="K150" s="212" t="str">
        <f>IF(OR(J150="",G150=J150),"","*")</f>
        <v/>
      </c>
      <c r="L150" s="332" t="str">
        <f>IF($A150&lt;=L$1,I150/I$4,"")</f>
        <v/>
      </c>
      <c r="M150" s="337"/>
      <c r="N150" s="338"/>
      <c r="O150" s="304">
        <v>0</v>
      </c>
      <c r="P150" s="305">
        <v>0</v>
      </c>
      <c r="Q150" s="305">
        <v>0</v>
      </c>
      <c r="R150" s="211">
        <v>0</v>
      </c>
      <c r="S150" s="212"/>
      <c r="T150" s="213" t="e">
        <v>#DIV/0!</v>
      </c>
      <c r="U150" s="214"/>
      <c r="V150" s="215"/>
      <c r="W150" s="304">
        <v>0</v>
      </c>
      <c r="X150" s="305">
        <v>0</v>
      </c>
      <c r="Y150" s="305">
        <v>0</v>
      </c>
      <c r="Z150" s="211">
        <v>0</v>
      </c>
      <c r="AA150" s="212"/>
      <c r="AB150" s="213" t="e">
        <v>#DIV/0!</v>
      </c>
      <c r="AC150" s="214"/>
      <c r="AD150" s="215"/>
      <c r="AE150" s="336" t="s">
        <v>279</v>
      </c>
      <c r="AF150" s="335"/>
    </row>
    <row r="151" spans="1:32">
      <c r="A151" s="301">
        <v>5</v>
      </c>
      <c r="B151" s="336"/>
      <c r="C151" s="336" t="s">
        <v>122</v>
      </c>
      <c r="D151" s="334" t="s">
        <v>300</v>
      </c>
      <c r="E151" s="336" t="s">
        <v>261</v>
      </c>
      <c r="F151" s="339" t="s">
        <v>262</v>
      </c>
      <c r="G151" s="302">
        <v>1</v>
      </c>
      <c r="H151" s="303">
        <v>24000</v>
      </c>
      <c r="I151" s="303">
        <v>24000</v>
      </c>
      <c r="J151" s="211"/>
      <c r="K151" s="212" t="str">
        <f>IF(OR(J151="",G151=J151),"","*")</f>
        <v/>
      </c>
      <c r="L151" s="332" t="str">
        <f>IF($A151&lt;=L$1,I151/I$4,"")</f>
        <v/>
      </c>
      <c r="M151" s="337"/>
      <c r="N151" s="338"/>
      <c r="O151" s="304">
        <v>0</v>
      </c>
      <c r="P151" s="305">
        <v>0</v>
      </c>
      <c r="Q151" s="305">
        <v>0</v>
      </c>
      <c r="R151" s="211">
        <v>0</v>
      </c>
      <c r="S151" s="212"/>
      <c r="T151" s="213" t="e">
        <v>#DIV/0!</v>
      </c>
      <c r="U151" s="214"/>
      <c r="V151" s="215"/>
      <c r="W151" s="304">
        <v>0</v>
      </c>
      <c r="X151" s="305">
        <v>0</v>
      </c>
      <c r="Y151" s="305">
        <v>0</v>
      </c>
      <c r="Z151" s="211">
        <v>0</v>
      </c>
      <c r="AA151" s="212"/>
      <c r="AB151" s="213" t="e">
        <v>#DIV/0!</v>
      </c>
      <c r="AC151" s="214"/>
      <c r="AD151" s="215"/>
      <c r="AE151" s="336" t="s">
        <v>263</v>
      </c>
      <c r="AF151" s="335"/>
    </row>
    <row r="152" spans="1:32">
      <c r="A152" s="301">
        <v>5</v>
      </c>
      <c r="B152" s="336"/>
      <c r="C152" s="336" t="s">
        <v>122</v>
      </c>
      <c r="D152" s="334" t="s">
        <v>315</v>
      </c>
      <c r="E152" s="336" t="s">
        <v>261</v>
      </c>
      <c r="F152" s="339" t="s">
        <v>262</v>
      </c>
      <c r="G152" s="302">
        <v>1</v>
      </c>
      <c r="H152" s="303">
        <v>20000</v>
      </c>
      <c r="I152" s="303">
        <v>20000</v>
      </c>
      <c r="J152" s="211"/>
      <c r="K152" s="212" t="str">
        <f>IF(OR(J152="",G152=J152),"","*")</f>
        <v/>
      </c>
      <c r="L152" s="332" t="str">
        <f>IF($A152&lt;=L$1,I152/I$4,"")</f>
        <v/>
      </c>
      <c r="M152" s="337"/>
      <c r="N152" s="338"/>
      <c r="O152" s="304">
        <v>0</v>
      </c>
      <c r="P152" s="305">
        <v>0</v>
      </c>
      <c r="Q152" s="305">
        <v>0</v>
      </c>
      <c r="R152" s="211">
        <v>0</v>
      </c>
      <c r="S152" s="212"/>
      <c r="T152" s="213" t="e">
        <v>#DIV/0!</v>
      </c>
      <c r="U152" s="214"/>
      <c r="V152" s="215"/>
      <c r="W152" s="304">
        <v>0</v>
      </c>
      <c r="X152" s="305">
        <v>0</v>
      </c>
      <c r="Y152" s="305">
        <v>0</v>
      </c>
      <c r="Z152" s="211">
        <v>0</v>
      </c>
      <c r="AA152" s="212"/>
      <c r="AB152" s="213" t="e">
        <v>#DIV/0!</v>
      </c>
      <c r="AC152" s="214"/>
      <c r="AD152" s="215"/>
      <c r="AE152" s="336" t="s">
        <v>316</v>
      </c>
      <c r="AF152" s="335"/>
    </row>
    <row r="153" spans="1:32">
      <c r="A153" s="301">
        <v>5</v>
      </c>
      <c r="B153" s="336"/>
      <c r="C153" s="336" t="s">
        <v>122</v>
      </c>
      <c r="D153" s="334" t="s">
        <v>301</v>
      </c>
      <c r="E153" s="336" t="s">
        <v>261</v>
      </c>
      <c r="F153" s="339" t="s">
        <v>262</v>
      </c>
      <c r="G153" s="302">
        <v>1</v>
      </c>
      <c r="H153" s="303">
        <v>22000</v>
      </c>
      <c r="I153" s="303">
        <v>22000</v>
      </c>
      <c r="J153" s="211"/>
      <c r="K153" s="212" t="str">
        <f>IF(OR(J153="",G153=J153),"","*")</f>
        <v/>
      </c>
      <c r="L153" s="332" t="str">
        <f>IF($A153&lt;=L$1,I153/I$4,"")</f>
        <v/>
      </c>
      <c r="M153" s="337"/>
      <c r="N153" s="338"/>
      <c r="O153" s="304">
        <v>0</v>
      </c>
      <c r="P153" s="305">
        <v>0</v>
      </c>
      <c r="Q153" s="305">
        <v>0</v>
      </c>
      <c r="R153" s="211">
        <v>0</v>
      </c>
      <c r="S153" s="212"/>
      <c r="T153" s="213" t="e">
        <v>#DIV/0!</v>
      </c>
      <c r="U153" s="214"/>
      <c r="V153" s="215"/>
      <c r="W153" s="304">
        <v>0</v>
      </c>
      <c r="X153" s="305">
        <v>0</v>
      </c>
      <c r="Y153" s="305">
        <v>0</v>
      </c>
      <c r="Z153" s="211">
        <v>0</v>
      </c>
      <c r="AA153" s="212"/>
      <c r="AB153" s="213" t="e">
        <v>#DIV/0!</v>
      </c>
      <c r="AC153" s="214"/>
      <c r="AD153" s="215"/>
      <c r="AE153" s="336" t="s">
        <v>265</v>
      </c>
      <c r="AF153" s="335"/>
    </row>
    <row r="154" spans="1:32">
      <c r="A154" s="301">
        <v>5</v>
      </c>
      <c r="B154" s="336"/>
      <c r="C154" s="336" t="s">
        <v>128</v>
      </c>
      <c r="D154" s="334" t="s">
        <v>302</v>
      </c>
      <c r="E154" s="336"/>
      <c r="F154" s="339" t="s">
        <v>262</v>
      </c>
      <c r="G154" s="302">
        <v>1</v>
      </c>
      <c r="H154" s="303">
        <v>3840</v>
      </c>
      <c r="I154" s="303">
        <v>3840</v>
      </c>
      <c r="J154" s="211"/>
      <c r="K154" s="212" t="str">
        <f>IF(OR(J154="",G154=J154),"","*")</f>
        <v/>
      </c>
      <c r="L154" s="332" t="str">
        <f>IF($A154&lt;=L$1,I154/I$4,"")</f>
        <v/>
      </c>
      <c r="M154" s="337"/>
      <c r="N154" s="338"/>
      <c r="O154" s="304">
        <v>0</v>
      </c>
      <c r="P154" s="305">
        <v>0</v>
      </c>
      <c r="Q154" s="305">
        <v>0</v>
      </c>
      <c r="R154" s="211">
        <v>0</v>
      </c>
      <c r="S154" s="212"/>
      <c r="T154" s="213" t="e">
        <v>#DIV/0!</v>
      </c>
      <c r="U154" s="214"/>
      <c r="V154" s="215"/>
      <c r="W154" s="304">
        <v>0</v>
      </c>
      <c r="X154" s="305">
        <v>0</v>
      </c>
      <c r="Y154" s="305">
        <v>0</v>
      </c>
      <c r="Z154" s="211">
        <v>0</v>
      </c>
      <c r="AA154" s="212"/>
      <c r="AB154" s="213" t="e">
        <v>#DIV/0!</v>
      </c>
      <c r="AC154" s="214"/>
      <c r="AD154" s="215"/>
      <c r="AE154" s="336"/>
      <c r="AF154" s="335"/>
    </row>
    <row r="155" spans="1:32">
      <c r="A155" s="301">
        <v>5</v>
      </c>
      <c r="B155" s="336"/>
      <c r="C155" s="336" t="s">
        <v>128</v>
      </c>
      <c r="D155" s="334" t="s">
        <v>317</v>
      </c>
      <c r="E155" s="336" t="s">
        <v>261</v>
      </c>
      <c r="F155" s="339" t="s">
        <v>262</v>
      </c>
      <c r="G155" s="302">
        <v>1</v>
      </c>
      <c r="H155" s="303">
        <v>3200</v>
      </c>
      <c r="I155" s="303">
        <v>3200</v>
      </c>
      <c r="J155" s="211"/>
      <c r="K155" s="212" t="str">
        <f>IF(OR(J155="",G155=J155),"","*")</f>
        <v/>
      </c>
      <c r="L155" s="332" t="str">
        <f>IF($A155&lt;=L$1,I155/I$4,"")</f>
        <v/>
      </c>
      <c r="M155" s="337"/>
      <c r="N155" s="338"/>
      <c r="O155" s="304">
        <v>0</v>
      </c>
      <c r="P155" s="305">
        <v>0</v>
      </c>
      <c r="Q155" s="305">
        <v>0</v>
      </c>
      <c r="R155" s="211">
        <v>0</v>
      </c>
      <c r="S155" s="212"/>
      <c r="T155" s="213" t="e">
        <v>#DIV/0!</v>
      </c>
      <c r="U155" s="214"/>
      <c r="V155" s="215"/>
      <c r="W155" s="304">
        <v>0</v>
      </c>
      <c r="X155" s="305">
        <v>0</v>
      </c>
      <c r="Y155" s="305">
        <v>0</v>
      </c>
      <c r="Z155" s="211">
        <v>0</v>
      </c>
      <c r="AA155" s="212"/>
      <c r="AB155" s="213" t="e">
        <v>#DIV/0!</v>
      </c>
      <c r="AC155" s="214"/>
      <c r="AD155" s="215"/>
      <c r="AE155" s="336"/>
      <c r="AF155" s="335"/>
    </row>
    <row r="156" spans="1:32">
      <c r="A156" s="301">
        <v>5</v>
      </c>
      <c r="B156" s="336"/>
      <c r="C156" s="336" t="s">
        <v>128</v>
      </c>
      <c r="D156" s="334" t="s">
        <v>303</v>
      </c>
      <c r="E156" s="336" t="s">
        <v>261</v>
      </c>
      <c r="F156" s="339" t="s">
        <v>262</v>
      </c>
      <c r="G156" s="302">
        <v>1</v>
      </c>
      <c r="H156" s="303">
        <v>3520</v>
      </c>
      <c r="I156" s="303">
        <v>3520</v>
      </c>
      <c r="J156" s="211"/>
      <c r="K156" s="212" t="str">
        <f>IF(OR(J156="",G156=J156),"","*")</f>
        <v/>
      </c>
      <c r="L156" s="332" t="str">
        <f>IF($A156&lt;=L$1,I156/I$4,"")</f>
        <v/>
      </c>
      <c r="M156" s="337"/>
      <c r="N156" s="338"/>
      <c r="O156" s="304">
        <v>0</v>
      </c>
      <c r="P156" s="305">
        <v>0</v>
      </c>
      <c r="Q156" s="305">
        <v>0</v>
      </c>
      <c r="R156" s="211">
        <v>0</v>
      </c>
      <c r="S156" s="212"/>
      <c r="T156" s="213" t="e">
        <v>#DIV/0!</v>
      </c>
      <c r="U156" s="214"/>
      <c r="V156" s="215"/>
      <c r="W156" s="304">
        <v>0</v>
      </c>
      <c r="X156" s="305">
        <v>0</v>
      </c>
      <c r="Y156" s="305">
        <v>0</v>
      </c>
      <c r="Z156" s="211">
        <v>0</v>
      </c>
      <c r="AA156" s="212"/>
      <c r="AB156" s="213" t="e">
        <v>#DIV/0!</v>
      </c>
      <c r="AC156" s="214"/>
      <c r="AD156" s="215"/>
      <c r="AE156" s="336"/>
      <c r="AF156" s="335"/>
    </row>
    <row r="157" spans="1:32">
      <c r="A157" s="301">
        <v>5</v>
      </c>
      <c r="B157" s="336"/>
      <c r="C157" s="336" t="s">
        <v>125</v>
      </c>
      <c r="D157" s="334" t="s">
        <v>311</v>
      </c>
      <c r="E157" s="336"/>
      <c r="F157" s="339" t="s">
        <v>101</v>
      </c>
      <c r="G157" s="302">
        <v>1</v>
      </c>
      <c r="H157" s="303">
        <v>8000</v>
      </c>
      <c r="I157" s="303">
        <v>8000</v>
      </c>
      <c r="J157" s="211"/>
      <c r="K157" s="212" t="str">
        <f>IF(OR(J157="",G157=J157),"","*")</f>
        <v/>
      </c>
      <c r="L157" s="332" t="str">
        <f>IF($A157&lt;=L$1,I157/I$4,"")</f>
        <v/>
      </c>
      <c r="M157" s="337"/>
      <c r="N157" s="338"/>
      <c r="O157" s="304">
        <v>0</v>
      </c>
      <c r="P157" s="305">
        <v>0</v>
      </c>
      <c r="Q157" s="305">
        <v>0</v>
      </c>
      <c r="R157" s="211">
        <v>0</v>
      </c>
      <c r="S157" s="212"/>
      <c r="T157" s="213" t="e">
        <v>#DIV/0!</v>
      </c>
      <c r="U157" s="214"/>
      <c r="V157" s="215"/>
      <c r="W157" s="304">
        <v>0</v>
      </c>
      <c r="X157" s="305">
        <v>0</v>
      </c>
      <c r="Y157" s="305">
        <v>0</v>
      </c>
      <c r="Z157" s="211">
        <v>0</v>
      </c>
      <c r="AA157" s="212"/>
      <c r="AB157" s="213" t="e">
        <v>#DIV/0!</v>
      </c>
      <c r="AC157" s="214"/>
      <c r="AD157" s="215"/>
      <c r="AE157" s="336" t="s">
        <v>281</v>
      </c>
      <c r="AF157" s="335"/>
    </row>
    <row r="158" spans="1:32">
      <c r="A158" s="301">
        <v>5</v>
      </c>
      <c r="B158" s="336"/>
      <c r="C158" s="336" t="s">
        <v>125</v>
      </c>
      <c r="D158" s="334" t="s">
        <v>312</v>
      </c>
      <c r="E158" s="336"/>
      <c r="F158" s="339" t="s">
        <v>101</v>
      </c>
      <c r="G158" s="302">
        <v>1</v>
      </c>
      <c r="H158" s="303">
        <v>6000</v>
      </c>
      <c r="I158" s="303">
        <v>6000</v>
      </c>
      <c r="J158" s="211"/>
      <c r="K158" s="212" t="str">
        <f>IF(OR(J158="",G158=J158),"","*")</f>
        <v/>
      </c>
      <c r="L158" s="332" t="str">
        <f>IF($A158&lt;=L$1,I158/I$4,"")</f>
        <v/>
      </c>
      <c r="M158" s="337"/>
      <c r="N158" s="338"/>
      <c r="O158" s="304">
        <v>0</v>
      </c>
      <c r="P158" s="305">
        <v>0</v>
      </c>
      <c r="Q158" s="305">
        <v>0</v>
      </c>
      <c r="R158" s="211">
        <v>0</v>
      </c>
      <c r="S158" s="212"/>
      <c r="T158" s="213" t="e">
        <v>#DIV/0!</v>
      </c>
      <c r="U158" s="214"/>
      <c r="V158" s="215"/>
      <c r="W158" s="304">
        <v>0</v>
      </c>
      <c r="X158" s="305">
        <v>0</v>
      </c>
      <c r="Y158" s="305">
        <v>0</v>
      </c>
      <c r="Z158" s="211">
        <v>0</v>
      </c>
      <c r="AA158" s="212"/>
      <c r="AB158" s="213" t="e">
        <v>#DIV/0!</v>
      </c>
      <c r="AC158" s="214"/>
      <c r="AD158" s="215"/>
      <c r="AE158" s="336"/>
      <c r="AF158" s="335"/>
    </row>
    <row r="159" spans="1:32">
      <c r="A159" s="301">
        <v>5</v>
      </c>
      <c r="B159" s="336"/>
      <c r="C159" s="336" t="s">
        <v>124</v>
      </c>
      <c r="D159" s="334" t="s">
        <v>308</v>
      </c>
      <c r="E159" s="336"/>
      <c r="F159" s="339" t="s">
        <v>101</v>
      </c>
      <c r="G159" s="302">
        <v>1</v>
      </c>
      <c r="H159" s="303">
        <v>1000</v>
      </c>
      <c r="I159" s="303">
        <v>1000</v>
      </c>
      <c r="J159" s="211"/>
      <c r="K159" s="212" t="str">
        <f>IF(OR(J159="",G159=J159),"","*")</f>
        <v/>
      </c>
      <c r="L159" s="332" t="str">
        <f>IF($A159&lt;=L$1,I159/I$4,"")</f>
        <v/>
      </c>
      <c r="M159" s="337"/>
      <c r="N159" s="338"/>
      <c r="O159" s="304">
        <v>0</v>
      </c>
      <c r="P159" s="305">
        <v>0</v>
      </c>
      <c r="Q159" s="305">
        <v>0</v>
      </c>
      <c r="R159" s="211">
        <v>0</v>
      </c>
      <c r="S159" s="212"/>
      <c r="T159" s="213" t="e">
        <v>#DIV/0!</v>
      </c>
      <c r="U159" s="214"/>
      <c r="V159" s="215"/>
      <c r="W159" s="304">
        <v>0</v>
      </c>
      <c r="X159" s="305">
        <v>0</v>
      </c>
      <c r="Y159" s="305">
        <v>0</v>
      </c>
      <c r="Z159" s="211">
        <v>0</v>
      </c>
      <c r="AA159" s="212"/>
      <c r="AB159" s="213" t="e">
        <v>#DIV/0!</v>
      </c>
      <c r="AC159" s="214"/>
      <c r="AD159" s="215"/>
      <c r="AE159" s="336" t="s">
        <v>272</v>
      </c>
      <c r="AF159" s="335"/>
    </row>
    <row r="160" spans="1:32">
      <c r="A160" s="301">
        <v>5</v>
      </c>
      <c r="B160" s="336"/>
      <c r="C160" s="336" t="s">
        <v>124</v>
      </c>
      <c r="D160" s="334" t="s">
        <v>309</v>
      </c>
      <c r="E160" s="336"/>
      <c r="F160" s="339" t="s">
        <v>101</v>
      </c>
      <c r="G160" s="302">
        <v>1</v>
      </c>
      <c r="H160" s="303">
        <v>1000</v>
      </c>
      <c r="I160" s="303">
        <v>1000</v>
      </c>
      <c r="J160" s="211"/>
      <c r="K160" s="212" t="str">
        <f>IF(OR(J160="",G160=J160),"","*")</f>
        <v/>
      </c>
      <c r="L160" s="332" t="str">
        <f>IF($A160&lt;=L$1,I160/I$4,"")</f>
        <v/>
      </c>
      <c r="M160" s="337"/>
      <c r="N160" s="338"/>
      <c r="O160" s="304">
        <v>0</v>
      </c>
      <c r="P160" s="305">
        <v>0</v>
      </c>
      <c r="Q160" s="305">
        <v>0</v>
      </c>
      <c r="R160" s="211">
        <v>0</v>
      </c>
      <c r="S160" s="212"/>
      <c r="T160" s="213" t="e">
        <v>#DIV/0!</v>
      </c>
      <c r="U160" s="214"/>
      <c r="V160" s="215"/>
      <c r="W160" s="304">
        <v>0</v>
      </c>
      <c r="X160" s="305">
        <v>0</v>
      </c>
      <c r="Y160" s="305">
        <v>0</v>
      </c>
      <c r="Z160" s="211">
        <v>0</v>
      </c>
      <c r="AA160" s="212"/>
      <c r="AB160" s="213" t="e">
        <v>#DIV/0!</v>
      </c>
      <c r="AC160" s="214"/>
      <c r="AD160" s="215"/>
      <c r="AE160" s="336" t="s">
        <v>274</v>
      </c>
      <c r="AF160" s="335"/>
    </row>
    <row r="161" spans="1:32">
      <c r="A161" s="301">
        <v>5</v>
      </c>
      <c r="B161" s="336"/>
      <c r="C161" s="336"/>
      <c r="D161" s="334" t="s">
        <v>386</v>
      </c>
      <c r="E161" s="336"/>
      <c r="F161" s="339" t="s">
        <v>92</v>
      </c>
      <c r="G161" s="302">
        <v>1</v>
      </c>
      <c r="H161" s="303">
        <v>5000</v>
      </c>
      <c r="I161" s="303">
        <v>5000</v>
      </c>
      <c r="J161" s="211"/>
      <c r="K161" s="212" t="str">
        <f>IF(OR(J161="",G161=J161),"","*")</f>
        <v/>
      </c>
      <c r="L161" s="332" t="str">
        <f>IF($A161&lt;=L$1,I161/I$4,"")</f>
        <v/>
      </c>
      <c r="M161" s="337"/>
      <c r="N161" s="338"/>
      <c r="O161" s="304">
        <v>0</v>
      </c>
      <c r="P161" s="305">
        <v>0</v>
      </c>
      <c r="Q161" s="305">
        <v>0</v>
      </c>
      <c r="R161" s="211">
        <v>0</v>
      </c>
      <c r="S161" s="212"/>
      <c r="T161" s="213" t="e">
        <v>#DIV/0!</v>
      </c>
      <c r="U161" s="214"/>
      <c r="V161" s="215"/>
      <c r="W161" s="304">
        <v>0</v>
      </c>
      <c r="X161" s="305">
        <v>0</v>
      </c>
      <c r="Y161" s="305">
        <v>0</v>
      </c>
      <c r="Z161" s="211">
        <v>0</v>
      </c>
      <c r="AA161" s="212"/>
      <c r="AB161" s="213" t="e">
        <v>#DIV/0!</v>
      </c>
      <c r="AC161" s="214"/>
      <c r="AD161" s="215"/>
      <c r="AE161" s="336"/>
      <c r="AF161" s="335"/>
    </row>
    <row r="162" spans="1:32">
      <c r="A162" s="301">
        <v>5</v>
      </c>
      <c r="B162" s="336"/>
      <c r="C162" s="336"/>
      <c r="D162" s="334" t="s">
        <v>313</v>
      </c>
      <c r="E162" s="336"/>
      <c r="F162" s="339" t="s">
        <v>92</v>
      </c>
      <c r="G162" s="302">
        <v>1</v>
      </c>
      <c r="H162" s="303">
        <v>17000</v>
      </c>
      <c r="I162" s="303">
        <v>17000</v>
      </c>
      <c r="J162" s="211"/>
      <c r="K162" s="212" t="str">
        <f>IF(OR(J162="",G162=J162),"","*")</f>
        <v/>
      </c>
      <c r="L162" s="332" t="str">
        <f>IF($A162&lt;=L$1,I162/I$4,"")</f>
        <v/>
      </c>
      <c r="M162" s="337"/>
      <c r="N162" s="338"/>
      <c r="O162" s="304">
        <v>0</v>
      </c>
      <c r="P162" s="305">
        <v>0</v>
      </c>
      <c r="Q162" s="305">
        <v>0</v>
      </c>
      <c r="R162" s="211">
        <v>0</v>
      </c>
      <c r="S162" s="212"/>
      <c r="T162" s="213" t="e">
        <v>#DIV/0!</v>
      </c>
      <c r="U162" s="214"/>
      <c r="V162" s="215"/>
      <c r="W162" s="304">
        <v>0</v>
      </c>
      <c r="X162" s="305">
        <v>0</v>
      </c>
      <c r="Y162" s="305">
        <v>0</v>
      </c>
      <c r="Z162" s="211">
        <v>0</v>
      </c>
      <c r="AA162" s="212"/>
      <c r="AB162" s="213" t="e">
        <v>#DIV/0!</v>
      </c>
      <c r="AC162" s="214"/>
      <c r="AD162" s="215"/>
      <c r="AE162" s="336"/>
      <c r="AF162" s="335"/>
    </row>
    <row r="163" spans="1:32">
      <c r="A163" s="301">
        <v>5</v>
      </c>
      <c r="B163" s="336"/>
      <c r="C163" s="336"/>
      <c r="D163" s="334" t="s">
        <v>314</v>
      </c>
      <c r="E163" s="336"/>
      <c r="F163" s="339" t="s">
        <v>92</v>
      </c>
      <c r="G163" s="302">
        <v>1</v>
      </c>
      <c r="H163" s="303">
        <v>4440</v>
      </c>
      <c r="I163" s="303">
        <v>4440</v>
      </c>
      <c r="J163" s="211"/>
      <c r="K163" s="212" t="str">
        <f>IF(OR(J163="",G163=J163),"","*")</f>
        <v/>
      </c>
      <c r="L163" s="332" t="str">
        <f>IF($A163&lt;=L$1,I163/I$4,"")</f>
        <v/>
      </c>
      <c r="M163" s="337"/>
      <c r="N163" s="338"/>
      <c r="O163" s="304">
        <v>0</v>
      </c>
      <c r="P163" s="305">
        <v>0</v>
      </c>
      <c r="Q163" s="305">
        <v>0</v>
      </c>
      <c r="R163" s="211">
        <v>0</v>
      </c>
      <c r="S163" s="212"/>
      <c r="T163" s="213" t="e">
        <v>#DIV/0!</v>
      </c>
      <c r="U163" s="214"/>
      <c r="V163" s="215"/>
      <c r="W163" s="304">
        <v>0</v>
      </c>
      <c r="X163" s="305">
        <v>0</v>
      </c>
      <c r="Y163" s="305">
        <v>0</v>
      </c>
      <c r="Z163" s="211">
        <v>0</v>
      </c>
      <c r="AA163" s="212"/>
      <c r="AB163" s="213" t="e">
        <v>#DIV/0!</v>
      </c>
      <c r="AC163" s="214"/>
      <c r="AD163" s="215"/>
      <c r="AE163" s="336"/>
      <c r="AF163" s="335"/>
    </row>
    <row r="164" spans="1:32">
      <c r="A164" s="301">
        <v>5</v>
      </c>
      <c r="B164" s="336"/>
      <c r="C164" s="336" t="s">
        <v>121</v>
      </c>
      <c r="D164" s="334" t="s">
        <v>299</v>
      </c>
      <c r="E164" s="336"/>
      <c r="F164" s="339" t="s">
        <v>258</v>
      </c>
      <c r="G164" s="302">
        <v>20</v>
      </c>
      <c r="H164" s="303">
        <v>150</v>
      </c>
      <c r="I164" s="303">
        <v>3000</v>
      </c>
      <c r="J164" s="211"/>
      <c r="K164" s="212" t="str">
        <f>IF(OR(J164="",G164=J164),"","*")</f>
        <v/>
      </c>
      <c r="L164" s="332" t="str">
        <f>IF($A164&lt;=L$1,I164/I$4,"")</f>
        <v/>
      </c>
      <c r="M164" s="337"/>
      <c r="N164" s="338"/>
      <c r="O164" s="304">
        <v>0</v>
      </c>
      <c r="P164" s="305">
        <v>0</v>
      </c>
      <c r="Q164" s="305">
        <v>0</v>
      </c>
      <c r="R164" s="211">
        <v>0</v>
      </c>
      <c r="S164" s="212"/>
      <c r="T164" s="213" t="e">
        <v>#DIV/0!</v>
      </c>
      <c r="U164" s="214"/>
      <c r="V164" s="215"/>
      <c r="W164" s="304">
        <v>0</v>
      </c>
      <c r="X164" s="305">
        <v>0</v>
      </c>
      <c r="Y164" s="305">
        <v>0</v>
      </c>
      <c r="Z164" s="211">
        <v>0</v>
      </c>
      <c r="AA164" s="212"/>
      <c r="AB164" s="213" t="e">
        <v>#DIV/0!</v>
      </c>
      <c r="AC164" s="214"/>
      <c r="AD164" s="215"/>
      <c r="AE164" s="336" t="s">
        <v>259</v>
      </c>
      <c r="AF164" s="335"/>
    </row>
    <row r="165" spans="1:32">
      <c r="A165" s="301">
        <v>4</v>
      </c>
      <c r="B165" s="336"/>
      <c r="C165" s="336"/>
      <c r="D165" s="334" t="s">
        <v>283</v>
      </c>
      <c r="E165" s="336"/>
      <c r="F165" s="339" t="s">
        <v>92</v>
      </c>
      <c r="G165" s="302">
        <v>1</v>
      </c>
      <c r="H165" s="303">
        <v>4200</v>
      </c>
      <c r="I165" s="303">
        <v>4200</v>
      </c>
      <c r="J165" s="211"/>
      <c r="K165" s="212" t="str">
        <f>IF(OR(J165="",G165=J165),"","*")</f>
        <v/>
      </c>
      <c r="L165" s="332" t="str">
        <f>IF($A165&lt;=L$1,I165/I$4,"")</f>
        <v/>
      </c>
      <c r="M165" s="337"/>
      <c r="N165" s="338"/>
      <c r="O165" s="304">
        <v>0</v>
      </c>
      <c r="P165" s="305">
        <v>0</v>
      </c>
      <c r="Q165" s="305">
        <v>0</v>
      </c>
      <c r="R165" s="211">
        <v>0</v>
      </c>
      <c r="S165" s="212"/>
      <c r="T165" s="213" t="e">
        <v>#DIV/0!</v>
      </c>
      <c r="U165" s="214"/>
      <c r="V165" s="215"/>
      <c r="W165" s="304">
        <v>0</v>
      </c>
      <c r="X165" s="305">
        <v>0</v>
      </c>
      <c r="Y165" s="305">
        <v>0</v>
      </c>
      <c r="Z165" s="211">
        <v>0</v>
      </c>
      <c r="AA165" s="212"/>
      <c r="AB165" s="213" t="e">
        <v>#DIV/0!</v>
      </c>
      <c r="AC165" s="214"/>
      <c r="AD165" s="215"/>
      <c r="AE165" s="336"/>
      <c r="AF165" s="335"/>
    </row>
    <row r="166" spans="1:32">
      <c r="A166" s="301">
        <v>4</v>
      </c>
      <c r="B166" s="336"/>
      <c r="C166" s="336" t="s">
        <v>124</v>
      </c>
      <c r="D166" s="334" t="s">
        <v>275</v>
      </c>
      <c r="E166" s="336" t="s">
        <v>276</v>
      </c>
      <c r="F166" s="339" t="s">
        <v>101</v>
      </c>
      <c r="G166" s="302">
        <v>2</v>
      </c>
      <c r="H166" s="303">
        <v>12000</v>
      </c>
      <c r="I166" s="303">
        <v>24000</v>
      </c>
      <c r="J166" s="211"/>
      <c r="K166" s="212" t="str">
        <f>IF(OR(J166="",G166=J166),"","*")</f>
        <v/>
      </c>
      <c r="L166" s="332" t="str">
        <f>IF($A166&lt;=L$1,I166/I$4,"")</f>
        <v/>
      </c>
      <c r="M166" s="337"/>
      <c r="N166" s="338"/>
      <c r="O166" s="304">
        <v>0</v>
      </c>
      <c r="P166" s="305">
        <v>0</v>
      </c>
      <c r="Q166" s="305">
        <v>0</v>
      </c>
      <c r="R166" s="211">
        <v>0</v>
      </c>
      <c r="S166" s="212"/>
      <c r="T166" s="213" t="e">
        <v>#DIV/0!</v>
      </c>
      <c r="U166" s="214"/>
      <c r="V166" s="215"/>
      <c r="W166" s="304">
        <v>0</v>
      </c>
      <c r="X166" s="305">
        <v>0</v>
      </c>
      <c r="Y166" s="305">
        <v>0</v>
      </c>
      <c r="Z166" s="211">
        <v>0</v>
      </c>
      <c r="AA166" s="212"/>
      <c r="AB166" s="213" t="e">
        <v>#DIV/0!</v>
      </c>
      <c r="AC166" s="214"/>
      <c r="AD166" s="215"/>
      <c r="AE166" s="336" t="s">
        <v>277</v>
      </c>
      <c r="AF166" s="335"/>
    </row>
    <row r="167" spans="1:32">
      <c r="A167" s="301">
        <v>3</v>
      </c>
      <c r="B167" s="336"/>
      <c r="C167" s="336" t="s">
        <v>174</v>
      </c>
      <c r="D167" s="334" t="s">
        <v>387</v>
      </c>
      <c r="E167" s="336" t="s">
        <v>105</v>
      </c>
      <c r="F167" s="339" t="s">
        <v>106</v>
      </c>
      <c r="G167" s="302">
        <v>110</v>
      </c>
      <c r="H167" s="303">
        <v>1000</v>
      </c>
      <c r="I167" s="303">
        <v>110000</v>
      </c>
      <c r="J167" s="211">
        <v>110</v>
      </c>
      <c r="K167" s="212" t="str">
        <f>IF(OR(J167="",G167=J167),"","*")</f>
        <v/>
      </c>
      <c r="L167" s="332">
        <f>IF($A167&lt;=L$1,I167/I$4,"")</f>
        <v>1.1938354677664425E-2</v>
      </c>
      <c r="M167" s="337"/>
      <c r="N167" s="338" t="s">
        <v>388</v>
      </c>
      <c r="O167" s="304">
        <v>0</v>
      </c>
      <c r="P167" s="305">
        <v>0</v>
      </c>
      <c r="Q167" s="305">
        <v>0</v>
      </c>
      <c r="R167" s="211">
        <v>0</v>
      </c>
      <c r="S167" s="212"/>
      <c r="T167" s="213" t="e">
        <v>#DIV/0!</v>
      </c>
      <c r="U167" s="214"/>
      <c r="V167" s="215"/>
      <c r="W167" s="304">
        <v>0</v>
      </c>
      <c r="X167" s="305">
        <v>0</v>
      </c>
      <c r="Y167" s="305">
        <v>0</v>
      </c>
      <c r="Z167" s="211">
        <v>0</v>
      </c>
      <c r="AA167" s="212"/>
      <c r="AB167" s="213" t="e">
        <v>#DIV/0!</v>
      </c>
      <c r="AC167" s="214"/>
      <c r="AD167" s="215"/>
      <c r="AE167" s="336"/>
      <c r="AF167" s="335"/>
    </row>
    <row r="168" spans="1:32">
      <c r="A168" s="301">
        <v>4</v>
      </c>
      <c r="B168" s="336"/>
      <c r="C168" s="336"/>
      <c r="D168" s="334" t="s">
        <v>389</v>
      </c>
      <c r="E168" s="336"/>
      <c r="F168" s="339" t="s">
        <v>390</v>
      </c>
      <c r="G168" s="302">
        <v>1</v>
      </c>
      <c r="H168" s="303">
        <v>14160</v>
      </c>
      <c r="I168" s="303">
        <v>14160</v>
      </c>
      <c r="J168" s="211"/>
      <c r="K168" s="212" t="str">
        <f>IF(OR(J168="",G168=J168),"","*")</f>
        <v/>
      </c>
      <c r="L168" s="332" t="str">
        <f>IF($A168&lt;=L$1,I168/I$4,"")</f>
        <v/>
      </c>
      <c r="M168" s="337"/>
      <c r="N168" s="338"/>
      <c r="O168" s="304">
        <v>0</v>
      </c>
      <c r="P168" s="305">
        <v>0</v>
      </c>
      <c r="Q168" s="305">
        <v>0</v>
      </c>
      <c r="R168" s="211">
        <v>0</v>
      </c>
      <c r="S168" s="212"/>
      <c r="T168" s="213" t="e">
        <v>#DIV/0!</v>
      </c>
      <c r="U168" s="214"/>
      <c r="V168" s="215"/>
      <c r="W168" s="304">
        <v>0</v>
      </c>
      <c r="X168" s="305">
        <v>0</v>
      </c>
      <c r="Y168" s="305">
        <v>0</v>
      </c>
      <c r="Z168" s="211">
        <v>0</v>
      </c>
      <c r="AA168" s="212"/>
      <c r="AB168" s="213" t="e">
        <v>#DIV/0!</v>
      </c>
      <c r="AC168" s="214"/>
      <c r="AD168" s="215"/>
      <c r="AE168" s="336"/>
      <c r="AF168" s="335"/>
    </row>
    <row r="169" spans="1:32">
      <c r="A169" s="301">
        <v>4</v>
      </c>
      <c r="B169" s="336"/>
      <c r="C169" s="336"/>
      <c r="D169" s="334" t="s">
        <v>391</v>
      </c>
      <c r="E169" s="336"/>
      <c r="F169" s="339" t="s">
        <v>392</v>
      </c>
      <c r="G169" s="302">
        <v>1</v>
      </c>
      <c r="H169" s="303">
        <v>1840</v>
      </c>
      <c r="I169" s="303">
        <v>1840</v>
      </c>
      <c r="J169" s="211"/>
      <c r="K169" s="212" t="str">
        <f>IF(OR(J169="",G169=J169),"","*")</f>
        <v/>
      </c>
      <c r="L169" s="332" t="str">
        <f>IF($A169&lt;=L$1,I169/I$4,"")</f>
        <v/>
      </c>
      <c r="M169" s="337"/>
      <c r="N169" s="338"/>
      <c r="O169" s="304">
        <v>0</v>
      </c>
      <c r="P169" s="305">
        <v>0</v>
      </c>
      <c r="Q169" s="305">
        <v>0</v>
      </c>
      <c r="R169" s="211">
        <v>0</v>
      </c>
      <c r="S169" s="212"/>
      <c r="T169" s="213" t="e">
        <v>#DIV/0!</v>
      </c>
      <c r="U169" s="214"/>
      <c r="V169" s="215"/>
      <c r="W169" s="304">
        <v>0</v>
      </c>
      <c r="X169" s="305">
        <v>0</v>
      </c>
      <c r="Y169" s="305">
        <v>0</v>
      </c>
      <c r="Z169" s="211">
        <v>0</v>
      </c>
      <c r="AA169" s="212"/>
      <c r="AB169" s="213" t="e">
        <v>#DIV/0!</v>
      </c>
      <c r="AC169" s="214"/>
      <c r="AD169" s="215"/>
      <c r="AE169" s="336"/>
      <c r="AF169" s="335"/>
    </row>
    <row r="170" spans="1:32">
      <c r="A170" s="301">
        <v>4</v>
      </c>
      <c r="B170" s="336"/>
      <c r="C170" s="336"/>
      <c r="D170" s="334" t="s">
        <v>393</v>
      </c>
      <c r="E170" s="336"/>
      <c r="F170" s="339" t="s">
        <v>392</v>
      </c>
      <c r="G170" s="302">
        <v>1</v>
      </c>
      <c r="H170" s="303">
        <v>1500</v>
      </c>
      <c r="I170" s="303">
        <v>1500</v>
      </c>
      <c r="J170" s="211"/>
      <c r="K170" s="212" t="str">
        <f>IF(OR(J170="",G170=J170),"","*")</f>
        <v/>
      </c>
      <c r="L170" s="332" t="str">
        <f>IF($A170&lt;=L$1,I170/I$4,"")</f>
        <v/>
      </c>
      <c r="M170" s="337"/>
      <c r="N170" s="338"/>
      <c r="O170" s="304">
        <v>0</v>
      </c>
      <c r="P170" s="305">
        <v>0</v>
      </c>
      <c r="Q170" s="305">
        <v>0</v>
      </c>
      <c r="R170" s="211">
        <v>0</v>
      </c>
      <c r="S170" s="212"/>
      <c r="T170" s="213" t="e">
        <v>#DIV/0!</v>
      </c>
      <c r="U170" s="214"/>
      <c r="V170" s="215"/>
      <c r="W170" s="304">
        <v>0</v>
      </c>
      <c r="X170" s="305">
        <v>0</v>
      </c>
      <c r="Y170" s="305">
        <v>0</v>
      </c>
      <c r="Z170" s="211">
        <v>0</v>
      </c>
      <c r="AA170" s="212"/>
      <c r="AB170" s="213" t="e">
        <v>#DIV/0!</v>
      </c>
      <c r="AC170" s="214"/>
      <c r="AD170" s="215"/>
      <c r="AE170" s="336"/>
      <c r="AF170" s="335"/>
    </row>
    <row r="171" spans="1:32">
      <c r="A171" s="301">
        <v>4</v>
      </c>
      <c r="B171" s="336"/>
      <c r="C171" s="336" t="s">
        <v>296</v>
      </c>
      <c r="D171" s="334" t="s">
        <v>327</v>
      </c>
      <c r="E171" s="336"/>
      <c r="F171" s="339" t="s">
        <v>92</v>
      </c>
      <c r="G171" s="302">
        <v>1</v>
      </c>
      <c r="H171" s="303">
        <v>70000</v>
      </c>
      <c r="I171" s="303">
        <v>70000</v>
      </c>
      <c r="J171" s="211">
        <v>1</v>
      </c>
      <c r="K171" s="212" t="str">
        <f>IF(OR(J171="",G171=J171),"","*")</f>
        <v/>
      </c>
      <c r="L171" s="332" t="str">
        <f>IF($A171&lt;=L$1,I171/I$4,"")</f>
        <v/>
      </c>
      <c r="M171" s="337"/>
      <c r="N171" s="338" t="s">
        <v>394</v>
      </c>
      <c r="O171" s="304">
        <v>0</v>
      </c>
      <c r="P171" s="305">
        <v>0</v>
      </c>
      <c r="Q171" s="305">
        <v>0</v>
      </c>
      <c r="R171" s="211">
        <v>0</v>
      </c>
      <c r="S171" s="212"/>
      <c r="T171" s="213" t="e">
        <v>#DIV/0!</v>
      </c>
      <c r="U171" s="214"/>
      <c r="V171" s="215"/>
      <c r="W171" s="304">
        <v>0</v>
      </c>
      <c r="X171" s="305">
        <v>0</v>
      </c>
      <c r="Y171" s="305">
        <v>0</v>
      </c>
      <c r="Z171" s="211">
        <v>0</v>
      </c>
      <c r="AA171" s="212"/>
      <c r="AB171" s="213" t="e">
        <v>#DIV/0!</v>
      </c>
      <c r="AC171" s="214"/>
      <c r="AD171" s="215"/>
      <c r="AE171" s="336"/>
      <c r="AF171" s="335"/>
    </row>
    <row r="172" spans="1:32">
      <c r="A172" s="301">
        <v>5</v>
      </c>
      <c r="B172" s="336"/>
      <c r="C172" s="336" t="s">
        <v>122</v>
      </c>
      <c r="D172" s="334" t="s">
        <v>300</v>
      </c>
      <c r="E172" s="336" t="s">
        <v>261</v>
      </c>
      <c r="F172" s="339" t="s">
        <v>262</v>
      </c>
      <c r="G172" s="302">
        <v>1</v>
      </c>
      <c r="H172" s="303">
        <v>24000</v>
      </c>
      <c r="I172" s="303">
        <v>24000</v>
      </c>
      <c r="J172" s="211"/>
      <c r="K172" s="212" t="str">
        <f>IF(OR(J172="",G172=J172),"","*")</f>
        <v/>
      </c>
      <c r="L172" s="332" t="str">
        <f>IF($A172&lt;=L$1,I172/I$4,"")</f>
        <v/>
      </c>
      <c r="M172" s="337"/>
      <c r="N172" s="338"/>
      <c r="O172" s="304">
        <v>0</v>
      </c>
      <c r="P172" s="305">
        <v>0</v>
      </c>
      <c r="Q172" s="305">
        <v>0</v>
      </c>
      <c r="R172" s="211">
        <v>0</v>
      </c>
      <c r="S172" s="212"/>
      <c r="T172" s="213" t="e">
        <v>#DIV/0!</v>
      </c>
      <c r="U172" s="214"/>
      <c r="V172" s="215"/>
      <c r="W172" s="304">
        <v>0</v>
      </c>
      <c r="X172" s="305">
        <v>0</v>
      </c>
      <c r="Y172" s="305">
        <v>0</v>
      </c>
      <c r="Z172" s="211">
        <v>0</v>
      </c>
      <c r="AA172" s="212"/>
      <c r="AB172" s="213" t="e">
        <v>#DIV/0!</v>
      </c>
      <c r="AC172" s="214"/>
      <c r="AD172" s="215"/>
      <c r="AE172" s="336" t="s">
        <v>263</v>
      </c>
      <c r="AF172" s="335"/>
    </row>
    <row r="173" spans="1:32">
      <c r="A173" s="301">
        <v>5</v>
      </c>
      <c r="B173" s="336"/>
      <c r="C173" s="336" t="s">
        <v>122</v>
      </c>
      <c r="D173" s="334" t="s">
        <v>315</v>
      </c>
      <c r="E173" s="336" t="s">
        <v>261</v>
      </c>
      <c r="F173" s="339" t="s">
        <v>262</v>
      </c>
      <c r="G173" s="302">
        <v>1</v>
      </c>
      <c r="H173" s="303">
        <v>20000</v>
      </c>
      <c r="I173" s="303">
        <v>20000</v>
      </c>
      <c r="J173" s="211"/>
      <c r="K173" s="212" t="str">
        <f>IF(OR(J173="",G173=J173),"","*")</f>
        <v/>
      </c>
      <c r="L173" s="332" t="str">
        <f>IF($A173&lt;=L$1,I173/I$4,"")</f>
        <v/>
      </c>
      <c r="M173" s="337"/>
      <c r="N173" s="338"/>
      <c r="O173" s="304">
        <v>0</v>
      </c>
      <c r="P173" s="305">
        <v>0</v>
      </c>
      <c r="Q173" s="305">
        <v>0</v>
      </c>
      <c r="R173" s="211">
        <v>0</v>
      </c>
      <c r="S173" s="212"/>
      <c r="T173" s="213" t="e">
        <v>#DIV/0!</v>
      </c>
      <c r="U173" s="214"/>
      <c r="V173" s="215"/>
      <c r="W173" s="304">
        <v>0</v>
      </c>
      <c r="X173" s="305">
        <v>0</v>
      </c>
      <c r="Y173" s="305">
        <v>0</v>
      </c>
      <c r="Z173" s="211">
        <v>0</v>
      </c>
      <c r="AA173" s="212"/>
      <c r="AB173" s="213" t="e">
        <v>#DIV/0!</v>
      </c>
      <c r="AC173" s="214"/>
      <c r="AD173" s="215"/>
      <c r="AE173" s="336" t="s">
        <v>316</v>
      </c>
      <c r="AF173" s="335"/>
    </row>
    <row r="174" spans="1:32">
      <c r="A174" s="301">
        <v>5</v>
      </c>
      <c r="B174" s="336"/>
      <c r="C174" s="336" t="s">
        <v>128</v>
      </c>
      <c r="D174" s="334" t="s">
        <v>302</v>
      </c>
      <c r="E174" s="336"/>
      <c r="F174" s="339" t="s">
        <v>262</v>
      </c>
      <c r="G174" s="302">
        <v>1</v>
      </c>
      <c r="H174" s="303">
        <v>3840</v>
      </c>
      <c r="I174" s="303">
        <v>3840</v>
      </c>
      <c r="J174" s="211"/>
      <c r="K174" s="212" t="str">
        <f>IF(OR(J174="",G174=J174),"","*")</f>
        <v/>
      </c>
      <c r="L174" s="332" t="str">
        <f>IF($A174&lt;=L$1,I174/I$4,"")</f>
        <v/>
      </c>
      <c r="M174" s="337"/>
      <c r="N174" s="338"/>
      <c r="O174" s="304">
        <v>0</v>
      </c>
      <c r="P174" s="305">
        <v>0</v>
      </c>
      <c r="Q174" s="305">
        <v>0</v>
      </c>
      <c r="R174" s="211">
        <v>0</v>
      </c>
      <c r="S174" s="212"/>
      <c r="T174" s="213" t="e">
        <v>#DIV/0!</v>
      </c>
      <c r="U174" s="214"/>
      <c r="V174" s="215"/>
      <c r="W174" s="304">
        <v>0</v>
      </c>
      <c r="X174" s="305">
        <v>0</v>
      </c>
      <c r="Y174" s="305">
        <v>0</v>
      </c>
      <c r="Z174" s="211">
        <v>0</v>
      </c>
      <c r="AA174" s="212"/>
      <c r="AB174" s="213" t="e">
        <v>#DIV/0!</v>
      </c>
      <c r="AC174" s="214"/>
      <c r="AD174" s="215"/>
      <c r="AE174" s="336"/>
      <c r="AF174" s="335"/>
    </row>
    <row r="175" spans="1:32">
      <c r="A175" s="301">
        <v>5</v>
      </c>
      <c r="B175" s="336"/>
      <c r="C175" s="336" t="s">
        <v>128</v>
      </c>
      <c r="D175" s="334" t="s">
        <v>317</v>
      </c>
      <c r="E175" s="336" t="s">
        <v>261</v>
      </c>
      <c r="F175" s="339" t="s">
        <v>262</v>
      </c>
      <c r="G175" s="302">
        <v>1</v>
      </c>
      <c r="H175" s="303">
        <v>3200</v>
      </c>
      <c r="I175" s="303">
        <v>3200</v>
      </c>
      <c r="J175" s="211"/>
      <c r="K175" s="212" t="str">
        <f>IF(OR(J175="",G175=J175),"","*")</f>
        <v/>
      </c>
      <c r="L175" s="332" t="str">
        <f>IF($A175&lt;=L$1,I175/I$4,"")</f>
        <v/>
      </c>
      <c r="M175" s="337"/>
      <c r="N175" s="338"/>
      <c r="O175" s="304">
        <v>0</v>
      </c>
      <c r="P175" s="305">
        <v>0</v>
      </c>
      <c r="Q175" s="305">
        <v>0</v>
      </c>
      <c r="R175" s="211">
        <v>0</v>
      </c>
      <c r="S175" s="212"/>
      <c r="T175" s="213" t="e">
        <v>#DIV/0!</v>
      </c>
      <c r="U175" s="214"/>
      <c r="V175" s="215"/>
      <c r="W175" s="304">
        <v>0</v>
      </c>
      <c r="X175" s="305">
        <v>0</v>
      </c>
      <c r="Y175" s="305">
        <v>0</v>
      </c>
      <c r="Z175" s="211">
        <v>0</v>
      </c>
      <c r="AA175" s="212"/>
      <c r="AB175" s="213" t="e">
        <v>#DIV/0!</v>
      </c>
      <c r="AC175" s="214"/>
      <c r="AD175" s="215"/>
      <c r="AE175" s="336"/>
      <c r="AF175" s="335"/>
    </row>
    <row r="176" spans="1:32">
      <c r="A176" s="301">
        <v>5</v>
      </c>
      <c r="B176" s="336"/>
      <c r="C176" s="336"/>
      <c r="D176" s="334" t="s">
        <v>395</v>
      </c>
      <c r="E176" s="336"/>
      <c r="F176" s="339" t="s">
        <v>101</v>
      </c>
      <c r="G176" s="302">
        <v>1</v>
      </c>
      <c r="H176" s="303">
        <v>1200</v>
      </c>
      <c r="I176" s="303">
        <v>1200</v>
      </c>
      <c r="J176" s="211"/>
      <c r="K176" s="212" t="str">
        <f>IF(OR(J176="",G176=J176),"","*")</f>
        <v/>
      </c>
      <c r="L176" s="332" t="str">
        <f>IF($A176&lt;=L$1,I176/I$4,"")</f>
        <v/>
      </c>
      <c r="M176" s="337"/>
      <c r="N176" s="338"/>
      <c r="O176" s="304">
        <v>0</v>
      </c>
      <c r="P176" s="305">
        <v>0</v>
      </c>
      <c r="Q176" s="305">
        <v>0</v>
      </c>
      <c r="R176" s="211">
        <v>0</v>
      </c>
      <c r="S176" s="212"/>
      <c r="T176" s="213" t="e">
        <v>#DIV/0!</v>
      </c>
      <c r="U176" s="214"/>
      <c r="V176" s="215"/>
      <c r="W176" s="304">
        <v>0</v>
      </c>
      <c r="X176" s="305">
        <v>0</v>
      </c>
      <c r="Y176" s="305">
        <v>0</v>
      </c>
      <c r="Z176" s="211">
        <v>0</v>
      </c>
      <c r="AA176" s="212"/>
      <c r="AB176" s="213" t="e">
        <v>#DIV/0!</v>
      </c>
      <c r="AC176" s="214"/>
      <c r="AD176" s="215"/>
      <c r="AE176" s="336"/>
      <c r="AF176" s="335"/>
    </row>
    <row r="177" spans="1:32">
      <c r="A177" s="301">
        <v>5</v>
      </c>
      <c r="B177" s="336"/>
      <c r="C177" s="336" t="s">
        <v>124</v>
      </c>
      <c r="D177" s="334" t="s">
        <v>396</v>
      </c>
      <c r="E177" s="336"/>
      <c r="F177" s="339" t="s">
        <v>101</v>
      </c>
      <c r="G177" s="302">
        <v>1</v>
      </c>
      <c r="H177" s="303">
        <v>1200</v>
      </c>
      <c r="I177" s="303">
        <v>1200</v>
      </c>
      <c r="J177" s="211"/>
      <c r="K177" s="212" t="str">
        <f>IF(OR(J177="",G177=J177),"","*")</f>
        <v/>
      </c>
      <c r="L177" s="332" t="str">
        <f>IF($A177&lt;=L$1,I177/I$4,"")</f>
        <v/>
      </c>
      <c r="M177" s="337"/>
      <c r="N177" s="338"/>
      <c r="O177" s="304">
        <v>0</v>
      </c>
      <c r="P177" s="305">
        <v>0</v>
      </c>
      <c r="Q177" s="305">
        <v>0</v>
      </c>
      <c r="R177" s="211">
        <v>0</v>
      </c>
      <c r="S177" s="212"/>
      <c r="T177" s="213" t="e">
        <v>#DIV/0!</v>
      </c>
      <c r="U177" s="214"/>
      <c r="V177" s="215"/>
      <c r="W177" s="304">
        <v>0</v>
      </c>
      <c r="X177" s="305">
        <v>0</v>
      </c>
      <c r="Y177" s="305">
        <v>0</v>
      </c>
      <c r="Z177" s="211">
        <v>0</v>
      </c>
      <c r="AA177" s="212"/>
      <c r="AB177" s="213" t="e">
        <v>#DIV/0!</v>
      </c>
      <c r="AC177" s="214"/>
      <c r="AD177" s="215"/>
      <c r="AE177" s="336"/>
      <c r="AF177" s="335"/>
    </row>
    <row r="178" spans="1:32">
      <c r="A178" s="301">
        <v>5</v>
      </c>
      <c r="B178" s="336"/>
      <c r="C178" s="336"/>
      <c r="D178" s="334" t="s">
        <v>313</v>
      </c>
      <c r="E178" s="336"/>
      <c r="F178" s="339" t="s">
        <v>92</v>
      </c>
      <c r="G178" s="302">
        <v>1</v>
      </c>
      <c r="H178" s="303">
        <v>10000</v>
      </c>
      <c r="I178" s="303">
        <v>10000</v>
      </c>
      <c r="J178" s="211"/>
      <c r="K178" s="212" t="str">
        <f>IF(OR(J178="",G178=J178),"","*")</f>
        <v/>
      </c>
      <c r="L178" s="332" t="str">
        <f>IF($A178&lt;=L$1,I178/I$4,"")</f>
        <v/>
      </c>
      <c r="M178" s="337"/>
      <c r="N178" s="338"/>
      <c r="O178" s="304">
        <v>0</v>
      </c>
      <c r="P178" s="305">
        <v>0</v>
      </c>
      <c r="Q178" s="305">
        <v>0</v>
      </c>
      <c r="R178" s="211">
        <v>0</v>
      </c>
      <c r="S178" s="212"/>
      <c r="T178" s="213" t="e">
        <v>#DIV/0!</v>
      </c>
      <c r="U178" s="214"/>
      <c r="V178" s="215"/>
      <c r="W178" s="304">
        <v>0</v>
      </c>
      <c r="X178" s="305">
        <v>0</v>
      </c>
      <c r="Y178" s="305">
        <v>0</v>
      </c>
      <c r="Z178" s="211">
        <v>0</v>
      </c>
      <c r="AA178" s="212"/>
      <c r="AB178" s="213" t="e">
        <v>#DIV/0!</v>
      </c>
      <c r="AC178" s="214"/>
      <c r="AD178" s="215"/>
      <c r="AE178" s="336"/>
      <c r="AF178" s="335"/>
    </row>
    <row r="179" spans="1:32">
      <c r="A179" s="301">
        <v>5</v>
      </c>
      <c r="B179" s="336"/>
      <c r="C179" s="336"/>
      <c r="D179" s="334" t="s">
        <v>314</v>
      </c>
      <c r="E179" s="336"/>
      <c r="F179" s="339" t="s">
        <v>92</v>
      </c>
      <c r="G179" s="302">
        <v>1</v>
      </c>
      <c r="H179" s="303">
        <v>6560</v>
      </c>
      <c r="I179" s="303">
        <v>6560</v>
      </c>
      <c r="J179" s="211"/>
      <c r="K179" s="212" t="str">
        <f>IF(OR(J179="",G179=J179),"","*")</f>
        <v/>
      </c>
      <c r="L179" s="332" t="str">
        <f>IF($A179&lt;=L$1,I179/I$4,"")</f>
        <v/>
      </c>
      <c r="M179" s="337"/>
      <c r="N179" s="338"/>
      <c r="O179" s="304">
        <v>0</v>
      </c>
      <c r="P179" s="305">
        <v>0</v>
      </c>
      <c r="Q179" s="305">
        <v>0</v>
      </c>
      <c r="R179" s="211">
        <v>0</v>
      </c>
      <c r="S179" s="212"/>
      <c r="T179" s="213" t="e">
        <v>#DIV/0!</v>
      </c>
      <c r="U179" s="214"/>
      <c r="V179" s="215"/>
      <c r="W179" s="304">
        <v>0</v>
      </c>
      <c r="X179" s="305">
        <v>0</v>
      </c>
      <c r="Y179" s="305">
        <v>0</v>
      </c>
      <c r="Z179" s="211">
        <v>0</v>
      </c>
      <c r="AA179" s="212"/>
      <c r="AB179" s="213" t="e">
        <v>#DIV/0!</v>
      </c>
      <c r="AC179" s="214"/>
      <c r="AD179" s="215"/>
      <c r="AE179" s="336"/>
      <c r="AF179" s="335"/>
    </row>
    <row r="180" spans="1:32">
      <c r="A180" s="301">
        <v>4</v>
      </c>
      <c r="B180" s="336"/>
      <c r="C180" s="336"/>
      <c r="D180" s="334" t="s">
        <v>397</v>
      </c>
      <c r="E180" s="336"/>
      <c r="F180" s="339" t="s">
        <v>92</v>
      </c>
      <c r="G180" s="302">
        <v>1</v>
      </c>
      <c r="H180" s="303">
        <v>20000</v>
      </c>
      <c r="I180" s="303">
        <v>20000</v>
      </c>
      <c r="J180" s="211"/>
      <c r="K180" s="212" t="str">
        <f>IF(OR(J180="",G180=J180),"","*")</f>
        <v/>
      </c>
      <c r="L180" s="332" t="str">
        <f>IF($A180&lt;=L$1,I180/I$4,"")</f>
        <v/>
      </c>
      <c r="M180" s="337"/>
      <c r="N180" s="338"/>
      <c r="O180" s="304">
        <v>0</v>
      </c>
      <c r="P180" s="305">
        <v>0</v>
      </c>
      <c r="Q180" s="305">
        <v>0</v>
      </c>
      <c r="R180" s="211">
        <v>0</v>
      </c>
      <c r="S180" s="212"/>
      <c r="T180" s="213" t="e">
        <v>#DIV/0!</v>
      </c>
      <c r="U180" s="214"/>
      <c r="V180" s="215"/>
      <c r="W180" s="304">
        <v>0</v>
      </c>
      <c r="X180" s="305">
        <v>0</v>
      </c>
      <c r="Y180" s="305">
        <v>0</v>
      </c>
      <c r="Z180" s="211">
        <v>0</v>
      </c>
      <c r="AA180" s="212"/>
      <c r="AB180" s="213" t="e">
        <v>#DIV/0!</v>
      </c>
      <c r="AC180" s="214"/>
      <c r="AD180" s="215"/>
      <c r="AE180" s="336"/>
      <c r="AF180" s="335"/>
    </row>
    <row r="181" spans="1:32">
      <c r="A181" s="301">
        <v>4</v>
      </c>
      <c r="B181" s="336"/>
      <c r="C181" s="336"/>
      <c r="D181" s="334" t="s">
        <v>283</v>
      </c>
      <c r="E181" s="336"/>
      <c r="F181" s="339" t="s">
        <v>92</v>
      </c>
      <c r="G181" s="302">
        <v>1</v>
      </c>
      <c r="H181" s="303">
        <v>2500</v>
      </c>
      <c r="I181" s="303">
        <v>2500</v>
      </c>
      <c r="J181" s="211"/>
      <c r="K181" s="212" t="str">
        <f>IF(OR(J181="",G181=J181),"","*")</f>
        <v/>
      </c>
      <c r="L181" s="332" t="str">
        <f>IF($A181&lt;=L$1,I181/I$4,"")</f>
        <v/>
      </c>
      <c r="M181" s="337"/>
      <c r="N181" s="338"/>
      <c r="O181" s="304">
        <v>0</v>
      </c>
      <c r="P181" s="305">
        <v>0</v>
      </c>
      <c r="Q181" s="305">
        <v>0</v>
      </c>
      <c r="R181" s="211">
        <v>0</v>
      </c>
      <c r="S181" s="212"/>
      <c r="T181" s="213" t="e">
        <v>#DIV/0!</v>
      </c>
      <c r="U181" s="214"/>
      <c r="V181" s="215"/>
      <c r="W181" s="304">
        <v>0</v>
      </c>
      <c r="X181" s="305">
        <v>0</v>
      </c>
      <c r="Y181" s="305">
        <v>0</v>
      </c>
      <c r="Z181" s="211">
        <v>0</v>
      </c>
      <c r="AA181" s="212"/>
      <c r="AB181" s="213" t="e">
        <v>#DIV/0!</v>
      </c>
      <c r="AC181" s="214"/>
      <c r="AD181" s="215"/>
      <c r="AE181" s="336"/>
      <c r="AF181" s="335"/>
    </row>
    <row r="182" spans="1:32">
      <c r="A182" s="301">
        <v>3</v>
      </c>
      <c r="B182" s="336"/>
      <c r="C182" s="336" t="s">
        <v>174</v>
      </c>
      <c r="D182" s="334" t="s">
        <v>398</v>
      </c>
      <c r="E182" s="336"/>
      <c r="F182" s="339" t="s">
        <v>92</v>
      </c>
      <c r="G182" s="302">
        <v>1</v>
      </c>
      <c r="H182" s="303">
        <v>1550000</v>
      </c>
      <c r="I182" s="303">
        <v>1550000</v>
      </c>
      <c r="J182" s="211">
        <v>1</v>
      </c>
      <c r="K182" s="212" t="str">
        <f>IF(OR(J182="",G182=J182),"","*")</f>
        <v/>
      </c>
      <c r="L182" s="332">
        <f>IF($A182&lt;=L$1,I182/I$4,"")</f>
        <v>0.1682222704579987</v>
      </c>
      <c r="M182" s="337"/>
      <c r="N182" s="338" t="s">
        <v>399</v>
      </c>
      <c r="O182" s="304">
        <v>0</v>
      </c>
      <c r="P182" s="305">
        <v>0</v>
      </c>
      <c r="Q182" s="305">
        <v>0</v>
      </c>
      <c r="R182" s="211">
        <v>0</v>
      </c>
      <c r="S182" s="212"/>
      <c r="T182" s="213" t="e">
        <v>#DIV/0!</v>
      </c>
      <c r="U182" s="214"/>
      <c r="V182" s="215"/>
      <c r="W182" s="304">
        <v>0</v>
      </c>
      <c r="X182" s="305">
        <v>0</v>
      </c>
      <c r="Y182" s="305">
        <v>0</v>
      </c>
      <c r="Z182" s="211">
        <v>0</v>
      </c>
      <c r="AA182" s="212"/>
      <c r="AB182" s="213" t="e">
        <v>#DIV/0!</v>
      </c>
      <c r="AC182" s="214"/>
      <c r="AD182" s="215"/>
      <c r="AE182" s="336"/>
      <c r="AF182" s="335"/>
    </row>
    <row r="183" spans="1:32">
      <c r="A183" s="301">
        <v>4</v>
      </c>
      <c r="B183" s="336"/>
      <c r="C183" s="336" t="s">
        <v>127</v>
      </c>
      <c r="D183" s="334" t="s">
        <v>400</v>
      </c>
      <c r="E183" s="336"/>
      <c r="F183" s="339" t="s">
        <v>401</v>
      </c>
      <c r="G183" s="302">
        <v>10</v>
      </c>
      <c r="H183" s="303">
        <v>47000</v>
      </c>
      <c r="I183" s="303">
        <v>470000</v>
      </c>
      <c r="J183" s="211"/>
      <c r="K183" s="212" t="str">
        <f>IF(OR(J183="",G183=J183),"","*")</f>
        <v/>
      </c>
      <c r="L183" s="332" t="str">
        <f>IF($A183&lt;=L$1,I183/I$4,"")</f>
        <v/>
      </c>
      <c r="M183" s="337"/>
      <c r="N183" s="338"/>
      <c r="O183" s="304">
        <v>0</v>
      </c>
      <c r="P183" s="305">
        <v>0</v>
      </c>
      <c r="Q183" s="305">
        <v>0</v>
      </c>
      <c r="R183" s="211">
        <v>0</v>
      </c>
      <c r="S183" s="212"/>
      <c r="T183" s="213" t="e">
        <v>#DIV/0!</v>
      </c>
      <c r="U183" s="214"/>
      <c r="V183" s="215"/>
      <c r="W183" s="304">
        <v>0</v>
      </c>
      <c r="X183" s="305">
        <v>0</v>
      </c>
      <c r="Y183" s="305">
        <v>0</v>
      </c>
      <c r="Z183" s="211">
        <v>0</v>
      </c>
      <c r="AA183" s="212"/>
      <c r="AB183" s="213" t="e">
        <v>#DIV/0!</v>
      </c>
      <c r="AC183" s="214"/>
      <c r="AD183" s="215"/>
      <c r="AE183" s="336" t="s">
        <v>402</v>
      </c>
      <c r="AF183" s="335" t="s">
        <v>403</v>
      </c>
    </row>
    <row r="184" spans="1:32">
      <c r="A184" s="301">
        <v>4</v>
      </c>
      <c r="B184" s="336"/>
      <c r="C184" s="336" t="s">
        <v>125</v>
      </c>
      <c r="D184" s="334" t="s">
        <v>404</v>
      </c>
      <c r="E184" s="336"/>
      <c r="F184" s="339" t="s">
        <v>405</v>
      </c>
      <c r="G184" s="302">
        <v>2</v>
      </c>
      <c r="H184" s="303">
        <v>15000</v>
      </c>
      <c r="I184" s="303">
        <v>30000</v>
      </c>
      <c r="J184" s="211"/>
      <c r="K184" s="212" t="str">
        <f>IF(OR(J184="",G184=J184),"","*")</f>
        <v/>
      </c>
      <c r="L184" s="332" t="str">
        <f>IF($A184&lt;=L$1,I184/I$4,"")</f>
        <v/>
      </c>
      <c r="M184" s="337"/>
      <c r="N184" s="338"/>
      <c r="O184" s="304">
        <v>0</v>
      </c>
      <c r="P184" s="305">
        <v>0</v>
      </c>
      <c r="Q184" s="305">
        <v>0</v>
      </c>
      <c r="R184" s="211">
        <v>0</v>
      </c>
      <c r="S184" s="212"/>
      <c r="T184" s="213" t="e">
        <v>#DIV/0!</v>
      </c>
      <c r="U184" s="214"/>
      <c r="V184" s="215"/>
      <c r="W184" s="304">
        <v>0</v>
      </c>
      <c r="X184" s="305">
        <v>0</v>
      </c>
      <c r="Y184" s="305">
        <v>0</v>
      </c>
      <c r="Z184" s="211">
        <v>0</v>
      </c>
      <c r="AA184" s="212"/>
      <c r="AB184" s="213" t="e">
        <v>#DIV/0!</v>
      </c>
      <c r="AC184" s="214"/>
      <c r="AD184" s="215"/>
      <c r="AE184" s="336" t="s">
        <v>406</v>
      </c>
      <c r="AF184" s="335"/>
    </row>
    <row r="185" spans="1:32">
      <c r="A185" s="301">
        <v>4</v>
      </c>
      <c r="B185" s="336"/>
      <c r="C185" s="336" t="s">
        <v>125</v>
      </c>
      <c r="D185" s="334" t="s">
        <v>407</v>
      </c>
      <c r="E185" s="336"/>
      <c r="F185" s="339" t="s">
        <v>405</v>
      </c>
      <c r="G185" s="302">
        <v>2</v>
      </c>
      <c r="H185" s="303">
        <v>25000</v>
      </c>
      <c r="I185" s="303">
        <v>50000</v>
      </c>
      <c r="J185" s="211"/>
      <c r="K185" s="212" t="str">
        <f>IF(OR(J185="",G185=J185),"","*")</f>
        <v/>
      </c>
      <c r="L185" s="332" t="str">
        <f>IF($A185&lt;=L$1,I185/I$4,"")</f>
        <v/>
      </c>
      <c r="M185" s="337"/>
      <c r="N185" s="338"/>
      <c r="O185" s="304">
        <v>0</v>
      </c>
      <c r="P185" s="305">
        <v>0</v>
      </c>
      <c r="Q185" s="305">
        <v>0</v>
      </c>
      <c r="R185" s="211">
        <v>0</v>
      </c>
      <c r="S185" s="212"/>
      <c r="T185" s="213" t="e">
        <v>#DIV/0!</v>
      </c>
      <c r="U185" s="214"/>
      <c r="V185" s="215"/>
      <c r="W185" s="304">
        <v>0</v>
      </c>
      <c r="X185" s="305">
        <v>0</v>
      </c>
      <c r="Y185" s="305">
        <v>0</v>
      </c>
      <c r="Z185" s="211">
        <v>0</v>
      </c>
      <c r="AA185" s="212"/>
      <c r="AB185" s="213" t="e">
        <v>#DIV/0!</v>
      </c>
      <c r="AC185" s="214"/>
      <c r="AD185" s="215"/>
      <c r="AE185" s="336" t="s">
        <v>408</v>
      </c>
      <c r="AF185" s="335"/>
    </row>
    <row r="186" spans="1:32">
      <c r="A186" s="301">
        <v>4</v>
      </c>
      <c r="B186" s="336"/>
      <c r="C186" s="336" t="s">
        <v>125</v>
      </c>
      <c r="D186" s="334" t="s">
        <v>407</v>
      </c>
      <c r="E186" s="336"/>
      <c r="F186" s="339" t="s">
        <v>405</v>
      </c>
      <c r="G186" s="302">
        <v>10</v>
      </c>
      <c r="H186" s="303">
        <v>25000</v>
      </c>
      <c r="I186" s="303">
        <v>250000</v>
      </c>
      <c r="J186" s="211"/>
      <c r="K186" s="212" t="str">
        <f>IF(OR(J186="",G186=J186),"","*")</f>
        <v/>
      </c>
      <c r="L186" s="332" t="str">
        <f>IF($A186&lt;=L$1,I186/I$4,"")</f>
        <v/>
      </c>
      <c r="M186" s="337"/>
      <c r="N186" s="338"/>
      <c r="O186" s="304">
        <v>0</v>
      </c>
      <c r="P186" s="305">
        <v>0</v>
      </c>
      <c r="Q186" s="305">
        <v>0</v>
      </c>
      <c r="R186" s="211">
        <v>0</v>
      </c>
      <c r="S186" s="212"/>
      <c r="T186" s="213" t="e">
        <v>#DIV/0!</v>
      </c>
      <c r="U186" s="214"/>
      <c r="V186" s="215"/>
      <c r="W186" s="304">
        <v>0</v>
      </c>
      <c r="X186" s="305">
        <v>0</v>
      </c>
      <c r="Y186" s="305">
        <v>0</v>
      </c>
      <c r="Z186" s="211">
        <v>0</v>
      </c>
      <c r="AA186" s="212"/>
      <c r="AB186" s="213" t="e">
        <v>#DIV/0!</v>
      </c>
      <c r="AC186" s="214"/>
      <c r="AD186" s="215"/>
      <c r="AE186" s="336" t="s">
        <v>408</v>
      </c>
      <c r="AF186" s="335"/>
    </row>
    <row r="187" spans="1:32">
      <c r="A187" s="301">
        <v>4</v>
      </c>
      <c r="B187" s="336"/>
      <c r="C187" s="336" t="s">
        <v>125</v>
      </c>
      <c r="D187" s="334" t="s">
        <v>407</v>
      </c>
      <c r="E187" s="336"/>
      <c r="F187" s="339" t="s">
        <v>405</v>
      </c>
      <c r="G187" s="302">
        <v>2</v>
      </c>
      <c r="H187" s="303">
        <v>25000</v>
      </c>
      <c r="I187" s="303">
        <v>50000</v>
      </c>
      <c r="J187" s="211"/>
      <c r="K187" s="212" t="str">
        <f>IF(OR(J187="",G187=J187),"","*")</f>
        <v/>
      </c>
      <c r="L187" s="332" t="str">
        <f>IF($A187&lt;=L$1,I187/I$4,"")</f>
        <v/>
      </c>
      <c r="M187" s="337"/>
      <c r="N187" s="338"/>
      <c r="O187" s="304">
        <v>0</v>
      </c>
      <c r="P187" s="305">
        <v>0</v>
      </c>
      <c r="Q187" s="305">
        <v>0</v>
      </c>
      <c r="R187" s="211">
        <v>0</v>
      </c>
      <c r="S187" s="212"/>
      <c r="T187" s="213" t="e">
        <v>#DIV/0!</v>
      </c>
      <c r="U187" s="214"/>
      <c r="V187" s="215"/>
      <c r="W187" s="304">
        <v>0</v>
      </c>
      <c r="X187" s="305">
        <v>0</v>
      </c>
      <c r="Y187" s="305">
        <v>0</v>
      </c>
      <c r="Z187" s="211">
        <v>0</v>
      </c>
      <c r="AA187" s="212"/>
      <c r="AB187" s="213" t="e">
        <v>#DIV/0!</v>
      </c>
      <c r="AC187" s="214"/>
      <c r="AD187" s="215"/>
      <c r="AE187" s="336" t="s">
        <v>408</v>
      </c>
      <c r="AF187" s="335"/>
    </row>
    <row r="188" spans="1:32">
      <c r="A188" s="301">
        <v>4</v>
      </c>
      <c r="B188" s="336"/>
      <c r="C188" s="336"/>
      <c r="D188" s="334" t="s">
        <v>409</v>
      </c>
      <c r="E188" s="336"/>
      <c r="F188" s="339" t="s">
        <v>92</v>
      </c>
      <c r="G188" s="302">
        <v>1</v>
      </c>
      <c r="H188" s="303">
        <v>150000</v>
      </c>
      <c r="I188" s="303">
        <v>150000</v>
      </c>
      <c r="J188" s="211"/>
      <c r="K188" s="212" t="str">
        <f>IF(OR(J188="",G188=J188),"","*")</f>
        <v/>
      </c>
      <c r="L188" s="332" t="str">
        <f>IF($A188&lt;=L$1,I188/I$4,"")</f>
        <v/>
      </c>
      <c r="M188" s="337"/>
      <c r="N188" s="338"/>
      <c r="O188" s="304">
        <v>0</v>
      </c>
      <c r="P188" s="305">
        <v>0</v>
      </c>
      <c r="Q188" s="305">
        <v>0</v>
      </c>
      <c r="R188" s="211">
        <v>0</v>
      </c>
      <c r="S188" s="212"/>
      <c r="T188" s="213" t="e">
        <v>#DIV/0!</v>
      </c>
      <c r="U188" s="214"/>
      <c r="V188" s="215"/>
      <c r="W188" s="304">
        <v>0</v>
      </c>
      <c r="X188" s="305">
        <v>0</v>
      </c>
      <c r="Y188" s="305">
        <v>0</v>
      </c>
      <c r="Z188" s="211">
        <v>0</v>
      </c>
      <c r="AA188" s="212"/>
      <c r="AB188" s="213" t="e">
        <v>#DIV/0!</v>
      </c>
      <c r="AC188" s="214"/>
      <c r="AD188" s="215"/>
      <c r="AE188" s="336"/>
      <c r="AF188" s="335"/>
    </row>
    <row r="189" spans="1:32">
      <c r="A189" s="301">
        <v>4</v>
      </c>
      <c r="B189" s="336"/>
      <c r="C189" s="336"/>
      <c r="D189" s="334" t="s">
        <v>410</v>
      </c>
      <c r="E189" s="336"/>
      <c r="F189" s="339" t="s">
        <v>92</v>
      </c>
      <c r="G189" s="302">
        <v>1</v>
      </c>
      <c r="H189" s="303">
        <v>60000</v>
      </c>
      <c r="I189" s="303">
        <v>60000</v>
      </c>
      <c r="J189" s="211"/>
      <c r="K189" s="212" t="str">
        <f>IF(OR(J189="",G189=J189),"","*")</f>
        <v/>
      </c>
      <c r="L189" s="332" t="str">
        <f>IF($A189&lt;=L$1,I189/I$4,"")</f>
        <v/>
      </c>
      <c r="M189" s="337"/>
      <c r="N189" s="338"/>
      <c r="O189" s="304">
        <v>0</v>
      </c>
      <c r="P189" s="305">
        <v>0</v>
      </c>
      <c r="Q189" s="305">
        <v>0</v>
      </c>
      <c r="R189" s="211">
        <v>0</v>
      </c>
      <c r="S189" s="212"/>
      <c r="T189" s="213" t="e">
        <v>#DIV/0!</v>
      </c>
      <c r="U189" s="214"/>
      <c r="V189" s="215"/>
      <c r="W189" s="304">
        <v>0</v>
      </c>
      <c r="X189" s="305">
        <v>0</v>
      </c>
      <c r="Y189" s="305">
        <v>0</v>
      </c>
      <c r="Z189" s="211">
        <v>0</v>
      </c>
      <c r="AA189" s="212"/>
      <c r="AB189" s="213" t="e">
        <v>#DIV/0!</v>
      </c>
      <c r="AC189" s="214"/>
      <c r="AD189" s="215"/>
      <c r="AE189" s="336"/>
      <c r="AF189" s="335"/>
    </row>
    <row r="190" spans="1:32">
      <c r="A190" s="301">
        <v>4</v>
      </c>
      <c r="B190" s="336"/>
      <c r="C190" s="336"/>
      <c r="D190" s="334" t="s">
        <v>411</v>
      </c>
      <c r="E190" s="336"/>
      <c r="F190" s="339" t="s">
        <v>405</v>
      </c>
      <c r="G190" s="302">
        <v>2</v>
      </c>
      <c r="H190" s="303">
        <v>20000</v>
      </c>
      <c r="I190" s="303">
        <v>40000</v>
      </c>
      <c r="J190" s="211"/>
      <c r="K190" s="212" t="str">
        <f>IF(OR(J190="",G190=J190),"","*")</f>
        <v/>
      </c>
      <c r="L190" s="332" t="str">
        <f>IF($A190&lt;=L$1,I190/I$4,"")</f>
        <v/>
      </c>
      <c r="M190" s="337"/>
      <c r="N190" s="338"/>
      <c r="O190" s="304">
        <v>0</v>
      </c>
      <c r="P190" s="305">
        <v>0</v>
      </c>
      <c r="Q190" s="305">
        <v>0</v>
      </c>
      <c r="R190" s="211">
        <v>0</v>
      </c>
      <c r="S190" s="212"/>
      <c r="T190" s="213" t="e">
        <v>#DIV/0!</v>
      </c>
      <c r="U190" s="214"/>
      <c r="V190" s="215"/>
      <c r="W190" s="304">
        <v>0</v>
      </c>
      <c r="X190" s="305">
        <v>0</v>
      </c>
      <c r="Y190" s="305">
        <v>0</v>
      </c>
      <c r="Z190" s="211">
        <v>0</v>
      </c>
      <c r="AA190" s="212"/>
      <c r="AB190" s="213" t="e">
        <v>#DIV/0!</v>
      </c>
      <c r="AC190" s="214"/>
      <c r="AD190" s="215"/>
      <c r="AE190" s="336"/>
      <c r="AF190" s="335"/>
    </row>
    <row r="191" spans="1:32">
      <c r="A191" s="301">
        <v>4</v>
      </c>
      <c r="B191" s="336"/>
      <c r="C191" s="336"/>
      <c r="D191" s="334" t="s">
        <v>412</v>
      </c>
      <c r="E191" s="336"/>
      <c r="F191" s="339" t="s">
        <v>92</v>
      </c>
      <c r="G191" s="302">
        <v>1</v>
      </c>
      <c r="H191" s="303">
        <v>200000</v>
      </c>
      <c r="I191" s="303">
        <v>200000</v>
      </c>
      <c r="J191" s="211"/>
      <c r="K191" s="212" t="str">
        <f>IF(OR(J191="",G191=J191),"","*")</f>
        <v/>
      </c>
      <c r="L191" s="332" t="str">
        <f>IF($A191&lt;=L$1,I191/I$4,"")</f>
        <v/>
      </c>
      <c r="M191" s="337"/>
      <c r="N191" s="338"/>
      <c r="O191" s="304">
        <v>0</v>
      </c>
      <c r="P191" s="305">
        <v>0</v>
      </c>
      <c r="Q191" s="305">
        <v>0</v>
      </c>
      <c r="R191" s="211">
        <v>0</v>
      </c>
      <c r="S191" s="212"/>
      <c r="T191" s="213" t="e">
        <v>#DIV/0!</v>
      </c>
      <c r="U191" s="214"/>
      <c r="V191" s="215"/>
      <c r="W191" s="304">
        <v>0</v>
      </c>
      <c r="X191" s="305">
        <v>0</v>
      </c>
      <c r="Y191" s="305">
        <v>0</v>
      </c>
      <c r="Z191" s="211">
        <v>0</v>
      </c>
      <c r="AA191" s="212"/>
      <c r="AB191" s="213" t="e">
        <v>#DIV/0!</v>
      </c>
      <c r="AC191" s="214"/>
      <c r="AD191" s="215"/>
      <c r="AE191" s="336"/>
      <c r="AF191" s="335"/>
    </row>
    <row r="192" spans="1:32">
      <c r="A192" s="301">
        <v>4</v>
      </c>
      <c r="B192" s="336"/>
      <c r="C192" s="336"/>
      <c r="D192" s="334" t="s">
        <v>413</v>
      </c>
      <c r="E192" s="336"/>
      <c r="F192" s="339" t="s">
        <v>92</v>
      </c>
      <c r="G192" s="302">
        <v>1</v>
      </c>
      <c r="H192" s="303">
        <v>100000</v>
      </c>
      <c r="I192" s="303">
        <v>100000</v>
      </c>
      <c r="J192" s="211"/>
      <c r="K192" s="212" t="str">
        <f>IF(OR(J192="",G192=J192),"","*")</f>
        <v/>
      </c>
      <c r="L192" s="332" t="str">
        <f>IF($A192&lt;=L$1,I192/I$4,"")</f>
        <v/>
      </c>
      <c r="M192" s="337"/>
      <c r="N192" s="338"/>
      <c r="O192" s="304">
        <v>0</v>
      </c>
      <c r="P192" s="305">
        <v>0</v>
      </c>
      <c r="Q192" s="305">
        <v>0</v>
      </c>
      <c r="R192" s="211">
        <v>0</v>
      </c>
      <c r="S192" s="212"/>
      <c r="T192" s="213" t="e">
        <v>#DIV/0!</v>
      </c>
      <c r="U192" s="214"/>
      <c r="V192" s="215"/>
      <c r="W192" s="304">
        <v>0</v>
      </c>
      <c r="X192" s="305">
        <v>0</v>
      </c>
      <c r="Y192" s="305">
        <v>0</v>
      </c>
      <c r="Z192" s="211">
        <v>0</v>
      </c>
      <c r="AA192" s="212"/>
      <c r="AB192" s="213" t="e">
        <v>#DIV/0!</v>
      </c>
      <c r="AC192" s="214"/>
      <c r="AD192" s="215"/>
      <c r="AE192" s="336"/>
      <c r="AF192" s="335"/>
    </row>
    <row r="193" spans="1:32">
      <c r="A193" s="301">
        <v>4</v>
      </c>
      <c r="B193" s="336"/>
      <c r="C193" s="336"/>
      <c r="D193" s="334" t="s">
        <v>414</v>
      </c>
      <c r="E193" s="336"/>
      <c r="F193" s="339" t="s">
        <v>92</v>
      </c>
      <c r="G193" s="302">
        <v>1</v>
      </c>
      <c r="H193" s="303">
        <v>24000</v>
      </c>
      <c r="I193" s="303">
        <v>24000</v>
      </c>
      <c r="J193" s="211"/>
      <c r="K193" s="212" t="str">
        <f>IF(OR(J193="",G193=J193),"","*")</f>
        <v/>
      </c>
      <c r="L193" s="332" t="str">
        <f>IF($A193&lt;=L$1,I193/I$4,"")</f>
        <v/>
      </c>
      <c r="M193" s="337"/>
      <c r="N193" s="338"/>
      <c r="O193" s="304">
        <v>0</v>
      </c>
      <c r="P193" s="305">
        <v>0</v>
      </c>
      <c r="Q193" s="305">
        <v>0</v>
      </c>
      <c r="R193" s="211">
        <v>0</v>
      </c>
      <c r="S193" s="212"/>
      <c r="T193" s="213" t="e">
        <v>#DIV/0!</v>
      </c>
      <c r="U193" s="214"/>
      <c r="V193" s="215"/>
      <c r="W193" s="304">
        <v>0</v>
      </c>
      <c r="X193" s="305">
        <v>0</v>
      </c>
      <c r="Y193" s="305">
        <v>0</v>
      </c>
      <c r="Z193" s="211">
        <v>0</v>
      </c>
      <c r="AA193" s="212"/>
      <c r="AB193" s="213" t="e">
        <v>#DIV/0!</v>
      </c>
      <c r="AC193" s="214"/>
      <c r="AD193" s="215"/>
      <c r="AE193" s="336"/>
      <c r="AF193" s="335"/>
    </row>
    <row r="194" spans="1:32">
      <c r="A194" s="301">
        <v>4</v>
      </c>
      <c r="B194" s="336"/>
      <c r="C194" s="336"/>
      <c r="D194" s="334" t="s">
        <v>415</v>
      </c>
      <c r="E194" s="336"/>
      <c r="F194" s="339" t="s">
        <v>103</v>
      </c>
      <c r="G194" s="302">
        <v>1</v>
      </c>
      <c r="H194" s="303">
        <v>4500</v>
      </c>
      <c r="I194" s="303">
        <v>4500</v>
      </c>
      <c r="J194" s="211"/>
      <c r="K194" s="212" t="str">
        <f>IF(OR(J194="",G194=J194),"","*")</f>
        <v/>
      </c>
      <c r="L194" s="332" t="str">
        <f>IF($A194&lt;=L$1,I194/I$4,"")</f>
        <v/>
      </c>
      <c r="M194" s="337"/>
      <c r="N194" s="338"/>
      <c r="O194" s="304">
        <v>0</v>
      </c>
      <c r="P194" s="305">
        <v>0</v>
      </c>
      <c r="Q194" s="305">
        <v>0</v>
      </c>
      <c r="R194" s="211">
        <v>0</v>
      </c>
      <c r="S194" s="212"/>
      <c r="T194" s="213" t="e">
        <v>#DIV/0!</v>
      </c>
      <c r="U194" s="214"/>
      <c r="V194" s="215"/>
      <c r="W194" s="304">
        <v>0</v>
      </c>
      <c r="X194" s="305">
        <v>0</v>
      </c>
      <c r="Y194" s="305">
        <v>0</v>
      </c>
      <c r="Z194" s="211">
        <v>0</v>
      </c>
      <c r="AA194" s="212"/>
      <c r="AB194" s="213" t="e">
        <v>#DIV/0!</v>
      </c>
      <c r="AC194" s="214"/>
      <c r="AD194" s="215"/>
      <c r="AE194" s="336"/>
      <c r="AF194" s="335"/>
    </row>
    <row r="195" spans="1:32">
      <c r="A195" s="301">
        <v>4</v>
      </c>
      <c r="B195" s="336"/>
      <c r="C195" s="336"/>
      <c r="D195" s="334" t="s">
        <v>416</v>
      </c>
      <c r="E195" s="336"/>
      <c r="F195" s="339" t="s">
        <v>92</v>
      </c>
      <c r="G195" s="302">
        <v>1</v>
      </c>
      <c r="H195" s="303">
        <v>1220</v>
      </c>
      <c r="I195" s="303">
        <v>1220</v>
      </c>
      <c r="J195" s="211"/>
      <c r="K195" s="212" t="str">
        <f>IF(OR(J195="",G195=J195),"","*")</f>
        <v/>
      </c>
      <c r="L195" s="332" t="str">
        <f>IF($A195&lt;=L$1,I195/I$4,"")</f>
        <v/>
      </c>
      <c r="M195" s="337"/>
      <c r="N195" s="338"/>
      <c r="O195" s="304">
        <v>0</v>
      </c>
      <c r="P195" s="305">
        <v>0</v>
      </c>
      <c r="Q195" s="305">
        <v>0</v>
      </c>
      <c r="R195" s="211">
        <v>0</v>
      </c>
      <c r="S195" s="212"/>
      <c r="T195" s="213" t="e">
        <v>#DIV/0!</v>
      </c>
      <c r="U195" s="214"/>
      <c r="V195" s="215"/>
      <c r="W195" s="304">
        <v>0</v>
      </c>
      <c r="X195" s="305">
        <v>0</v>
      </c>
      <c r="Y195" s="305">
        <v>0</v>
      </c>
      <c r="Z195" s="211">
        <v>0</v>
      </c>
      <c r="AA195" s="212"/>
      <c r="AB195" s="213" t="e">
        <v>#DIV/0!</v>
      </c>
      <c r="AC195" s="214"/>
      <c r="AD195" s="215"/>
      <c r="AE195" s="336"/>
      <c r="AF195" s="335"/>
    </row>
    <row r="196" spans="1:32">
      <c r="A196" s="301">
        <v>4</v>
      </c>
      <c r="B196" s="336"/>
      <c r="C196" s="336"/>
      <c r="D196" s="334" t="s">
        <v>417</v>
      </c>
      <c r="E196" s="336"/>
      <c r="F196" s="339" t="s">
        <v>405</v>
      </c>
      <c r="G196" s="302">
        <v>5</v>
      </c>
      <c r="H196" s="303">
        <v>3000</v>
      </c>
      <c r="I196" s="303">
        <v>15000</v>
      </c>
      <c r="J196" s="211"/>
      <c r="K196" s="212" t="str">
        <f>IF(OR(J196="",G196=J196),"","*")</f>
        <v/>
      </c>
      <c r="L196" s="332" t="str">
        <f>IF($A196&lt;=L$1,I196/I$4,"")</f>
        <v/>
      </c>
      <c r="M196" s="337"/>
      <c r="N196" s="338"/>
      <c r="O196" s="304">
        <v>0</v>
      </c>
      <c r="P196" s="305">
        <v>0</v>
      </c>
      <c r="Q196" s="305">
        <v>0</v>
      </c>
      <c r="R196" s="211">
        <v>0</v>
      </c>
      <c r="S196" s="212"/>
      <c r="T196" s="213" t="e">
        <v>#DIV/0!</v>
      </c>
      <c r="U196" s="214"/>
      <c r="V196" s="215"/>
      <c r="W196" s="304">
        <v>0</v>
      </c>
      <c r="X196" s="305">
        <v>0</v>
      </c>
      <c r="Y196" s="305">
        <v>0</v>
      </c>
      <c r="Z196" s="211">
        <v>0</v>
      </c>
      <c r="AA196" s="212"/>
      <c r="AB196" s="213" t="e">
        <v>#DIV/0!</v>
      </c>
      <c r="AC196" s="214"/>
      <c r="AD196" s="215"/>
      <c r="AE196" s="336"/>
      <c r="AF196" s="335"/>
    </row>
    <row r="197" spans="1:32">
      <c r="A197" s="301">
        <v>4</v>
      </c>
      <c r="B197" s="336"/>
      <c r="C197" s="336"/>
      <c r="D197" s="334" t="s">
        <v>283</v>
      </c>
      <c r="E197" s="336"/>
      <c r="F197" s="339" t="s">
        <v>92</v>
      </c>
      <c r="G197" s="302">
        <v>1</v>
      </c>
      <c r="H197" s="303">
        <v>105280</v>
      </c>
      <c r="I197" s="303">
        <v>105280</v>
      </c>
      <c r="J197" s="211"/>
      <c r="K197" s="212" t="str">
        <f>IF(OR(J197="",G197=J197),"","*")</f>
        <v/>
      </c>
      <c r="L197" s="332" t="str">
        <f>IF($A197&lt;=L$1,I197/I$4,"")</f>
        <v/>
      </c>
      <c r="M197" s="337"/>
      <c r="N197" s="338"/>
      <c r="O197" s="304">
        <v>0</v>
      </c>
      <c r="P197" s="305">
        <v>0</v>
      </c>
      <c r="Q197" s="305">
        <v>0</v>
      </c>
      <c r="R197" s="211">
        <v>0</v>
      </c>
      <c r="S197" s="212"/>
      <c r="T197" s="213" t="e">
        <v>#DIV/0!</v>
      </c>
      <c r="U197" s="214"/>
      <c r="V197" s="215"/>
      <c r="W197" s="304">
        <v>0</v>
      </c>
      <c r="X197" s="305">
        <v>0</v>
      </c>
      <c r="Y197" s="305">
        <v>0</v>
      </c>
      <c r="Z197" s="211">
        <v>0</v>
      </c>
      <c r="AA197" s="212"/>
      <c r="AB197" s="213" t="e">
        <v>#DIV/0!</v>
      </c>
      <c r="AC197" s="214"/>
      <c r="AD197" s="215"/>
      <c r="AE197" s="336"/>
      <c r="AF197" s="335"/>
    </row>
    <row r="198" spans="1:32">
      <c r="A198" s="217"/>
      <c r="B198" s="217"/>
      <c r="C198" s="306"/>
      <c r="D198" s="217"/>
      <c r="E198" s="217"/>
      <c r="F198" s="218"/>
      <c r="G198" s="217"/>
      <c r="H198" s="217"/>
      <c r="I198" s="217"/>
      <c r="J198" s="217"/>
      <c r="K198" s="218"/>
      <c r="L198" s="217"/>
      <c r="M198" s="217"/>
      <c r="N198" s="217"/>
      <c r="O198" s="217"/>
      <c r="P198" s="217"/>
      <c r="Q198" s="217"/>
      <c r="R198" s="217"/>
      <c r="S198" s="218"/>
      <c r="T198" s="217"/>
      <c r="U198" s="217"/>
      <c r="V198" s="217"/>
      <c r="W198" s="217"/>
      <c r="X198" s="217"/>
      <c r="Y198" s="217"/>
      <c r="Z198" s="217"/>
      <c r="AA198" s="218"/>
      <c r="AB198" s="217"/>
      <c r="AC198" s="217"/>
      <c r="AD198" s="217"/>
      <c r="AE198" s="217"/>
      <c r="AF198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197 AF5:AF197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197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/>
  </sheetViews>
  <sheetFormatPr defaultColWidth="8.25" defaultRowHeight="13.1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418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419</v>
      </c>
      <c r="C3" s="592"/>
      <c r="D3" s="116" t="s">
        <v>163</v>
      </c>
      <c r="E3" s="532" t="s">
        <v>420</v>
      </c>
      <c r="F3" s="533"/>
      <c r="G3" s="117" t="s">
        <v>163</v>
      </c>
      <c r="H3" s="69"/>
    </row>
    <row r="4" spans="1:8" ht="27" customHeight="1">
      <c r="A4" s="69"/>
      <c r="B4" s="118"/>
      <c r="C4" s="119" t="s">
        <v>64</v>
      </c>
      <c r="D4" s="309"/>
      <c r="E4" s="120"/>
      <c r="F4" s="119" t="s">
        <v>421</v>
      </c>
      <c r="G4" s="310">
        <v>900000</v>
      </c>
      <c r="H4" s="69"/>
    </row>
    <row r="5" spans="1:8" ht="27" customHeight="1">
      <c r="A5" s="69"/>
      <c r="B5" s="118"/>
      <c r="C5" s="119" t="s">
        <v>65</v>
      </c>
      <c r="D5" s="309"/>
      <c r="E5" s="120"/>
      <c r="F5" s="119" t="s">
        <v>422</v>
      </c>
      <c r="G5" s="310"/>
      <c r="H5" s="69"/>
    </row>
    <row r="6" spans="1:8" ht="27" customHeight="1">
      <c r="A6" s="69"/>
      <c r="B6" s="118"/>
      <c r="C6" s="119" t="s">
        <v>66</v>
      </c>
      <c r="D6" s="309"/>
      <c r="E6" s="120"/>
      <c r="F6" s="119" t="s">
        <v>423</v>
      </c>
      <c r="G6" s="310"/>
      <c r="H6" s="69"/>
    </row>
    <row r="7" spans="1:8" ht="27" customHeight="1">
      <c r="A7" s="69"/>
      <c r="B7" s="118"/>
      <c r="C7" s="119" t="s">
        <v>424</v>
      </c>
      <c r="D7" s="309"/>
      <c r="E7" s="120"/>
      <c r="F7" s="119" t="s">
        <v>425</v>
      </c>
      <c r="G7" s="310"/>
      <c r="H7" s="69"/>
    </row>
    <row r="8" spans="1:8" ht="27" customHeight="1">
      <c r="A8" s="69"/>
      <c r="B8" s="118"/>
      <c r="C8" s="119" t="s">
        <v>426</v>
      </c>
      <c r="D8" s="309">
        <v>660000</v>
      </c>
      <c r="E8" s="120"/>
      <c r="F8" s="119" t="s">
        <v>427</v>
      </c>
      <c r="G8" s="310"/>
      <c r="H8" s="69"/>
    </row>
    <row r="9" spans="1:8" ht="27" customHeight="1">
      <c r="A9" s="69"/>
      <c r="B9" s="118"/>
      <c r="C9" s="119" t="s">
        <v>428</v>
      </c>
      <c r="D9" s="309"/>
      <c r="E9" s="120"/>
      <c r="F9" s="119" t="s">
        <v>429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430</v>
      </c>
      <c r="G10" s="310"/>
      <c r="H10" s="69"/>
    </row>
    <row r="11" spans="1:8" ht="27" customHeight="1">
      <c r="A11" s="69"/>
      <c r="B11" s="118"/>
      <c r="C11" s="119" t="s">
        <v>234</v>
      </c>
      <c r="D11" s="309">
        <v>660000</v>
      </c>
      <c r="E11" s="120"/>
      <c r="F11" s="119" t="s">
        <v>431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234</v>
      </c>
      <c r="G13" s="310">
        <v>900000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1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3.1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432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433</v>
      </c>
      <c r="C2" s="536" t="s">
        <v>160</v>
      </c>
      <c r="D2" s="538" t="s">
        <v>434</v>
      </c>
      <c r="E2" s="536" t="s">
        <v>435</v>
      </c>
      <c r="F2" s="540" t="s">
        <v>436</v>
      </c>
      <c r="G2" s="542" t="s">
        <v>437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121</v>
      </c>
      <c r="H3" s="128" t="s">
        <v>122</v>
      </c>
      <c r="I3" s="128" t="s">
        <v>123</v>
      </c>
      <c r="J3" s="128" t="s">
        <v>124</v>
      </c>
      <c r="K3" s="128" t="s">
        <v>125</v>
      </c>
      <c r="L3" s="128" t="s">
        <v>126</v>
      </c>
      <c r="M3" s="128" t="s">
        <v>127</v>
      </c>
      <c r="N3" s="129" t="s">
        <v>128</v>
      </c>
      <c r="O3" s="69"/>
    </row>
    <row r="4" spans="1:15" ht="30" customHeight="1">
      <c r="A4" s="69"/>
      <c r="B4" s="130" t="s">
        <v>64</v>
      </c>
      <c r="C4" s="131" t="s">
        <v>92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65</v>
      </c>
      <c r="C5" s="131" t="s">
        <v>92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66</v>
      </c>
      <c r="C6" s="131" t="s">
        <v>92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424</v>
      </c>
      <c r="C7" s="131" t="s">
        <v>92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426</v>
      </c>
      <c r="C8" s="131" t="s">
        <v>92</v>
      </c>
      <c r="D8" s="320">
        <v>1</v>
      </c>
      <c r="E8" s="315">
        <v>660000</v>
      </c>
      <c r="F8" s="316">
        <v>660000</v>
      </c>
      <c r="G8" s="317"/>
      <c r="H8" s="318">
        <v>660000</v>
      </c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428</v>
      </c>
      <c r="C9" s="131" t="s">
        <v>92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234</v>
      </c>
      <c r="C11" s="131"/>
      <c r="D11" s="320"/>
      <c r="E11" s="315"/>
      <c r="F11" s="316">
        <v>660000</v>
      </c>
      <c r="G11" s="317"/>
      <c r="H11" s="318">
        <v>660000</v>
      </c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3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1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せんなん里海公園バスケットボールコート・スケートボード舗装工事</v>
      </c>
      <c r="G1" s="300"/>
      <c r="H1" s="190" t="s">
        <v>211</v>
      </c>
      <c r="I1" s="327">
        <v>10300000</v>
      </c>
      <c r="J1" s="333">
        <f>I4/I$1</f>
        <v>0.8945631067961165</v>
      </c>
      <c r="K1" s="193"/>
      <c r="L1" s="194">
        <v>3</v>
      </c>
      <c r="M1" s="195"/>
      <c r="N1" s="195"/>
      <c r="O1" s="300"/>
      <c r="P1" s="190" t="s">
        <v>130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130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236</v>
      </c>
      <c r="B2" s="198" t="s">
        <v>438</v>
      </c>
      <c r="C2" s="200" t="s">
        <v>238</v>
      </c>
      <c r="D2" s="200" t="s">
        <v>239</v>
      </c>
      <c r="E2" s="200" t="s">
        <v>240</v>
      </c>
      <c r="F2" s="200" t="s">
        <v>160</v>
      </c>
      <c r="G2" s="526" t="s">
        <v>241</v>
      </c>
      <c r="H2" s="527"/>
      <c r="I2" s="527"/>
      <c r="J2" s="527"/>
      <c r="K2" s="527"/>
      <c r="L2" s="527"/>
      <c r="M2" s="527"/>
      <c r="N2" s="528"/>
      <c r="O2" s="526" t="s">
        <v>242</v>
      </c>
      <c r="P2" s="527"/>
      <c r="Q2" s="527"/>
      <c r="R2" s="527"/>
      <c r="S2" s="527"/>
      <c r="T2" s="527"/>
      <c r="U2" s="527"/>
      <c r="V2" s="528"/>
      <c r="W2" s="526" t="s">
        <v>243</v>
      </c>
      <c r="X2" s="527"/>
      <c r="Y2" s="527"/>
      <c r="Z2" s="527"/>
      <c r="AA2" s="527"/>
      <c r="AB2" s="527"/>
      <c r="AC2" s="527"/>
      <c r="AD2" s="528"/>
      <c r="AE2" s="199" t="s">
        <v>244</v>
      </c>
      <c r="AF2" s="529" t="s">
        <v>165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161</v>
      </c>
      <c r="H3" s="205" t="s">
        <v>162</v>
      </c>
      <c r="I3" s="205" t="s">
        <v>163</v>
      </c>
      <c r="J3" s="206" t="s">
        <v>245</v>
      </c>
      <c r="K3" s="207"/>
      <c r="L3" s="208" t="s">
        <v>246</v>
      </c>
      <c r="M3" s="208" t="s">
        <v>247</v>
      </c>
      <c r="N3" s="209" t="s">
        <v>164</v>
      </c>
      <c r="O3" s="204" t="s">
        <v>161</v>
      </c>
      <c r="P3" s="205" t="s">
        <v>162</v>
      </c>
      <c r="Q3" s="205" t="s">
        <v>163</v>
      </c>
      <c r="R3" s="206" t="s">
        <v>245</v>
      </c>
      <c r="S3" s="210"/>
      <c r="T3" s="208" t="s">
        <v>246</v>
      </c>
      <c r="U3" s="208" t="s">
        <v>247</v>
      </c>
      <c r="V3" s="209" t="s">
        <v>164</v>
      </c>
      <c r="W3" s="204" t="s">
        <v>161</v>
      </c>
      <c r="X3" s="205" t="s">
        <v>162</v>
      </c>
      <c r="Y3" s="205" t="s">
        <v>163</v>
      </c>
      <c r="Z3" s="206" t="s">
        <v>245</v>
      </c>
      <c r="AA3" s="207"/>
      <c r="AB3" s="208" t="s">
        <v>246</v>
      </c>
      <c r="AC3" s="208" t="s">
        <v>247</v>
      </c>
      <c r="AD3" s="209" t="s">
        <v>164</v>
      </c>
      <c r="AE3" s="202"/>
      <c r="AF3" s="530"/>
    </row>
    <row r="4" spans="1:32">
      <c r="A4" s="301">
        <v>0</v>
      </c>
      <c r="B4" s="336"/>
      <c r="C4" s="336" t="s">
        <v>248</v>
      </c>
      <c r="D4" s="334"/>
      <c r="E4" s="336"/>
      <c r="F4" s="339" t="s">
        <v>92</v>
      </c>
      <c r="G4" s="302">
        <v>1</v>
      </c>
      <c r="H4" s="303">
        <v>9214000</v>
      </c>
      <c r="I4" s="303">
        <v>9214000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439</v>
      </c>
      <c r="T4" s="337" t="e">
        <v>#DIV/0!</v>
      </c>
      <c r="U4" s="337" t="s">
        <v>439</v>
      </c>
      <c r="V4" s="338" t="s">
        <v>439</v>
      </c>
      <c r="W4" s="340">
        <v>0</v>
      </c>
      <c r="X4" s="341">
        <v>0</v>
      </c>
      <c r="Y4" s="341">
        <v>0</v>
      </c>
      <c r="Z4" s="342">
        <v>0</v>
      </c>
      <c r="AA4" s="343" t="s">
        <v>439</v>
      </c>
      <c r="AB4" s="337" t="e">
        <v>#DIV/0!</v>
      </c>
      <c r="AC4" s="337" t="s">
        <v>439</v>
      </c>
      <c r="AD4" s="338" t="s">
        <v>439</v>
      </c>
      <c r="AE4" s="336"/>
      <c r="AF4" s="335" t="s">
        <v>439</v>
      </c>
    </row>
    <row r="5" spans="1:32">
      <c r="A5" s="301">
        <v>1</v>
      </c>
      <c r="B5" s="336"/>
      <c r="C5" s="336" t="s">
        <v>249</v>
      </c>
      <c r="D5" s="334" t="s">
        <v>440</v>
      </c>
      <c r="E5" s="336"/>
      <c r="F5" s="339" t="s">
        <v>92</v>
      </c>
      <c r="G5" s="302">
        <v>1</v>
      </c>
      <c r="H5" s="303">
        <v>660000</v>
      </c>
      <c r="I5" s="303">
        <v>660000</v>
      </c>
      <c r="J5" s="211"/>
      <c r="K5" s="212" t="str">
        <f>IF(OR(J5="",G5=J5),"","*")</f>
        <v/>
      </c>
      <c r="L5" s="332">
        <f>IF($A5&lt;=L$1,I5/I$4,"")</f>
        <v>7.1630128065986537E-2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439</v>
      </c>
      <c r="T5" s="337" t="e">
        <v>#DIV/0!</v>
      </c>
      <c r="U5" s="337" t="s">
        <v>439</v>
      </c>
      <c r="V5" s="338" t="s">
        <v>439</v>
      </c>
      <c r="W5" s="340">
        <v>0</v>
      </c>
      <c r="X5" s="341">
        <v>0</v>
      </c>
      <c r="Y5" s="341">
        <v>0</v>
      </c>
      <c r="Z5" s="342">
        <v>0</v>
      </c>
      <c r="AA5" s="343" t="s">
        <v>439</v>
      </c>
      <c r="AB5" s="337" t="e">
        <v>#DIV/0!</v>
      </c>
      <c r="AC5" s="337" t="s">
        <v>439</v>
      </c>
      <c r="AD5" s="338" t="s">
        <v>439</v>
      </c>
      <c r="AE5" s="336"/>
      <c r="AF5" s="335" t="s">
        <v>439</v>
      </c>
    </row>
    <row r="6" spans="1:32">
      <c r="A6" s="301">
        <v>2</v>
      </c>
      <c r="B6" s="336"/>
      <c r="C6" s="336" t="s">
        <v>441</v>
      </c>
      <c r="D6" s="334" t="s">
        <v>442</v>
      </c>
      <c r="E6" s="336"/>
      <c r="F6" s="339" t="s">
        <v>92</v>
      </c>
      <c r="G6" s="302">
        <v>1</v>
      </c>
      <c r="H6" s="303">
        <v>0</v>
      </c>
      <c r="I6" s="303">
        <v>0</v>
      </c>
      <c r="J6" s="211">
        <v>1</v>
      </c>
      <c r="K6" s="212" t="str">
        <f>IF(OR(J6="",G6=J6),"","*")</f>
        <v/>
      </c>
      <c r="L6" s="332">
        <f>IF($A6&lt;=L$1,I6/I$4,"")</f>
        <v>0</v>
      </c>
      <c r="M6" s="337"/>
      <c r="N6" s="338" t="s">
        <v>443</v>
      </c>
      <c r="O6" s="340">
        <v>0</v>
      </c>
      <c r="P6" s="341">
        <v>0</v>
      </c>
      <c r="Q6" s="341">
        <v>0</v>
      </c>
      <c r="R6" s="342">
        <v>0</v>
      </c>
      <c r="S6" s="343" t="s">
        <v>439</v>
      </c>
      <c r="T6" s="337" t="e">
        <v>#DIV/0!</v>
      </c>
      <c r="U6" s="337" t="s">
        <v>439</v>
      </c>
      <c r="V6" s="338" t="s">
        <v>439</v>
      </c>
      <c r="W6" s="340">
        <v>0</v>
      </c>
      <c r="X6" s="341">
        <v>0</v>
      </c>
      <c r="Y6" s="341">
        <v>0</v>
      </c>
      <c r="Z6" s="342">
        <v>0</v>
      </c>
      <c r="AA6" s="343" t="s">
        <v>439</v>
      </c>
      <c r="AB6" s="337" t="e">
        <v>#DIV/0!</v>
      </c>
      <c r="AC6" s="337" t="s">
        <v>439</v>
      </c>
      <c r="AD6" s="338" t="s">
        <v>439</v>
      </c>
      <c r="AE6" s="336"/>
      <c r="AF6" s="335" t="s">
        <v>439</v>
      </c>
    </row>
    <row r="7" spans="1:32">
      <c r="A7" s="301">
        <v>2</v>
      </c>
      <c r="B7" s="336"/>
      <c r="C7" s="336" t="s">
        <v>441</v>
      </c>
      <c r="D7" s="334" t="s">
        <v>444</v>
      </c>
      <c r="E7" s="336" t="s">
        <v>109</v>
      </c>
      <c r="F7" s="339" t="s">
        <v>92</v>
      </c>
      <c r="G7" s="302">
        <v>1</v>
      </c>
      <c r="H7" s="303">
        <v>0</v>
      </c>
      <c r="I7" s="303">
        <v>0</v>
      </c>
      <c r="J7" s="211">
        <v>1</v>
      </c>
      <c r="K7" s="212" t="str">
        <f>IF(OR(J7="",G7=J7),"","*")</f>
        <v/>
      </c>
      <c r="L7" s="332">
        <f>IF($A7&lt;=L$1,I7/I$4,"")</f>
        <v>0</v>
      </c>
      <c r="M7" s="337"/>
      <c r="N7" s="338" t="s">
        <v>445</v>
      </c>
      <c r="O7" s="340">
        <v>0</v>
      </c>
      <c r="P7" s="341">
        <v>0</v>
      </c>
      <c r="Q7" s="341">
        <v>0</v>
      </c>
      <c r="R7" s="342">
        <v>0</v>
      </c>
      <c r="S7" s="343" t="s">
        <v>439</v>
      </c>
      <c r="T7" s="337" t="e">
        <v>#DIV/0!</v>
      </c>
      <c r="U7" s="337" t="s">
        <v>439</v>
      </c>
      <c r="V7" s="338" t="s">
        <v>439</v>
      </c>
      <c r="W7" s="340">
        <v>0</v>
      </c>
      <c r="X7" s="341">
        <v>0</v>
      </c>
      <c r="Y7" s="341">
        <v>0</v>
      </c>
      <c r="Z7" s="342">
        <v>0</v>
      </c>
      <c r="AA7" s="343" t="s">
        <v>439</v>
      </c>
      <c r="AB7" s="337" t="e">
        <v>#DIV/0!</v>
      </c>
      <c r="AC7" s="337" t="s">
        <v>439</v>
      </c>
      <c r="AD7" s="338" t="s">
        <v>439</v>
      </c>
      <c r="AE7" s="336"/>
      <c r="AF7" s="335" t="s">
        <v>439</v>
      </c>
    </row>
    <row r="8" spans="1:32">
      <c r="A8" s="301">
        <v>2</v>
      </c>
      <c r="B8" s="336"/>
      <c r="C8" s="336" t="s">
        <v>441</v>
      </c>
      <c r="D8" s="334" t="s">
        <v>446</v>
      </c>
      <c r="E8" s="336" t="s">
        <v>110</v>
      </c>
      <c r="F8" s="339" t="s">
        <v>92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447</v>
      </c>
      <c r="O8" s="340">
        <v>0</v>
      </c>
      <c r="P8" s="341">
        <v>0</v>
      </c>
      <c r="Q8" s="341">
        <v>0</v>
      </c>
      <c r="R8" s="342">
        <v>0</v>
      </c>
      <c r="S8" s="343" t="s">
        <v>439</v>
      </c>
      <c r="T8" s="337" t="e">
        <v>#DIV/0!</v>
      </c>
      <c r="U8" s="337" t="s">
        <v>439</v>
      </c>
      <c r="V8" s="338" t="s">
        <v>439</v>
      </c>
      <c r="W8" s="340">
        <v>0</v>
      </c>
      <c r="X8" s="341">
        <v>0</v>
      </c>
      <c r="Y8" s="341">
        <v>0</v>
      </c>
      <c r="Z8" s="342">
        <v>0</v>
      </c>
      <c r="AA8" s="343" t="s">
        <v>439</v>
      </c>
      <c r="AB8" s="337" t="e">
        <v>#DIV/0!</v>
      </c>
      <c r="AC8" s="337" t="s">
        <v>439</v>
      </c>
      <c r="AD8" s="338" t="s">
        <v>439</v>
      </c>
      <c r="AE8" s="336"/>
      <c r="AF8" s="335" t="s">
        <v>439</v>
      </c>
    </row>
    <row r="9" spans="1:32">
      <c r="A9" s="301">
        <v>2</v>
      </c>
      <c r="B9" s="336"/>
      <c r="C9" s="336" t="s">
        <v>441</v>
      </c>
      <c r="D9" s="334" t="s">
        <v>448</v>
      </c>
      <c r="E9" s="336" t="s">
        <v>449</v>
      </c>
      <c r="F9" s="339" t="s">
        <v>92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450</v>
      </c>
      <c r="O9" s="340">
        <v>0</v>
      </c>
      <c r="P9" s="341">
        <v>0</v>
      </c>
      <c r="Q9" s="341">
        <v>0</v>
      </c>
      <c r="R9" s="342">
        <v>0</v>
      </c>
      <c r="S9" s="343" t="s">
        <v>439</v>
      </c>
      <c r="T9" s="337" t="e">
        <v>#DIV/0!</v>
      </c>
      <c r="U9" s="337" t="s">
        <v>439</v>
      </c>
      <c r="V9" s="338" t="s">
        <v>439</v>
      </c>
      <c r="W9" s="340">
        <v>0</v>
      </c>
      <c r="X9" s="341">
        <v>0</v>
      </c>
      <c r="Y9" s="341">
        <v>0</v>
      </c>
      <c r="Z9" s="342">
        <v>0</v>
      </c>
      <c r="AA9" s="343" t="s">
        <v>439</v>
      </c>
      <c r="AB9" s="337" t="e">
        <v>#DIV/0!</v>
      </c>
      <c r="AC9" s="337" t="s">
        <v>439</v>
      </c>
      <c r="AD9" s="338" t="s">
        <v>439</v>
      </c>
      <c r="AE9" s="336"/>
      <c r="AF9" s="335" t="s">
        <v>439</v>
      </c>
    </row>
    <row r="10" spans="1:32">
      <c r="A10" s="301">
        <v>2</v>
      </c>
      <c r="B10" s="336"/>
      <c r="C10" s="336" t="s">
        <v>441</v>
      </c>
      <c r="D10" s="334" t="s">
        <v>451</v>
      </c>
      <c r="E10" s="336" t="s">
        <v>452</v>
      </c>
      <c r="F10" s="339" t="s">
        <v>92</v>
      </c>
      <c r="G10" s="302">
        <v>1</v>
      </c>
      <c r="H10" s="303">
        <v>660000</v>
      </c>
      <c r="I10" s="303">
        <v>660000</v>
      </c>
      <c r="J10" s="211">
        <v>1</v>
      </c>
      <c r="K10" s="212" t="str">
        <f>IF(OR(J10="",G10=J10),"","*")</f>
        <v/>
      </c>
      <c r="L10" s="332">
        <f>IF($A10&lt;=L$1,I10/I$4,"")</f>
        <v>7.1630128065986537E-2</v>
      </c>
      <c r="M10" s="337"/>
      <c r="N10" s="338" t="s">
        <v>453</v>
      </c>
      <c r="O10" s="340">
        <v>0</v>
      </c>
      <c r="P10" s="341">
        <v>0</v>
      </c>
      <c r="Q10" s="341">
        <v>0</v>
      </c>
      <c r="R10" s="342">
        <v>0</v>
      </c>
      <c r="S10" s="343" t="s">
        <v>439</v>
      </c>
      <c r="T10" s="337" t="e">
        <v>#DIV/0!</v>
      </c>
      <c r="U10" s="337" t="s">
        <v>439</v>
      </c>
      <c r="V10" s="338" t="s">
        <v>439</v>
      </c>
      <c r="W10" s="340">
        <v>0</v>
      </c>
      <c r="X10" s="341">
        <v>0</v>
      </c>
      <c r="Y10" s="341">
        <v>0</v>
      </c>
      <c r="Z10" s="342">
        <v>0</v>
      </c>
      <c r="AA10" s="343" t="s">
        <v>439</v>
      </c>
      <c r="AB10" s="337" t="e">
        <v>#DIV/0!</v>
      </c>
      <c r="AC10" s="337" t="s">
        <v>439</v>
      </c>
      <c r="AD10" s="338" t="s">
        <v>439</v>
      </c>
      <c r="AE10" s="336"/>
      <c r="AF10" s="335" t="s">
        <v>439</v>
      </c>
    </row>
    <row r="11" spans="1:32">
      <c r="A11" s="301">
        <v>3</v>
      </c>
      <c r="B11" s="336"/>
      <c r="C11" s="336" t="s">
        <v>122</v>
      </c>
      <c r="D11" s="334" t="s">
        <v>454</v>
      </c>
      <c r="E11" s="336"/>
      <c r="F11" s="339" t="s">
        <v>262</v>
      </c>
      <c r="G11" s="302">
        <v>30</v>
      </c>
      <c r="H11" s="303">
        <v>22000</v>
      </c>
      <c r="I11" s="303">
        <v>660000</v>
      </c>
      <c r="J11" s="211"/>
      <c r="K11" s="212" t="str">
        <f>IF(OR(J11="",G11=J11),"","*")</f>
        <v/>
      </c>
      <c r="L11" s="332">
        <f>IF($A11&lt;=L$1,I11/I$4,"")</f>
        <v>7.1630128065986537E-2</v>
      </c>
      <c r="M11" s="337"/>
      <c r="N11" s="338"/>
      <c r="O11" s="340">
        <v>0</v>
      </c>
      <c r="P11" s="341">
        <v>0</v>
      </c>
      <c r="Q11" s="341">
        <v>0</v>
      </c>
      <c r="R11" s="342">
        <v>0</v>
      </c>
      <c r="S11" s="343" t="s">
        <v>439</v>
      </c>
      <c r="T11" s="337" t="e">
        <v>#DIV/0!</v>
      </c>
      <c r="U11" s="337" t="s">
        <v>439</v>
      </c>
      <c r="V11" s="338" t="s">
        <v>439</v>
      </c>
      <c r="W11" s="340">
        <v>0</v>
      </c>
      <c r="X11" s="341">
        <v>0</v>
      </c>
      <c r="Y11" s="341">
        <v>0</v>
      </c>
      <c r="Z11" s="342">
        <v>0</v>
      </c>
      <c r="AA11" s="343" t="s">
        <v>439</v>
      </c>
      <c r="AB11" s="337" t="e">
        <v>#DIV/0!</v>
      </c>
      <c r="AC11" s="337" t="s">
        <v>439</v>
      </c>
      <c r="AD11" s="338" t="s">
        <v>439</v>
      </c>
      <c r="AE11" s="336"/>
      <c r="AF11" s="335" t="s">
        <v>439</v>
      </c>
    </row>
    <row r="12" spans="1:32">
      <c r="A12" s="301">
        <v>2</v>
      </c>
      <c r="B12" s="336"/>
      <c r="C12" s="336" t="s">
        <v>441</v>
      </c>
      <c r="D12" s="334" t="s">
        <v>455</v>
      </c>
      <c r="E12" s="336" t="s">
        <v>456</v>
      </c>
      <c r="F12" s="339" t="s">
        <v>92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457</v>
      </c>
      <c r="O12" s="340">
        <v>0</v>
      </c>
      <c r="P12" s="341">
        <v>0</v>
      </c>
      <c r="Q12" s="341">
        <v>0</v>
      </c>
      <c r="R12" s="342">
        <v>0</v>
      </c>
      <c r="S12" s="343" t="s">
        <v>439</v>
      </c>
      <c r="T12" s="337" t="e">
        <v>#DIV/0!</v>
      </c>
      <c r="U12" s="337" t="s">
        <v>439</v>
      </c>
      <c r="V12" s="338" t="s">
        <v>439</v>
      </c>
      <c r="W12" s="340">
        <v>0</v>
      </c>
      <c r="X12" s="341">
        <v>0</v>
      </c>
      <c r="Y12" s="341">
        <v>0</v>
      </c>
      <c r="Z12" s="342">
        <v>0</v>
      </c>
      <c r="AA12" s="343" t="s">
        <v>439</v>
      </c>
      <c r="AB12" s="337" t="e">
        <v>#DIV/0!</v>
      </c>
      <c r="AC12" s="337" t="s">
        <v>439</v>
      </c>
      <c r="AD12" s="338" t="s">
        <v>439</v>
      </c>
      <c r="AE12" s="336"/>
      <c r="AF12" s="335" t="s">
        <v>439</v>
      </c>
    </row>
    <row r="13" spans="1:32">
      <c r="A13" s="217"/>
      <c r="B13" s="217"/>
      <c r="C13" s="306"/>
      <c r="D13" s="217"/>
      <c r="E13" s="217"/>
      <c r="F13" s="218"/>
      <c r="G13" s="217"/>
      <c r="H13" s="217"/>
      <c r="I13" s="217"/>
      <c r="J13" s="217"/>
      <c r="K13" s="218"/>
      <c r="L13" s="217"/>
      <c r="M13" s="217"/>
      <c r="N13" s="217"/>
      <c r="O13" s="217"/>
      <c r="P13" s="217"/>
      <c r="Q13" s="217"/>
      <c r="R13" s="217"/>
      <c r="S13" s="218"/>
      <c r="T13" s="217"/>
      <c r="U13" s="217"/>
      <c r="V13" s="217"/>
      <c r="W13" s="217"/>
      <c r="X13" s="217"/>
      <c r="Y13" s="217"/>
      <c r="Z13" s="217"/>
      <c r="AA13" s="218"/>
      <c r="AB13" s="217"/>
      <c r="AC13" s="217"/>
      <c r="AD13" s="217"/>
      <c r="AE13" s="217"/>
      <c r="AF13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2 AF5:AF12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2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/>
  </sheetViews>
  <sheetFormatPr defaultColWidth="8.25" defaultRowHeight="13.1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458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459</v>
      </c>
      <c r="C2" s="384" t="s">
        <v>240</v>
      </c>
      <c r="D2" s="384" t="s">
        <v>460</v>
      </c>
      <c r="E2" s="383" t="s">
        <v>461</v>
      </c>
      <c r="F2" s="383" t="s">
        <v>435</v>
      </c>
      <c r="G2" s="385" t="s">
        <v>436</v>
      </c>
      <c r="H2" s="137" t="s">
        <v>462</v>
      </c>
      <c r="I2" s="69"/>
    </row>
    <row r="3" spans="1:9" ht="15.75" customHeight="1">
      <c r="A3" s="69"/>
      <c r="B3" s="547" t="s">
        <v>421</v>
      </c>
      <c r="C3" s="549"/>
      <c r="D3" s="551" t="s">
        <v>92</v>
      </c>
      <c r="E3" s="553">
        <v>1</v>
      </c>
      <c r="F3" s="511">
        <v>900000</v>
      </c>
      <c r="G3" s="545">
        <v>900000</v>
      </c>
      <c r="H3" s="138" t="s">
        <v>463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174</v>
      </c>
      <c r="I4" s="69"/>
    </row>
    <row r="5" spans="1:9" ht="15.75" customHeight="1">
      <c r="A5" s="69"/>
      <c r="B5" s="547" t="s">
        <v>422</v>
      </c>
      <c r="C5" s="549" t="s">
        <v>464</v>
      </c>
      <c r="D5" s="551" t="s">
        <v>92</v>
      </c>
      <c r="E5" s="553">
        <v>1</v>
      </c>
      <c r="F5" s="511"/>
      <c r="G5" s="545"/>
      <c r="H5" s="138" t="s">
        <v>465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174</v>
      </c>
      <c r="I6" s="69"/>
    </row>
    <row r="7" spans="1:9" ht="15.75" customHeight="1">
      <c r="A7" s="69"/>
      <c r="B7" s="547" t="s">
        <v>423</v>
      </c>
      <c r="C7" s="549"/>
      <c r="D7" s="551" t="s">
        <v>92</v>
      </c>
      <c r="E7" s="553">
        <v>1</v>
      </c>
      <c r="F7" s="511"/>
      <c r="G7" s="545"/>
      <c r="H7" s="138" t="s">
        <v>466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174</v>
      </c>
      <c r="I8" s="69"/>
    </row>
    <row r="9" spans="1:9" ht="15.75" customHeight="1">
      <c r="A9" s="69"/>
      <c r="B9" s="547" t="s">
        <v>425</v>
      </c>
      <c r="C9" s="549" t="s">
        <v>467</v>
      </c>
      <c r="D9" s="551" t="s">
        <v>92</v>
      </c>
      <c r="E9" s="553">
        <v>1</v>
      </c>
      <c r="F9" s="511"/>
      <c r="G9" s="545"/>
      <c r="H9" s="138" t="s">
        <v>468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174</v>
      </c>
      <c r="I10" s="69"/>
    </row>
    <row r="11" spans="1:9" ht="15.75" customHeight="1">
      <c r="A11" s="69"/>
      <c r="B11" s="547" t="s">
        <v>427</v>
      </c>
      <c r="C11" s="549" t="s">
        <v>469</v>
      </c>
      <c r="D11" s="551" t="s">
        <v>92</v>
      </c>
      <c r="E11" s="553">
        <v>1</v>
      </c>
      <c r="F11" s="511"/>
      <c r="G11" s="545"/>
      <c r="H11" s="138" t="s">
        <v>470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174</v>
      </c>
      <c r="I12" s="69"/>
    </row>
    <row r="13" spans="1:9" ht="15.75" customHeight="1">
      <c r="A13" s="69"/>
      <c r="B13" s="547" t="s">
        <v>429</v>
      </c>
      <c r="C13" s="549" t="s">
        <v>471</v>
      </c>
      <c r="D13" s="551" t="s">
        <v>92</v>
      </c>
      <c r="E13" s="553">
        <v>1</v>
      </c>
      <c r="F13" s="511"/>
      <c r="G13" s="545"/>
      <c r="H13" s="138" t="s">
        <v>472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174</v>
      </c>
      <c r="I14" s="69"/>
    </row>
    <row r="15" spans="1:9" ht="15.75" customHeight="1">
      <c r="A15" s="69"/>
      <c r="B15" s="547" t="s">
        <v>430</v>
      </c>
      <c r="C15" s="549" t="s">
        <v>473</v>
      </c>
      <c r="D15" s="551" t="s">
        <v>92</v>
      </c>
      <c r="E15" s="553">
        <v>1</v>
      </c>
      <c r="F15" s="511"/>
      <c r="G15" s="545"/>
      <c r="H15" s="138" t="s">
        <v>474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174</v>
      </c>
      <c r="I16" s="69"/>
    </row>
    <row r="17" spans="1:9" ht="15.75" customHeight="1">
      <c r="A17" s="69"/>
      <c r="B17" s="547" t="s">
        <v>431</v>
      </c>
      <c r="C17" s="549" t="s">
        <v>475</v>
      </c>
      <c r="D17" s="551" t="s">
        <v>92</v>
      </c>
      <c r="E17" s="553">
        <v>1</v>
      </c>
      <c r="F17" s="511"/>
      <c r="G17" s="545"/>
      <c r="H17" s="138" t="s">
        <v>476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174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234</v>
      </c>
      <c r="C21" s="549"/>
      <c r="D21" s="551"/>
      <c r="E21" s="553"/>
      <c r="F21" s="511"/>
      <c r="G21" s="545">
        <v>900000</v>
      </c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5"/>
  <sheetViews>
    <sheetView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1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せんなん里海公園バスケットボールコート・スケートボード舗装工事</v>
      </c>
      <c r="G1" s="300"/>
      <c r="H1" s="190" t="s">
        <v>211</v>
      </c>
      <c r="I1" s="327">
        <v>10300000</v>
      </c>
      <c r="J1" s="333">
        <f>I4/I$1</f>
        <v>0.8945631067961165</v>
      </c>
      <c r="K1" s="193"/>
      <c r="L1" s="194">
        <v>3</v>
      </c>
      <c r="M1" s="195"/>
      <c r="N1" s="195"/>
      <c r="O1" s="300"/>
      <c r="P1" s="190" t="s">
        <v>130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130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236</v>
      </c>
      <c r="B2" s="198" t="s">
        <v>477</v>
      </c>
      <c r="C2" s="200" t="s">
        <v>238</v>
      </c>
      <c r="D2" s="200" t="s">
        <v>239</v>
      </c>
      <c r="E2" s="200" t="s">
        <v>240</v>
      </c>
      <c r="F2" s="200" t="s">
        <v>160</v>
      </c>
      <c r="G2" s="526" t="s">
        <v>241</v>
      </c>
      <c r="H2" s="527"/>
      <c r="I2" s="527"/>
      <c r="J2" s="527"/>
      <c r="K2" s="527"/>
      <c r="L2" s="527"/>
      <c r="M2" s="527"/>
      <c r="N2" s="528"/>
      <c r="O2" s="526" t="s">
        <v>242</v>
      </c>
      <c r="P2" s="527"/>
      <c r="Q2" s="527"/>
      <c r="R2" s="527"/>
      <c r="S2" s="527"/>
      <c r="T2" s="527"/>
      <c r="U2" s="527"/>
      <c r="V2" s="528"/>
      <c r="W2" s="526" t="s">
        <v>243</v>
      </c>
      <c r="X2" s="527"/>
      <c r="Y2" s="527"/>
      <c r="Z2" s="527"/>
      <c r="AA2" s="527"/>
      <c r="AB2" s="527"/>
      <c r="AC2" s="527"/>
      <c r="AD2" s="528"/>
      <c r="AE2" s="199" t="s">
        <v>244</v>
      </c>
      <c r="AF2" s="529" t="s">
        <v>165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161</v>
      </c>
      <c r="H3" s="205" t="s">
        <v>162</v>
      </c>
      <c r="I3" s="205" t="s">
        <v>163</v>
      </c>
      <c r="J3" s="206" t="s">
        <v>245</v>
      </c>
      <c r="K3" s="207"/>
      <c r="L3" s="208" t="s">
        <v>246</v>
      </c>
      <c r="M3" s="208" t="s">
        <v>247</v>
      </c>
      <c r="N3" s="209" t="s">
        <v>164</v>
      </c>
      <c r="O3" s="204" t="s">
        <v>161</v>
      </c>
      <c r="P3" s="205" t="s">
        <v>162</v>
      </c>
      <c r="Q3" s="205" t="s">
        <v>163</v>
      </c>
      <c r="R3" s="206" t="s">
        <v>245</v>
      </c>
      <c r="S3" s="210"/>
      <c r="T3" s="208" t="s">
        <v>246</v>
      </c>
      <c r="U3" s="208" t="s">
        <v>247</v>
      </c>
      <c r="V3" s="209" t="s">
        <v>164</v>
      </c>
      <c r="W3" s="204" t="s">
        <v>161</v>
      </c>
      <c r="X3" s="205" t="s">
        <v>162</v>
      </c>
      <c r="Y3" s="205" t="s">
        <v>163</v>
      </c>
      <c r="Z3" s="206" t="s">
        <v>245</v>
      </c>
      <c r="AA3" s="207"/>
      <c r="AB3" s="208" t="s">
        <v>246</v>
      </c>
      <c r="AC3" s="208" t="s">
        <v>247</v>
      </c>
      <c r="AD3" s="209" t="s">
        <v>164</v>
      </c>
      <c r="AE3" s="202"/>
      <c r="AF3" s="530"/>
    </row>
    <row r="4" spans="1:32">
      <c r="A4" s="301">
        <v>0</v>
      </c>
      <c r="B4" s="336"/>
      <c r="C4" s="336" t="s">
        <v>248</v>
      </c>
      <c r="D4" s="334"/>
      <c r="E4" s="336"/>
      <c r="F4" s="339" t="s">
        <v>92</v>
      </c>
      <c r="G4" s="302">
        <v>1</v>
      </c>
      <c r="H4" s="303">
        <v>9214000</v>
      </c>
      <c r="I4" s="303">
        <v>9214000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 t="s">
        <v>478</v>
      </c>
      <c r="P4" s="341" t="s">
        <v>478</v>
      </c>
      <c r="Q4" s="341" t="s">
        <v>478</v>
      </c>
      <c r="R4" s="342" t="s">
        <v>478</v>
      </c>
      <c r="S4" s="343"/>
      <c r="T4" s="337" t="s">
        <v>479</v>
      </c>
      <c r="U4" s="337"/>
      <c r="V4" s="338"/>
      <c r="W4" s="340" t="s">
        <v>478</v>
      </c>
      <c r="X4" s="341" t="s">
        <v>478</v>
      </c>
      <c r="Y4" s="341" t="s">
        <v>478</v>
      </c>
      <c r="Z4" s="342" t="s">
        <v>478</v>
      </c>
      <c r="AA4" s="343"/>
      <c r="AB4" s="337" t="s">
        <v>479</v>
      </c>
      <c r="AC4" s="337"/>
      <c r="AD4" s="338"/>
      <c r="AE4" s="336"/>
      <c r="AF4" s="335"/>
    </row>
    <row r="5" spans="1:32">
      <c r="A5" s="301">
        <v>1</v>
      </c>
      <c r="B5" s="336"/>
      <c r="C5" s="336" t="s">
        <v>249</v>
      </c>
      <c r="D5" s="334" t="s">
        <v>480</v>
      </c>
      <c r="E5" s="336"/>
      <c r="F5" s="339" t="s">
        <v>92</v>
      </c>
      <c r="G5" s="302">
        <v>1</v>
      </c>
      <c r="H5" s="303">
        <v>900000</v>
      </c>
      <c r="I5" s="303">
        <v>900000</v>
      </c>
      <c r="J5" s="211"/>
      <c r="K5" s="212" t="str">
        <f>IF(OR(J5="",G5=J5),"","*")</f>
        <v/>
      </c>
      <c r="L5" s="332">
        <f>IF($A5&lt;=L$1,I5/I$4,"")</f>
        <v>9.7677447362708919E-2</v>
      </c>
      <c r="M5" s="337"/>
      <c r="N5" s="338"/>
      <c r="O5" s="340" t="s">
        <v>478</v>
      </c>
      <c r="P5" s="341" t="s">
        <v>478</v>
      </c>
      <c r="Q5" s="341" t="s">
        <v>478</v>
      </c>
      <c r="R5" s="342" t="s">
        <v>478</v>
      </c>
      <c r="S5" s="343"/>
      <c r="T5" s="337" t="s">
        <v>479</v>
      </c>
      <c r="U5" s="337"/>
      <c r="V5" s="338"/>
      <c r="W5" s="340" t="s">
        <v>478</v>
      </c>
      <c r="X5" s="341" t="s">
        <v>478</v>
      </c>
      <c r="Y5" s="341" t="s">
        <v>478</v>
      </c>
      <c r="Z5" s="342" t="s">
        <v>478</v>
      </c>
      <c r="AA5" s="343"/>
      <c r="AB5" s="337" t="s">
        <v>479</v>
      </c>
      <c r="AC5" s="337"/>
      <c r="AD5" s="338"/>
      <c r="AE5" s="336"/>
      <c r="AF5" s="335"/>
    </row>
    <row r="6" spans="1:32">
      <c r="A6" s="301">
        <v>2</v>
      </c>
      <c r="B6" s="336"/>
      <c r="C6" s="336" t="s">
        <v>441</v>
      </c>
      <c r="D6" s="334" t="s">
        <v>481</v>
      </c>
      <c r="E6" s="336"/>
      <c r="F6" s="339" t="s">
        <v>92</v>
      </c>
      <c r="G6" s="302">
        <v>1</v>
      </c>
      <c r="H6" s="303">
        <v>900000</v>
      </c>
      <c r="I6" s="303">
        <v>900000</v>
      </c>
      <c r="J6" s="211">
        <v>1</v>
      </c>
      <c r="K6" s="212" t="str">
        <f>IF(OR(J6="",G6=J6),"","*")</f>
        <v/>
      </c>
      <c r="L6" s="332">
        <f>IF($A6&lt;=L$1,I6/I$4,"")</f>
        <v>9.7677447362708919E-2</v>
      </c>
      <c r="M6" s="337"/>
      <c r="N6" s="338" t="s">
        <v>482</v>
      </c>
      <c r="O6" s="340" t="s">
        <v>478</v>
      </c>
      <c r="P6" s="341" t="s">
        <v>478</v>
      </c>
      <c r="Q6" s="341" t="s">
        <v>478</v>
      </c>
      <c r="R6" s="342" t="s">
        <v>478</v>
      </c>
      <c r="S6" s="343"/>
      <c r="T6" s="337" t="s">
        <v>479</v>
      </c>
      <c r="U6" s="337"/>
      <c r="V6" s="338"/>
      <c r="W6" s="340" t="s">
        <v>478</v>
      </c>
      <c r="X6" s="341" t="s">
        <v>478</v>
      </c>
      <c r="Y6" s="341" t="s">
        <v>478</v>
      </c>
      <c r="Z6" s="342" t="s">
        <v>478</v>
      </c>
      <c r="AA6" s="343"/>
      <c r="AB6" s="337" t="s">
        <v>479</v>
      </c>
      <c r="AC6" s="337"/>
      <c r="AD6" s="338"/>
      <c r="AE6" s="336"/>
      <c r="AF6" s="335"/>
    </row>
    <row r="7" spans="1:32">
      <c r="A7" s="301">
        <v>3</v>
      </c>
      <c r="B7" s="336"/>
      <c r="C7" s="336" t="s">
        <v>127</v>
      </c>
      <c r="D7" s="334" t="s">
        <v>483</v>
      </c>
      <c r="E7" s="336" t="s">
        <v>484</v>
      </c>
      <c r="F7" s="339" t="s">
        <v>401</v>
      </c>
      <c r="G7" s="302">
        <v>40</v>
      </c>
      <c r="H7" s="303">
        <v>22500</v>
      </c>
      <c r="I7" s="303">
        <v>900000</v>
      </c>
      <c r="J7" s="211"/>
      <c r="K7" s="212" t="str">
        <f>IF(OR(J7="",G7=J7),"","*")</f>
        <v/>
      </c>
      <c r="L7" s="332">
        <f>IF($A7&lt;=L$1,I7/I$4,"")</f>
        <v>9.7677447362708919E-2</v>
      </c>
      <c r="M7" s="337"/>
      <c r="N7" s="338"/>
      <c r="O7" s="340" t="s">
        <v>478</v>
      </c>
      <c r="P7" s="341" t="s">
        <v>478</v>
      </c>
      <c r="Q7" s="341" t="s">
        <v>478</v>
      </c>
      <c r="R7" s="342" t="s">
        <v>478</v>
      </c>
      <c r="S7" s="343"/>
      <c r="T7" s="337" t="s">
        <v>479</v>
      </c>
      <c r="U7" s="337"/>
      <c r="V7" s="338"/>
      <c r="W7" s="340" t="s">
        <v>478</v>
      </c>
      <c r="X7" s="341" t="s">
        <v>478</v>
      </c>
      <c r="Y7" s="341" t="s">
        <v>478</v>
      </c>
      <c r="Z7" s="342" t="s">
        <v>478</v>
      </c>
      <c r="AA7" s="343"/>
      <c r="AB7" s="337" t="s">
        <v>479</v>
      </c>
      <c r="AC7" s="337"/>
      <c r="AD7" s="338"/>
      <c r="AE7" s="336" t="s">
        <v>485</v>
      </c>
      <c r="AF7" s="335" t="s">
        <v>403</v>
      </c>
    </row>
    <row r="8" spans="1:32">
      <c r="A8" s="301">
        <v>2</v>
      </c>
      <c r="B8" s="336"/>
      <c r="C8" s="336" t="s">
        <v>441</v>
      </c>
      <c r="D8" s="334" t="s">
        <v>486</v>
      </c>
      <c r="E8" s="336" t="s">
        <v>464</v>
      </c>
      <c r="F8" s="339" t="s">
        <v>92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487</v>
      </c>
      <c r="O8" s="340" t="s">
        <v>478</v>
      </c>
      <c r="P8" s="341" t="s">
        <v>478</v>
      </c>
      <c r="Q8" s="341" t="s">
        <v>478</v>
      </c>
      <c r="R8" s="342" t="s">
        <v>478</v>
      </c>
      <c r="S8" s="343"/>
      <c r="T8" s="337" t="s">
        <v>479</v>
      </c>
      <c r="U8" s="337"/>
      <c r="V8" s="338"/>
      <c r="W8" s="340" t="s">
        <v>478</v>
      </c>
      <c r="X8" s="341" t="s">
        <v>478</v>
      </c>
      <c r="Y8" s="341" t="s">
        <v>478</v>
      </c>
      <c r="Z8" s="342" t="s">
        <v>478</v>
      </c>
      <c r="AA8" s="343"/>
      <c r="AB8" s="337" t="s">
        <v>479</v>
      </c>
      <c r="AC8" s="337"/>
      <c r="AD8" s="338"/>
      <c r="AE8" s="336"/>
      <c r="AF8" s="335"/>
    </row>
    <row r="9" spans="1:32">
      <c r="A9" s="301">
        <v>2</v>
      </c>
      <c r="B9" s="336"/>
      <c r="C9" s="336" t="s">
        <v>441</v>
      </c>
      <c r="D9" s="334" t="s">
        <v>488</v>
      </c>
      <c r="E9" s="336"/>
      <c r="F9" s="339" t="s">
        <v>92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489</v>
      </c>
      <c r="O9" s="340" t="s">
        <v>478</v>
      </c>
      <c r="P9" s="341" t="s">
        <v>478</v>
      </c>
      <c r="Q9" s="341" t="s">
        <v>478</v>
      </c>
      <c r="R9" s="342" t="s">
        <v>478</v>
      </c>
      <c r="S9" s="343"/>
      <c r="T9" s="337" t="s">
        <v>479</v>
      </c>
      <c r="U9" s="337"/>
      <c r="V9" s="338"/>
      <c r="W9" s="340" t="s">
        <v>478</v>
      </c>
      <c r="X9" s="341" t="s">
        <v>478</v>
      </c>
      <c r="Y9" s="341" t="s">
        <v>478</v>
      </c>
      <c r="Z9" s="342" t="s">
        <v>478</v>
      </c>
      <c r="AA9" s="343"/>
      <c r="AB9" s="337" t="s">
        <v>479</v>
      </c>
      <c r="AC9" s="337"/>
      <c r="AD9" s="338"/>
      <c r="AE9" s="336"/>
      <c r="AF9" s="335"/>
    </row>
    <row r="10" spans="1:32">
      <c r="A10" s="301">
        <v>2</v>
      </c>
      <c r="B10" s="336"/>
      <c r="C10" s="336" t="s">
        <v>441</v>
      </c>
      <c r="D10" s="334" t="s">
        <v>490</v>
      </c>
      <c r="E10" s="336" t="s">
        <v>467</v>
      </c>
      <c r="F10" s="339" t="s">
        <v>92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491</v>
      </c>
      <c r="O10" s="340" t="s">
        <v>478</v>
      </c>
      <c r="P10" s="341" t="s">
        <v>478</v>
      </c>
      <c r="Q10" s="341" t="s">
        <v>478</v>
      </c>
      <c r="R10" s="342" t="s">
        <v>478</v>
      </c>
      <c r="S10" s="343"/>
      <c r="T10" s="337" t="s">
        <v>479</v>
      </c>
      <c r="U10" s="337"/>
      <c r="V10" s="338"/>
      <c r="W10" s="340" t="s">
        <v>478</v>
      </c>
      <c r="X10" s="341" t="s">
        <v>478</v>
      </c>
      <c r="Y10" s="341" t="s">
        <v>478</v>
      </c>
      <c r="Z10" s="342" t="s">
        <v>478</v>
      </c>
      <c r="AA10" s="343"/>
      <c r="AB10" s="337" t="s">
        <v>479</v>
      </c>
      <c r="AC10" s="337"/>
      <c r="AD10" s="338"/>
      <c r="AE10" s="336"/>
      <c r="AF10" s="335"/>
    </row>
    <row r="11" spans="1:32">
      <c r="A11" s="301">
        <v>2</v>
      </c>
      <c r="B11" s="336"/>
      <c r="C11" s="336" t="s">
        <v>441</v>
      </c>
      <c r="D11" s="334" t="s">
        <v>492</v>
      </c>
      <c r="E11" s="336" t="s">
        <v>469</v>
      </c>
      <c r="F11" s="339" t="s">
        <v>92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493</v>
      </c>
      <c r="O11" s="340" t="s">
        <v>478</v>
      </c>
      <c r="P11" s="341" t="s">
        <v>478</v>
      </c>
      <c r="Q11" s="341" t="s">
        <v>478</v>
      </c>
      <c r="R11" s="342" t="s">
        <v>478</v>
      </c>
      <c r="S11" s="343"/>
      <c r="T11" s="337" t="s">
        <v>479</v>
      </c>
      <c r="U11" s="337"/>
      <c r="V11" s="338"/>
      <c r="W11" s="340" t="s">
        <v>478</v>
      </c>
      <c r="X11" s="341" t="s">
        <v>478</v>
      </c>
      <c r="Y11" s="341" t="s">
        <v>478</v>
      </c>
      <c r="Z11" s="342" t="s">
        <v>478</v>
      </c>
      <c r="AA11" s="343"/>
      <c r="AB11" s="337" t="s">
        <v>479</v>
      </c>
      <c r="AC11" s="337"/>
      <c r="AD11" s="338"/>
      <c r="AE11" s="336"/>
      <c r="AF11" s="335"/>
    </row>
    <row r="12" spans="1:32">
      <c r="A12" s="301">
        <v>2</v>
      </c>
      <c r="B12" s="336"/>
      <c r="C12" s="336" t="s">
        <v>441</v>
      </c>
      <c r="D12" s="334" t="s">
        <v>494</v>
      </c>
      <c r="E12" s="336" t="s">
        <v>471</v>
      </c>
      <c r="F12" s="339" t="s">
        <v>92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495</v>
      </c>
      <c r="O12" s="340" t="s">
        <v>478</v>
      </c>
      <c r="P12" s="341" t="s">
        <v>478</v>
      </c>
      <c r="Q12" s="341" t="s">
        <v>478</v>
      </c>
      <c r="R12" s="342" t="s">
        <v>478</v>
      </c>
      <c r="S12" s="343"/>
      <c r="T12" s="337" t="s">
        <v>479</v>
      </c>
      <c r="U12" s="337"/>
      <c r="V12" s="338"/>
      <c r="W12" s="340" t="s">
        <v>478</v>
      </c>
      <c r="X12" s="341" t="s">
        <v>478</v>
      </c>
      <c r="Y12" s="341" t="s">
        <v>478</v>
      </c>
      <c r="Z12" s="342" t="s">
        <v>478</v>
      </c>
      <c r="AA12" s="343"/>
      <c r="AB12" s="337" t="s">
        <v>479</v>
      </c>
      <c r="AC12" s="337"/>
      <c r="AD12" s="338"/>
      <c r="AE12" s="336"/>
      <c r="AF12" s="335"/>
    </row>
    <row r="13" spans="1:32">
      <c r="A13" s="301">
        <v>2</v>
      </c>
      <c r="B13" s="336"/>
      <c r="C13" s="336" t="s">
        <v>441</v>
      </c>
      <c r="D13" s="334" t="s">
        <v>496</v>
      </c>
      <c r="E13" s="336" t="s">
        <v>473</v>
      </c>
      <c r="F13" s="339" t="s">
        <v>92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497</v>
      </c>
      <c r="O13" s="340" t="s">
        <v>478</v>
      </c>
      <c r="P13" s="341" t="s">
        <v>478</v>
      </c>
      <c r="Q13" s="341" t="s">
        <v>478</v>
      </c>
      <c r="R13" s="342" t="s">
        <v>478</v>
      </c>
      <c r="S13" s="343"/>
      <c r="T13" s="337" t="s">
        <v>479</v>
      </c>
      <c r="U13" s="337"/>
      <c r="V13" s="338"/>
      <c r="W13" s="340" t="s">
        <v>478</v>
      </c>
      <c r="X13" s="341" t="s">
        <v>478</v>
      </c>
      <c r="Y13" s="341" t="s">
        <v>478</v>
      </c>
      <c r="Z13" s="342" t="s">
        <v>478</v>
      </c>
      <c r="AA13" s="343"/>
      <c r="AB13" s="337" t="s">
        <v>479</v>
      </c>
      <c r="AC13" s="337"/>
      <c r="AD13" s="338"/>
      <c r="AE13" s="336"/>
      <c r="AF13" s="335"/>
    </row>
    <row r="14" spans="1:32">
      <c r="A14" s="301">
        <v>2</v>
      </c>
      <c r="B14" s="336"/>
      <c r="C14" s="336" t="s">
        <v>441</v>
      </c>
      <c r="D14" s="334" t="s">
        <v>498</v>
      </c>
      <c r="E14" s="336" t="s">
        <v>475</v>
      </c>
      <c r="F14" s="339" t="s">
        <v>92</v>
      </c>
      <c r="G14" s="302">
        <v>1</v>
      </c>
      <c r="H14" s="303">
        <v>0</v>
      </c>
      <c r="I14" s="303">
        <v>0</v>
      </c>
      <c r="J14" s="211">
        <v>1</v>
      </c>
      <c r="K14" s="212" t="str">
        <f>IF(OR(J14="",G14=J14),"","*")</f>
        <v/>
      </c>
      <c r="L14" s="332">
        <f>IF($A14&lt;=L$1,I14/I$4,"")</f>
        <v>0</v>
      </c>
      <c r="M14" s="337"/>
      <c r="N14" s="338" t="s">
        <v>499</v>
      </c>
      <c r="O14" s="340" t="s">
        <v>478</v>
      </c>
      <c r="P14" s="341" t="s">
        <v>478</v>
      </c>
      <c r="Q14" s="341" t="s">
        <v>478</v>
      </c>
      <c r="R14" s="342" t="s">
        <v>478</v>
      </c>
      <c r="S14" s="343"/>
      <c r="T14" s="337" t="s">
        <v>479</v>
      </c>
      <c r="U14" s="337"/>
      <c r="V14" s="338"/>
      <c r="W14" s="340" t="s">
        <v>478</v>
      </c>
      <c r="X14" s="341" t="s">
        <v>478</v>
      </c>
      <c r="Y14" s="341" t="s">
        <v>478</v>
      </c>
      <c r="Z14" s="342" t="s">
        <v>478</v>
      </c>
      <c r="AA14" s="343"/>
      <c r="AB14" s="337" t="s">
        <v>479</v>
      </c>
      <c r="AC14" s="337"/>
      <c r="AD14" s="338"/>
      <c r="AE14" s="336"/>
      <c r="AF14" s="335"/>
    </row>
    <row r="15" spans="1:32">
      <c r="A15" s="217"/>
      <c r="B15" s="217"/>
      <c r="C15" s="306"/>
      <c r="D15" s="217"/>
      <c r="E15" s="217"/>
      <c r="F15" s="218"/>
      <c r="G15" s="217"/>
      <c r="H15" s="217"/>
      <c r="I15" s="217"/>
      <c r="J15" s="217"/>
      <c r="K15" s="218"/>
      <c r="L15" s="217"/>
      <c r="M15" s="217"/>
      <c r="N15" s="217"/>
      <c r="O15" s="217"/>
      <c r="P15" s="217"/>
      <c r="Q15" s="217"/>
      <c r="R15" s="217"/>
      <c r="S15" s="218"/>
      <c r="T15" s="217"/>
      <c r="U15" s="217"/>
      <c r="V15" s="217"/>
      <c r="W15" s="217"/>
      <c r="X15" s="217"/>
      <c r="Y15" s="217"/>
      <c r="Z15" s="217"/>
      <c r="AA15" s="218"/>
      <c r="AB15" s="217"/>
      <c r="AC15" s="217"/>
      <c r="AD15" s="217"/>
      <c r="AE15" s="217"/>
      <c r="AF15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4 AF5:AF14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4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49"/>
  <sheetViews>
    <sheetView zoomScaleNormal="100" zoomScaleSheetLayoutView="85" workbookViewId="0"/>
  </sheetViews>
  <sheetFormatPr defaultColWidth="8.25" defaultRowHeight="13.1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500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501</v>
      </c>
      <c r="C3" s="146" t="s">
        <v>502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503</v>
      </c>
      <c r="K4" s="69"/>
    </row>
    <row r="5" spans="1:11" ht="18" customHeight="1">
      <c r="A5" s="69"/>
      <c r="B5" s="580" t="s">
        <v>504</v>
      </c>
      <c r="C5" s="581"/>
      <c r="D5" s="153" t="s">
        <v>460</v>
      </c>
      <c r="E5" s="153" t="s">
        <v>505</v>
      </c>
      <c r="F5" s="153" t="s">
        <v>506</v>
      </c>
      <c r="G5" s="153" t="s">
        <v>507</v>
      </c>
      <c r="H5" s="154" t="s">
        <v>508</v>
      </c>
      <c r="I5" s="153" t="s">
        <v>509</v>
      </c>
      <c r="J5" s="155" t="s">
        <v>510</v>
      </c>
      <c r="K5" s="69"/>
    </row>
    <row r="6" spans="1:11" ht="10.5" customHeight="1">
      <c r="A6" s="69"/>
      <c r="B6" s="156" t="s">
        <v>511</v>
      </c>
      <c r="C6" s="157"/>
      <c r="D6" s="562" t="s">
        <v>512</v>
      </c>
      <c r="E6" s="578">
        <v>2</v>
      </c>
      <c r="F6" s="566">
        <v>2500</v>
      </c>
      <c r="G6" s="568">
        <v>5000</v>
      </c>
      <c r="H6" s="345"/>
      <c r="I6" s="345"/>
      <c r="J6" s="158"/>
      <c r="K6" s="69" t="s">
        <v>167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513</v>
      </c>
      <c r="J7" s="161"/>
      <c r="K7" s="69" t="s">
        <v>167</v>
      </c>
    </row>
    <row r="8" spans="1:11" ht="10.5" customHeight="1">
      <c r="A8" s="69"/>
      <c r="B8" s="156" t="s">
        <v>514</v>
      </c>
      <c r="C8" s="157"/>
      <c r="D8" s="562" t="s">
        <v>512</v>
      </c>
      <c r="E8" s="578">
        <v>400</v>
      </c>
      <c r="F8" s="566">
        <v>700</v>
      </c>
      <c r="G8" s="568">
        <v>280000</v>
      </c>
      <c r="H8" s="345"/>
      <c r="I8" s="345"/>
      <c r="J8" s="162"/>
      <c r="K8" s="69" t="s">
        <v>167</v>
      </c>
    </row>
    <row r="9" spans="1:11" ht="10.5" customHeight="1">
      <c r="A9" s="69"/>
      <c r="B9" s="159" t="s">
        <v>515</v>
      </c>
      <c r="C9" s="160"/>
      <c r="D9" s="563"/>
      <c r="E9" s="579"/>
      <c r="F9" s="567"/>
      <c r="G9" s="569"/>
      <c r="H9" s="346"/>
      <c r="I9" s="346" t="s">
        <v>513</v>
      </c>
      <c r="J9" s="162"/>
      <c r="K9" s="69" t="s">
        <v>167</v>
      </c>
    </row>
    <row r="10" spans="1:11" ht="10.5" customHeight="1">
      <c r="A10" s="69"/>
      <c r="B10" s="156" t="s">
        <v>516</v>
      </c>
      <c r="C10" s="157"/>
      <c r="D10" s="562" t="s">
        <v>517</v>
      </c>
      <c r="E10" s="578">
        <v>10</v>
      </c>
      <c r="F10" s="566">
        <v>350</v>
      </c>
      <c r="G10" s="568">
        <v>3500</v>
      </c>
      <c r="H10" s="345"/>
      <c r="I10" s="345"/>
      <c r="J10" s="158"/>
      <c r="K10" s="69" t="s">
        <v>167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513</v>
      </c>
      <c r="J11" s="161"/>
      <c r="K11" s="69" t="s">
        <v>167</v>
      </c>
    </row>
    <row r="12" spans="1:11" ht="10.5" customHeight="1">
      <c r="A12" s="69"/>
      <c r="B12" s="156" t="s">
        <v>518</v>
      </c>
      <c r="C12" s="157"/>
      <c r="D12" s="562" t="s">
        <v>519</v>
      </c>
      <c r="E12" s="564">
        <v>655</v>
      </c>
      <c r="F12" s="566">
        <v>150</v>
      </c>
      <c r="G12" s="568">
        <v>98250</v>
      </c>
      <c r="H12" s="345"/>
      <c r="I12" s="345"/>
      <c r="J12" s="158"/>
      <c r="K12" s="69" t="s">
        <v>167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513</v>
      </c>
      <c r="J13" s="161"/>
      <c r="K13" s="69" t="s">
        <v>167</v>
      </c>
    </row>
    <row r="14" spans="1:11" ht="10.5" customHeight="1">
      <c r="A14" s="69"/>
      <c r="B14" s="156" t="s">
        <v>520</v>
      </c>
      <c r="C14" s="157"/>
      <c r="D14" s="562" t="s">
        <v>521</v>
      </c>
      <c r="E14" s="564">
        <v>140</v>
      </c>
      <c r="F14" s="566">
        <v>9000</v>
      </c>
      <c r="G14" s="568">
        <v>1260000</v>
      </c>
      <c r="H14" s="345"/>
      <c r="I14" s="345"/>
      <c r="J14" s="158"/>
      <c r="K14" s="69" t="s">
        <v>167</v>
      </c>
    </row>
    <row r="15" spans="1:11" ht="10.5" customHeight="1">
      <c r="A15" s="69"/>
      <c r="B15" s="159" t="s">
        <v>515</v>
      </c>
      <c r="C15" s="160"/>
      <c r="D15" s="563"/>
      <c r="E15" s="565"/>
      <c r="F15" s="567"/>
      <c r="G15" s="569"/>
      <c r="H15" s="346"/>
      <c r="I15" s="346" t="s">
        <v>513</v>
      </c>
      <c r="J15" s="161"/>
      <c r="K15" s="69" t="s">
        <v>167</v>
      </c>
    </row>
    <row r="16" spans="1:11" ht="10.5" customHeight="1">
      <c r="A16" s="69"/>
      <c r="B16" s="156" t="s">
        <v>522</v>
      </c>
      <c r="C16" s="157"/>
      <c r="D16" s="562" t="s">
        <v>523</v>
      </c>
      <c r="E16" s="564">
        <v>2</v>
      </c>
      <c r="F16" s="566">
        <v>28300</v>
      </c>
      <c r="G16" s="568">
        <v>56600</v>
      </c>
      <c r="H16" s="345"/>
      <c r="I16" s="345"/>
      <c r="J16" s="158"/>
      <c r="K16" s="69" t="s">
        <v>167</v>
      </c>
    </row>
    <row r="17" spans="1:11" ht="10.5" customHeight="1">
      <c r="A17" s="69"/>
      <c r="B17" s="159" t="s">
        <v>524</v>
      </c>
      <c r="C17" s="160"/>
      <c r="D17" s="563"/>
      <c r="E17" s="565"/>
      <c r="F17" s="567"/>
      <c r="G17" s="569"/>
      <c r="H17" s="346"/>
      <c r="I17" s="346" t="s">
        <v>513</v>
      </c>
      <c r="J17" s="161"/>
      <c r="K17" s="69" t="s">
        <v>167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167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167</v>
      </c>
    </row>
    <row r="20" spans="1:11" ht="10.5" customHeight="1">
      <c r="A20" s="69"/>
      <c r="B20" s="156" t="s">
        <v>525</v>
      </c>
      <c r="C20" s="157"/>
      <c r="D20" s="562"/>
      <c r="E20" s="564"/>
      <c r="F20" s="566"/>
      <c r="G20" s="568">
        <v>1703350</v>
      </c>
      <c r="H20" s="345"/>
      <c r="I20" s="345"/>
      <c r="J20" s="158"/>
      <c r="K20" s="69" t="s">
        <v>167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167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167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167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167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167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167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167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167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167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167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167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167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167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167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167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167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167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167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167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167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167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167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167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167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167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167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167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K49"/>
  <sheetViews>
    <sheetView zoomScaleNormal="100" zoomScaleSheetLayoutView="85" zoomScalePageLayoutView="70" workbookViewId="0"/>
  </sheetViews>
  <sheetFormatPr defaultColWidth="8.25" defaultRowHeight="13.1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526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501</v>
      </c>
      <c r="C3" s="146" t="s">
        <v>502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503</v>
      </c>
      <c r="K4" s="69"/>
    </row>
    <row r="5" spans="1:11" ht="18" customHeight="1">
      <c r="A5" s="69"/>
      <c r="B5" s="580" t="s">
        <v>504</v>
      </c>
      <c r="C5" s="581"/>
      <c r="D5" s="153" t="s">
        <v>460</v>
      </c>
      <c r="E5" s="153" t="s">
        <v>505</v>
      </c>
      <c r="F5" s="153" t="s">
        <v>506</v>
      </c>
      <c r="G5" s="153" t="s">
        <v>507</v>
      </c>
      <c r="H5" s="154" t="s">
        <v>508</v>
      </c>
      <c r="I5" s="153" t="s">
        <v>509</v>
      </c>
      <c r="J5" s="155" t="s">
        <v>510</v>
      </c>
      <c r="K5" s="69"/>
    </row>
    <row r="6" spans="1:11" ht="10.5" customHeight="1">
      <c r="A6" s="69"/>
      <c r="B6" s="156" t="s">
        <v>527</v>
      </c>
      <c r="C6" s="157"/>
      <c r="D6" s="562" t="s">
        <v>528</v>
      </c>
      <c r="E6" s="578">
        <v>22</v>
      </c>
      <c r="F6" s="566">
        <v>22000</v>
      </c>
      <c r="G6" s="568">
        <v>484000</v>
      </c>
      <c r="H6" s="345"/>
      <c r="I6" s="345"/>
      <c r="J6" s="158"/>
      <c r="K6" s="69" t="s">
        <v>167</v>
      </c>
    </row>
    <row r="7" spans="1:11" ht="10.5" customHeight="1">
      <c r="A7" s="69"/>
      <c r="B7" s="159" t="s">
        <v>529</v>
      </c>
      <c r="C7" s="160"/>
      <c r="D7" s="563"/>
      <c r="E7" s="579"/>
      <c r="F7" s="567"/>
      <c r="G7" s="569"/>
      <c r="H7" s="346"/>
      <c r="I7" s="346" t="s">
        <v>530</v>
      </c>
      <c r="J7" s="161"/>
      <c r="K7" s="69" t="s">
        <v>167</v>
      </c>
    </row>
    <row r="8" spans="1:11" ht="10.5" customHeight="1">
      <c r="A8" s="69"/>
      <c r="B8" s="156" t="s">
        <v>531</v>
      </c>
      <c r="C8" s="157"/>
      <c r="D8" s="562" t="s">
        <v>528</v>
      </c>
      <c r="E8" s="578">
        <v>30</v>
      </c>
      <c r="F8" s="566">
        <v>22000</v>
      </c>
      <c r="G8" s="568">
        <v>660000</v>
      </c>
      <c r="H8" s="345"/>
      <c r="I8" s="345"/>
      <c r="J8" s="162"/>
      <c r="K8" s="69" t="s">
        <v>167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530</v>
      </c>
      <c r="J9" s="162"/>
      <c r="K9" s="69" t="s">
        <v>167</v>
      </c>
    </row>
    <row r="10" spans="1:11" ht="10.5" customHeight="1">
      <c r="A10" s="69"/>
      <c r="B10" s="156" t="s">
        <v>532</v>
      </c>
      <c r="C10" s="157"/>
      <c r="D10" s="562" t="s">
        <v>528</v>
      </c>
      <c r="E10" s="578">
        <v>21</v>
      </c>
      <c r="F10" s="566">
        <v>24000</v>
      </c>
      <c r="G10" s="568">
        <v>504000</v>
      </c>
      <c r="H10" s="345"/>
      <c r="I10" s="345"/>
      <c r="J10" s="158"/>
      <c r="K10" s="69" t="s">
        <v>167</v>
      </c>
    </row>
    <row r="11" spans="1:11" ht="10.5" customHeight="1">
      <c r="A11" s="69"/>
      <c r="B11" s="159" t="s">
        <v>529</v>
      </c>
      <c r="C11" s="160"/>
      <c r="D11" s="563"/>
      <c r="E11" s="579"/>
      <c r="F11" s="567"/>
      <c r="G11" s="569"/>
      <c r="H11" s="346"/>
      <c r="I11" s="346" t="s">
        <v>530</v>
      </c>
      <c r="J11" s="161"/>
      <c r="K11" s="69" t="s">
        <v>167</v>
      </c>
    </row>
    <row r="12" spans="1:11" ht="10.5" customHeight="1">
      <c r="A12" s="69"/>
      <c r="B12" s="156" t="s">
        <v>533</v>
      </c>
      <c r="C12" s="157"/>
      <c r="D12" s="562" t="s">
        <v>528</v>
      </c>
      <c r="E12" s="564">
        <v>10</v>
      </c>
      <c r="F12" s="566">
        <v>20000</v>
      </c>
      <c r="G12" s="568">
        <v>200000</v>
      </c>
      <c r="H12" s="345"/>
      <c r="I12" s="345"/>
      <c r="J12" s="158"/>
      <c r="K12" s="69" t="s">
        <v>167</v>
      </c>
    </row>
    <row r="13" spans="1:11" ht="10.5" customHeight="1">
      <c r="A13" s="69"/>
      <c r="B13" s="159" t="s">
        <v>529</v>
      </c>
      <c r="C13" s="160"/>
      <c r="D13" s="563"/>
      <c r="E13" s="565"/>
      <c r="F13" s="567"/>
      <c r="G13" s="569"/>
      <c r="H13" s="346"/>
      <c r="I13" s="346" t="s">
        <v>530</v>
      </c>
      <c r="J13" s="161"/>
      <c r="K13" s="69" t="s">
        <v>167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167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167</v>
      </c>
    </row>
    <row r="16" spans="1:11" ht="10.5" customHeight="1">
      <c r="A16" s="69"/>
      <c r="B16" s="156" t="s">
        <v>525</v>
      </c>
      <c r="C16" s="157"/>
      <c r="D16" s="562"/>
      <c r="E16" s="564"/>
      <c r="F16" s="566"/>
      <c r="G16" s="568">
        <v>1848000</v>
      </c>
      <c r="H16" s="345"/>
      <c r="I16" s="345"/>
      <c r="J16" s="158"/>
      <c r="K16" s="69" t="s">
        <v>167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167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167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167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167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167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167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167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167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167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167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167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167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167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167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167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167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167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167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167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167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167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167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167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167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167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167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167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167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167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167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167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K49"/>
  <sheetViews>
    <sheetView zoomScaleNormal="100" workbookViewId="0"/>
  </sheetViews>
  <sheetFormatPr defaultColWidth="8.25" defaultRowHeight="13.1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534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501</v>
      </c>
      <c r="C3" s="146" t="s">
        <v>502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503</v>
      </c>
      <c r="K4" s="69"/>
    </row>
    <row r="5" spans="1:11" ht="18" customHeight="1">
      <c r="A5" s="69"/>
      <c r="B5" s="580" t="s">
        <v>504</v>
      </c>
      <c r="C5" s="581"/>
      <c r="D5" s="153" t="s">
        <v>460</v>
      </c>
      <c r="E5" s="153" t="s">
        <v>505</v>
      </c>
      <c r="F5" s="153" t="s">
        <v>506</v>
      </c>
      <c r="G5" s="153" t="s">
        <v>507</v>
      </c>
      <c r="H5" s="154" t="s">
        <v>508</v>
      </c>
      <c r="I5" s="153" t="s">
        <v>509</v>
      </c>
      <c r="J5" s="155" t="s">
        <v>510</v>
      </c>
      <c r="K5" s="69"/>
    </row>
    <row r="6" spans="1:11" ht="10.5" customHeight="1">
      <c r="A6" s="69"/>
      <c r="B6" s="156" t="s">
        <v>535</v>
      </c>
      <c r="C6" s="157"/>
      <c r="D6" s="562" t="s">
        <v>536</v>
      </c>
      <c r="E6" s="578">
        <v>2</v>
      </c>
      <c r="F6" s="566">
        <v>5000</v>
      </c>
      <c r="G6" s="568">
        <v>10000</v>
      </c>
      <c r="H6" s="345"/>
      <c r="I6" s="345"/>
      <c r="J6" s="158"/>
      <c r="K6" s="69" t="s">
        <v>167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537</v>
      </c>
      <c r="J7" s="161"/>
      <c r="K7" s="69" t="s">
        <v>167</v>
      </c>
    </row>
    <row r="8" spans="1:11" ht="10.5" customHeight="1">
      <c r="A8" s="69"/>
      <c r="B8" s="156" t="s">
        <v>538</v>
      </c>
      <c r="C8" s="157"/>
      <c r="D8" s="562" t="s">
        <v>536</v>
      </c>
      <c r="E8" s="578">
        <v>1</v>
      </c>
      <c r="F8" s="566">
        <v>45000</v>
      </c>
      <c r="G8" s="568">
        <v>45000</v>
      </c>
      <c r="H8" s="345"/>
      <c r="I8" s="345"/>
      <c r="J8" s="162"/>
      <c r="K8" s="69" t="s">
        <v>167</v>
      </c>
    </row>
    <row r="9" spans="1:11" ht="10.5" customHeight="1">
      <c r="A9" s="69"/>
      <c r="B9" s="159" t="s">
        <v>539</v>
      </c>
      <c r="C9" s="160"/>
      <c r="D9" s="563"/>
      <c r="E9" s="579"/>
      <c r="F9" s="567"/>
      <c r="G9" s="569"/>
      <c r="H9" s="346"/>
      <c r="I9" s="346" t="s">
        <v>537</v>
      </c>
      <c r="J9" s="162"/>
      <c r="K9" s="69" t="s">
        <v>167</v>
      </c>
    </row>
    <row r="10" spans="1:11" ht="10.5" customHeight="1">
      <c r="A10" s="69"/>
      <c r="B10" s="156" t="s">
        <v>540</v>
      </c>
      <c r="C10" s="157"/>
      <c r="D10" s="562" t="s">
        <v>536</v>
      </c>
      <c r="E10" s="578">
        <v>13</v>
      </c>
      <c r="F10" s="566">
        <v>6000</v>
      </c>
      <c r="G10" s="568">
        <v>78000</v>
      </c>
      <c r="H10" s="345"/>
      <c r="I10" s="345"/>
      <c r="J10" s="158"/>
      <c r="K10" s="69" t="s">
        <v>167</v>
      </c>
    </row>
    <row r="11" spans="1:11" ht="10.5" customHeight="1">
      <c r="A11" s="69"/>
      <c r="B11" s="159" t="s">
        <v>541</v>
      </c>
      <c r="C11" s="160"/>
      <c r="D11" s="563"/>
      <c r="E11" s="579"/>
      <c r="F11" s="567"/>
      <c r="G11" s="569"/>
      <c r="H11" s="346"/>
      <c r="I11" s="346" t="s">
        <v>537</v>
      </c>
      <c r="J11" s="161"/>
      <c r="K11" s="69" t="s">
        <v>167</v>
      </c>
    </row>
    <row r="12" spans="1:11" ht="10.5" customHeight="1">
      <c r="A12" s="69"/>
      <c r="B12" s="156" t="s">
        <v>542</v>
      </c>
      <c r="C12" s="157"/>
      <c r="D12" s="562" t="s">
        <v>536</v>
      </c>
      <c r="E12" s="564">
        <v>1</v>
      </c>
      <c r="F12" s="566">
        <v>10000</v>
      </c>
      <c r="G12" s="568">
        <v>10000</v>
      </c>
      <c r="H12" s="345"/>
      <c r="I12" s="345"/>
      <c r="J12" s="158"/>
      <c r="K12" s="69" t="s">
        <v>167</v>
      </c>
    </row>
    <row r="13" spans="1:11" ht="10.5" customHeight="1">
      <c r="A13" s="69"/>
      <c r="B13" s="159" t="s">
        <v>543</v>
      </c>
      <c r="C13" s="160"/>
      <c r="D13" s="563"/>
      <c r="E13" s="565"/>
      <c r="F13" s="567"/>
      <c r="G13" s="569"/>
      <c r="H13" s="346"/>
      <c r="I13" s="346" t="s">
        <v>537</v>
      </c>
      <c r="J13" s="161"/>
      <c r="K13" s="69" t="s">
        <v>167</v>
      </c>
    </row>
    <row r="14" spans="1:11" ht="10.5" customHeight="1">
      <c r="A14" s="69"/>
      <c r="B14" s="156" t="s">
        <v>544</v>
      </c>
      <c r="C14" s="157"/>
      <c r="D14" s="562" t="s">
        <v>536</v>
      </c>
      <c r="E14" s="564">
        <v>1</v>
      </c>
      <c r="F14" s="566">
        <v>8000</v>
      </c>
      <c r="G14" s="568">
        <v>8000</v>
      </c>
      <c r="H14" s="345"/>
      <c r="I14" s="345"/>
      <c r="J14" s="158"/>
      <c r="K14" s="69" t="s">
        <v>167</v>
      </c>
    </row>
    <row r="15" spans="1:11" ht="10.5" customHeight="1">
      <c r="A15" s="69"/>
      <c r="B15" s="159" t="s">
        <v>545</v>
      </c>
      <c r="C15" s="160"/>
      <c r="D15" s="563"/>
      <c r="E15" s="565"/>
      <c r="F15" s="567"/>
      <c r="G15" s="569"/>
      <c r="H15" s="346"/>
      <c r="I15" s="346" t="s">
        <v>537</v>
      </c>
      <c r="J15" s="161"/>
      <c r="K15" s="69" t="s">
        <v>167</v>
      </c>
    </row>
    <row r="16" spans="1:11" ht="10.5" customHeight="1">
      <c r="A16" s="69"/>
      <c r="B16" s="156" t="s">
        <v>546</v>
      </c>
      <c r="C16" s="157"/>
      <c r="D16" s="562" t="s">
        <v>536</v>
      </c>
      <c r="E16" s="564">
        <v>7</v>
      </c>
      <c r="F16" s="566">
        <v>7000</v>
      </c>
      <c r="G16" s="568">
        <v>49000</v>
      </c>
      <c r="H16" s="345"/>
      <c r="I16" s="345"/>
      <c r="J16" s="158"/>
      <c r="K16" s="69" t="s">
        <v>167</v>
      </c>
    </row>
    <row r="17" spans="1:11" ht="10.5" customHeight="1">
      <c r="A17" s="69"/>
      <c r="B17" s="159" t="s">
        <v>547</v>
      </c>
      <c r="C17" s="160"/>
      <c r="D17" s="563"/>
      <c r="E17" s="565"/>
      <c r="F17" s="567"/>
      <c r="G17" s="569"/>
      <c r="H17" s="346"/>
      <c r="I17" s="346" t="s">
        <v>537</v>
      </c>
      <c r="J17" s="161"/>
      <c r="K17" s="69" t="s">
        <v>167</v>
      </c>
    </row>
    <row r="18" spans="1:11" ht="10.5" customHeight="1">
      <c r="A18" s="69"/>
      <c r="B18" s="156" t="s">
        <v>548</v>
      </c>
      <c r="C18" s="157"/>
      <c r="D18" s="562" t="s">
        <v>536</v>
      </c>
      <c r="E18" s="564">
        <v>18</v>
      </c>
      <c r="F18" s="566">
        <v>8000</v>
      </c>
      <c r="G18" s="568">
        <v>144000</v>
      </c>
      <c r="H18" s="345"/>
      <c r="I18" s="345"/>
      <c r="J18" s="158"/>
      <c r="K18" s="69" t="s">
        <v>167</v>
      </c>
    </row>
    <row r="19" spans="1:11" ht="10.5" customHeight="1">
      <c r="A19" s="69"/>
      <c r="B19" s="159" t="s">
        <v>549</v>
      </c>
      <c r="C19" s="160"/>
      <c r="D19" s="563"/>
      <c r="E19" s="565"/>
      <c r="F19" s="567"/>
      <c r="G19" s="569"/>
      <c r="H19" s="346"/>
      <c r="I19" s="346" t="s">
        <v>537</v>
      </c>
      <c r="J19" s="161"/>
      <c r="K19" s="69" t="s">
        <v>167</v>
      </c>
    </row>
    <row r="20" spans="1:11" ht="10.5" customHeight="1">
      <c r="A20" s="69"/>
      <c r="B20" s="156" t="s">
        <v>548</v>
      </c>
      <c r="C20" s="157"/>
      <c r="D20" s="562" t="s">
        <v>536</v>
      </c>
      <c r="E20" s="564">
        <v>8</v>
      </c>
      <c r="F20" s="566">
        <v>12000</v>
      </c>
      <c r="G20" s="568">
        <v>96000</v>
      </c>
      <c r="H20" s="345"/>
      <c r="I20" s="345"/>
      <c r="J20" s="158"/>
      <c r="K20" s="69" t="s">
        <v>167</v>
      </c>
    </row>
    <row r="21" spans="1:11" ht="10.5" customHeight="1">
      <c r="A21" s="69"/>
      <c r="B21" s="159" t="s">
        <v>550</v>
      </c>
      <c r="C21" s="160"/>
      <c r="D21" s="563"/>
      <c r="E21" s="565"/>
      <c r="F21" s="567"/>
      <c r="G21" s="569"/>
      <c r="H21" s="346"/>
      <c r="I21" s="346" t="s">
        <v>537</v>
      </c>
      <c r="J21" s="161"/>
      <c r="K21" s="69" t="s">
        <v>167</v>
      </c>
    </row>
    <row r="22" spans="1:11" ht="10.5" customHeight="1">
      <c r="A22" s="69"/>
      <c r="B22" s="156" t="s">
        <v>551</v>
      </c>
      <c r="C22" s="157"/>
      <c r="D22" s="562" t="s">
        <v>536</v>
      </c>
      <c r="E22" s="564">
        <v>1</v>
      </c>
      <c r="F22" s="566">
        <v>10000</v>
      </c>
      <c r="G22" s="568">
        <v>10000</v>
      </c>
      <c r="H22" s="345"/>
      <c r="I22" s="345"/>
      <c r="J22" s="158"/>
      <c r="K22" s="69" t="s">
        <v>167</v>
      </c>
    </row>
    <row r="23" spans="1:11" ht="10.5" customHeight="1">
      <c r="A23" s="69"/>
      <c r="B23" s="159" t="s">
        <v>552</v>
      </c>
      <c r="C23" s="160"/>
      <c r="D23" s="563"/>
      <c r="E23" s="565"/>
      <c r="F23" s="567"/>
      <c r="G23" s="569"/>
      <c r="H23" s="346"/>
      <c r="I23" s="346" t="s">
        <v>537</v>
      </c>
      <c r="J23" s="161"/>
      <c r="K23" s="69" t="s">
        <v>167</v>
      </c>
    </row>
    <row r="24" spans="1:11" ht="10.5" customHeight="1">
      <c r="A24" s="69"/>
      <c r="B24" s="156" t="s">
        <v>553</v>
      </c>
      <c r="C24" s="157"/>
      <c r="D24" s="562" t="s">
        <v>536</v>
      </c>
      <c r="E24" s="578">
        <v>1</v>
      </c>
      <c r="F24" s="566">
        <v>8000</v>
      </c>
      <c r="G24" s="568">
        <v>8000</v>
      </c>
      <c r="H24" s="345"/>
      <c r="I24" s="345"/>
      <c r="J24" s="158"/>
      <c r="K24" s="69" t="s">
        <v>167</v>
      </c>
    </row>
    <row r="25" spans="1:11" ht="10.5" customHeight="1">
      <c r="A25" s="69"/>
      <c r="B25" s="159" t="s">
        <v>549</v>
      </c>
      <c r="C25" s="160"/>
      <c r="D25" s="563"/>
      <c r="E25" s="579"/>
      <c r="F25" s="567"/>
      <c r="G25" s="569"/>
      <c r="H25" s="346"/>
      <c r="I25" s="346" t="s">
        <v>537</v>
      </c>
      <c r="J25" s="161"/>
      <c r="K25" s="69" t="s">
        <v>167</v>
      </c>
    </row>
    <row r="26" spans="1:11" ht="10.5" customHeight="1">
      <c r="A26" s="69"/>
      <c r="B26" s="156" t="s">
        <v>554</v>
      </c>
      <c r="C26" s="157"/>
      <c r="D26" s="562" t="s">
        <v>536</v>
      </c>
      <c r="E26" s="564">
        <v>19</v>
      </c>
      <c r="F26" s="566">
        <v>1000</v>
      </c>
      <c r="G26" s="568">
        <v>19000</v>
      </c>
      <c r="H26" s="345"/>
      <c r="I26" s="345"/>
      <c r="J26" s="158"/>
      <c r="K26" s="69" t="s">
        <v>167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 t="s">
        <v>537</v>
      </c>
      <c r="J27" s="161"/>
      <c r="K27" s="69" t="s">
        <v>167</v>
      </c>
    </row>
    <row r="28" spans="1:11" ht="10.5" customHeight="1">
      <c r="A28" s="69"/>
      <c r="B28" s="156" t="s">
        <v>555</v>
      </c>
      <c r="C28" s="157"/>
      <c r="D28" s="562" t="s">
        <v>536</v>
      </c>
      <c r="E28" s="564">
        <v>2</v>
      </c>
      <c r="F28" s="566">
        <v>12000</v>
      </c>
      <c r="G28" s="568">
        <v>24000</v>
      </c>
      <c r="H28" s="345"/>
      <c r="I28" s="345"/>
      <c r="J28" s="158"/>
      <c r="K28" s="69" t="s">
        <v>167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 t="s">
        <v>537</v>
      </c>
      <c r="J29" s="161"/>
      <c r="K29" s="69" t="s">
        <v>167</v>
      </c>
    </row>
    <row r="30" spans="1:11" ht="10.5" customHeight="1">
      <c r="A30" s="69"/>
      <c r="B30" s="156" t="s">
        <v>556</v>
      </c>
      <c r="C30" s="157"/>
      <c r="D30" s="562" t="s">
        <v>536</v>
      </c>
      <c r="E30" s="564">
        <v>17</v>
      </c>
      <c r="F30" s="566">
        <v>1000</v>
      </c>
      <c r="G30" s="568">
        <v>17000</v>
      </c>
      <c r="H30" s="345"/>
      <c r="I30" s="345"/>
      <c r="J30" s="158"/>
      <c r="K30" s="69" t="s">
        <v>167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 t="s">
        <v>537</v>
      </c>
      <c r="J31" s="161"/>
      <c r="K31" s="69" t="s">
        <v>167</v>
      </c>
    </row>
    <row r="32" spans="1:11" ht="10.5" customHeight="1">
      <c r="A32" s="69"/>
      <c r="B32" s="156" t="s">
        <v>557</v>
      </c>
      <c r="C32" s="157"/>
      <c r="D32" s="562" t="s">
        <v>536</v>
      </c>
      <c r="E32" s="564">
        <v>1</v>
      </c>
      <c r="F32" s="566">
        <v>1200</v>
      </c>
      <c r="G32" s="568">
        <v>1200</v>
      </c>
      <c r="H32" s="345"/>
      <c r="I32" s="345"/>
      <c r="J32" s="158"/>
      <c r="K32" s="69" t="s">
        <v>167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 t="s">
        <v>537</v>
      </c>
      <c r="J33" s="161"/>
      <c r="K33" s="69" t="s">
        <v>167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167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167</v>
      </c>
    </row>
    <row r="36" spans="1:11" ht="10.5" customHeight="1">
      <c r="A36" s="69"/>
      <c r="B36" s="156" t="s">
        <v>525</v>
      </c>
      <c r="C36" s="157"/>
      <c r="D36" s="562"/>
      <c r="E36" s="564"/>
      <c r="F36" s="566"/>
      <c r="G36" s="568">
        <v>519200</v>
      </c>
      <c r="H36" s="345"/>
      <c r="I36" s="345"/>
      <c r="J36" s="158"/>
      <c r="K36" s="69" t="s">
        <v>167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167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167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167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167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167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167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167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167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167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167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167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49"/>
  <sheetViews>
    <sheetView zoomScaleNormal="100" workbookViewId="0"/>
  </sheetViews>
  <sheetFormatPr defaultColWidth="8.25" defaultRowHeight="13.1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558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501</v>
      </c>
      <c r="C3" s="146" t="s">
        <v>502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503</v>
      </c>
      <c r="K4" s="69"/>
    </row>
    <row r="5" spans="1:11" ht="18" customHeight="1">
      <c r="A5" s="69"/>
      <c r="B5" s="580" t="s">
        <v>504</v>
      </c>
      <c r="C5" s="581"/>
      <c r="D5" s="153" t="s">
        <v>460</v>
      </c>
      <c r="E5" s="153" t="s">
        <v>505</v>
      </c>
      <c r="F5" s="153" t="s">
        <v>506</v>
      </c>
      <c r="G5" s="153" t="s">
        <v>507</v>
      </c>
      <c r="H5" s="154" t="s">
        <v>508</v>
      </c>
      <c r="I5" s="153" t="s">
        <v>509</v>
      </c>
      <c r="J5" s="155" t="s">
        <v>510</v>
      </c>
      <c r="K5" s="69"/>
    </row>
    <row r="6" spans="1:11" ht="10.5" customHeight="1">
      <c r="A6" s="69"/>
      <c r="B6" s="156" t="s">
        <v>559</v>
      </c>
      <c r="C6" s="157"/>
      <c r="D6" s="562" t="s">
        <v>560</v>
      </c>
      <c r="E6" s="578">
        <v>14</v>
      </c>
      <c r="F6" s="566">
        <v>25000</v>
      </c>
      <c r="G6" s="568">
        <v>350000</v>
      </c>
      <c r="H6" s="345"/>
      <c r="I6" s="345"/>
      <c r="J6" s="158"/>
      <c r="K6" s="69" t="s">
        <v>167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561</v>
      </c>
      <c r="J7" s="161"/>
      <c r="K7" s="69" t="s">
        <v>167</v>
      </c>
    </row>
    <row r="8" spans="1:11" ht="10.5" customHeight="1">
      <c r="A8" s="69"/>
      <c r="B8" s="156" t="s">
        <v>562</v>
      </c>
      <c r="C8" s="157"/>
      <c r="D8" s="562" t="s">
        <v>536</v>
      </c>
      <c r="E8" s="578">
        <v>12</v>
      </c>
      <c r="F8" s="566">
        <v>32000</v>
      </c>
      <c r="G8" s="568">
        <v>384000</v>
      </c>
      <c r="H8" s="345"/>
      <c r="I8" s="345"/>
      <c r="J8" s="162"/>
      <c r="K8" s="69" t="s">
        <v>167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561</v>
      </c>
      <c r="J9" s="162"/>
      <c r="K9" s="69" t="s">
        <v>167</v>
      </c>
    </row>
    <row r="10" spans="1:11" ht="10.5" customHeight="1">
      <c r="A10" s="69"/>
      <c r="B10" s="156" t="s">
        <v>562</v>
      </c>
      <c r="C10" s="157"/>
      <c r="D10" s="562" t="s">
        <v>536</v>
      </c>
      <c r="E10" s="578">
        <v>16</v>
      </c>
      <c r="F10" s="566">
        <v>8000</v>
      </c>
      <c r="G10" s="568">
        <v>128000</v>
      </c>
      <c r="H10" s="345"/>
      <c r="I10" s="345"/>
      <c r="J10" s="158"/>
      <c r="K10" s="69" t="s">
        <v>167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561</v>
      </c>
      <c r="J11" s="161"/>
      <c r="K11" s="69" t="s">
        <v>167</v>
      </c>
    </row>
    <row r="12" spans="1:11" ht="10.5" customHeight="1">
      <c r="A12" s="69"/>
      <c r="B12" s="156" t="s">
        <v>563</v>
      </c>
      <c r="C12" s="157"/>
      <c r="D12" s="562" t="s">
        <v>560</v>
      </c>
      <c r="E12" s="564">
        <v>2</v>
      </c>
      <c r="F12" s="566">
        <v>15000</v>
      </c>
      <c r="G12" s="568">
        <v>30000</v>
      </c>
      <c r="H12" s="345"/>
      <c r="I12" s="345"/>
      <c r="J12" s="158"/>
      <c r="K12" s="69" t="s">
        <v>167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561</v>
      </c>
      <c r="J13" s="161"/>
      <c r="K13" s="69" t="s">
        <v>167</v>
      </c>
    </row>
    <row r="14" spans="1:11" ht="10.5" customHeight="1">
      <c r="A14" s="69"/>
      <c r="B14" s="156" t="s">
        <v>564</v>
      </c>
      <c r="C14" s="157"/>
      <c r="D14" s="562" t="s">
        <v>536</v>
      </c>
      <c r="E14" s="564">
        <v>13</v>
      </c>
      <c r="F14" s="566">
        <v>6000</v>
      </c>
      <c r="G14" s="568">
        <v>78000</v>
      </c>
      <c r="H14" s="345"/>
      <c r="I14" s="345"/>
      <c r="J14" s="158"/>
      <c r="K14" s="69" t="s">
        <v>167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561</v>
      </c>
      <c r="J15" s="161"/>
      <c r="K15" s="69" t="s">
        <v>167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167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167</v>
      </c>
    </row>
    <row r="18" spans="1:11" ht="10.5" customHeight="1">
      <c r="A18" s="69"/>
      <c r="B18" s="156" t="s">
        <v>525</v>
      </c>
      <c r="C18" s="157"/>
      <c r="D18" s="562"/>
      <c r="E18" s="564"/>
      <c r="F18" s="566"/>
      <c r="G18" s="568">
        <v>970000</v>
      </c>
      <c r="H18" s="345"/>
      <c r="I18" s="345"/>
      <c r="J18" s="158"/>
      <c r="K18" s="69" t="s">
        <v>167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167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167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167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167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167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167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167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167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167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167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167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167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167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167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167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167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167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167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167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167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167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167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167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167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167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167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167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167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167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C7E154-9F5D-4D55-AF1C-603773C7A5EE}"/>
</file>

<file path=customXml/itemProps2.xml><?xml version="1.0" encoding="utf-8"?>
<ds:datastoreItem xmlns:ds="http://schemas.openxmlformats.org/officeDocument/2006/customXml" ds:itemID="{3A0DF701-9921-4E44-853F-667F5BE994E9}"/>
</file>

<file path=customXml/itemProps3.xml><?xml version="1.0" encoding="utf-8"?>
<ds:datastoreItem xmlns:ds="http://schemas.openxmlformats.org/officeDocument/2006/customXml" ds:itemID="{02EF830A-BE8F-4FE7-9652-816DF682E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