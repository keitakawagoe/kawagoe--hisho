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1"/>
  <workbookPr filterPrivacy="1" showInkAnnotation="0" updateLinks="never" codeName="ThisWorkbook" defaultThemeVersion="166925"/>
  <xr:revisionPtr revIDLastSave="0" documentId="8_{E7342FC5-B9BA-4BB1-836A-E8EED472F451}" xr6:coauthVersionLast="47" xr6:coauthVersionMax="47" xr10:uidLastSave="{00000000-0000-0000-0000-000000000000}"/>
  <bookViews>
    <workbookView xWindow="390" yWindow="390" windowWidth="21600" windowHeight="11385" tabRatio="728" firstSheet="12" activeTab="12" xr2:uid="{00000000-000D-0000-FFFF-FFFF00000000}"/>
  </bookViews>
  <sheets>
    <sheet name="実行予算書鑑" sheetId="24" r:id="rId1"/>
    <sheet name="工事工程表" sheetId="25" r:id="rId2"/>
    <sheet name="工事概要" sheetId="26" r:id="rId3"/>
    <sheet name="工事総括表" sheetId="27" r:id="rId4"/>
    <sheet name="工事総括表2" sheetId="35" r:id="rId5"/>
    <sheet name="本工事内訳書(直接工事費)" sheetId="36" r:id="rId6"/>
    <sheet name="工事費一覧表(直接工事費)" sheetId="29" r:id="rId7"/>
    <sheet name="間接費一覧" sheetId="30" r:id="rId8"/>
    <sheet name="共通仮設費総括表" sheetId="31" r:id="rId9"/>
    <sheet name="工事費一覧表(共通仮設費)" sheetId="32" r:id="rId10"/>
    <sheet name="現場経費総括表" sheetId="33" r:id="rId11"/>
    <sheet name="工事費一覧表(現場経費)" sheetId="34" r:id="rId12"/>
    <sheet name="調書(外注費)" sheetId="14" r:id="rId13"/>
  </sheets>
  <definedNames>
    <definedName name="_xlnm._FilterDatabase" localSheetId="9" hidden="1">'工事費一覧表(共通仮設費)'!$A$3:$AE$3</definedName>
    <definedName name="_xlnm._FilterDatabase" localSheetId="11" hidden="1">'工事費一覧表(現場経費)'!$A$3:$AE$3</definedName>
    <definedName name="_xlnm._FilterDatabase" localSheetId="6" hidden="1">'工事費一覧表(直接工事費)'!$A$3:$AE$3</definedName>
    <definedName name="_xlnm.Print_Area" localSheetId="7">間接費一覧!#REF!</definedName>
    <definedName name="_xlnm.Print_Area" localSheetId="8">共通仮設費総括表!#REF!</definedName>
    <definedName name="_xlnm.Print_Area" localSheetId="10">現場経費総括表!#REF!</definedName>
    <definedName name="_xlnm.Print_Area" localSheetId="2">工事概要!$A$1:$M$20</definedName>
    <definedName name="_xlnm.Print_Area" localSheetId="3">工事総括表!$A$1:$P$20</definedName>
    <definedName name="_xlnm.Print_Area" localSheetId="9">'工事費一覧表(共通仮設費)'!$A$1:$AF$12</definedName>
    <definedName name="_xlnm.Print_Area" localSheetId="11">'工事費一覧表(現場経費)'!$A$1:$AF$14</definedName>
    <definedName name="_xlnm.Print_Area" localSheetId="6">'工事費一覧表(直接工事費)'!$A$1:$AF$17</definedName>
    <definedName name="_xlnm.Print_Area" localSheetId="0">実行予算書鑑!$A$1:$AM$32</definedName>
    <definedName name="_xlnm.Print_Area" localSheetId="12">'調書(外注費)'!#REF!</definedName>
    <definedName name="_xlnm.Print_Titles" localSheetId="9">'工事費一覧表(共通仮設費)'!$2:$3</definedName>
    <definedName name="_xlnm.Print_Titles" localSheetId="11">'工事費一覧表(現場経費)'!$2:$3</definedName>
    <definedName name="_xlnm.Print_Titles" localSheetId="6">'工事費一覧表(直接工事費)'!$2:$3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4" l="1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D1" i="34" l="1"/>
  <c r="D1" i="32"/>
  <c r="D1" i="29"/>
  <c r="Z1" i="34"/>
  <c r="R1" i="34"/>
  <c r="J1" i="34"/>
  <c r="Z1" i="32"/>
  <c r="R1" i="32"/>
  <c r="J1" i="32"/>
  <c r="J1" i="29"/>
  <c r="F28" i="25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C20" i="25"/>
  <c r="D19" i="25" s="1"/>
  <c r="D11" i="25"/>
  <c r="O26" i="25" l="1"/>
  <c r="O21" i="25" s="1"/>
  <c r="O22" i="25" s="1"/>
  <c r="Q26" i="25"/>
  <c r="Q21" i="25" s="1"/>
  <c r="Q22" i="25" s="1"/>
  <c r="D10" i="25"/>
  <c r="D18" i="25"/>
  <c r="H26" i="25"/>
  <c r="H21" i="25" s="1"/>
  <c r="H22" i="25" s="1"/>
  <c r="P26" i="25"/>
  <c r="P21" i="25" s="1"/>
  <c r="J26" i="25"/>
  <c r="J21" i="25" s="1"/>
  <c r="J22" i="25" s="1"/>
  <c r="R26" i="25"/>
  <c r="R21" i="25" s="1"/>
  <c r="R22" i="25" s="1"/>
  <c r="I26" i="25"/>
  <c r="I21" i="25" s="1"/>
  <c r="I22" i="25" s="1"/>
  <c r="D12" i="25"/>
  <c r="K26" i="25"/>
  <c r="K21" i="25" s="1"/>
  <c r="K22" i="25" s="1"/>
  <c r="D6" i="25"/>
  <c r="D14" i="25"/>
  <c r="L26" i="25"/>
  <c r="L21" i="25" s="1"/>
  <c r="L22" i="25" s="1"/>
  <c r="D7" i="25"/>
  <c r="D15" i="25"/>
  <c r="P22" i="25"/>
  <c r="E26" i="25"/>
  <c r="M26" i="25"/>
  <c r="M21" i="25" s="1"/>
  <c r="M22" i="25" s="1"/>
  <c r="D5" i="25"/>
  <c r="D13" i="25"/>
  <c r="D8" i="25"/>
  <c r="D16" i="25"/>
  <c r="F26" i="25"/>
  <c r="F21" i="25" s="1"/>
  <c r="F22" i="25" s="1"/>
  <c r="N26" i="25"/>
  <c r="N21" i="25" s="1"/>
  <c r="N22" i="25" s="1"/>
  <c r="D9" i="25"/>
  <c r="D17" i="25"/>
  <c r="G26" i="25"/>
  <c r="G21" i="25" s="1"/>
  <c r="G22" i="25" s="1"/>
  <c r="E21" i="25" l="1"/>
  <c r="E22" i="25" s="1"/>
  <c r="F25" i="25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D2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G1" authorId="0" shapeId="0" xr:uid="{00000000-0006-0000-0000-000001000000}">
      <text>
        <r>
          <rPr>
            <sz val="11"/>
            <color indexed="81"/>
            <rFont val="ＭＳ 明朝"/>
            <family val="1"/>
            <charset val="128"/>
          </rPr>
          <t>（例）「2022/12/1」の
形式で入力してください。</t>
        </r>
      </text>
    </comment>
  </commentList>
</comments>
</file>

<file path=xl/sharedStrings.xml><?xml version="1.0" encoding="utf-8"?>
<sst xmlns="http://schemas.openxmlformats.org/spreadsheetml/2006/main" count="966" uniqueCount="307">
  <si>
    <t>作成年月日</t>
    <rPh sb="0" eb="2">
      <t>サクセイ</t>
    </rPh>
    <rPh sb="2" eb="5">
      <t>ネンガッピ</t>
    </rPh>
    <phoneticPr fontId="4"/>
  </si>
  <si>
    <t>実行予算書</t>
    <rPh sb="0" eb="2">
      <t>ジッコウ</t>
    </rPh>
    <rPh sb="2" eb="4">
      <t>ヨサン</t>
    </rPh>
    <rPh sb="4" eb="5">
      <t>ショ</t>
    </rPh>
    <phoneticPr fontId="6"/>
  </si>
  <si>
    <t>工　事　番　号</t>
    <rPh sb="0" eb="1">
      <t>コウ</t>
    </rPh>
    <rPh sb="2" eb="3">
      <t>コト</t>
    </rPh>
    <rPh sb="4" eb="5">
      <t>バン</t>
    </rPh>
    <rPh sb="6" eb="7">
      <t>ゴウ</t>
    </rPh>
    <phoneticPr fontId="6"/>
  </si>
  <si>
    <t>2440410102 G</t>
  </si>
  <si>
    <t>（当　初）</t>
  </si>
  <si>
    <t>現場代理人</t>
    <rPh sb="0" eb="2">
      <t>ゲンバ</t>
    </rPh>
    <rPh sb="2" eb="5">
      <t>ダイリニン</t>
    </rPh>
    <phoneticPr fontId="4"/>
  </si>
  <si>
    <t>義山　恒</t>
  </si>
  <si>
    <t>監理技術者</t>
    <rPh sb="0" eb="2">
      <t>カンリ</t>
    </rPh>
    <rPh sb="2" eb="5">
      <t>ギジュツシャ</t>
    </rPh>
    <phoneticPr fontId="4"/>
  </si>
  <si>
    <t>本社</t>
    <rPh sb="0" eb="1">
      <t>ホンシャ</t>
    </rPh>
    <phoneticPr fontId="4"/>
  </si>
  <si>
    <t>支社</t>
    <rPh sb="0" eb="2">
      <t>シシャ</t>
    </rPh>
    <phoneticPr fontId="4"/>
  </si>
  <si>
    <t>拠点</t>
    <rPh sb="0" eb="2">
      <t>キョテン</t>
    </rPh>
    <phoneticPr fontId="4"/>
  </si>
  <si>
    <t>社　長</t>
    <rPh sb="1" eb="2">
      <t>チョウ</t>
    </rPh>
    <phoneticPr fontId="4"/>
  </si>
  <si>
    <t>部　長</t>
    <rPh sb="0" eb="1">
      <t>チョウ</t>
    </rPh>
    <phoneticPr fontId="4"/>
  </si>
  <si>
    <t>支社長</t>
    <rPh sb="0" eb="2">
      <t>シシャ</t>
    </rPh>
    <rPh sb="2" eb="3">
      <t>チョウ</t>
    </rPh>
    <phoneticPr fontId="4"/>
  </si>
  <si>
    <t>部　長</t>
    <rPh sb="0" eb="1">
      <t>ブ</t>
    </rPh>
    <rPh sb="2" eb="3">
      <t>チョウ</t>
    </rPh>
    <phoneticPr fontId="4"/>
  </si>
  <si>
    <t>所　長</t>
    <rPh sb="0" eb="1">
      <t>ショ</t>
    </rPh>
    <rPh sb="2" eb="3">
      <t>チョウ</t>
    </rPh>
    <phoneticPr fontId="4"/>
  </si>
  <si>
    <t>部課長</t>
    <rPh sb="0" eb="1">
      <t>ブ</t>
    </rPh>
    <rPh sb="1" eb="2">
      <t>カ</t>
    </rPh>
    <rPh sb="2" eb="3">
      <t>チョウ</t>
    </rPh>
    <phoneticPr fontId="4"/>
  </si>
  <si>
    <t>代人</t>
    <rPh sb="0" eb="2">
      <t>ダイニン</t>
    </rPh>
    <phoneticPr fontId="4"/>
  </si>
  <si>
    <t>工事名称</t>
    <rPh sb="0" eb="1">
      <t>コウ</t>
    </rPh>
    <rPh sb="1" eb="2">
      <t>コト</t>
    </rPh>
    <rPh sb="2" eb="3">
      <t>メイ</t>
    </rPh>
    <rPh sb="3" eb="4">
      <t>ショウ</t>
    </rPh>
    <phoneticPr fontId="6"/>
  </si>
  <si>
    <t>泉南りんくうロングパークサッカー場部分修繕工事</t>
  </si>
  <si>
    <t>発注者</t>
    <rPh sb="0" eb="1">
      <t>ハツ</t>
    </rPh>
    <rPh sb="1" eb="2">
      <t>チュウ</t>
    </rPh>
    <rPh sb="2" eb="3">
      <t>シャ</t>
    </rPh>
    <phoneticPr fontId="6"/>
  </si>
  <si>
    <t>（株）旭工建</t>
  </si>
  <si>
    <t>工事価格</t>
    <rPh sb="0" eb="2">
      <t>コウジ</t>
    </rPh>
    <rPh sb="2" eb="4">
      <t>カカク</t>
    </rPh>
    <phoneticPr fontId="4"/>
  </si>
  <si>
    <t>工事原価</t>
    <rPh sb="0" eb="2">
      <t>コウジ</t>
    </rPh>
    <rPh sb="2" eb="4">
      <t>ゲンカ</t>
    </rPh>
    <phoneticPr fontId="4"/>
  </si>
  <si>
    <t>粗利益</t>
    <rPh sb="0" eb="3">
      <t>アラリエキ</t>
    </rPh>
    <phoneticPr fontId="4"/>
  </si>
  <si>
    <t>承認工事原価</t>
    <rPh sb="0" eb="2">
      <t>ショウニン</t>
    </rPh>
    <rPh sb="2" eb="4">
      <t>コウジ</t>
    </rPh>
    <rPh sb="4" eb="6">
      <t>ゲンカ</t>
    </rPh>
    <phoneticPr fontId="4"/>
  </si>
  <si>
    <t>承認粗利益</t>
    <rPh sb="0" eb="2">
      <t>ショウニン</t>
    </rPh>
    <rPh sb="2" eb="5">
      <t>アラリエキ</t>
    </rPh>
    <phoneticPr fontId="4"/>
  </si>
  <si>
    <t>支社事項</t>
    <rPh sb="0" eb="2">
      <t>シシャ</t>
    </rPh>
    <rPh sb="2" eb="4">
      <t>ジコウ</t>
    </rPh>
    <phoneticPr fontId="4"/>
  </si>
  <si>
    <t>本社事項</t>
    <rPh sb="0" eb="2">
      <t>ホンシャ</t>
    </rPh>
    <rPh sb="2" eb="4">
      <t>ジコウ</t>
    </rPh>
    <phoneticPr fontId="4"/>
  </si>
  <si>
    <t>大阪営業所</t>
  </si>
  <si>
    <t>施工場所</t>
    <rPh sb="0" eb="2">
      <t>セコウ</t>
    </rPh>
    <rPh sb="2" eb="4">
      <t>バショ</t>
    </rPh>
    <phoneticPr fontId="6"/>
  </si>
  <si>
    <t>大阪府泉南市地内</t>
  </si>
  <si>
    <t>契約工期</t>
    <rPh sb="0" eb="2">
      <t>ケイヤク</t>
    </rPh>
    <rPh sb="2" eb="4">
      <t>コウキ</t>
    </rPh>
    <phoneticPr fontId="6"/>
  </si>
  <si>
    <t>2025年2月3日</t>
  </si>
  <si>
    <t>～</t>
    <phoneticPr fontId="36"/>
  </si>
  <si>
    <t>2025年4月30日</t>
  </si>
  <si>
    <t>実施工期</t>
    <rPh sb="0" eb="2">
      <t>ジッシ</t>
    </rPh>
    <rPh sb="2" eb="4">
      <t>コウキ</t>
    </rPh>
    <phoneticPr fontId="6"/>
  </si>
  <si>
    <t>ISO品質目標</t>
    <rPh sb="3" eb="5">
      <t>ヒンシツ</t>
    </rPh>
    <rPh sb="5" eb="7">
      <t>モクヒョウ</t>
    </rPh>
    <phoneticPr fontId="6"/>
  </si>
  <si>
    <t>補修後の仕上がりを再確認</t>
    <rPh sb="0" eb="2">
      <t>ホシュウ</t>
    </rPh>
    <rPh sb="2" eb="3">
      <t>ゴ</t>
    </rPh>
    <rPh sb="4" eb="6">
      <t>シア</t>
    </rPh>
    <rPh sb="9" eb="10">
      <t>サイ</t>
    </rPh>
    <rPh sb="10" eb="12">
      <t>カクニン</t>
    </rPh>
    <phoneticPr fontId="4"/>
  </si>
  <si>
    <t>東亜道路工業株式会社</t>
    <phoneticPr fontId="4"/>
  </si>
  <si>
    <t>工　事　工　程　表</t>
    <rPh sb="0" eb="1">
      <t>コウ</t>
    </rPh>
    <rPh sb="2" eb="3">
      <t>コト</t>
    </rPh>
    <rPh sb="4" eb="5">
      <t>コウ</t>
    </rPh>
    <rPh sb="6" eb="7">
      <t>ホド</t>
    </rPh>
    <rPh sb="8" eb="9">
      <t>ヒョウ</t>
    </rPh>
    <phoneticPr fontId="13"/>
  </si>
  <si>
    <t xml:space="preserve"> 工　事　名　称</t>
    <rPh sb="5" eb="6">
      <t>メイ</t>
    </rPh>
    <rPh sb="7" eb="8">
      <t>ショウ</t>
    </rPh>
    <phoneticPr fontId="13"/>
  </si>
  <si>
    <t>工事コード</t>
    <rPh sb="0" eb="2">
      <t>コウジ</t>
    </rPh>
    <phoneticPr fontId="13"/>
  </si>
  <si>
    <t>進</t>
  </si>
  <si>
    <t xml:space="preserve"> 契　約　工　期</t>
    <phoneticPr fontId="13"/>
  </si>
  <si>
    <t>～</t>
  </si>
  <si>
    <t>工事価格</t>
    <rPh sb="0" eb="2">
      <t>コウジ</t>
    </rPh>
    <rPh sb="2" eb="4">
      <t>カカク</t>
    </rPh>
    <phoneticPr fontId="13"/>
  </si>
  <si>
    <t>捗</t>
  </si>
  <si>
    <t>工　　　種</t>
  </si>
  <si>
    <t>実行予算</t>
  </si>
  <si>
    <t>比率</t>
  </si>
  <si>
    <t>人工芝補修　①</t>
  </si>
  <si>
    <t>人工芝補修　②</t>
  </si>
  <si>
    <t>重機運搬費</t>
  </si>
  <si>
    <t>準備費</t>
  </si>
  <si>
    <t>地代家賃</t>
  </si>
  <si>
    <t>仮設費</t>
  </si>
  <si>
    <t>安全費</t>
  </si>
  <si>
    <t>技術管理費</t>
  </si>
  <si>
    <t>社員給料</t>
  </si>
  <si>
    <t>事務用品費</t>
  </si>
  <si>
    <t>電力用水光熱費</t>
  </si>
  <si>
    <t>通信費</t>
  </si>
  <si>
    <t>旅費交通費</t>
  </si>
  <si>
    <t>保険料</t>
  </si>
  <si>
    <t>車両費</t>
  </si>
  <si>
    <t>工　事　原　価</t>
  </si>
  <si>
    <t>月別予定出来高</t>
  </si>
  <si>
    <t>％</t>
    <phoneticPr fontId="13"/>
  </si>
  <si>
    <t>単　　位</t>
    <phoneticPr fontId="13"/>
  </si>
  <si>
    <t>（千）</t>
    <rPh sb="1" eb="2">
      <t>セン</t>
    </rPh>
    <phoneticPr fontId="13"/>
  </si>
  <si>
    <t>計 画 率</t>
    <rPh sb="0" eb="1">
      <t>ケイ</t>
    </rPh>
    <rPh sb="2" eb="3">
      <t>ガ</t>
    </rPh>
    <rPh sb="4" eb="5">
      <t>リツ</t>
    </rPh>
    <phoneticPr fontId="13"/>
  </si>
  <si>
    <t>計画金額</t>
    <rPh sb="0" eb="2">
      <t>ケイカク</t>
    </rPh>
    <rPh sb="2" eb="4">
      <t>キンガク</t>
    </rPh>
    <phoneticPr fontId="13"/>
  </si>
  <si>
    <t>工期１S</t>
    <rPh sb="0" eb="2">
      <t>コウキ</t>
    </rPh>
    <phoneticPr fontId="13"/>
  </si>
  <si>
    <t>工期１E</t>
    <rPh sb="0" eb="2">
      <t>コウキ</t>
    </rPh>
    <phoneticPr fontId="13"/>
  </si>
  <si>
    <t>工期2S</t>
    <rPh sb="0" eb="2">
      <t>コウキ</t>
    </rPh>
    <phoneticPr fontId="13"/>
  </si>
  <si>
    <t>工期2E</t>
    <rPh sb="0" eb="2">
      <t>コウキ</t>
    </rPh>
    <phoneticPr fontId="13"/>
  </si>
  <si>
    <t>工期3S</t>
    <rPh sb="0" eb="2">
      <t>コウキ</t>
    </rPh>
    <phoneticPr fontId="13"/>
  </si>
  <si>
    <t>工期3E</t>
    <rPh sb="0" eb="2">
      <t>コウキ</t>
    </rPh>
    <phoneticPr fontId="13"/>
  </si>
  <si>
    <t>工期4S</t>
    <rPh sb="0" eb="2">
      <t>コウキ</t>
    </rPh>
    <phoneticPr fontId="13"/>
  </si>
  <si>
    <t>工期4E</t>
    <rPh sb="0" eb="2">
      <t>コウキ</t>
    </rPh>
    <phoneticPr fontId="13"/>
  </si>
  <si>
    <t>工期5S</t>
    <rPh sb="0" eb="2">
      <t>コウキ</t>
    </rPh>
    <phoneticPr fontId="13"/>
  </si>
  <si>
    <t>工期5E</t>
    <rPh sb="0" eb="2">
      <t>コウキ</t>
    </rPh>
    <phoneticPr fontId="13"/>
  </si>
  <si>
    <t>工  事  概  要</t>
    <phoneticPr fontId="6"/>
  </si>
  <si>
    <t xml:space="preserve"> １. 工 事 概 要</t>
    <phoneticPr fontId="6"/>
  </si>
  <si>
    <t xml:space="preserve"> ２．主 要 工 種 の 内 容</t>
    <phoneticPr fontId="6"/>
  </si>
  <si>
    <t>人工芝補修1式</t>
  </si>
  <si>
    <t>名      称</t>
  </si>
  <si>
    <t>規　格</t>
    <rPh sb="0" eb="1">
      <t>タダシ</t>
    </rPh>
    <rPh sb="2" eb="3">
      <t>カク</t>
    </rPh>
    <phoneticPr fontId="6"/>
  </si>
  <si>
    <t>単位</t>
  </si>
  <si>
    <t>数   量</t>
  </si>
  <si>
    <t>ロングパイル</t>
  </si>
  <si>
    <t>式</t>
  </si>
  <si>
    <t>(準備測量・仮設設置撤去・他)</t>
  </si>
  <si>
    <t>(借地費用や駐車場及び宿舎の賃貸等)</t>
  </si>
  <si>
    <t>(仮設事務所・倉庫・トイレ(環境改善含む)、仮設電気　等)</t>
  </si>
  <si>
    <t>(仮設事務所仮囲い・工事看板や安全施設・事務所警備　等)</t>
  </si>
  <si>
    <t>(土質試験・ASP・MC施工関係・完成図書 等)</t>
  </si>
  <si>
    <t>(コピー機、トナー、文具、コピー用紙、その他)</t>
  </si>
  <si>
    <t xml:space="preserve"> ３. 発 注 者 よ り の 支 給 品</t>
    <phoneticPr fontId="6"/>
  </si>
  <si>
    <t>品      名</t>
  </si>
  <si>
    <t>形状 寸法</t>
  </si>
  <si>
    <t>(携帯通話料、ネット回線契約、電話回線契約　等)</t>
  </si>
  <si>
    <t>(出張、移動旅費等)</t>
  </si>
  <si>
    <t>(建退共・労災保険・労災上乗せ保険　等)</t>
  </si>
  <si>
    <t>(連絡車)</t>
  </si>
  <si>
    <t>工事総括表</t>
    <rPh sb="0" eb="2">
      <t>コウジ</t>
    </rPh>
    <rPh sb="2" eb="4">
      <t>ソウカツ</t>
    </rPh>
    <rPh sb="4" eb="5">
      <t>ヒョウ</t>
    </rPh>
    <phoneticPr fontId="6"/>
  </si>
  <si>
    <t>工事名称</t>
    <rPh sb="0" eb="2">
      <t>コウジ</t>
    </rPh>
    <rPh sb="2" eb="4">
      <t>メイショウ</t>
    </rPh>
    <phoneticPr fontId="6"/>
  </si>
  <si>
    <t>工事略称</t>
    <rPh sb="0" eb="2">
      <t>コウジ</t>
    </rPh>
    <rPh sb="2" eb="3">
      <t>リャク</t>
    </rPh>
    <rPh sb="3" eb="4">
      <t>ショウ</t>
    </rPh>
    <phoneticPr fontId="6"/>
  </si>
  <si>
    <t>泉南りんくうサッカー場</t>
  </si>
  <si>
    <t>支社</t>
    <rPh sb="0" eb="2">
      <t>シシャ</t>
    </rPh>
    <phoneticPr fontId="6"/>
  </si>
  <si>
    <t>関西支社</t>
  </si>
  <si>
    <t>拠点</t>
    <rPh sb="0" eb="2">
      <t>キョテン</t>
    </rPh>
    <phoneticPr fontId="6"/>
  </si>
  <si>
    <t>作業所名</t>
    <rPh sb="0" eb="2">
      <t>サギョウ</t>
    </rPh>
    <rPh sb="2" eb="3">
      <t>ジョ</t>
    </rPh>
    <rPh sb="3" eb="4">
      <t>メイ</t>
    </rPh>
    <phoneticPr fontId="6"/>
  </si>
  <si>
    <t>工事番号</t>
    <rPh sb="0" eb="2">
      <t>コウジ</t>
    </rPh>
    <rPh sb="2" eb="4">
      <t>バンゴウ</t>
    </rPh>
    <phoneticPr fontId="6"/>
  </si>
  <si>
    <t>実行予算額</t>
    <rPh sb="0" eb="2">
      <t>ジッコウ</t>
    </rPh>
    <rPh sb="2" eb="4">
      <t>ヨサン</t>
    </rPh>
    <rPh sb="4" eb="5">
      <t>ガク</t>
    </rPh>
    <phoneticPr fontId="6"/>
  </si>
  <si>
    <t>比率</t>
    <rPh sb="0" eb="2">
      <t>ヒリツ</t>
    </rPh>
    <phoneticPr fontId="6"/>
  </si>
  <si>
    <t>材料費</t>
  </si>
  <si>
    <t>労務費</t>
  </si>
  <si>
    <t>外注費</t>
  </si>
  <si>
    <t>機械費</t>
  </si>
  <si>
    <t>運搬費</t>
  </si>
  <si>
    <t>共通仮設費</t>
  </si>
  <si>
    <t>現場経費</t>
  </si>
  <si>
    <t>法定福利費</t>
  </si>
  <si>
    <t>発注者</t>
    <rPh sb="0" eb="3">
      <t>ハッチュウシャ</t>
    </rPh>
    <phoneticPr fontId="6"/>
  </si>
  <si>
    <t>工事価格</t>
    <rPh sb="0" eb="2">
      <t>コウジ</t>
    </rPh>
    <rPh sb="2" eb="4">
      <t>カカク</t>
    </rPh>
    <phoneticPr fontId="6"/>
  </si>
  <si>
    <t>元発注者</t>
    <rPh sb="0" eb="1">
      <t>モト</t>
    </rPh>
    <rPh sb="1" eb="4">
      <t>ハッチュウシャ</t>
    </rPh>
    <phoneticPr fontId="6"/>
  </si>
  <si>
    <t>工事原価</t>
    <phoneticPr fontId="6"/>
  </si>
  <si>
    <t>直接工事費</t>
    <phoneticPr fontId="6"/>
  </si>
  <si>
    <t>現場代理人</t>
    <rPh sb="0" eb="2">
      <t>ゲンバ</t>
    </rPh>
    <rPh sb="2" eb="5">
      <t>ダイリニン</t>
    </rPh>
    <phoneticPr fontId="6"/>
  </si>
  <si>
    <t>共通仮設費</t>
    <phoneticPr fontId="6"/>
  </si>
  <si>
    <t>監理技術者</t>
    <rPh sb="0" eb="2">
      <t>カンリ</t>
    </rPh>
    <rPh sb="2" eb="5">
      <t>ギジュツシャ</t>
    </rPh>
    <phoneticPr fontId="6"/>
  </si>
  <si>
    <t>現場経費</t>
    <phoneticPr fontId="6"/>
  </si>
  <si>
    <t>施工形態</t>
    <rPh sb="0" eb="2">
      <t>セコウ</t>
    </rPh>
    <rPh sb="2" eb="4">
      <t>ケイタイ</t>
    </rPh>
    <phoneticPr fontId="6"/>
  </si>
  <si>
    <t>単独</t>
  </si>
  <si>
    <t>粗利益</t>
    <rPh sb="0" eb="3">
      <t>アラリエキ</t>
    </rPh>
    <phoneticPr fontId="6"/>
  </si>
  <si>
    <t>工事種別</t>
    <rPh sb="0" eb="2">
      <t>コウジ</t>
    </rPh>
    <rPh sb="2" eb="4">
      <t>シュベツ</t>
    </rPh>
    <phoneticPr fontId="6"/>
  </si>
  <si>
    <t>G</t>
  </si>
  <si>
    <t>店・営業所経費計</t>
    <rPh sb="0" eb="1">
      <t>ミセ</t>
    </rPh>
    <rPh sb="2" eb="5">
      <t>エイギョウショ</t>
    </rPh>
    <rPh sb="5" eb="8">
      <t>ケイヒケイ</t>
    </rPh>
    <phoneticPr fontId="6"/>
  </si>
  <si>
    <t>契約年月日</t>
    <rPh sb="0" eb="2">
      <t>ケイヤク</t>
    </rPh>
    <rPh sb="2" eb="5">
      <t>ネンガッピ</t>
    </rPh>
    <phoneticPr fontId="6"/>
  </si>
  <si>
    <t>2025年2月1日</t>
  </si>
  <si>
    <t>工事拠点経費</t>
    <rPh sb="0" eb="2">
      <t>コウジ</t>
    </rPh>
    <rPh sb="4" eb="6">
      <t>ケイヒ</t>
    </rPh>
    <phoneticPr fontId="6"/>
  </si>
  <si>
    <t>2025年2月3日 ～ 2025年4月30日</t>
  </si>
  <si>
    <t>営業拠点経費</t>
    <rPh sb="0" eb="2">
      <t>エイギョウ</t>
    </rPh>
    <rPh sb="2" eb="4">
      <t>キョテン</t>
    </rPh>
    <rPh sb="4" eb="6">
      <t>ケイヒ</t>
    </rPh>
    <phoneticPr fontId="6"/>
  </si>
  <si>
    <t>実施工期</t>
    <phoneticPr fontId="6"/>
  </si>
  <si>
    <t>拠点利益</t>
    <rPh sb="2" eb="4">
      <t>リエキ</t>
    </rPh>
    <phoneticPr fontId="6"/>
  </si>
  <si>
    <t>工事概要</t>
    <rPh sb="0" eb="2">
      <t>コウジ</t>
    </rPh>
    <rPh sb="2" eb="4">
      <t>ガイヨウ</t>
    </rPh>
    <phoneticPr fontId="6"/>
  </si>
  <si>
    <t>人工芝補修1式</t>
    <phoneticPr fontId="4"/>
  </si>
  <si>
    <t>支社経費(営・工共)</t>
    <rPh sb="0" eb="2">
      <t>シシャ</t>
    </rPh>
    <rPh sb="2" eb="4">
      <t>ケイヒ</t>
    </rPh>
    <rPh sb="5" eb="6">
      <t>エイ</t>
    </rPh>
    <rPh sb="7" eb="8">
      <t>コウ</t>
    </rPh>
    <rPh sb="8" eb="9">
      <t>トモ</t>
    </rPh>
    <phoneticPr fontId="6"/>
  </si>
  <si>
    <t>工事部利益</t>
    <rPh sb="0" eb="3">
      <t>コウジブ</t>
    </rPh>
    <rPh sb="3" eb="5">
      <t>リエキ</t>
    </rPh>
    <phoneticPr fontId="6"/>
  </si>
  <si>
    <t>特記事項</t>
    <rPh sb="0" eb="2">
      <t>トッキ</t>
    </rPh>
    <rPh sb="2" eb="4">
      <t>ジコウ</t>
    </rPh>
    <phoneticPr fontId="6"/>
  </si>
  <si>
    <t>工事総括表2</t>
    <phoneticPr fontId="6"/>
  </si>
  <si>
    <t>工事名称</t>
    <rPh sb="2" eb="4">
      <t>メイショウ</t>
    </rPh>
    <phoneticPr fontId="6"/>
  </si>
  <si>
    <t>名称／規格</t>
    <rPh sb="0" eb="2">
      <t>メイショウ</t>
    </rPh>
    <rPh sb="3" eb="5">
      <t>キカク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</si>
  <si>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</si>
  <si>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</si>
  <si>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</si>
  <si>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</si>
  <si>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摘要</t>
    <rPh sb="0" eb="2">
      <t>テキヨウ</t>
    </rPh>
    <phoneticPr fontId="6"/>
  </si>
  <si>
    <t>備考</t>
    <rPh sb="0" eb="2">
      <t>ビコウ</t>
    </rPh>
    <phoneticPr fontId="6"/>
  </si>
  <si>
    <t>直接工事費</t>
  </si>
  <si>
    <t xml:space="preserve"> </t>
    <phoneticPr fontId="6"/>
  </si>
  <si>
    <t xml:space="preserve">  人工芝補修　①</t>
  </si>
  <si>
    <t>15号</t>
  </si>
  <si>
    <t xml:space="preserve">  ロングパイル</t>
  </si>
  <si>
    <t>内訳書</t>
  </si>
  <si>
    <t xml:space="preserve">  人工芝補修　②</t>
  </si>
  <si>
    <t>16号</t>
  </si>
  <si>
    <t>直接工事費　計</t>
  </si>
  <si>
    <t>間接費</t>
  </si>
  <si>
    <t xml:space="preserve">  共通仮設費</t>
  </si>
  <si>
    <t xml:space="preserve">  </t>
  </si>
  <si>
    <t xml:space="preserve">  現場経費</t>
  </si>
  <si>
    <t>工事原価</t>
  </si>
  <si>
    <t>粗利益</t>
  </si>
  <si>
    <t>工事価格</t>
  </si>
  <si>
    <t>泉南りんくうロングパークサッカー場部分修繕工事</t>
    <phoneticPr fontId="4"/>
  </si>
  <si>
    <t>業者／要素</t>
    <rPh sb="0" eb="2">
      <t>ギョウシャ</t>
    </rPh>
    <rPh sb="3" eb="5">
      <t>ヨウソ</t>
    </rPh>
    <phoneticPr fontId="6"/>
  </si>
  <si>
    <t>計</t>
  </si>
  <si>
    <t>工事価格</t>
    <rPh sb="0" eb="4">
      <t>コウジカカク</t>
    </rPh>
    <phoneticPr fontId="6"/>
  </si>
  <si>
    <t>階層</t>
    <rPh sb="0" eb="2">
      <t>カイソウ</t>
    </rPh>
    <phoneticPr fontId="6"/>
  </si>
  <si>
    <t>原価工種コード</t>
    <rPh sb="0" eb="4">
      <t>ゲンカコウシュ</t>
    </rPh>
    <phoneticPr fontId="6"/>
  </si>
  <si>
    <t>帳票</t>
    <rPh sb="0" eb="2">
      <t>チョウヒョウ</t>
    </rPh>
    <phoneticPr fontId="6"/>
  </si>
  <si>
    <t>工種・種別・細別</t>
    <rPh sb="0" eb="2">
      <t>コウシュ</t>
    </rPh>
    <rPh sb="3" eb="5">
      <t>シュベツ</t>
    </rPh>
    <rPh sb="6" eb="8">
      <t>サイベツ</t>
    </rPh>
    <phoneticPr fontId="6"/>
  </si>
  <si>
    <t>規格</t>
    <rPh sb="0" eb="2">
      <t>キカク</t>
    </rPh>
    <phoneticPr fontId="6"/>
  </si>
  <si>
    <t>予算</t>
    <phoneticPr fontId="6"/>
  </si>
  <si>
    <t>予算 #02</t>
    <rPh sb="0" eb="2">
      <t>ヨサン</t>
    </rPh>
    <phoneticPr fontId="6"/>
  </si>
  <si>
    <t>予算 #03</t>
    <rPh sb="0" eb="2">
      <t>ヨサン</t>
    </rPh>
    <phoneticPr fontId="6"/>
  </si>
  <si>
    <t>ユーザー
コード</t>
    <phoneticPr fontId="6"/>
  </si>
  <si>
    <t>当り数量</t>
    <rPh sb="0" eb="1">
      <t>アタ</t>
    </rPh>
    <rPh sb="2" eb="4">
      <t>スウリョウ</t>
    </rPh>
    <phoneticPr fontId="6"/>
  </si>
  <si>
    <t>構成率</t>
    <rPh sb="0" eb="3">
      <t>コウセイリツ</t>
    </rPh>
    <phoneticPr fontId="6"/>
  </si>
  <si>
    <t>業者名</t>
    <rPh sb="0" eb="2">
      <t>ギョウシャ</t>
    </rPh>
    <rPh sb="2" eb="3">
      <t>メイ</t>
    </rPh>
    <phoneticPr fontId="6"/>
  </si>
  <si>
    <t>総括</t>
  </si>
  <si>
    <t/>
  </si>
  <si>
    <t>集計行</t>
  </si>
  <si>
    <t>｜直接工事費</t>
  </si>
  <si>
    <t>内訳代価</t>
  </si>
  <si>
    <t>｜｜人工芝補修　①</t>
  </si>
  <si>
    <t>15号内訳書</t>
  </si>
  <si>
    <t>｜｜｜既設人工芝撤去処分</t>
  </si>
  <si>
    <t>｜｜｜人工芝材料</t>
  </si>
  <si>
    <t>ロングパイル人工芝</t>
  </si>
  <si>
    <t>m2</t>
  </si>
  <si>
    <t>｜｜｜接着剤</t>
  </si>
  <si>
    <t>16㎏/缶</t>
  </si>
  <si>
    <t>缶</t>
  </si>
  <si>
    <t>｜｜｜ジョイントテープ</t>
  </si>
  <si>
    <t>300ｍｍ幅</t>
  </si>
  <si>
    <t>本</t>
  </si>
  <si>
    <t>｜｜｜粒度調整特殊珪砂</t>
  </si>
  <si>
    <t>20㎏/袋</t>
  </si>
  <si>
    <t>袋</t>
  </si>
  <si>
    <t>｜｜｜黒ゴムチップ</t>
  </si>
  <si>
    <t>｜｜｜人工芝敷設工</t>
  </si>
  <si>
    <t>｜｜｜法定福利費</t>
  </si>
  <si>
    <t>｜｜人工芝補修　②</t>
  </si>
  <si>
    <t>16号内訳書</t>
  </si>
  <si>
    <t>｜｜｜人工芝補修</t>
  </si>
  <si>
    <t xml:space="preserve">  間 接 費 一 覧  </t>
    <rPh sb="2" eb="3">
      <t>カン</t>
    </rPh>
    <rPh sb="4" eb="5">
      <t>セツ</t>
    </rPh>
    <rPh sb="6" eb="7">
      <t>ヒ</t>
    </rPh>
    <rPh sb="8" eb="9">
      <t>イチ</t>
    </rPh>
    <rPh sb="10" eb="11">
      <t>ラン</t>
    </rPh>
    <phoneticPr fontId="6"/>
  </si>
  <si>
    <t>共通仮設費</t>
    <rPh sb="0" eb="2">
      <t>キョウツウ</t>
    </rPh>
    <rPh sb="2" eb="4">
      <t>カセツ</t>
    </rPh>
    <rPh sb="4" eb="5">
      <t>ヒ</t>
    </rPh>
    <phoneticPr fontId="6"/>
  </si>
  <si>
    <t>現場経費</t>
    <rPh sb="0" eb="2">
      <t>ゲンバ</t>
    </rPh>
    <rPh sb="2" eb="4">
      <t>ケイヒ</t>
    </rPh>
    <phoneticPr fontId="6"/>
  </si>
  <si>
    <t>雑費</t>
  </si>
  <si>
    <t>共 通 仮 設 費 総 括 表</t>
    <rPh sb="14" eb="15">
      <t>ヒョウ</t>
    </rPh>
    <phoneticPr fontId="6"/>
  </si>
  <si>
    <t>名 称</t>
    <rPh sb="0" eb="1">
      <t>ナ</t>
    </rPh>
    <rPh sb="2" eb="3">
      <t>ショウ</t>
    </rPh>
    <phoneticPr fontId="6"/>
  </si>
  <si>
    <t>数 量</t>
    <rPh sb="0" eb="1">
      <t>カズ</t>
    </rPh>
    <rPh sb="2" eb="3">
      <t>リョウ</t>
    </rPh>
    <phoneticPr fontId="6"/>
  </si>
  <si>
    <t>単 価</t>
    <rPh sb="0" eb="1">
      <t>タン</t>
    </rPh>
    <rPh sb="2" eb="3">
      <t>アタイ</t>
    </rPh>
    <phoneticPr fontId="6"/>
  </si>
  <si>
    <t>金 額</t>
    <rPh sb="0" eb="1">
      <t>キン</t>
    </rPh>
    <rPh sb="2" eb="3">
      <t>ガク</t>
    </rPh>
    <phoneticPr fontId="6"/>
  </si>
  <si>
    <t>内　訳</t>
    <phoneticPr fontId="6"/>
  </si>
  <si>
    <t>原価工種コード</t>
    <rPh sb="0" eb="4">
      <t>ゲンカコウシュ</t>
    </rPh>
    <phoneticPr fontId="4"/>
  </si>
  <si>
    <t>｜共通仮設費</t>
  </si>
  <si>
    <t>｜｜重機運搬費</t>
  </si>
  <si>
    <t>1号内訳書</t>
  </si>
  <si>
    <t>｜｜準備費</t>
  </si>
  <si>
    <t>2号内訳書</t>
  </si>
  <si>
    <t>｜｜地代家賃</t>
  </si>
  <si>
    <t>3号内訳書</t>
  </si>
  <si>
    <t>｜｜仮設費</t>
  </si>
  <si>
    <t>4号内訳書</t>
  </si>
  <si>
    <t>｜｜安全費</t>
  </si>
  <si>
    <t>5号内訳書</t>
  </si>
  <si>
    <t>｜｜技術管理費</t>
  </si>
  <si>
    <t>6号内訳書</t>
  </si>
  <si>
    <t>現 場 経 費 総 括 表</t>
    <phoneticPr fontId="6"/>
  </si>
  <si>
    <t>名称</t>
    <rPh sb="0" eb="2">
      <t>メイショウ</t>
    </rPh>
    <phoneticPr fontId="6"/>
  </si>
  <si>
    <t>単位</t>
    <phoneticPr fontId="6"/>
  </si>
  <si>
    <t>数 量</t>
    <phoneticPr fontId="6"/>
  </si>
  <si>
    <t>摘要</t>
    <rPh sb="0" eb="1">
      <t>テキ</t>
    </rPh>
    <rPh sb="1" eb="2">
      <t>ヨウ</t>
    </rPh>
    <phoneticPr fontId="6"/>
  </si>
  <si>
    <t>7号</t>
  </si>
  <si>
    <t>8号</t>
  </si>
  <si>
    <t>9号</t>
  </si>
  <si>
    <t>10号</t>
  </si>
  <si>
    <t>11号</t>
  </si>
  <si>
    <t>12号</t>
  </si>
  <si>
    <t>13号</t>
  </si>
  <si>
    <t>(現場特有で発生が見込まれる費用　等)</t>
  </si>
  <si>
    <t>14号</t>
  </si>
  <si>
    <t>原価工種コード</t>
    <phoneticPr fontId="6"/>
  </si>
  <si>
    <t>｜現場経費</t>
  </si>
  <si>
    <t>｜｜社員給料</t>
  </si>
  <si>
    <t>7号内訳書</t>
  </si>
  <si>
    <t>｜｜事務用品費</t>
  </si>
  <si>
    <t>8号内訳書</t>
  </si>
  <si>
    <t>｜｜電力用水光熱費</t>
  </si>
  <si>
    <t>9号内訳書</t>
  </si>
  <si>
    <t>｜｜通信費</t>
  </si>
  <si>
    <t>10号内訳書</t>
  </si>
  <si>
    <t>｜｜旅費交通費</t>
  </si>
  <si>
    <t>11号内訳書</t>
  </si>
  <si>
    <t>｜｜保険料</t>
  </si>
  <si>
    <t>12号内訳書</t>
  </si>
  <si>
    <t>｜｜車両費</t>
  </si>
  <si>
    <t>13号内訳書</t>
  </si>
  <si>
    <t>｜｜雑費</t>
  </si>
  <si>
    <t>14号内訳書</t>
  </si>
  <si>
    <t>外注調書</t>
    <rPh sb="2" eb="4">
      <t>チョウショ</t>
    </rPh>
    <phoneticPr fontId="6"/>
  </si>
  <si>
    <t>工事名称</t>
    <phoneticPr fontId="6"/>
  </si>
  <si>
    <t>泉南りんくうロングパークサッカー場部分修繕工事</t>
    <phoneticPr fontId="6"/>
  </si>
  <si>
    <t>2440410102 G</t>
    <phoneticPr fontId="6"/>
  </si>
  <si>
    <t>名称／規格</t>
    <phoneticPr fontId="6"/>
  </si>
  <si>
    <t>数量</t>
    <phoneticPr fontId="6"/>
  </si>
  <si>
    <t>単価</t>
    <phoneticPr fontId="6"/>
  </si>
  <si>
    <t>金額</t>
    <phoneticPr fontId="6"/>
  </si>
  <si>
    <t>摘要</t>
    <phoneticPr fontId="6"/>
  </si>
  <si>
    <t>業者／要素</t>
    <phoneticPr fontId="6"/>
  </si>
  <si>
    <t>備考</t>
    <phoneticPr fontId="6"/>
  </si>
  <si>
    <t>ジョイントテープ</t>
    <phoneticPr fontId="6"/>
  </si>
  <si>
    <t>本</t>
    <phoneticPr fontId="6"/>
  </si>
  <si>
    <t>300ｍｍ幅</t>
    <phoneticPr fontId="6"/>
  </si>
  <si>
    <t>外注費</t>
    <phoneticPr fontId="6"/>
  </si>
  <si>
    <t>既設人工芝撤去処分</t>
    <phoneticPr fontId="6"/>
  </si>
  <si>
    <t>式</t>
    <phoneticPr fontId="6"/>
  </si>
  <si>
    <t>黒ゴムチップ</t>
    <phoneticPr fontId="6"/>
  </si>
  <si>
    <t>袋</t>
    <phoneticPr fontId="6"/>
  </si>
  <si>
    <t>20㎏/袋</t>
    <phoneticPr fontId="6"/>
  </si>
  <si>
    <t>人工芝材料</t>
    <phoneticPr fontId="6"/>
  </si>
  <si>
    <t>m2</t>
    <phoneticPr fontId="6"/>
  </si>
  <si>
    <t>ロングパイル人工芝</t>
    <phoneticPr fontId="6"/>
  </si>
  <si>
    <t>人工芝敷設工</t>
    <phoneticPr fontId="6"/>
  </si>
  <si>
    <t>人工芝補修</t>
    <phoneticPr fontId="6"/>
  </si>
  <si>
    <t>ロングパイル</t>
    <phoneticPr fontId="6"/>
  </si>
  <si>
    <t>接着剤</t>
    <phoneticPr fontId="6"/>
  </si>
  <si>
    <t>缶</t>
    <phoneticPr fontId="6"/>
  </si>
  <si>
    <t>16㎏/缶</t>
    <phoneticPr fontId="6"/>
  </si>
  <si>
    <t>法定福利費</t>
    <phoneticPr fontId="6"/>
  </si>
  <si>
    <t>粒度調整特殊珪砂</t>
    <phoneticPr fontId="6"/>
  </si>
  <si>
    <t>計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</si>
</sst>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0.0%"/>
    <numFmt numFmtId="178" formatCode="0.0"/>
    <numFmt numFmtId="179" formatCode="&quot;[&quot;@&quot;]&quot;"/>
    <numFmt numFmtId="180" formatCode="0.00_ "/>
    <numFmt numFmtId="181" formatCode="m/d;@"/>
    <numFmt numFmtId="182" formatCode="#,##0;&quot;▲ &quot;#,##0"/>
    <numFmt numFmtId="183" formatCode="#,##0.000;&quot;▲ &quot;#,##0.000"/>
    <numFmt numFmtId="184" formatCode="#,##0.00;&quot;▲ &quot;#,##0.00"/>
    <numFmt numFmtId="185" formatCode="0.00%;&quot;▲ &quot;0.00%"/>
    <numFmt numFmtId="186" formatCode="##0.00%;&quot;▲ &quot;##0.00%"/>
    <numFmt numFmtId="187" formatCode="##0.0%;&quot;▲ &quot;##0.0%"/>
    <numFmt numFmtId="188" formatCode="yyyy&quot;年&quot;m&quot;月&quot;d&quot;日&quot;;@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2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3366FF"/>
      <name val="ＭＳ 明朝"/>
      <family val="1"/>
      <charset val="128"/>
    </font>
    <font>
      <sz val="9"/>
      <name val="ＭＳ 明朝"/>
      <family val="1"/>
      <charset val="128"/>
    </font>
    <font>
      <b/>
      <u/>
      <sz val="18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b/>
      <u/>
      <sz val="14"/>
      <name val="ＭＳ 明朝"/>
      <family val="1"/>
      <charset val="128"/>
    </font>
    <font>
      <b/>
      <sz val="12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b/>
      <sz val="10"/>
      <name val="ＭＳ 明朝"/>
      <family val="1"/>
      <charset val="128"/>
    </font>
    <font>
      <b/>
      <sz val="22"/>
      <name val="ＭＳ 明朝"/>
      <family val="1"/>
      <charset val="128"/>
    </font>
    <font>
      <u/>
      <sz val="16"/>
      <name val="ＭＳ 明朝"/>
      <family val="1"/>
      <charset val="128"/>
    </font>
    <font>
      <b/>
      <u/>
      <sz val="16"/>
      <name val="ＭＳ 明朝"/>
      <family val="1"/>
      <charset val="128"/>
    </font>
    <font>
      <b/>
      <u/>
      <sz val="10"/>
      <name val="ＭＳ 明朝"/>
      <family val="1"/>
      <charset val="128"/>
    </font>
    <font>
      <sz val="18"/>
      <color theme="1"/>
      <name val="游ゴシック"/>
      <family val="2"/>
      <charset val="128"/>
      <scheme val="minor"/>
    </font>
    <font>
      <sz val="12"/>
      <color indexed="12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indexed="12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Meiryo UI"/>
      <family val="2"/>
      <charset val="128"/>
    </font>
    <font>
      <sz val="11"/>
      <color indexed="81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55"/>
      </bottom>
      <diagonal/>
    </border>
    <border>
      <left/>
      <right/>
      <top style="thin">
        <color indexed="64"/>
      </top>
      <bottom style="dotted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55"/>
      </left>
      <right/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/>
      <bottom style="thin">
        <color indexed="64"/>
      </bottom>
      <diagonal/>
    </border>
    <border>
      <left style="dotted">
        <color indexed="55"/>
      </left>
      <right style="dotted">
        <color indexed="55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/>
      <top style="medium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/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4" fillId="0" borderId="0"/>
    <xf numFmtId="176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2" fillId="0" borderId="0"/>
    <xf numFmtId="0" fontId="1" fillId="0" borderId="0">
      <alignment vertical="center"/>
    </xf>
  </cellStyleXfs>
  <cellXfs count="594">
    <xf numFmtId="0" fontId="0" fillId="0" borderId="0" xfId="0">
      <alignment vertical="center"/>
    </xf>
    <xf numFmtId="49" fontId="3" fillId="0" borderId="0" xfId="1" applyNumberFormat="1" applyFont="1"/>
    <xf numFmtId="49" fontId="3" fillId="0" borderId="1" xfId="1" applyNumberFormat="1" applyFont="1" applyBorder="1" applyAlignment="1">
      <alignment horizontal="center" vertical="center"/>
    </xf>
    <xf numFmtId="49" fontId="3" fillId="0" borderId="3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/>
    <xf numFmtId="49" fontId="3" fillId="0" borderId="11" xfId="1" applyNumberFormat="1" applyFont="1" applyBorder="1" applyAlignment="1">
      <alignment horizontal="left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/>
    <xf numFmtId="49" fontId="3" fillId="0" borderId="17" xfId="1" applyNumberFormat="1" applyFont="1" applyBorder="1"/>
    <xf numFmtId="49" fontId="11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right" vertical="center"/>
    </xf>
    <xf numFmtId="49" fontId="3" fillId="0" borderId="6" xfId="1" applyNumberFormat="1" applyFont="1" applyBorder="1" applyAlignment="1">
      <alignment horizontal="right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4" xfId="1" applyNumberFormat="1" applyFont="1" applyBorder="1" applyAlignment="1">
      <alignment horizontal="center" vertical="center"/>
    </xf>
    <xf numFmtId="49" fontId="3" fillId="0" borderId="25" xfId="1" applyNumberFormat="1" applyFont="1" applyBorder="1"/>
    <xf numFmtId="0" fontId="9" fillId="3" borderId="0" xfId="2" applyFont="1" applyFill="1"/>
    <xf numFmtId="0" fontId="12" fillId="3" borderId="0" xfId="2" applyFont="1" applyFill="1" applyAlignment="1">
      <alignment vertical="center"/>
    </xf>
    <xf numFmtId="0" fontId="3" fillId="3" borderId="0" xfId="2" applyFont="1" applyFill="1"/>
    <xf numFmtId="0" fontId="9" fillId="0" borderId="0" xfId="2" applyFont="1"/>
    <xf numFmtId="0" fontId="9" fillId="4" borderId="39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center" vertical="center"/>
    </xf>
    <xf numFmtId="0" fontId="9" fillId="4" borderId="43" xfId="2" applyFont="1" applyFill="1" applyBorder="1" applyAlignment="1">
      <alignment horizontal="center" vertical="center"/>
    </xf>
    <xf numFmtId="0" fontId="9" fillId="4" borderId="44" xfId="2" applyFont="1" applyFill="1" applyBorder="1" applyAlignment="1">
      <alignment horizontal="center" vertical="center"/>
    </xf>
    <xf numFmtId="0" fontId="9" fillId="4" borderId="45" xfId="2" applyFont="1" applyFill="1" applyBorder="1" applyAlignment="1">
      <alignment horizontal="center" vertical="center"/>
    </xf>
    <xf numFmtId="0" fontId="3" fillId="4" borderId="46" xfId="2" applyFont="1" applyFill="1" applyBorder="1" applyAlignment="1">
      <alignment horizontal="center" vertical="center"/>
    </xf>
    <xf numFmtId="0" fontId="9" fillId="4" borderId="47" xfId="2" applyFont="1" applyFill="1" applyBorder="1" applyAlignment="1">
      <alignment horizontal="center" vertical="center" shrinkToFit="1"/>
    </xf>
    <xf numFmtId="0" fontId="9" fillId="4" borderId="48" xfId="2" applyFont="1" applyFill="1" applyBorder="1" applyAlignment="1">
      <alignment horizontal="right" vertical="center" shrinkToFit="1"/>
    </xf>
    <xf numFmtId="9" fontId="9" fillId="3" borderId="49" xfId="2" applyNumberFormat="1" applyFont="1" applyFill="1" applyBorder="1" applyAlignment="1">
      <alignment horizontal="center"/>
    </xf>
    <xf numFmtId="49" fontId="9" fillId="3" borderId="50" xfId="2" applyNumberFormat="1" applyFont="1" applyFill="1" applyBorder="1" applyAlignment="1">
      <alignment vertical="center" shrinkToFit="1"/>
    </xf>
    <xf numFmtId="0" fontId="9" fillId="3" borderId="53" xfId="2" applyFont="1" applyFill="1" applyBorder="1" applyAlignment="1">
      <alignment shrinkToFit="1"/>
    </xf>
    <xf numFmtId="0" fontId="9" fillId="3" borderId="54" xfId="2" applyFont="1" applyFill="1" applyBorder="1" applyAlignment="1">
      <alignment shrinkToFit="1"/>
    </xf>
    <xf numFmtId="0" fontId="9" fillId="3" borderId="6" xfId="2" applyFont="1" applyFill="1" applyBorder="1" applyAlignment="1">
      <alignment horizontal="center" shrinkToFit="1"/>
    </xf>
    <xf numFmtId="49" fontId="9" fillId="3" borderId="55" xfId="2" applyNumberFormat="1" applyFont="1" applyFill="1" applyBorder="1" applyAlignment="1">
      <alignment vertical="center" shrinkToFit="1"/>
    </xf>
    <xf numFmtId="0" fontId="9" fillId="3" borderId="58" xfId="2" applyFont="1" applyFill="1" applyBorder="1" applyAlignment="1">
      <alignment shrinkToFit="1"/>
    </xf>
    <xf numFmtId="0" fontId="9" fillId="3" borderId="59" xfId="2" applyFont="1" applyFill="1" applyBorder="1" applyAlignment="1">
      <alignment shrinkToFit="1"/>
    </xf>
    <xf numFmtId="9" fontId="9" fillId="3" borderId="33" xfId="2" applyNumberFormat="1" applyFont="1" applyFill="1" applyBorder="1" applyAlignment="1">
      <alignment horizontal="center" shrinkToFit="1"/>
    </xf>
    <xf numFmtId="0" fontId="9" fillId="3" borderId="6" xfId="2" applyFont="1" applyFill="1" applyBorder="1" applyAlignment="1">
      <alignment horizontal="center" vertical="center" shrinkToFit="1"/>
    </xf>
    <xf numFmtId="0" fontId="9" fillId="3" borderId="6" xfId="2" applyFont="1" applyFill="1" applyBorder="1" applyAlignment="1">
      <alignment horizontal="center" vertical="top" shrinkToFit="1"/>
    </xf>
    <xf numFmtId="0" fontId="9" fillId="3" borderId="60" xfId="2" applyFont="1" applyFill="1" applyBorder="1" applyAlignment="1">
      <alignment horizontal="center" vertical="center" shrinkToFit="1"/>
    </xf>
    <xf numFmtId="0" fontId="9" fillId="3" borderId="63" xfId="2" applyFont="1" applyFill="1" applyBorder="1" applyAlignment="1">
      <alignment shrinkToFit="1"/>
    </xf>
    <xf numFmtId="0" fontId="9" fillId="3" borderId="64" xfId="2" applyFont="1" applyFill="1" applyBorder="1" applyAlignment="1">
      <alignment shrinkToFit="1"/>
    </xf>
    <xf numFmtId="9" fontId="9" fillId="3" borderId="33" xfId="2" quotePrefix="1" applyNumberFormat="1" applyFont="1" applyFill="1" applyBorder="1" applyAlignment="1">
      <alignment horizontal="center" shrinkToFit="1"/>
    </xf>
    <xf numFmtId="0" fontId="9" fillId="3" borderId="65" xfId="2" applyFont="1" applyFill="1" applyBorder="1" applyAlignment="1">
      <alignment shrinkToFit="1"/>
    </xf>
    <xf numFmtId="0" fontId="3" fillId="3" borderId="66" xfId="2" applyFont="1" applyFill="1" applyBorder="1" applyAlignment="1">
      <alignment horizontal="center" shrinkToFit="1"/>
    </xf>
    <xf numFmtId="0" fontId="9" fillId="3" borderId="69" xfId="2" applyFont="1" applyFill="1" applyBorder="1" applyAlignment="1">
      <alignment shrinkToFit="1"/>
    </xf>
    <xf numFmtId="0" fontId="9" fillId="3" borderId="70" xfId="2" applyFont="1" applyFill="1" applyBorder="1" applyAlignment="1">
      <alignment horizontal="center" vertical="center" shrinkToFit="1"/>
    </xf>
    <xf numFmtId="0" fontId="3" fillId="3" borderId="24" xfId="2" applyFont="1" applyFill="1" applyBorder="1" applyAlignment="1">
      <alignment horizontal="center" vertical="center" shrinkToFit="1"/>
    </xf>
    <xf numFmtId="0" fontId="9" fillId="3" borderId="25" xfId="2" applyFont="1" applyFill="1" applyBorder="1" applyAlignment="1">
      <alignment shrinkToFit="1"/>
    </xf>
    <xf numFmtId="0" fontId="9" fillId="3" borderId="0" xfId="2" applyFont="1" applyFill="1" applyAlignment="1">
      <alignment horizontal="centerContinuous"/>
    </xf>
    <xf numFmtId="0" fontId="3" fillId="0" borderId="0" xfId="2" applyFont="1"/>
    <xf numFmtId="0" fontId="3" fillId="3" borderId="0" xfId="3" applyFont="1" applyFill="1"/>
    <xf numFmtId="0" fontId="16" fillId="3" borderId="5" xfId="3" applyFont="1" applyFill="1" applyBorder="1" applyAlignment="1">
      <alignment horizontal="left"/>
    </xf>
    <xf numFmtId="0" fontId="3" fillId="3" borderId="5" xfId="3" applyFont="1" applyFill="1" applyBorder="1"/>
    <xf numFmtId="0" fontId="3" fillId="3" borderId="0" xfId="3" applyFont="1" applyFill="1" applyAlignment="1">
      <alignment horizontal="right"/>
    </xf>
    <xf numFmtId="0" fontId="3" fillId="0" borderId="0" xfId="3" applyFont="1"/>
    <xf numFmtId="0" fontId="17" fillId="4" borderId="26" xfId="3" applyFont="1" applyFill="1" applyBorder="1" applyAlignment="1">
      <alignment vertical="center"/>
    </xf>
    <xf numFmtId="0" fontId="3" fillId="4" borderId="27" xfId="3" applyFont="1" applyFill="1" applyBorder="1"/>
    <xf numFmtId="0" fontId="3" fillId="4" borderId="75" xfId="3" applyFont="1" applyFill="1" applyBorder="1"/>
    <xf numFmtId="0" fontId="17" fillId="4" borderId="27" xfId="3" applyFont="1" applyFill="1" applyBorder="1" applyAlignment="1">
      <alignment vertical="center"/>
    </xf>
    <xf numFmtId="0" fontId="3" fillId="4" borderId="29" xfId="3" applyFont="1" applyFill="1" applyBorder="1"/>
    <xf numFmtId="0" fontId="3" fillId="4" borderId="77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horizontal="center" vertical="center"/>
    </xf>
    <xf numFmtId="0" fontId="3" fillId="4" borderId="78" xfId="3" applyFont="1" applyFill="1" applyBorder="1" applyAlignment="1">
      <alignment horizontal="center" vertical="center"/>
    </xf>
    <xf numFmtId="49" fontId="15" fillId="3" borderId="80" xfId="5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center" vertical="center"/>
    </xf>
    <xf numFmtId="49" fontId="15" fillId="3" borderId="83" xfId="5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center" vertical="center"/>
    </xf>
    <xf numFmtId="49" fontId="15" fillId="3" borderId="83" xfId="3" applyNumberFormat="1" applyFont="1" applyFill="1" applyBorder="1" applyAlignment="1">
      <alignment horizontal="left" vertical="center" wrapText="1"/>
    </xf>
    <xf numFmtId="0" fontId="17" fillId="4" borderId="30" xfId="3" applyFont="1" applyFill="1" applyBorder="1" applyAlignment="1">
      <alignment vertical="center"/>
    </xf>
    <xf numFmtId="0" fontId="3" fillId="4" borderId="5" xfId="3" applyFont="1" applyFill="1" applyBorder="1"/>
    <xf numFmtId="0" fontId="3" fillId="4" borderId="88" xfId="3" applyFont="1" applyFill="1" applyBorder="1"/>
    <xf numFmtId="0" fontId="3" fillId="4" borderId="42" xfId="3" applyFont="1" applyFill="1" applyBorder="1" applyAlignment="1">
      <alignment horizontal="center" vertical="center"/>
    </xf>
    <xf numFmtId="0" fontId="3" fillId="4" borderId="89" xfId="3" applyFont="1" applyFill="1" applyBorder="1" applyAlignment="1">
      <alignment horizontal="center" vertical="center"/>
    </xf>
    <xf numFmtId="49" fontId="15" fillId="3" borderId="90" xfId="3" applyNumberFormat="1" applyFont="1" applyFill="1" applyBorder="1" applyAlignment="1">
      <alignment horizontal="left" vertical="center" wrapText="1"/>
    </xf>
    <xf numFmtId="49" fontId="15" fillId="3" borderId="80" xfId="3" applyNumberFormat="1" applyFont="1" applyFill="1" applyBorder="1" applyAlignment="1">
      <alignment horizontal="left" vertical="center" wrapText="1"/>
    </xf>
    <xf numFmtId="49" fontId="15" fillId="3" borderId="92" xfId="3" applyNumberFormat="1" applyFont="1" applyFill="1" applyBorder="1" applyAlignment="1">
      <alignment horizontal="left" vertical="center" wrapText="1"/>
    </xf>
    <xf numFmtId="49" fontId="15" fillId="3" borderId="93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center" vertical="center"/>
    </xf>
    <xf numFmtId="49" fontId="15" fillId="3" borderId="96" xfId="3" applyNumberFormat="1" applyFont="1" applyFill="1" applyBorder="1" applyAlignment="1">
      <alignment horizontal="left" vertical="center" wrapText="1"/>
    </xf>
    <xf numFmtId="49" fontId="3" fillId="3" borderId="0" xfId="3" applyNumberFormat="1" applyFont="1" applyFill="1" applyAlignment="1">
      <alignment vertical="center"/>
    </xf>
    <xf numFmtId="49" fontId="3" fillId="3" borderId="0" xfId="5" applyNumberFormat="1" applyFont="1" applyFill="1" applyAlignment="1">
      <alignment horizontal="right" vertical="center"/>
    </xf>
    <xf numFmtId="49" fontId="3" fillId="0" borderId="0" xfId="3" applyNumberFormat="1" applyFont="1" applyAlignment="1">
      <alignment vertical="center"/>
    </xf>
    <xf numFmtId="0" fontId="3" fillId="6" borderId="98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42" xfId="3" applyFont="1" applyFill="1" applyBorder="1" applyAlignment="1">
      <alignment horizontal="center" vertical="center"/>
    </xf>
    <xf numFmtId="0" fontId="17" fillId="6" borderId="13" xfId="3" applyFont="1" applyFill="1" applyBorder="1" applyAlignment="1">
      <alignment horizontal="center" vertical="center"/>
    </xf>
    <xf numFmtId="49" fontId="22" fillId="7" borderId="13" xfId="3" applyNumberFormat="1" applyFont="1" applyFill="1" applyBorder="1" applyAlignment="1">
      <alignment horizontal="center" vertical="center" shrinkToFit="1"/>
    </xf>
    <xf numFmtId="49" fontId="22" fillId="7" borderId="100" xfId="3" applyNumberFormat="1" applyFont="1" applyFill="1" applyBorder="1" applyAlignment="1">
      <alignment horizontal="center" vertical="center" shrinkToFit="1"/>
    </xf>
    <xf numFmtId="49" fontId="22" fillId="7" borderId="101" xfId="3" applyNumberFormat="1" applyFont="1" applyFill="1" applyBorder="1" applyAlignment="1">
      <alignment horizontal="center" vertical="center" shrinkToFit="1"/>
    </xf>
    <xf numFmtId="49" fontId="22" fillId="7" borderId="102" xfId="3" applyNumberFormat="1" applyFont="1" applyFill="1" applyBorder="1" applyAlignment="1">
      <alignment horizontal="center" vertical="center" shrinkToFit="1"/>
    </xf>
    <xf numFmtId="0" fontId="3" fillId="6" borderId="12" xfId="3" applyFont="1" applyFill="1" applyBorder="1" applyAlignment="1">
      <alignment horizontal="left" vertical="center"/>
    </xf>
    <xf numFmtId="0" fontId="3" fillId="6" borderId="12" xfId="3" applyFont="1" applyFill="1" applyBorder="1" applyAlignment="1">
      <alignment horizontal="left" vertical="center" indent="1"/>
    </xf>
    <xf numFmtId="49" fontId="3" fillId="3" borderId="0" xfId="3" applyNumberFormat="1" applyFont="1" applyFill="1" applyAlignment="1">
      <alignment horizontal="right" vertical="center"/>
    </xf>
    <xf numFmtId="0" fontId="17" fillId="6" borderId="110" xfId="3" applyFont="1" applyFill="1" applyBorder="1" applyAlignment="1">
      <alignment horizontal="center" vertical="center"/>
    </xf>
    <xf numFmtId="0" fontId="17" fillId="6" borderId="112" xfId="3" applyFont="1" applyFill="1" applyBorder="1" applyAlignment="1">
      <alignment horizontal="center" vertical="center"/>
    </xf>
    <xf numFmtId="0" fontId="3" fillId="3" borderId="34" xfId="3" applyFont="1" applyFill="1" applyBorder="1"/>
    <xf numFmtId="49" fontId="3" fillId="3" borderId="14" xfId="3" applyNumberFormat="1" applyFont="1" applyFill="1" applyBorder="1" applyAlignment="1">
      <alignment horizontal="left" vertical="center" wrapText="1"/>
    </xf>
    <xf numFmtId="49" fontId="15" fillId="3" borderId="11" xfId="3" applyNumberFormat="1" applyFont="1" applyFill="1" applyBorder="1" applyAlignment="1">
      <alignment horizontal="right" vertical="center"/>
    </xf>
    <xf numFmtId="0" fontId="3" fillId="3" borderId="113" xfId="3" applyFont="1" applyFill="1" applyBorder="1"/>
    <xf numFmtId="49" fontId="3" fillId="3" borderId="108" xfId="3" applyNumberFormat="1" applyFont="1" applyFill="1" applyBorder="1" applyAlignment="1">
      <alignment horizontal="left" vertical="center" wrapText="1"/>
    </xf>
    <xf numFmtId="49" fontId="15" fillId="3" borderId="115" xfId="3" applyNumberFormat="1" applyFont="1" applyFill="1" applyBorder="1" applyAlignment="1">
      <alignment horizontal="right" vertical="center"/>
    </xf>
    <xf numFmtId="0" fontId="3" fillId="3" borderId="0" xfId="3" applyFont="1" applyFill="1" applyAlignment="1">
      <alignment vertical="top"/>
    </xf>
    <xf numFmtId="0" fontId="16" fillId="3" borderId="24" xfId="3" applyFont="1" applyFill="1" applyBorder="1" applyAlignment="1">
      <alignment vertical="center"/>
    </xf>
    <xf numFmtId="0" fontId="14" fillId="3" borderId="24" xfId="3" applyFill="1" applyBorder="1" applyAlignment="1">
      <alignment vertical="center"/>
    </xf>
    <xf numFmtId="49" fontId="23" fillId="7" borderId="120" xfId="7" applyNumberFormat="1" applyFont="1" applyFill="1" applyBorder="1" applyAlignment="1">
      <alignment horizontal="center" vertical="center"/>
    </xf>
    <xf numFmtId="49" fontId="23" fillId="7" borderId="121" xfId="7" applyNumberFormat="1" applyFont="1" applyFill="1" applyBorder="1" applyAlignment="1">
      <alignment horizontal="center" vertical="center"/>
    </xf>
    <xf numFmtId="49" fontId="23" fillId="7" borderId="102" xfId="7" applyNumberFormat="1" applyFont="1" applyFill="1" applyBorder="1" applyAlignment="1">
      <alignment horizontal="center" vertical="center"/>
    </xf>
    <xf numFmtId="49" fontId="15" fillId="3" borderId="34" xfId="3" applyNumberFormat="1" applyFont="1" applyFill="1" applyBorder="1" applyAlignment="1">
      <alignment horizontal="left" vertical="center" wrapText="1"/>
    </xf>
    <xf numFmtId="49" fontId="15" fillId="3" borderId="12" xfId="3" applyNumberFormat="1" applyFont="1" applyFill="1" applyBorder="1" applyAlignment="1">
      <alignment horizontal="center" vertical="center" shrinkToFit="1"/>
    </xf>
    <xf numFmtId="49" fontId="15" fillId="3" borderId="113" xfId="3" applyNumberFormat="1" applyFont="1" applyFill="1" applyBorder="1" applyAlignment="1">
      <alignment horizontal="left" vertical="center" wrapText="1"/>
    </xf>
    <xf numFmtId="49" fontId="15" fillId="3" borderId="123" xfId="3" applyNumberFormat="1" applyFont="1" applyFill="1" applyBorder="1" applyAlignment="1">
      <alignment horizontal="center" vertical="center" shrinkToFit="1"/>
    </xf>
    <xf numFmtId="49" fontId="3" fillId="3" borderId="0" xfId="5" applyNumberFormat="1" applyFont="1" applyFill="1" applyAlignment="1">
      <alignment vertical="center"/>
    </xf>
    <xf numFmtId="0" fontId="3" fillId="0" borderId="0" xfId="5" applyNumberFormat="1" applyFont="1" applyFill="1"/>
    <xf numFmtId="0" fontId="3" fillId="0" borderId="24" xfId="3" applyFont="1" applyBorder="1" applyAlignment="1">
      <alignment vertical="center"/>
    </xf>
    <xf numFmtId="0" fontId="17" fillId="6" borderId="41" xfId="3" applyFont="1" applyFill="1" applyBorder="1" applyAlignment="1">
      <alignment horizontal="center" vertical="center"/>
    </xf>
    <xf numFmtId="49" fontId="15" fillId="3" borderId="127" xfId="5" applyNumberFormat="1" applyFont="1" applyFill="1" applyBorder="1" applyAlignment="1">
      <alignment horizontal="left" vertical="center" shrinkToFit="1"/>
    </xf>
    <xf numFmtId="49" fontId="15" fillId="3" borderId="43" xfId="5" applyNumberFormat="1" applyFont="1" applyFill="1" applyBorder="1" applyAlignment="1">
      <alignment horizontal="left" vertical="center" shrinkToFit="1"/>
    </xf>
    <xf numFmtId="49" fontId="15" fillId="3" borderId="129" xfId="5" applyNumberFormat="1" applyFont="1" applyFill="1" applyBorder="1" applyAlignment="1">
      <alignment horizontal="left" vertical="center" shrinkToFit="1"/>
    </xf>
    <xf numFmtId="0" fontId="3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0" xfId="3" applyFont="1" applyFill="1" applyAlignment="1">
      <alignment horizontal="center"/>
    </xf>
    <xf numFmtId="0" fontId="17" fillId="10" borderId="11" xfId="3" applyFont="1" applyFill="1" applyBorder="1" applyAlignment="1">
      <alignment horizontal="center" vertical="center"/>
    </xf>
    <xf numFmtId="49" fontId="3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5" fillId="10" borderId="0" xfId="3" applyFont="1" applyFill="1" applyAlignment="1">
      <alignment horizontal="left"/>
    </xf>
    <xf numFmtId="0" fontId="27" fillId="10" borderId="0" xfId="3" applyFont="1" applyFill="1"/>
    <xf numFmtId="0" fontId="27" fillId="10" borderId="0" xfId="3" applyFont="1" applyFill="1" applyAlignment="1">
      <alignment horizontal="center"/>
    </xf>
    <xf numFmtId="0" fontId="3" fillId="10" borderId="0" xfId="3" applyFont="1" applyFill="1" applyAlignment="1">
      <alignment horizontal="right"/>
    </xf>
    <xf numFmtId="0" fontId="3" fillId="10" borderId="0" xfId="3" applyFont="1" applyFill="1"/>
    <xf numFmtId="179" fontId="3" fillId="10" borderId="0" xfId="3" applyNumberFormat="1" applyFont="1" applyFill="1" applyAlignment="1">
      <alignment horizontal="right"/>
    </xf>
    <xf numFmtId="0" fontId="17" fillId="10" borderId="28" xfId="3" applyFont="1" applyFill="1" applyBorder="1" applyAlignment="1">
      <alignment horizontal="center" vertical="center"/>
    </xf>
    <xf numFmtId="0" fontId="17" fillId="10" borderId="130" xfId="3" applyFont="1" applyFill="1" applyBorder="1" applyAlignment="1">
      <alignment horizontal="center" vertical="center"/>
    </xf>
    <xf numFmtId="0" fontId="17" fillId="10" borderId="112" xfId="3" applyFont="1" applyFill="1" applyBorder="1" applyAlignment="1">
      <alignment horizontal="center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0" xfId="3" applyNumberFormat="1" applyFont="1" applyFill="1" applyAlignment="1">
      <alignment horizontal="left" vertical="center"/>
    </xf>
    <xf numFmtId="49" fontId="11" fillId="3" borderId="127" xfId="3" applyNumberFormat="1" applyFont="1" applyFill="1" applyBorder="1" applyAlignment="1">
      <alignment horizontal="left" vertical="center"/>
    </xf>
    <xf numFmtId="49" fontId="11" fillId="3" borderId="30" xfId="3" applyNumberFormat="1" applyFont="1" applyFill="1" applyBorder="1" applyAlignment="1">
      <alignment horizontal="left" vertical="center"/>
    </xf>
    <xf numFmtId="49" fontId="11" fillId="3" borderId="31" xfId="3" applyNumberFormat="1" applyFont="1" applyFill="1" applyBorder="1" applyAlignment="1">
      <alignment horizontal="left" vertical="center"/>
    </xf>
    <xf numFmtId="49" fontId="11" fillId="3" borderId="43" xfId="3" applyNumberFormat="1" applyFont="1" applyFill="1" applyBorder="1" applyAlignment="1">
      <alignment horizontal="left" vertical="center"/>
    </xf>
    <xf numFmtId="49" fontId="11" fillId="3" borderId="131" xfId="3" applyNumberFormat="1" applyFont="1" applyFill="1" applyBorder="1" applyAlignment="1">
      <alignment horizontal="left" vertical="center"/>
    </xf>
    <xf numFmtId="49" fontId="11" fillId="3" borderId="23" xfId="3" applyNumberFormat="1" applyFont="1" applyFill="1" applyBorder="1" applyAlignment="1">
      <alignment horizontal="left" vertical="center"/>
    </xf>
    <xf numFmtId="49" fontId="11" fillId="3" borderId="74" xfId="3" applyNumberFormat="1" applyFont="1" applyFill="1" applyBorder="1" applyAlignment="1">
      <alignment horizontal="left" vertical="center"/>
    </xf>
    <xf numFmtId="49" fontId="11" fillId="3" borderId="129" xfId="3" applyNumberFormat="1" applyFont="1" applyFill="1" applyBorder="1" applyAlignment="1">
      <alignment horizontal="left" vertical="center"/>
    </xf>
    <xf numFmtId="49" fontId="15" fillId="3" borderId="0" xfId="3" applyNumberFormat="1" applyFont="1" applyFill="1" applyAlignment="1">
      <alignment horizontal="left" vertical="center"/>
    </xf>
    <xf numFmtId="0" fontId="27" fillId="3" borderId="0" xfId="3" applyFont="1" applyFill="1" applyAlignment="1">
      <alignment horizontal="center"/>
    </xf>
    <xf numFmtId="0" fontId="3" fillId="14" borderId="12" xfId="3" applyFont="1" applyFill="1" applyBorder="1" applyAlignment="1">
      <alignment horizontal="left" vertical="center"/>
    </xf>
    <xf numFmtId="0" fontId="3" fillId="6" borderId="103" xfId="3" applyFont="1" applyFill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0" fontId="3" fillId="14" borderId="109" xfId="3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9" fillId="3" borderId="4" xfId="2" applyFont="1" applyFill="1" applyBorder="1" applyAlignment="1">
      <alignment horizontal="center"/>
    </xf>
    <xf numFmtId="0" fontId="9" fillId="3" borderId="4" xfId="2" applyFont="1" applyFill="1" applyBorder="1"/>
    <xf numFmtId="0" fontId="15" fillId="3" borderId="160" xfId="2" applyFont="1" applyFill="1" applyBorder="1" applyAlignment="1">
      <alignment horizontal="center" vertical="center"/>
    </xf>
    <xf numFmtId="0" fontId="15" fillId="3" borderId="161" xfId="2" applyFont="1" applyFill="1" applyBorder="1" applyAlignment="1">
      <alignment horizontal="center" vertical="center"/>
    </xf>
    <xf numFmtId="0" fontId="15" fillId="3" borderId="162" xfId="2" applyFont="1" applyFill="1" applyBorder="1" applyAlignment="1">
      <alignment horizontal="center" vertical="center"/>
    </xf>
    <xf numFmtId="181" fontId="9" fillId="5" borderId="165" xfId="2" applyNumberFormat="1" applyFont="1" applyFill="1" applyBorder="1" applyAlignment="1">
      <alignment horizontal="center"/>
    </xf>
    <xf numFmtId="181" fontId="9" fillId="5" borderId="166" xfId="2" applyNumberFormat="1" applyFont="1" applyFill="1" applyBorder="1" applyAlignment="1">
      <alignment horizontal="center"/>
    </xf>
    <xf numFmtId="181" fontId="9" fillId="5" borderId="167" xfId="2" applyNumberFormat="1" applyFont="1" applyFill="1" applyBorder="1" applyAlignment="1">
      <alignment horizontal="center"/>
    </xf>
    <xf numFmtId="181" fontId="9" fillId="5" borderId="169" xfId="2" applyNumberFormat="1" applyFont="1" applyFill="1" applyBorder="1" applyAlignment="1">
      <alignment horizontal="center"/>
    </xf>
    <xf numFmtId="181" fontId="9" fillId="5" borderId="170" xfId="2" applyNumberFormat="1" applyFont="1" applyFill="1" applyBorder="1" applyAlignment="1">
      <alignment horizontal="center"/>
    </xf>
    <xf numFmtId="181" fontId="9" fillId="5" borderId="171" xfId="2" applyNumberFormat="1" applyFont="1" applyFill="1" applyBorder="1" applyAlignment="1">
      <alignment horizontal="center"/>
    </xf>
    <xf numFmtId="181" fontId="9" fillId="5" borderId="174" xfId="2" applyNumberFormat="1" applyFont="1" applyFill="1" applyBorder="1" applyAlignment="1">
      <alignment horizontal="center"/>
    </xf>
    <xf numFmtId="181" fontId="9" fillId="5" borderId="175" xfId="2" applyNumberFormat="1" applyFont="1" applyFill="1" applyBorder="1" applyAlignment="1">
      <alignment horizontal="center"/>
    </xf>
    <xf numFmtId="181" fontId="9" fillId="5" borderId="176" xfId="2" applyNumberFormat="1" applyFont="1" applyFill="1" applyBorder="1" applyAlignment="1">
      <alignment horizontal="center"/>
    </xf>
    <xf numFmtId="0" fontId="3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38" fontId="31" fillId="5" borderId="5" xfId="5" applyFont="1" applyFill="1" applyBorder="1" applyAlignment="1"/>
    <xf numFmtId="177" fontId="3" fillId="0" borderId="0" xfId="6" applyNumberFormat="1" applyFont="1" applyAlignment="1"/>
    <xf numFmtId="177" fontId="3" fillId="0" borderId="0" xfId="6" applyNumberFormat="1" applyFont="1" applyBorder="1" applyAlignment="1">
      <alignment horizontal="center"/>
    </xf>
    <xf numFmtId="0" fontId="31" fillId="11" borderId="0" xfId="6" applyNumberFormat="1" applyFont="1" applyFill="1" applyAlignment="1"/>
    <xf numFmtId="0" fontId="31" fillId="0" borderId="0" xfId="6" applyNumberFormat="1" applyFont="1" applyAlignment="1"/>
    <xf numFmtId="177" fontId="3" fillId="0" borderId="0" xfId="6" applyNumberFormat="1" applyFont="1" applyBorder="1" applyAlignment="1"/>
    <xf numFmtId="38" fontId="31" fillId="0" borderId="5" xfId="5" applyFont="1" applyFill="1" applyBorder="1" applyAlignment="1">
      <alignment shrinkToFit="1"/>
    </xf>
    <xf numFmtId="0" fontId="11" fillId="12" borderId="117" xfId="9" applyFont="1" applyFill="1" applyBorder="1" applyAlignment="1">
      <alignment horizontal="center" vertical="center" wrapText="1"/>
    </xf>
    <xf numFmtId="0" fontId="32" fillId="12" borderId="117" xfId="9" applyFont="1" applyFill="1" applyBorder="1" applyAlignment="1">
      <alignment horizontal="center" vertical="center" wrapText="1"/>
    </xf>
    <xf numFmtId="0" fontId="3" fillId="12" borderId="117" xfId="9" applyFont="1" applyFill="1" applyBorder="1" applyAlignment="1">
      <alignment horizontal="center" vertical="center"/>
    </xf>
    <xf numFmtId="0" fontId="9" fillId="0" borderId="0" xfId="9" applyFont="1"/>
    <xf numFmtId="0" fontId="11" fillId="12" borderId="119" xfId="9" applyFont="1" applyFill="1" applyBorder="1" applyAlignment="1">
      <alignment horizontal="center" vertical="center"/>
    </xf>
    <xf numFmtId="0" fontId="3" fillId="12" borderId="119" xfId="9" applyFont="1" applyFill="1" applyBorder="1" applyAlignment="1">
      <alignment horizontal="center" vertical="center"/>
    </xf>
    <xf numFmtId="180" fontId="3" fillId="12" borderId="133" xfId="9" applyNumberFormat="1" applyFont="1" applyFill="1" applyBorder="1" applyAlignment="1">
      <alignment horizontal="center" vertical="center" shrinkToFit="1"/>
    </xf>
    <xf numFmtId="38" fontId="3" fillId="12" borderId="134" xfId="5" applyFont="1" applyFill="1" applyBorder="1" applyAlignment="1">
      <alignment horizontal="center" vertical="center" shrinkToFit="1"/>
    </xf>
    <xf numFmtId="180" fontId="3" fillId="12" borderId="135" xfId="9" applyNumberFormat="1" applyFont="1" applyFill="1" applyBorder="1" applyAlignment="1">
      <alignment horizontal="center" vertical="center" shrinkToFit="1"/>
    </xf>
    <xf numFmtId="180" fontId="3" fillId="12" borderId="136" xfId="9" applyNumberFormat="1" applyFont="1" applyFill="1" applyBorder="1" applyAlignment="1">
      <alignment horizontal="center" vertical="center" shrinkToFit="1"/>
    </xf>
    <xf numFmtId="180" fontId="15" fillId="12" borderId="134" xfId="9" applyNumberFormat="1" applyFont="1" applyFill="1" applyBorder="1" applyAlignment="1">
      <alignment horizontal="center" vertical="center" shrinkToFit="1"/>
    </xf>
    <xf numFmtId="180" fontId="15" fillId="12" borderId="137" xfId="9" applyNumberFormat="1" applyFont="1" applyFill="1" applyBorder="1" applyAlignment="1">
      <alignment horizontal="center" vertical="center" shrinkToFit="1"/>
    </xf>
    <xf numFmtId="180" fontId="3" fillId="12" borderId="11" xfId="9" applyNumberFormat="1" applyFont="1" applyFill="1" applyBorder="1" applyAlignment="1">
      <alignment horizontal="center" vertical="center" shrinkToFit="1"/>
    </xf>
    <xf numFmtId="0" fontId="3" fillId="0" borderId="20" xfId="5" applyNumberFormat="1" applyFont="1" applyBorder="1" applyAlignment="1">
      <alignment shrinkToFit="1"/>
    </xf>
    <xf numFmtId="0" fontId="33" fillId="0" borderId="21" xfId="5" applyNumberFormat="1" applyFont="1" applyBorder="1" applyAlignment="1">
      <alignment horizontal="center" shrinkToFit="1"/>
    </xf>
    <xf numFmtId="177" fontId="3" fillId="0" borderId="141" xfId="6" applyNumberFormat="1" applyFont="1" applyBorder="1" applyAlignment="1">
      <alignment shrinkToFit="1"/>
    </xf>
    <xf numFmtId="0" fontId="3" fillId="0" borderId="141" xfId="6" applyNumberFormat="1" applyFont="1" applyBorder="1" applyAlignment="1">
      <alignment shrinkToFit="1"/>
    </xf>
    <xf numFmtId="0" fontId="3" fillId="0" borderId="142" xfId="6" applyNumberFormat="1" applyFont="1" applyBorder="1" applyAlignment="1">
      <alignment shrinkToFit="1"/>
    </xf>
    <xf numFmtId="0" fontId="3" fillId="0" borderId="0" xfId="9" applyFont="1"/>
    <xf numFmtId="0" fontId="3" fillId="13" borderId="0" xfId="9" applyFont="1" applyFill="1"/>
    <xf numFmtId="0" fontId="3" fillId="13" borderId="0" xfId="9" applyFont="1" applyFill="1" applyAlignment="1">
      <alignment horizontal="center"/>
    </xf>
    <xf numFmtId="49" fontId="3" fillId="3" borderId="132" xfId="3" applyNumberFormat="1" applyFont="1" applyFill="1" applyBorder="1" applyAlignment="1" applyProtection="1">
      <alignment horizontal="left" vertical="center" wrapText="1" indent="1"/>
      <protection locked="0"/>
    </xf>
    <xf numFmtId="0" fontId="17" fillId="6" borderId="28" xfId="3" applyFont="1" applyFill="1" applyBorder="1" applyAlignment="1">
      <alignment horizontal="center" vertical="center"/>
    </xf>
    <xf numFmtId="0" fontId="17" fillId="6" borderId="130" xfId="3" applyFont="1" applyFill="1" applyBorder="1" applyAlignment="1">
      <alignment horizontal="center" vertical="center"/>
    </xf>
    <xf numFmtId="49" fontId="15" fillId="3" borderId="4" xfId="3" applyNumberFormat="1" applyFont="1" applyFill="1" applyBorder="1" applyAlignment="1">
      <alignment horizontal="left" vertical="center"/>
    </xf>
    <xf numFmtId="49" fontId="15" fillId="3" borderId="127" xfId="3" applyNumberFormat="1" applyFont="1" applyFill="1" applyBorder="1" applyAlignment="1">
      <alignment horizontal="left" vertical="center"/>
    </xf>
    <xf numFmtId="49" fontId="15" fillId="3" borderId="30" xfId="3" applyNumberFormat="1" applyFont="1" applyFill="1" applyBorder="1" applyAlignment="1">
      <alignment horizontal="left" vertical="center"/>
    </xf>
    <xf numFmtId="49" fontId="15" fillId="3" borderId="31" xfId="3" applyNumberFormat="1" applyFont="1" applyFill="1" applyBorder="1" applyAlignment="1">
      <alignment horizontal="left" vertical="center"/>
    </xf>
    <xf numFmtId="49" fontId="15" fillId="3" borderId="43" xfId="3" applyNumberFormat="1" applyFont="1" applyFill="1" applyBorder="1" applyAlignment="1">
      <alignment horizontal="left" vertical="center"/>
    </xf>
    <xf numFmtId="49" fontId="15" fillId="3" borderId="131" xfId="3" applyNumberFormat="1" applyFont="1" applyFill="1" applyBorder="1" applyAlignment="1">
      <alignment horizontal="left" vertical="center"/>
    </xf>
    <xf numFmtId="49" fontId="15" fillId="3" borderId="23" xfId="3" applyNumberFormat="1" applyFont="1" applyFill="1" applyBorder="1" applyAlignment="1">
      <alignment horizontal="left" vertical="center"/>
    </xf>
    <xf numFmtId="49" fontId="15" fillId="3" borderId="74" xfId="3" applyNumberFormat="1" applyFont="1" applyFill="1" applyBorder="1" applyAlignment="1">
      <alignment horizontal="left" vertical="center"/>
    </xf>
    <xf numFmtId="49" fontId="15" fillId="3" borderId="129" xfId="3" applyNumberFormat="1" applyFont="1" applyFill="1" applyBorder="1" applyAlignment="1">
      <alignment horizontal="left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6" borderId="104" xfId="3" applyFont="1" applyFill="1" applyBorder="1" applyAlignment="1">
      <alignment horizontal="center" vertical="center"/>
    </xf>
    <xf numFmtId="49" fontId="3" fillId="0" borderId="5" xfId="1" applyNumberFormat="1" applyFont="1" applyBorder="1" applyAlignment="1">
      <alignment vertical="center"/>
    </xf>
    <xf numFmtId="0" fontId="20" fillId="3" borderId="0" xfId="3" applyFont="1" applyFill="1"/>
    <xf numFmtId="0" fontId="21" fillId="3" borderId="0" xfId="3" applyFont="1" applyFill="1"/>
    <xf numFmtId="0" fontId="9" fillId="3" borderId="0" xfId="3" applyFont="1" applyFill="1"/>
    <xf numFmtId="0" fontId="8" fillId="6" borderId="12" xfId="3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Continuous"/>
    </xf>
    <xf numFmtId="0" fontId="3" fillId="0" borderId="0" xfId="3" applyFont="1" applyAlignment="1">
      <alignment horizontal="centerContinuous"/>
    </xf>
    <xf numFmtId="182" fontId="15" fillId="0" borderId="12" xfId="3" applyNumberFormat="1" applyFont="1" applyBorder="1" applyAlignment="1">
      <alignment horizontal="right" vertical="center" shrinkToFit="1"/>
    </xf>
    <xf numFmtId="182" fontId="15" fillId="8" borderId="11" xfId="3" quotePrefix="1" applyNumberFormat="1" applyFont="1" applyFill="1" applyBorder="1" applyAlignment="1">
      <alignment horizontal="right" vertical="center" shrinkToFit="1"/>
    </xf>
    <xf numFmtId="182" fontId="15" fillId="8" borderId="100" xfId="3" quotePrefix="1" applyNumberFormat="1" applyFont="1" applyFill="1" applyBorder="1" applyAlignment="1">
      <alignment horizontal="right" vertical="center" shrinkToFit="1"/>
    </xf>
    <xf numFmtId="182" fontId="15" fillId="8" borderId="101" xfId="3" applyNumberFormat="1" applyFont="1" applyFill="1" applyBorder="1" applyAlignment="1">
      <alignment horizontal="right" vertical="center" shrinkToFit="1"/>
    </xf>
    <xf numFmtId="182" fontId="15" fillId="8" borderId="100" xfId="3" applyNumberFormat="1" applyFont="1" applyFill="1" applyBorder="1" applyAlignment="1">
      <alignment horizontal="right" vertical="center" shrinkToFit="1"/>
    </xf>
    <xf numFmtId="182" fontId="15" fillId="8" borderId="102" xfId="3" applyNumberFormat="1" applyFont="1" applyFill="1" applyBorder="1" applyAlignment="1">
      <alignment horizontal="right" vertical="center" shrinkToFi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3" fillId="0" borderId="0" xfId="1" applyNumberFormat="1" applyFont="1" applyAlignment="1">
      <alignment horizontal="right" vertical="center"/>
    </xf>
    <xf numFmtId="49" fontId="9" fillId="0" borderId="28" xfId="2" applyNumberFormat="1" applyFont="1" applyBorder="1" applyAlignment="1">
      <alignment horizontal="left" vertical="center"/>
    </xf>
    <xf numFmtId="0" fontId="3" fillId="0" borderId="27" xfId="2" applyFont="1" applyBorder="1" applyAlignment="1">
      <alignment vertical="center"/>
    </xf>
    <xf numFmtId="0" fontId="9" fillId="0" borderId="177" xfId="2" applyFont="1" applyBorder="1" applyAlignment="1">
      <alignment vertical="center"/>
    </xf>
    <xf numFmtId="0" fontId="9" fillId="0" borderId="178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0" fontId="9" fillId="0" borderId="179" xfId="2" applyFont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181" xfId="2" applyFont="1" applyBorder="1" applyAlignment="1">
      <alignment vertical="center"/>
    </xf>
    <xf numFmtId="182" fontId="9" fillId="0" borderId="51" xfId="5" applyNumberFormat="1" applyFont="1" applyFill="1" applyBorder="1" applyAlignment="1">
      <alignment shrinkToFit="1"/>
    </xf>
    <xf numFmtId="182" fontId="9" fillId="0" borderId="56" xfId="5" applyNumberFormat="1" applyFont="1" applyFill="1" applyBorder="1" applyAlignment="1">
      <alignment shrinkToFit="1"/>
    </xf>
    <xf numFmtId="182" fontId="9" fillId="0" borderId="56" xfId="2" applyNumberFormat="1" applyFont="1" applyBorder="1" applyAlignment="1">
      <alignment shrinkToFit="1"/>
    </xf>
    <xf numFmtId="182" fontId="9" fillId="0" borderId="61" xfId="2" applyNumberFormat="1" applyFont="1" applyBorder="1" applyAlignment="1">
      <alignment shrinkToFit="1"/>
    </xf>
    <xf numFmtId="182" fontId="9" fillId="0" borderId="71" xfId="5" applyNumberFormat="1" applyFont="1" applyFill="1" applyBorder="1" applyAlignment="1">
      <alignment shrinkToFit="1"/>
    </xf>
    <xf numFmtId="182" fontId="9" fillId="0" borderId="72" xfId="5" applyNumberFormat="1" applyFont="1" applyFill="1" applyBorder="1" applyAlignment="1">
      <alignment shrinkToFit="1"/>
    </xf>
    <xf numFmtId="49" fontId="15" fillId="0" borderId="81" xfId="3" applyNumberFormat="1" applyFont="1" applyBorder="1" applyAlignment="1">
      <alignment horizontal="left" vertical="center" wrapText="1"/>
    </xf>
    <xf numFmtId="49" fontId="15" fillId="0" borderId="81" xfId="3" applyNumberFormat="1" applyFont="1" applyBorder="1" applyAlignment="1">
      <alignment horizontal="center" vertical="center"/>
    </xf>
    <xf numFmtId="183" fontId="15" fillId="0" borderId="82" xfId="5" applyNumberFormat="1" applyFont="1" applyFill="1" applyBorder="1" applyAlignment="1">
      <alignment horizontal="right" shrinkToFit="1"/>
    </xf>
    <xf numFmtId="0" fontId="15" fillId="3" borderId="0" xfId="3" applyFont="1" applyFill="1" applyAlignment="1">
      <alignment horizontal="left"/>
    </xf>
    <xf numFmtId="0" fontId="18" fillId="0" borderId="0" xfId="3" applyFont="1" applyAlignment="1">
      <alignment horizontal="left"/>
    </xf>
    <xf numFmtId="0" fontId="15" fillId="0" borderId="0" xfId="3" applyFont="1" applyAlignment="1">
      <alignment horizontal="center"/>
    </xf>
    <xf numFmtId="178" fontId="15" fillId="0" borderId="0" xfId="3" applyNumberFormat="1" applyFont="1"/>
    <xf numFmtId="49" fontId="15" fillId="0" borderId="56" xfId="3" applyNumberFormat="1" applyFont="1" applyBorder="1" applyAlignment="1">
      <alignment horizontal="left" vertical="center" wrapText="1"/>
    </xf>
    <xf numFmtId="49" fontId="15" fillId="0" borderId="56" xfId="3" applyNumberFormat="1" applyFont="1" applyBorder="1" applyAlignment="1">
      <alignment horizontal="center" vertical="center"/>
    </xf>
    <xf numFmtId="183" fontId="15" fillId="0" borderId="84" xfId="5" applyNumberFormat="1" applyFont="1" applyFill="1" applyBorder="1" applyAlignment="1">
      <alignment horizontal="right" shrinkToFit="1"/>
    </xf>
    <xf numFmtId="183" fontId="15" fillId="3" borderId="91" xfId="3" applyNumberFormat="1" applyFont="1" applyFill="1" applyBorder="1"/>
    <xf numFmtId="183" fontId="15" fillId="3" borderId="57" xfId="3" applyNumberFormat="1" applyFont="1" applyFill="1" applyBorder="1"/>
    <xf numFmtId="183" fontId="15" fillId="3" borderId="95" xfId="3" applyNumberFormat="1" applyFont="1" applyFill="1" applyBorder="1"/>
    <xf numFmtId="49" fontId="15" fillId="0" borderId="94" xfId="3" applyNumberFormat="1" applyFont="1" applyBorder="1" applyAlignment="1">
      <alignment horizontal="left" vertical="center" wrapText="1"/>
    </xf>
    <xf numFmtId="49" fontId="15" fillId="0" borderId="94" xfId="3" applyNumberFormat="1" applyFont="1" applyBorder="1" applyAlignment="1">
      <alignment horizontal="center" vertical="center"/>
    </xf>
    <xf numFmtId="183" fontId="15" fillId="0" borderId="97" xfId="5" applyNumberFormat="1" applyFont="1" applyFill="1" applyBorder="1" applyAlignment="1">
      <alignment horizontal="right" shrinkToFit="1"/>
    </xf>
    <xf numFmtId="0" fontId="17" fillId="6" borderId="132" xfId="3" applyFont="1" applyFill="1" applyBorder="1" applyAlignment="1">
      <alignment horizontal="center" vertical="center"/>
    </xf>
    <xf numFmtId="0" fontId="27" fillId="3" borderId="0" xfId="3" applyFont="1" applyFill="1"/>
    <xf numFmtId="0" fontId="3" fillId="3" borderId="0" xfId="3" applyFont="1" applyFill="1" applyAlignment="1">
      <alignment horizontal="right" indent="1"/>
    </xf>
    <xf numFmtId="49" fontId="15" fillId="3" borderId="36" xfId="3" applyNumberFormat="1" applyFont="1" applyFill="1" applyBorder="1" applyAlignment="1">
      <alignment horizontal="left" vertical="center"/>
    </xf>
    <xf numFmtId="49" fontId="15" fillId="3" borderId="37" xfId="3" applyNumberFormat="1" applyFont="1" applyFill="1" applyBorder="1" applyAlignment="1">
      <alignment horizontal="left" vertical="center"/>
    </xf>
    <xf numFmtId="0" fontId="30" fillId="0" borderId="5" xfId="8" applyFont="1" applyBorder="1" applyAlignment="1">
      <alignment horizontal="left"/>
    </xf>
    <xf numFmtId="0" fontId="30" fillId="0" borderId="0" xfId="8" applyFont="1" applyAlignment="1">
      <alignment horizontal="left"/>
    </xf>
    <xf numFmtId="0" fontId="18" fillId="0" borderId="0" xfId="9" applyFont="1"/>
    <xf numFmtId="0" fontId="11" fillId="0" borderId="0" xfId="9" applyFont="1"/>
    <xf numFmtId="0" fontId="3" fillId="0" borderId="138" xfId="8" applyFont="1" applyBorder="1" applyAlignment="1">
      <alignment shrinkToFit="1"/>
    </xf>
    <xf numFmtId="183" fontId="3" fillId="0" borderId="140" xfId="5" applyNumberFormat="1" applyFont="1" applyBorder="1" applyAlignment="1">
      <alignment shrinkToFit="1"/>
    </xf>
    <xf numFmtId="182" fontId="3" fillId="0" borderId="141" xfId="5" applyNumberFormat="1" applyFont="1" applyBorder="1" applyAlignment="1">
      <alignment shrinkToFit="1"/>
    </xf>
    <xf numFmtId="0" fontId="3" fillId="0" borderId="140" xfId="9" applyFont="1" applyBorder="1" applyAlignment="1">
      <alignment shrinkToFit="1"/>
    </xf>
    <xf numFmtId="38" fontId="3" fillId="0" borderId="141" xfId="5" applyFont="1" applyBorder="1" applyAlignment="1">
      <alignment shrinkToFit="1"/>
    </xf>
    <xf numFmtId="0" fontId="18" fillId="13" borderId="0" xfId="9" applyFont="1" applyFill="1"/>
    <xf numFmtId="0" fontId="34" fillId="13" borderId="0" xfId="9" applyFont="1" applyFill="1" applyAlignment="1">
      <alignment shrinkToFit="1"/>
    </xf>
    <xf numFmtId="0" fontId="34" fillId="0" borderId="0" xfId="9" applyFont="1" applyAlignment="1">
      <alignment shrinkToFit="1"/>
    </xf>
    <xf numFmtId="182" fontId="15" fillId="3" borderId="89" xfId="3" applyNumberFormat="1" applyFont="1" applyFill="1" applyBorder="1" applyAlignment="1">
      <alignment horizontal="right" vertical="center" shrinkToFit="1"/>
    </xf>
    <xf numFmtId="182" fontId="15" fillId="3" borderId="78" xfId="3" applyNumberFormat="1" applyFont="1" applyFill="1" applyBorder="1" applyAlignment="1">
      <alignment horizontal="right" vertical="center" shrinkToFit="1"/>
    </xf>
    <xf numFmtId="182" fontId="15" fillId="3" borderId="114" xfId="3" applyNumberFormat="1" applyFont="1" applyFill="1" applyBorder="1" applyAlignment="1">
      <alignment horizontal="right" vertical="center" shrinkToFit="1"/>
    </xf>
    <xf numFmtId="182" fontId="15" fillId="3" borderId="116" xfId="3" applyNumberFormat="1" applyFont="1" applyFill="1" applyBorder="1" applyAlignment="1">
      <alignment horizontal="right" vertical="center" shrinkToFit="1"/>
    </xf>
    <xf numFmtId="0" fontId="3" fillId="0" borderId="0" xfId="3" applyFont="1" applyAlignment="1">
      <alignment vertical="top"/>
    </xf>
    <xf numFmtId="183" fontId="15" fillId="3" borderId="13" xfId="3" applyNumberFormat="1" applyFont="1" applyFill="1" applyBorder="1" applyAlignment="1">
      <alignment horizontal="right" vertical="center" shrinkToFit="1"/>
    </xf>
    <xf numFmtId="184" fontId="15" fillId="3" borderId="12" xfId="3" applyNumberFormat="1" applyFont="1" applyFill="1" applyBorder="1" applyAlignment="1">
      <alignment horizontal="right" vertical="center" shrinkToFit="1"/>
    </xf>
    <xf numFmtId="182" fontId="15" fillId="3" borderId="11" xfId="5" applyNumberFormat="1" applyFont="1" applyFill="1" applyBorder="1" applyAlignment="1">
      <alignment horizontal="right" vertical="center" shrinkToFit="1"/>
    </xf>
    <xf numFmtId="182" fontId="15" fillId="3" borderId="122" xfId="5" applyNumberFormat="1" applyFont="1" applyFill="1" applyBorder="1" applyAlignment="1">
      <alignment horizontal="right" vertical="center" shrinkToFit="1"/>
    </xf>
    <xf numFmtId="182" fontId="15" fillId="3" borderId="101" xfId="5" applyNumberFormat="1" applyFont="1" applyFill="1" applyBorder="1" applyAlignment="1">
      <alignment horizontal="right" vertical="center" shrinkToFit="1"/>
    </xf>
    <xf numFmtId="182" fontId="15" fillId="3" borderId="102" xfId="5" applyNumberFormat="1" applyFont="1" applyFill="1" applyBorder="1" applyAlignment="1">
      <alignment horizontal="right" vertical="center" shrinkToFit="1"/>
    </xf>
    <xf numFmtId="183" fontId="15" fillId="3" borderId="13" xfId="3" quotePrefix="1" applyNumberFormat="1" applyFont="1" applyFill="1" applyBorder="1" applyAlignment="1">
      <alignment horizontal="right" vertical="center" shrinkToFit="1"/>
    </xf>
    <xf numFmtId="183" fontId="15" fillId="3" borderId="107" xfId="3" quotePrefix="1" applyNumberFormat="1" applyFont="1" applyFill="1" applyBorder="1" applyAlignment="1">
      <alignment horizontal="right" vertical="center" shrinkToFit="1"/>
    </xf>
    <xf numFmtId="184" fontId="15" fillId="3" borderId="123" xfId="3" applyNumberFormat="1" applyFont="1" applyFill="1" applyBorder="1" applyAlignment="1">
      <alignment horizontal="right" vertical="center" shrinkToFit="1"/>
    </xf>
    <xf numFmtId="182" fontId="15" fillId="3" borderId="115" xfId="5" applyNumberFormat="1" applyFont="1" applyFill="1" applyBorder="1" applyAlignment="1">
      <alignment horizontal="right" vertical="center" shrinkToFit="1"/>
    </xf>
    <xf numFmtId="182" fontId="15" fillId="3" borderId="124" xfId="5" applyNumberFormat="1" applyFont="1" applyFill="1" applyBorder="1" applyAlignment="1">
      <alignment horizontal="right" vertical="center" shrinkToFit="1"/>
    </xf>
    <xf numFmtId="182" fontId="15" fillId="3" borderId="125" xfId="5" applyNumberFormat="1" applyFont="1" applyFill="1" applyBorder="1" applyAlignment="1">
      <alignment horizontal="right" vertical="center" shrinkToFit="1"/>
    </xf>
    <xf numFmtId="182" fontId="15" fillId="3" borderId="126" xfId="5" applyNumberFormat="1" applyFont="1" applyFill="1" applyBorder="1" applyAlignment="1">
      <alignment horizontal="right" vertical="center" shrinkToFit="1"/>
    </xf>
    <xf numFmtId="182" fontId="31" fillId="5" borderId="5" xfId="5" applyNumberFormat="1" applyFont="1" applyFill="1" applyBorder="1" applyAlignment="1">
      <alignment shrinkToFit="1"/>
    </xf>
    <xf numFmtId="186" fontId="15" fillId="0" borderId="12" xfId="3" applyNumberFormat="1" applyFont="1" applyBorder="1" applyAlignment="1">
      <alignment horizontal="right" vertical="center" shrinkToFit="1"/>
    </xf>
    <xf numFmtId="185" fontId="15" fillId="0" borderId="52" xfId="6" applyNumberFormat="1" applyFont="1" applyFill="1" applyBorder="1" applyAlignment="1">
      <alignment shrinkToFit="1"/>
    </xf>
    <xf numFmtId="185" fontId="15" fillId="0" borderId="57" xfId="6" applyNumberFormat="1" applyFont="1" applyFill="1" applyBorder="1" applyAlignment="1">
      <alignment shrinkToFit="1"/>
    </xf>
    <xf numFmtId="185" fontId="15" fillId="0" borderId="62" xfId="2" applyNumberFormat="1" applyFont="1" applyBorder="1" applyAlignment="1">
      <alignment shrinkToFit="1"/>
    </xf>
    <xf numFmtId="187" fontId="3" fillId="0" borderId="141" xfId="6" applyNumberFormat="1" applyFont="1" applyBorder="1" applyAlignment="1">
      <alignment shrinkToFit="1"/>
    </xf>
    <xf numFmtId="187" fontId="3" fillId="0" borderId="0" xfId="6" applyNumberFormat="1" applyFont="1" applyAlignment="1">
      <alignment shrinkToFit="1"/>
    </xf>
    <xf numFmtId="49" fontId="3" fillId="0" borderId="139" xfId="9" applyNumberFormat="1" applyFont="1" applyBorder="1"/>
    <xf numFmtId="49" fontId="3" fillId="0" borderId="138" xfId="5" applyNumberFormat="1" applyFont="1" applyBorder="1" applyAlignment="1">
      <alignment shrinkToFit="1"/>
    </xf>
    <xf numFmtId="49" fontId="3" fillId="0" borderId="138" xfId="8" applyNumberFormat="1" applyFont="1" applyBorder="1" applyAlignment="1">
      <alignment shrinkToFit="1"/>
    </xf>
    <xf numFmtId="49" fontId="3" fillId="0" borderId="141" xfId="6" applyNumberFormat="1" applyFont="1" applyBorder="1" applyAlignment="1">
      <alignment shrinkToFit="1"/>
    </xf>
    <xf numFmtId="49" fontId="3" fillId="0" borderId="142" xfId="6" applyNumberFormat="1" applyFont="1" applyBorder="1" applyAlignment="1">
      <alignment shrinkToFit="1"/>
    </xf>
    <xf numFmtId="49" fontId="3" fillId="0" borderId="138" xfId="8" applyNumberFormat="1" applyFont="1" applyBorder="1" applyAlignment="1">
      <alignment horizontal="center" shrinkToFit="1"/>
    </xf>
    <xf numFmtId="49" fontId="3" fillId="0" borderId="140" xfId="9" applyNumberFormat="1" applyFont="1" applyBorder="1" applyAlignment="1">
      <alignment shrinkToFit="1"/>
    </xf>
    <xf numFmtId="49" fontId="3" fillId="0" borderId="141" xfId="5" applyNumberFormat="1" applyFont="1" applyBorder="1" applyAlignment="1">
      <alignment shrinkToFit="1"/>
    </xf>
    <xf numFmtId="49" fontId="3" fillId="0" borderId="20" xfId="5" applyNumberFormat="1" applyFont="1" applyBorder="1" applyAlignment="1">
      <alignment shrinkToFit="1"/>
    </xf>
    <xf numFmtId="49" fontId="33" fillId="0" borderId="21" xfId="5" applyNumberFormat="1" applyFont="1" applyBorder="1" applyAlignment="1">
      <alignment horizontal="center" shrinkToFit="1"/>
    </xf>
    <xf numFmtId="49" fontId="30" fillId="0" borderId="5" xfId="8" applyNumberFormat="1" applyFont="1" applyBorder="1" applyAlignment="1">
      <alignment horizontal="left"/>
    </xf>
    <xf numFmtId="49" fontId="11" fillId="3" borderId="106" xfId="3" applyNumberFormat="1" applyFont="1" applyFill="1" applyBorder="1" applyAlignment="1">
      <alignment horizontal="center" vertical="center" shrinkToFit="1"/>
    </xf>
    <xf numFmtId="49" fontId="11" fillId="3" borderId="119" xfId="3" applyNumberFormat="1" applyFont="1" applyFill="1" applyBorder="1" applyAlignment="1">
      <alignment horizontal="center" vertical="center" shrinkToFit="1"/>
    </xf>
    <xf numFmtId="49" fontId="11" fillId="3" borderId="109" xfId="3" applyNumberFormat="1" applyFont="1" applyFill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shrinkToFit="1"/>
    </xf>
    <xf numFmtId="0" fontId="9" fillId="0" borderId="0" xfId="2" applyFont="1" applyAlignment="1">
      <alignment horizontal="center" vertical="center" shrinkToFit="1"/>
    </xf>
    <xf numFmtId="0" fontId="3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3" fillId="0" borderId="0" xfId="5" applyNumberFormat="1" applyFont="1" applyFill="1" applyAlignment="1">
      <alignment horizontal="right" vertical="center"/>
    </xf>
    <xf numFmtId="0" fontId="3" fillId="3" borderId="0" xfId="5" applyNumberFormat="1" applyFont="1" applyFill="1" applyBorder="1" applyAlignment="1">
      <alignment vertical="center"/>
    </xf>
    <xf numFmtId="0" fontId="3" fillId="0" borderId="0" xfId="5" applyNumberFormat="1" applyFont="1" applyFill="1" applyBorder="1" applyAlignment="1">
      <alignment vertical="center"/>
    </xf>
    <xf numFmtId="0" fontId="3" fillId="3" borderId="0" xfId="3" applyFont="1" applyFill="1" applyAlignment="1">
      <alignment horizontal="right" vertical="center"/>
    </xf>
    <xf numFmtId="0" fontId="3" fillId="10" borderId="24" xfId="3" applyFont="1" applyFill="1" applyBorder="1" applyAlignment="1">
      <alignment horizontal="right"/>
    </xf>
    <xf numFmtId="0" fontId="3" fillId="3" borderId="0" xfId="5" applyNumberFormat="1" applyFont="1" applyFill="1" applyAlignment="1">
      <alignment horizontal="right" vertical="center"/>
    </xf>
    <xf numFmtId="182" fontId="3" fillId="0" borderId="158" xfId="2" applyNumberFormat="1" applyFont="1" applyBorder="1" applyAlignment="1">
      <alignment shrinkToFit="1"/>
    </xf>
    <xf numFmtId="182" fontId="3" fillId="0" borderId="159" xfId="2" applyNumberFormat="1" applyFont="1" applyBorder="1" applyAlignment="1">
      <alignment shrinkToFit="1"/>
    </xf>
    <xf numFmtId="187" fontId="9" fillId="0" borderId="67" xfId="6" applyNumberFormat="1" applyFont="1" applyFill="1" applyBorder="1" applyAlignment="1">
      <alignment shrinkToFit="1"/>
    </xf>
    <xf numFmtId="187" fontId="9" fillId="0" borderId="68" xfId="6" applyNumberFormat="1" applyFont="1" applyFill="1" applyBorder="1" applyAlignment="1">
      <alignment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distributed" vertical="center"/>
    </xf>
    <xf numFmtId="49" fontId="8" fillId="0" borderId="0" xfId="0" applyNumberFormat="1" applyFont="1">
      <alignment vertical="center"/>
    </xf>
    <xf numFmtId="187" fontId="9" fillId="0" borderId="148" xfId="2" applyNumberFormat="1" applyFont="1" applyBorder="1" applyAlignment="1">
      <alignment shrinkToFit="1"/>
    </xf>
    <xf numFmtId="187" fontId="9" fillId="0" borderId="149" xfId="2" applyNumberFormat="1" applyFont="1" applyBorder="1" applyAlignment="1">
      <alignment shrinkToFit="1"/>
    </xf>
    <xf numFmtId="187" fontId="9" fillId="0" borderId="150" xfId="2" applyNumberFormat="1" applyFont="1" applyBorder="1" applyAlignment="1">
      <alignment shrinkToFit="1"/>
    </xf>
    <xf numFmtId="187" fontId="29" fillId="0" borderId="151" xfId="2" applyNumberFormat="1" applyFont="1" applyBorder="1" applyAlignment="1">
      <alignment shrinkToFit="1"/>
    </xf>
    <xf numFmtId="187" fontId="29" fillId="0" borderId="152" xfId="2" applyNumberFormat="1" applyFont="1" applyBorder="1" applyAlignment="1">
      <alignment shrinkToFit="1"/>
    </xf>
    <xf numFmtId="187" fontId="29" fillId="0" borderId="153" xfId="2" applyNumberFormat="1" applyFont="1" applyBorder="1" applyAlignment="1">
      <alignment shrinkToFit="1"/>
    </xf>
    <xf numFmtId="182" fontId="3" fillId="5" borderId="154" xfId="5" applyNumberFormat="1" applyFont="1" applyFill="1" applyBorder="1" applyAlignment="1">
      <alignment shrinkToFit="1"/>
    </xf>
    <xf numFmtId="182" fontId="3" fillId="5" borderId="155" xfId="5" applyNumberFormat="1" applyFont="1" applyFill="1" applyBorder="1" applyAlignment="1">
      <alignment shrinkToFit="1"/>
    </xf>
    <xf numFmtId="182" fontId="3" fillId="5" borderId="156" xfId="5" applyNumberFormat="1" applyFont="1" applyFill="1" applyBorder="1" applyAlignment="1">
      <alignment shrinkToFit="1"/>
    </xf>
    <xf numFmtId="0" fontId="19" fillId="0" borderId="0" xfId="3" applyFont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0" fontId="12" fillId="3" borderId="0" xfId="3" applyFont="1" applyFill="1" applyAlignment="1">
      <alignment horizont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82" fontId="9" fillId="3" borderId="157" xfId="2" applyNumberFormat="1" applyFont="1" applyFill="1" applyBorder="1" applyAlignment="1">
      <alignment shrinkToFit="1"/>
    </xf>
    <xf numFmtId="49" fontId="3" fillId="0" borderId="2" xfId="1" applyNumberFormat="1" applyFont="1" applyBorder="1" applyAlignment="1">
      <alignment horizontal="center" vertical="center"/>
    </xf>
    <xf numFmtId="188" fontId="3" fillId="0" borderId="27" xfId="1" applyNumberFormat="1" applyFont="1" applyBorder="1" applyAlignment="1">
      <alignment horizontal="center" vertical="center"/>
    </xf>
    <xf numFmtId="188" fontId="0" fillId="0" borderId="27" xfId="0" applyNumberFormat="1" applyBorder="1" applyAlignment="1">
      <alignment horizontal="center" vertical="center"/>
    </xf>
    <xf numFmtId="49" fontId="19" fillId="0" borderId="0" xfId="1" applyNumberFormat="1" applyFont="1" applyAlignment="1">
      <alignment horizontal="distributed" vertical="center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8" xfId="1" quotePrefix="1" applyNumberFormat="1" applyFont="1" applyBorder="1" applyAlignment="1">
      <alignment horizontal="center" vertical="center"/>
    </xf>
    <xf numFmtId="49" fontId="3" fillId="0" borderId="10" xfId="1" quotePrefix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3" fillId="0" borderId="12" xfId="1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distributed" vertical="center"/>
    </xf>
    <xf numFmtId="49" fontId="9" fillId="0" borderId="5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distributed" vertical="center"/>
    </xf>
    <xf numFmtId="182" fontId="8" fillId="0" borderId="5" xfId="1" applyNumberFormat="1" applyFont="1" applyBorder="1" applyAlignment="1">
      <alignment horizontal="right" vertical="center"/>
    </xf>
    <xf numFmtId="182" fontId="1" fillId="0" borderId="5" xfId="0" applyNumberFormat="1" applyFont="1" applyBorder="1" applyAlignment="1">
      <alignment horizontal="right" vertical="center"/>
    </xf>
    <xf numFmtId="185" fontId="8" fillId="0" borderId="5" xfId="0" applyNumberFormat="1" applyFont="1" applyBorder="1" applyAlignment="1">
      <alignment horizontal="right" vertical="center" shrinkToFit="1"/>
    </xf>
    <xf numFmtId="0" fontId="0" fillId="0" borderId="5" xfId="0" applyBorder="1" applyAlignment="1">
      <alignment horizontal="distributed" vertical="center"/>
    </xf>
    <xf numFmtId="182" fontId="3" fillId="0" borderId="5" xfId="1" applyNumberFormat="1" applyFon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49" fontId="3" fillId="0" borderId="11" xfId="10" applyNumberFormat="1" applyFont="1" applyBorder="1" applyAlignment="1">
      <alignment horizontal="center" vertical="center"/>
    </xf>
    <xf numFmtId="188" fontId="3" fillId="0" borderId="11" xfId="10" applyNumberFormat="1" applyFont="1" applyBorder="1" applyAlignment="1">
      <alignment horizontal="left" vertical="center"/>
    </xf>
    <xf numFmtId="188" fontId="3" fillId="0" borderId="35" xfId="10" applyNumberFormat="1" applyFont="1" applyBorder="1" applyAlignment="1">
      <alignment horizontal="left"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26" xfId="1" applyNumberFormat="1" applyFont="1" applyBorder="1" applyAlignment="1">
      <alignment horizontal="left" vertical="center" indent="1"/>
    </xf>
    <xf numFmtId="49" fontId="3" fillId="0" borderId="27" xfId="1" applyNumberFormat="1" applyFont="1" applyBorder="1" applyAlignment="1">
      <alignment horizontal="left" vertical="center" indent="1"/>
    </xf>
    <xf numFmtId="49" fontId="3" fillId="0" borderId="28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left" vertical="center" indent="1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33" xfId="1" applyNumberFormat="1" applyFont="1" applyBorder="1" applyAlignment="1">
      <alignment horizontal="left" vertical="center" indent="1"/>
    </xf>
    <xf numFmtId="49" fontId="3" fillId="0" borderId="14" xfId="1" applyNumberFormat="1" applyFont="1" applyBorder="1" applyAlignment="1">
      <alignment horizontal="center" vertical="center"/>
    </xf>
    <xf numFmtId="188" fontId="3" fillId="0" borderId="13" xfId="10" applyNumberFormat="1" applyFont="1" applyBorder="1" applyAlignment="1">
      <alignment horizontal="left" vertical="center" indent="1"/>
    </xf>
    <xf numFmtId="188" fontId="3" fillId="0" borderId="11" xfId="10" applyNumberFormat="1" applyFont="1" applyBorder="1" applyAlignment="1">
      <alignment horizontal="left" vertical="center" indent="1"/>
    </xf>
    <xf numFmtId="188" fontId="3" fillId="0" borderId="14" xfId="10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2" borderId="36" xfId="1" applyNumberFormat="1" applyFont="1" applyFill="1" applyBorder="1" applyAlignment="1">
      <alignment horizontal="left" vertical="top" indent="1"/>
    </xf>
    <xf numFmtId="49" fontId="3" fillId="2" borderId="37" xfId="1" applyNumberFormat="1" applyFont="1" applyFill="1" applyBorder="1" applyAlignment="1">
      <alignment horizontal="left" vertical="top" indent="1"/>
    </xf>
    <xf numFmtId="49" fontId="3" fillId="2" borderId="38" xfId="1" applyNumberFormat="1" applyFont="1" applyFill="1" applyBorder="1" applyAlignment="1">
      <alignment horizontal="left" vertical="top" indent="1"/>
    </xf>
    <xf numFmtId="49" fontId="3" fillId="2" borderId="23" xfId="1" applyNumberFormat="1" applyFont="1" applyFill="1" applyBorder="1" applyAlignment="1">
      <alignment horizontal="left" vertical="top" indent="1"/>
    </xf>
    <xf numFmtId="49" fontId="3" fillId="2" borderId="24" xfId="1" applyNumberFormat="1" applyFont="1" applyFill="1" applyBorder="1" applyAlignment="1">
      <alignment horizontal="left" vertical="top" indent="1"/>
    </xf>
    <xf numFmtId="49" fontId="3" fillId="2" borderId="25" xfId="1" applyNumberFormat="1" applyFont="1" applyFill="1" applyBorder="1" applyAlignment="1">
      <alignment horizontal="left" vertical="top" indent="1"/>
    </xf>
    <xf numFmtId="182" fontId="9" fillId="0" borderId="13" xfId="4" applyNumberFormat="1" applyFont="1" applyFill="1" applyBorder="1" applyAlignment="1">
      <alignment horizontal="center" vertical="center"/>
    </xf>
    <xf numFmtId="182" fontId="9" fillId="0" borderId="11" xfId="4" applyNumberFormat="1" applyFont="1" applyFill="1" applyBorder="1" applyAlignment="1">
      <alignment horizontal="center" vertical="center"/>
    </xf>
    <xf numFmtId="182" fontId="9" fillId="0" borderId="180" xfId="4" applyNumberFormat="1" applyFont="1" applyFill="1" applyBorder="1" applyAlignment="1">
      <alignment horizontal="center" vertical="center"/>
    </xf>
    <xf numFmtId="0" fontId="9" fillId="3" borderId="36" xfId="2" applyFont="1" applyFill="1" applyBorder="1" applyAlignment="1">
      <alignment horizontal="center" vertical="center" shrinkToFit="1"/>
    </xf>
    <xf numFmtId="0" fontId="9" fillId="3" borderId="23" xfId="2" applyFont="1" applyFill="1" applyBorder="1" applyAlignment="1">
      <alignment horizontal="center" vertical="center" shrinkToFit="1"/>
    </xf>
    <xf numFmtId="0" fontId="3" fillId="3" borderId="55" xfId="2" applyFont="1" applyFill="1" applyBorder="1" applyAlignment="1">
      <alignment horizontal="left" vertical="center" shrinkToFit="1"/>
    </xf>
    <xf numFmtId="0" fontId="3" fillId="3" borderId="168" xfId="2" applyFont="1" applyFill="1" applyBorder="1" applyAlignment="1">
      <alignment horizontal="left" vertical="center" shrinkToFit="1"/>
    </xf>
    <xf numFmtId="0" fontId="9" fillId="4" borderId="28" xfId="2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188" fontId="9" fillId="3" borderId="13" xfId="2" applyNumberFormat="1" applyFont="1" applyFill="1" applyBorder="1" applyAlignment="1">
      <alignment horizontal="center" vertical="center" shrinkToFit="1"/>
    </xf>
    <xf numFmtId="188" fontId="14" fillId="0" borderId="11" xfId="3" applyNumberFormat="1" applyBorder="1" applyAlignment="1">
      <alignment shrinkToFit="1"/>
    </xf>
    <xf numFmtId="188" fontId="9" fillId="3" borderId="5" xfId="2" applyNumberFormat="1" applyFont="1" applyFill="1" applyBorder="1" applyAlignment="1">
      <alignment horizontal="center" vertical="center" shrinkToFit="1"/>
    </xf>
    <xf numFmtId="0" fontId="9" fillId="4" borderId="13" xfId="2" applyFont="1" applyFill="1" applyBorder="1" applyAlignment="1">
      <alignment horizontal="center" vertical="center"/>
    </xf>
    <xf numFmtId="0" fontId="14" fillId="4" borderId="11" xfId="3" applyFill="1" applyBorder="1" applyAlignment="1">
      <alignment horizontal="center" vertical="center"/>
    </xf>
    <xf numFmtId="0" fontId="14" fillId="4" borderId="14" xfId="3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4" fillId="4" borderId="147" xfId="3" applyFill="1" applyBorder="1" applyAlignment="1">
      <alignment horizontal="center" vertical="center"/>
    </xf>
    <xf numFmtId="0" fontId="14" fillId="4" borderId="30" xfId="3" applyFill="1" applyBorder="1" applyAlignment="1">
      <alignment horizontal="center" vertical="center"/>
    </xf>
    <xf numFmtId="0" fontId="14" fillId="4" borderId="31" xfId="3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/>
    </xf>
    <xf numFmtId="0" fontId="14" fillId="4" borderId="73" xfId="3" applyFill="1" applyBorder="1" applyAlignment="1">
      <alignment horizontal="center" vertical="center"/>
    </xf>
    <xf numFmtId="0" fontId="14" fillId="4" borderId="23" xfId="3" applyFill="1" applyBorder="1" applyAlignment="1">
      <alignment horizontal="center" vertical="center"/>
    </xf>
    <xf numFmtId="0" fontId="14" fillId="4" borderId="74" xfId="3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/>
    </xf>
    <xf numFmtId="0" fontId="9" fillId="3" borderId="40" xfId="2" applyFont="1" applyFill="1" applyBorder="1" applyAlignment="1">
      <alignment horizontal="center"/>
    </xf>
    <xf numFmtId="0" fontId="3" fillId="3" borderId="163" xfId="2" applyFont="1" applyFill="1" applyBorder="1" applyAlignment="1">
      <alignment horizontal="left" vertical="center" shrinkToFit="1"/>
    </xf>
    <xf numFmtId="0" fontId="3" fillId="3" borderId="164" xfId="2" applyFont="1" applyFill="1" applyBorder="1" applyAlignment="1">
      <alignment horizontal="left" vertical="center" shrinkToFit="1"/>
    </xf>
    <xf numFmtId="49" fontId="9" fillId="0" borderId="28" xfId="2" applyNumberFormat="1" applyFont="1" applyBorder="1" applyAlignment="1">
      <alignment horizontal="center" vertical="center"/>
    </xf>
    <xf numFmtId="49" fontId="9" fillId="0" borderId="27" xfId="2" applyNumberFormat="1" applyFont="1" applyBorder="1" applyAlignment="1">
      <alignment horizontal="center" vertical="center"/>
    </xf>
    <xf numFmtId="49" fontId="9" fillId="0" borderId="40" xfId="2" applyNumberFormat="1" applyFont="1" applyBorder="1" applyAlignment="1">
      <alignment horizontal="center" vertical="center"/>
    </xf>
    <xf numFmtId="0" fontId="3" fillId="3" borderId="172" xfId="2" applyFont="1" applyFill="1" applyBorder="1" applyAlignment="1">
      <alignment horizontal="left" vertical="center" shrinkToFit="1"/>
    </xf>
    <xf numFmtId="0" fontId="3" fillId="3" borderId="173" xfId="2" applyFont="1" applyFill="1" applyBorder="1" applyAlignment="1">
      <alignment horizontal="left" vertical="center" shrinkToFit="1"/>
    </xf>
    <xf numFmtId="0" fontId="3" fillId="0" borderId="24" xfId="3" applyFont="1" applyBorder="1" applyAlignment="1">
      <alignment horizontal="right"/>
    </xf>
    <xf numFmtId="49" fontId="15" fillId="0" borderId="36" xfId="3" applyNumberFormat="1" applyFont="1" applyBorder="1" applyAlignment="1">
      <alignment horizontal="left" vertical="top" wrapText="1" indent="1"/>
    </xf>
    <xf numFmtId="0" fontId="16" fillId="3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3" borderId="24" xfId="3" applyFont="1" applyFill="1" applyBorder="1" applyAlignment="1">
      <alignment horizontal="right"/>
    </xf>
    <xf numFmtId="49" fontId="15" fillId="0" borderId="28" xfId="3" applyNumberFormat="1" applyFont="1" applyBorder="1" applyAlignment="1">
      <alignment horizontal="left" vertical="center" shrinkToFit="1"/>
    </xf>
    <xf numFmtId="49" fontId="15" fillId="0" borderId="27" xfId="3" applyNumberFormat="1" applyFont="1" applyBorder="1" applyAlignment="1">
      <alignment horizontal="left" vertical="center" shrinkToFit="1"/>
    </xf>
    <xf numFmtId="49" fontId="15" fillId="0" borderId="29" xfId="3" applyNumberFormat="1" applyFont="1" applyBorder="1" applyAlignment="1">
      <alignment horizontal="left" vertical="center" shrinkToFit="1"/>
    </xf>
    <xf numFmtId="49" fontId="15" fillId="0" borderId="13" xfId="3" applyNumberFormat="1" applyFont="1" applyBorder="1" applyAlignment="1">
      <alignment horizontal="left" vertical="center" shrinkToFit="1"/>
    </xf>
    <xf numFmtId="49" fontId="3" fillId="0" borderId="11" xfId="3" applyNumberFormat="1" applyFont="1" applyBorder="1" applyAlignment="1">
      <alignment horizontal="left" vertical="center" shrinkToFit="1"/>
    </xf>
    <xf numFmtId="49" fontId="35" fillId="0" borderId="13" xfId="3" applyNumberFormat="1" applyFont="1" applyBorder="1" applyAlignment="1">
      <alignment horizontal="left" vertical="center" shrinkToFit="1"/>
    </xf>
    <xf numFmtId="49" fontId="8" fillId="0" borderId="14" xfId="3" applyNumberFormat="1" applyFont="1" applyBorder="1" applyAlignment="1">
      <alignment horizontal="left" vertical="center" shrinkToFit="1"/>
    </xf>
    <xf numFmtId="49" fontId="15" fillId="0" borderId="11" xfId="3" applyNumberFormat="1" applyFont="1" applyBorder="1" applyAlignment="1">
      <alignment horizontal="left" vertical="center" shrinkToFit="1"/>
    </xf>
    <xf numFmtId="49" fontId="15" fillId="0" borderId="14" xfId="3" applyNumberFormat="1" applyFont="1" applyBorder="1" applyAlignment="1">
      <alignment horizontal="left" vertical="center" shrinkToFit="1"/>
    </xf>
    <xf numFmtId="49" fontId="15" fillId="0" borderId="35" xfId="3" applyNumberFormat="1" applyFont="1" applyBorder="1" applyAlignment="1">
      <alignment horizontal="left" vertical="center" shrinkToFit="1"/>
    </xf>
    <xf numFmtId="0" fontId="3" fillId="6" borderId="104" xfId="3" applyFont="1" applyFill="1" applyBorder="1" applyAlignment="1">
      <alignment horizontal="center" vertical="center"/>
    </xf>
    <xf numFmtId="0" fontId="3" fillId="6" borderId="144" xfId="3" applyFont="1" applyFill="1" applyBorder="1" applyAlignment="1">
      <alignment horizontal="center" vertical="center"/>
    </xf>
    <xf numFmtId="0" fontId="3" fillId="6" borderId="128" xfId="3" applyFont="1" applyFill="1" applyBorder="1" applyAlignment="1">
      <alignment horizontal="center" vertical="center"/>
    </xf>
    <xf numFmtId="49" fontId="15" fillId="3" borderId="105" xfId="3" applyNumberFormat="1" applyFont="1" applyFill="1" applyBorder="1" applyAlignment="1">
      <alignment horizontal="left" vertical="top" wrapText="1"/>
    </xf>
    <xf numFmtId="49" fontId="15" fillId="3" borderId="73" xfId="3" applyNumberFormat="1" applyFont="1" applyFill="1" applyBorder="1" applyAlignment="1">
      <alignment horizontal="left" vertical="top" wrapText="1"/>
    </xf>
    <xf numFmtId="49" fontId="15" fillId="3" borderId="145" xfId="3" applyNumberFormat="1" applyFont="1" applyFill="1" applyBorder="1" applyAlignment="1">
      <alignment horizontal="left" vertical="top" wrapText="1"/>
    </xf>
    <xf numFmtId="49" fontId="15" fillId="3" borderId="146" xfId="3" applyNumberFormat="1" applyFont="1" applyFill="1" applyBorder="1" applyAlignment="1">
      <alignment horizontal="left" vertical="top" wrapText="1"/>
    </xf>
    <xf numFmtId="49" fontId="15" fillId="3" borderId="70" xfId="3" applyNumberFormat="1" applyFont="1" applyFill="1" applyBorder="1" applyAlignment="1">
      <alignment horizontal="left" vertical="top" wrapText="1"/>
    </xf>
    <xf numFmtId="49" fontId="15" fillId="3" borderId="74" xfId="3" applyNumberFormat="1" applyFont="1" applyFill="1" applyBorder="1" applyAlignment="1">
      <alignment horizontal="left" vertical="top" wrapText="1"/>
    </xf>
    <xf numFmtId="49" fontId="3" fillId="0" borderId="14" xfId="3" applyNumberFormat="1" applyFont="1" applyBorder="1" applyAlignment="1">
      <alignment horizontal="left" vertical="center" shrinkToFit="1"/>
    </xf>
    <xf numFmtId="49" fontId="15" fillId="0" borderId="107" xfId="3" applyNumberFormat="1" applyFont="1" applyBorder="1" applyAlignment="1">
      <alignment horizontal="left" vertical="top" wrapText="1"/>
    </xf>
    <xf numFmtId="49" fontId="15" fillId="0" borderId="115" xfId="3" applyNumberFormat="1" applyFont="1" applyBorder="1" applyAlignment="1">
      <alignment horizontal="left" vertical="top" wrapText="1"/>
    </xf>
    <xf numFmtId="49" fontId="15" fillId="0" borderId="143" xfId="3" applyNumberFormat="1" applyFont="1" applyBorder="1" applyAlignment="1">
      <alignment horizontal="left" vertical="top" wrapText="1"/>
    </xf>
    <xf numFmtId="49" fontId="15" fillId="3" borderId="13" xfId="3" applyNumberFormat="1" applyFont="1" applyFill="1" applyBorder="1" applyAlignment="1">
      <alignment horizontal="left" vertical="center" shrinkToFit="1"/>
    </xf>
    <xf numFmtId="49" fontId="15" fillId="3" borderId="14" xfId="3" applyNumberFormat="1" applyFont="1" applyFill="1" applyBorder="1" applyAlignment="1">
      <alignment horizontal="left" vertical="center" shrinkToFit="1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183" fontId="15" fillId="3" borderId="106" xfId="5" applyNumberFormat="1" applyFont="1" applyFill="1" applyBorder="1" applyAlignment="1">
      <alignment vertical="center" shrinkToFit="1"/>
    </xf>
    <xf numFmtId="183" fontId="15" fillId="3" borderId="109" xfId="5" applyNumberFormat="1" applyFont="1" applyFill="1" applyBorder="1" applyAlignment="1">
      <alignment vertical="center" shrinkToFit="1"/>
    </xf>
    <xf numFmtId="184" fontId="15" fillId="3" borderId="106" xfId="3" applyNumberFormat="1" applyFont="1" applyFill="1" applyBorder="1" applyAlignment="1">
      <alignment horizontal="right" vertical="center" shrinkToFit="1"/>
    </xf>
    <xf numFmtId="184" fontId="15" fillId="3" borderId="109" xfId="3" applyNumberFormat="1" applyFont="1" applyFill="1" applyBorder="1" applyAlignment="1">
      <alignment horizontal="right" vertical="center" shrinkToFit="1"/>
    </xf>
    <xf numFmtId="182" fontId="15" fillId="3" borderId="106" xfId="3" applyNumberFormat="1" applyFont="1" applyFill="1" applyBorder="1" applyAlignment="1">
      <alignment horizontal="right" vertical="center" shrinkToFit="1"/>
    </xf>
    <xf numFmtId="182" fontId="15" fillId="3" borderId="109" xfId="3" applyNumberFormat="1" applyFont="1" applyFill="1" applyBorder="1" applyAlignment="1">
      <alignment horizontal="right" vertical="center" shrinkToFit="1"/>
    </xf>
    <xf numFmtId="185" fontId="15" fillId="3" borderId="106" xfId="3" applyNumberFormat="1" applyFont="1" applyFill="1" applyBorder="1" applyAlignment="1">
      <alignment horizontal="right" vertical="center"/>
    </xf>
    <xf numFmtId="185" fontId="15" fillId="3" borderId="109" xfId="3" applyNumberFormat="1" applyFont="1" applyFill="1" applyBorder="1" applyAlignment="1">
      <alignment horizontal="right" vertical="center"/>
    </xf>
    <xf numFmtId="49" fontId="15" fillId="3" borderId="119" xfId="3" applyNumberFormat="1" applyFont="1" applyFill="1" applyBorder="1" applyAlignment="1">
      <alignment horizontal="center" vertical="center"/>
    </xf>
    <xf numFmtId="183" fontId="15" fillId="3" borderId="119" xfId="5" applyNumberFormat="1" applyFont="1" applyFill="1" applyBorder="1" applyAlignment="1">
      <alignment vertical="center" shrinkToFit="1"/>
    </xf>
    <xf numFmtId="184" fontId="15" fillId="3" borderId="119" xfId="3" applyNumberFormat="1" applyFont="1" applyFill="1" applyBorder="1" applyAlignment="1">
      <alignment horizontal="right" vertical="center" shrinkToFit="1"/>
    </xf>
    <xf numFmtId="182" fontId="15" fillId="3" borderId="119" xfId="3" applyNumberFormat="1" applyFont="1" applyFill="1" applyBorder="1" applyAlignment="1">
      <alignment horizontal="right" vertical="center" shrinkToFit="1"/>
    </xf>
    <xf numFmtId="185" fontId="15" fillId="3" borderId="119" xfId="3" applyNumberFormat="1" applyFont="1" applyFill="1" applyBorder="1" applyAlignment="1">
      <alignment horizontal="right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24" fillId="3" borderId="24" xfId="3" applyNumberFormat="1" applyFont="1" applyFill="1" applyBorder="1" applyAlignment="1">
      <alignment horizontal="center" vertical="center"/>
    </xf>
    <xf numFmtId="0" fontId="17" fillId="6" borderId="26" xfId="3" applyFont="1" applyFill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/>
    </xf>
    <xf numFmtId="180" fontId="3" fillId="12" borderId="28" xfId="9" applyNumberFormat="1" applyFont="1" applyFill="1" applyBorder="1" applyAlignment="1">
      <alignment horizontal="center" vertical="center"/>
    </xf>
    <xf numFmtId="180" fontId="3" fillId="12" borderId="27" xfId="9" applyNumberFormat="1" applyFont="1" applyFill="1" applyBorder="1" applyAlignment="1">
      <alignment horizontal="center" vertical="center"/>
    </xf>
    <xf numFmtId="180" fontId="3" fillId="12" borderId="40" xfId="9" applyNumberFormat="1" applyFont="1" applyFill="1" applyBorder="1" applyAlignment="1">
      <alignment horizontal="center" vertical="center"/>
    </xf>
    <xf numFmtId="0" fontId="3" fillId="12" borderId="130" xfId="9" applyFont="1" applyFill="1" applyBorder="1" applyAlignment="1">
      <alignment horizontal="center" vertical="center" shrinkToFit="1"/>
    </xf>
    <xf numFmtId="0" fontId="3" fillId="12" borderId="12" xfId="9" applyFont="1" applyFill="1" applyBorder="1" applyAlignment="1">
      <alignment horizontal="center" vertical="center" shrinkToFit="1"/>
    </xf>
    <xf numFmtId="0" fontId="12" fillId="3" borderId="0" xfId="3" applyFont="1" applyFill="1" applyAlignment="1">
      <alignment horizontal="center"/>
    </xf>
    <xf numFmtId="0" fontId="17" fillId="6" borderId="111" xfId="3" applyFont="1" applyFill="1" applyBorder="1" applyAlignment="1">
      <alignment horizontal="center" vertical="center"/>
    </xf>
    <xf numFmtId="0" fontId="3" fillId="6" borderId="40" xfId="3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9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3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/>
    </xf>
    <xf numFmtId="0" fontId="17" fillId="9" borderId="28" xfId="7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182" fontId="15" fillId="3" borderId="106" xfId="5" applyNumberFormat="1" applyFont="1" applyFill="1" applyBorder="1" applyAlignment="1">
      <alignment horizontal="right" vertical="center" shrinkToFit="1"/>
    </xf>
    <xf numFmtId="182" fontId="3" fillId="0" borderId="119" xfId="3" applyNumberFormat="1" applyFont="1" applyBorder="1" applyAlignment="1">
      <alignment horizontal="right" vertical="center" shrinkToFit="1"/>
    </xf>
    <xf numFmtId="49" fontId="15" fillId="3" borderId="104" xfId="3" quotePrefix="1" applyNumberFormat="1" applyFont="1" applyFill="1" applyBorder="1" applyAlignment="1">
      <alignment horizontal="left" vertical="center" wrapText="1"/>
    </xf>
    <xf numFmtId="49" fontId="3" fillId="0" borderId="128" xfId="3" applyNumberFormat="1" applyFont="1" applyBorder="1" applyAlignment="1">
      <alignment horizontal="left" vertical="center" wrapText="1"/>
    </xf>
    <xf numFmtId="49" fontId="15" fillId="3" borderId="106" xfId="3" applyNumberFormat="1" applyFont="1" applyFill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left" vertical="center" wrapText="1"/>
    </xf>
    <xf numFmtId="49" fontId="15" fillId="3" borderId="106" xfId="3" quotePrefix="1" applyNumberFormat="1" applyFont="1" applyFill="1" applyBorder="1" applyAlignment="1">
      <alignment horizontal="center" vertical="center" shrinkToFit="1"/>
    </xf>
    <xf numFmtId="49" fontId="3" fillId="0" borderId="109" xfId="3" applyNumberFormat="1" applyFont="1" applyBorder="1" applyAlignment="1">
      <alignment horizontal="center" vertical="center" shrinkToFit="1"/>
    </xf>
    <xf numFmtId="183" fontId="15" fillId="3" borderId="106" xfId="3" applyNumberFormat="1" applyFont="1" applyFill="1" applyBorder="1" applyAlignment="1">
      <alignment horizontal="right" vertical="center" shrinkToFit="1"/>
    </xf>
    <xf numFmtId="183" fontId="3" fillId="0" borderId="109" xfId="3" applyNumberFormat="1" applyFont="1" applyBorder="1" applyAlignment="1">
      <alignment horizontal="right" vertical="center" shrinkToFit="1"/>
    </xf>
    <xf numFmtId="184" fontId="3" fillId="0" borderId="109" xfId="3" applyNumberFormat="1" applyFont="1" applyBorder="1" applyAlignment="1">
      <alignment horizontal="right" vertical="center" shrinkToFit="1"/>
    </xf>
    <xf numFmtId="182" fontId="3" fillId="0" borderId="109" xfId="3" applyNumberFormat="1" applyFont="1" applyBorder="1" applyAlignment="1">
      <alignment horizontal="right" vertical="center" shrinkToFit="1"/>
    </xf>
    <xf numFmtId="49" fontId="3" fillId="0" borderId="9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center" vertical="center" shrinkToFit="1"/>
    </xf>
    <xf numFmtId="183" fontId="3" fillId="0" borderId="119" xfId="3" applyNumberFormat="1" applyFont="1" applyBorder="1" applyAlignment="1">
      <alignment horizontal="right" vertical="center" shrinkToFit="1"/>
    </xf>
    <xf numFmtId="184" fontId="3" fillId="0" borderId="119" xfId="3" applyNumberFormat="1" applyFont="1" applyBorder="1" applyAlignment="1">
      <alignment horizontal="right" vertical="center" shrinkToFit="1"/>
    </xf>
    <xf numFmtId="49" fontId="15" fillId="3" borderId="106" xfId="3" applyNumberFormat="1" applyFont="1" applyFill="1" applyBorder="1" applyAlignment="1">
      <alignment horizontal="center" vertical="center" shrinkToFit="1"/>
    </xf>
    <xf numFmtId="49" fontId="15" fillId="3" borderId="119" xfId="3" applyNumberFormat="1" applyFont="1" applyFill="1" applyBorder="1" applyAlignment="1">
      <alignment horizontal="center" vertical="center" shrinkToFit="1"/>
    </xf>
    <xf numFmtId="183" fontId="15" fillId="0" borderId="106" xfId="3" applyNumberFormat="1" applyFont="1" applyBorder="1" applyAlignment="1">
      <alignment horizontal="right" vertical="center" shrinkToFit="1"/>
    </xf>
    <xf numFmtId="183" fontId="15" fillId="0" borderId="119" xfId="3" applyNumberFormat="1" applyFont="1" applyBorder="1" applyAlignment="1">
      <alignment horizontal="right" vertical="center" shrinkToFit="1"/>
    </xf>
    <xf numFmtId="184" fontId="15" fillId="0" borderId="106" xfId="3" applyNumberFormat="1" applyFont="1" applyBorder="1" applyAlignment="1">
      <alignment horizontal="right" vertical="center" shrinkToFit="1"/>
    </xf>
    <xf numFmtId="184" fontId="15" fillId="0" borderId="119" xfId="3" applyNumberFormat="1" applyFont="1" applyBorder="1" applyAlignment="1">
      <alignment horizontal="right" vertical="center" shrinkToFit="1"/>
    </xf>
    <xf numFmtId="182" fontId="15" fillId="0" borderId="106" xfId="3" applyNumberFormat="1" applyFont="1" applyBorder="1" applyAlignment="1">
      <alignment horizontal="right" vertical="center" shrinkToFit="1"/>
    </xf>
    <xf numFmtId="182" fontId="15" fillId="0" borderId="119" xfId="3" applyNumberFormat="1" applyFont="1" applyBorder="1" applyAlignment="1">
      <alignment horizontal="right" vertical="center" shrinkToFit="1"/>
    </xf>
    <xf numFmtId="49" fontId="15" fillId="3" borderId="103" xfId="3" applyNumberFormat="1" applyFont="1" applyFill="1" applyBorder="1" applyAlignment="1">
      <alignment horizontal="center" vertical="center" shrinkToFit="1"/>
    </xf>
    <xf numFmtId="49" fontId="15" fillId="3" borderId="109" xfId="3" applyNumberFormat="1" applyFont="1" applyFill="1" applyBorder="1" applyAlignment="1">
      <alignment horizontal="center" vertical="center" shrinkToFit="1"/>
    </xf>
    <xf numFmtId="183" fontId="15" fillId="0" borderId="103" xfId="3" applyNumberFormat="1" applyFont="1" applyBorder="1" applyAlignment="1">
      <alignment horizontal="right" vertical="center" shrinkToFit="1"/>
    </xf>
    <xf numFmtId="183" fontId="15" fillId="0" borderId="109" xfId="3" applyNumberFormat="1" applyFont="1" applyBorder="1" applyAlignment="1">
      <alignment horizontal="right" vertical="center" shrinkToFit="1"/>
    </xf>
    <xf numFmtId="184" fontId="15" fillId="0" borderId="103" xfId="3" applyNumberFormat="1" applyFont="1" applyBorder="1" applyAlignment="1">
      <alignment horizontal="right" vertical="center" shrinkToFit="1"/>
    </xf>
    <xf numFmtId="184" fontId="15" fillId="0" borderId="109" xfId="3" applyNumberFormat="1" applyFont="1" applyBorder="1" applyAlignment="1">
      <alignment horizontal="right" vertical="center" shrinkToFit="1"/>
    </xf>
    <xf numFmtId="182" fontId="15" fillId="0" borderId="103" xfId="3" applyNumberFormat="1" applyFont="1" applyBorder="1" applyAlignment="1">
      <alignment horizontal="right" vertical="center" shrinkToFit="1"/>
    </xf>
    <xf numFmtId="182" fontId="15" fillId="0" borderId="109" xfId="3" applyNumberFormat="1" applyFont="1" applyBorder="1" applyAlignment="1">
      <alignment horizontal="right" vertical="center" shrinkToFit="1"/>
    </xf>
    <xf numFmtId="183" fontId="15" fillId="0" borderId="106" xfId="5" applyNumberFormat="1" applyFont="1" applyFill="1" applyBorder="1" applyAlignment="1">
      <alignment horizontal="right" vertical="center" shrinkToFit="1"/>
    </xf>
    <xf numFmtId="183" fontId="15" fillId="0" borderId="119" xfId="5" applyNumberFormat="1" applyFont="1" applyFill="1" applyBorder="1" applyAlignment="1">
      <alignment horizontal="right" vertical="center" shrinkToFit="1"/>
    </xf>
    <xf numFmtId="0" fontId="17" fillId="10" borderId="26" xfId="3" applyFont="1" applyFill="1" applyBorder="1" applyAlignment="1">
      <alignment horizontal="center" vertical="center"/>
    </xf>
    <xf numFmtId="0" fontId="17" fillId="10" borderId="27" xfId="3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0" borderId="0" xfId="0" applyFont="1" applyAlignment="1">
      <alignment vertical="center"/>
    </xf>
    <xf numFmtId="49" fontId="3" fillId="0" borderId="37" xfId="3" applyNumberFormat="1" applyFont="1" applyBorder="1" applyAlignment="1"/>
    <xf numFmtId="49" fontId="3" fillId="0" borderId="76" xfId="3" applyNumberFormat="1" applyFont="1" applyBorder="1" applyAlignment="1"/>
    <xf numFmtId="49" fontId="3" fillId="0" borderId="4" xfId="3" applyNumberFormat="1" applyFont="1" applyBorder="1" applyAlignment="1"/>
    <xf numFmtId="49" fontId="3" fillId="0" borderId="0" xfId="3" applyNumberFormat="1" applyFont="1" applyAlignment="1"/>
    <xf numFmtId="49" fontId="3" fillId="0" borderId="79" xfId="3" applyNumberFormat="1" applyFont="1" applyBorder="1" applyAlignment="1"/>
    <xf numFmtId="49" fontId="3" fillId="0" borderId="85" xfId="3" applyNumberFormat="1" applyFont="1" applyBorder="1" applyAlignment="1"/>
    <xf numFmtId="49" fontId="3" fillId="0" borderId="86" xfId="3" applyNumberFormat="1" applyFont="1" applyBorder="1" applyAlignment="1"/>
    <xf numFmtId="49" fontId="3" fillId="0" borderId="87" xfId="3" applyNumberFormat="1" applyFont="1" applyBorder="1" applyAlignment="1"/>
    <xf numFmtId="0" fontId="3" fillId="6" borderId="40" xfId="3" applyFont="1" applyFill="1" applyBorder="1" applyAlignment="1"/>
    <xf numFmtId="0" fontId="14" fillId="0" borderId="99" xfId="3" applyBorder="1" applyAlignment="1"/>
  </cellXfs>
  <cellStyles count="12">
    <cellStyle name="パーセント 2" xfId="6" xr:uid="{00000000-0005-0000-0000-000000000000}"/>
    <cellStyle name="桁区切り 2" xfId="5" xr:uid="{00000000-0005-0000-0000-000001000000}"/>
    <cellStyle name="通貨 2" xfId="4" xr:uid="{00000000-0005-0000-0000-000002000000}"/>
    <cellStyle name="標準" xfId="0" builtinId="0"/>
    <cellStyle name="標準 2" xfId="3" xr:uid="{00000000-0005-0000-0000-000004000000}"/>
    <cellStyle name="標準 4" xfId="11" xr:uid="{00000000-0005-0000-0000-000005000000}"/>
    <cellStyle name="標準 5" xfId="1" xr:uid="{00000000-0005-0000-0000-000006000000}"/>
    <cellStyle name="標準 5 2" xfId="10" xr:uid="{00000000-0005-0000-0000-000007000000}"/>
    <cellStyle name="標準_実行予算書様式提案_要素変更済2" xfId="8" xr:uid="{00000000-0005-0000-0000-000008000000}"/>
    <cellStyle name="標準_神田上水JV予算書_1(051202)" xfId="2" xr:uid="{00000000-0005-0000-0000-000009000000}"/>
    <cellStyle name="標準_人形町EV CMS" xfId="9" xr:uid="{00000000-0005-0000-0000-00000A000000}"/>
    <cellStyle name="標準_直接工事内訳書" xfId="7" xr:uid="{00000000-0005-0000-0000-00000B000000}"/>
  </cellStyles>
  <dxfs count="6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</dxfs>
  <tableStyles count="0" defaultTableStyle="TableStyleMedium2" defaultPivotStyle="PivotStyleLight16"/>
  <colors>
    <mruColors>
      <color rgb="FFFFCC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123825</xdr:rowOff>
        </xdr:from>
        <xdr:to>
          <xdr:col>1</xdr:col>
          <xdr:colOff>1152525</xdr:colOff>
          <xdr:row>25</xdr:row>
          <xdr:rowOff>9525</xdr:rowOff>
        </xdr:to>
        <xdr:sp macro="" textlink="">
          <xdr:nvSpPr>
            <xdr:cNvPr id="48129" name="btn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1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25</xdr:row>
          <xdr:rowOff>47625</xdr:rowOff>
        </xdr:from>
        <xdr:to>
          <xdr:col>1</xdr:col>
          <xdr:colOff>1152525</xdr:colOff>
          <xdr:row>26</xdr:row>
          <xdr:rowOff>95250</xdr:rowOff>
        </xdr:to>
        <xdr:sp macro="" textlink="">
          <xdr:nvSpPr>
            <xdr:cNvPr id="48130" name="btn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1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26</xdr:row>
          <xdr:rowOff>142875</xdr:rowOff>
        </xdr:from>
        <xdr:to>
          <xdr:col>1</xdr:col>
          <xdr:colOff>1152525</xdr:colOff>
          <xdr:row>27</xdr:row>
          <xdr:rowOff>180975</xdr:rowOff>
        </xdr:to>
        <xdr:sp macro="" textlink="">
          <xdr:nvSpPr>
            <xdr:cNvPr id="48131" name="btn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1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P32"/>
  <sheetViews>
    <sheetView topLeftCell="A6" zoomScaleNormal="100" workbookViewId="0">
      <selection activeCell="H24" sqref="H24"/>
    </sheetView>
  </sheetViews>
  <sheetFormatPr defaultColWidth="8.125" defaultRowHeight="13.5"/>
  <cols>
    <col min="1" max="4" width="3.125" style="1" customWidth="1"/>
    <col min="5" max="8" width="4" style="1" customWidth="1"/>
    <col min="9" max="38" width="3.125" style="1" customWidth="1"/>
    <col min="39" max="39" width="1.625" style="1" customWidth="1"/>
    <col min="40" max="40" width="4.125" style="1" customWidth="1"/>
    <col min="41" max="42" width="3.125" style="1" customWidth="1"/>
    <col min="43" max="48" width="6" style="1" customWidth="1"/>
    <col min="49" max="16384" width="8.125" style="1"/>
  </cols>
  <sheetData>
    <row r="1" spans="1:42" ht="18.75">
      <c r="A1" s="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387" t="s">
        <v>0</v>
      </c>
      <c r="AD1" s="582"/>
      <c r="AE1" s="582"/>
      <c r="AF1" s="582"/>
      <c r="AG1" s="388">
        <v>45689</v>
      </c>
      <c r="AH1" s="389"/>
      <c r="AI1" s="389"/>
      <c r="AJ1" s="389"/>
      <c r="AK1" s="389"/>
      <c r="AL1" s="389"/>
      <c r="AM1" s="3"/>
      <c r="AP1" s="4"/>
    </row>
    <row r="2" spans="1:42" ht="22.5" customHeight="1" thickBot="1">
      <c r="A2" s="5"/>
      <c r="B2" s="251"/>
      <c r="L2" s="251"/>
      <c r="M2" s="390" t="s">
        <v>1</v>
      </c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6"/>
      <c r="AP2" s="4"/>
    </row>
    <row r="3" spans="1:42" ht="18" thickBot="1">
      <c r="A3" s="5"/>
      <c r="B3" s="251"/>
      <c r="C3" s="391" t="s">
        <v>2</v>
      </c>
      <c r="D3" s="392"/>
      <c r="E3" s="392"/>
      <c r="F3" s="392"/>
      <c r="G3" s="393" t="s">
        <v>3</v>
      </c>
      <c r="H3" s="394"/>
      <c r="I3" s="394"/>
      <c r="J3" s="394"/>
      <c r="K3" s="395"/>
      <c r="L3" s="251"/>
      <c r="M3" s="251"/>
      <c r="N3" s="251"/>
      <c r="O3" s="396" t="s">
        <v>4</v>
      </c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251"/>
      <c r="AB3" s="251"/>
      <c r="AC3" s="251"/>
      <c r="AD3" s="172" t="s">
        <v>5</v>
      </c>
      <c r="AE3" s="233"/>
      <c r="AF3" s="233"/>
      <c r="AG3" s="233"/>
      <c r="AH3" s="236" t="s">
        <v>6</v>
      </c>
      <c r="AI3" s="233"/>
      <c r="AJ3" s="233"/>
      <c r="AK3" s="233"/>
      <c r="AL3" s="233"/>
      <c r="AM3" s="6"/>
    </row>
    <row r="4" spans="1:42" ht="17.25">
      <c r="A4" s="5"/>
      <c r="B4" s="251"/>
      <c r="C4" s="251"/>
      <c r="D4" s="251"/>
      <c r="E4" s="251"/>
      <c r="F4" s="251"/>
      <c r="G4" s="252"/>
      <c r="H4" s="252"/>
      <c r="I4" s="252"/>
      <c r="J4" s="252"/>
      <c r="K4" s="252"/>
      <c r="L4" s="251"/>
      <c r="M4" s="251"/>
      <c r="N4" s="251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1"/>
      <c r="AB4" s="251"/>
      <c r="AC4" s="251"/>
      <c r="AD4" s="7" t="s">
        <v>7</v>
      </c>
      <c r="AE4" s="231"/>
      <c r="AF4" s="231"/>
      <c r="AG4" s="231"/>
      <c r="AH4" s="7"/>
      <c r="AI4" s="231"/>
      <c r="AJ4" s="231"/>
      <c r="AK4" s="231"/>
      <c r="AL4" s="231"/>
      <c r="AM4" s="6"/>
    </row>
    <row r="5" spans="1:42" ht="8.25" customHeight="1">
      <c r="A5" s="5"/>
      <c r="B5" s="251"/>
      <c r="C5" s="251"/>
      <c r="D5" s="251"/>
      <c r="E5" s="251"/>
      <c r="F5" s="251"/>
      <c r="G5" s="252"/>
      <c r="H5" s="252"/>
      <c r="I5" s="252"/>
      <c r="J5" s="252"/>
      <c r="K5" s="252"/>
      <c r="L5" s="251"/>
      <c r="M5" s="251"/>
      <c r="N5" s="251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6"/>
    </row>
    <row r="6" spans="1:42" ht="18.75">
      <c r="A6" s="5"/>
      <c r="B6" s="251"/>
      <c r="C6" s="251"/>
      <c r="D6" s="251"/>
      <c r="E6" s="251"/>
      <c r="F6" s="251"/>
      <c r="G6" s="397" t="s">
        <v>8</v>
      </c>
      <c r="H6" s="398"/>
      <c r="I6" s="398"/>
      <c r="J6" s="398"/>
      <c r="K6" s="398"/>
      <c r="L6" s="398"/>
      <c r="M6" s="398"/>
      <c r="N6" s="398"/>
      <c r="O6" s="398"/>
      <c r="P6" s="398"/>
      <c r="Q6" s="399" t="s">
        <v>9</v>
      </c>
      <c r="R6" s="400"/>
      <c r="S6" s="400"/>
      <c r="T6" s="400"/>
      <c r="U6" s="400"/>
      <c r="V6" s="400"/>
      <c r="W6" s="400"/>
      <c r="X6" s="400"/>
      <c r="Y6" s="400"/>
      <c r="Z6" s="400"/>
      <c r="AA6" s="399" t="s">
        <v>10</v>
      </c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251"/>
      <c r="AM6" s="6"/>
    </row>
    <row r="7" spans="1:42">
      <c r="A7" s="5"/>
      <c r="B7" s="251"/>
      <c r="C7" s="251"/>
      <c r="D7" s="251"/>
      <c r="E7" s="251"/>
      <c r="F7" s="251"/>
      <c r="G7" s="397" t="s">
        <v>11</v>
      </c>
      <c r="H7" s="401"/>
      <c r="I7" s="401"/>
      <c r="J7" s="397" t="s">
        <v>12</v>
      </c>
      <c r="K7" s="401"/>
      <c r="L7" s="401"/>
      <c r="M7" s="401"/>
      <c r="N7" s="401"/>
      <c r="O7" s="401"/>
      <c r="P7" s="401"/>
      <c r="Q7" s="402" t="s">
        <v>13</v>
      </c>
      <c r="R7" s="402"/>
      <c r="S7" s="402"/>
      <c r="T7" s="399" t="s">
        <v>14</v>
      </c>
      <c r="U7" s="401"/>
      <c r="V7" s="401"/>
      <c r="W7" s="401"/>
      <c r="X7" s="401"/>
      <c r="Y7" s="401"/>
      <c r="Z7" s="401"/>
      <c r="AA7" s="399" t="s">
        <v>15</v>
      </c>
      <c r="AB7" s="401"/>
      <c r="AC7" s="401"/>
      <c r="AD7" s="399" t="s">
        <v>16</v>
      </c>
      <c r="AE7" s="401"/>
      <c r="AF7" s="401"/>
      <c r="AG7" s="401"/>
      <c r="AH7" s="401"/>
      <c r="AI7" s="399" t="s">
        <v>17</v>
      </c>
      <c r="AJ7" s="401"/>
      <c r="AK7" s="401"/>
      <c r="AL7" s="348"/>
      <c r="AM7" s="6"/>
    </row>
    <row r="8" spans="1:42" ht="29.25" customHeight="1">
      <c r="A8" s="5"/>
      <c r="B8" s="251"/>
      <c r="C8" s="251"/>
      <c r="D8" s="251"/>
      <c r="E8" s="251"/>
      <c r="F8" s="251"/>
      <c r="G8" s="8"/>
      <c r="H8" s="9"/>
      <c r="I8" s="10"/>
      <c r="J8" s="8"/>
      <c r="K8" s="9"/>
      <c r="L8" s="231"/>
      <c r="M8" s="231"/>
      <c r="N8" s="231"/>
      <c r="O8" s="11"/>
      <c r="P8" s="12"/>
      <c r="Q8" s="13"/>
      <c r="R8" s="11"/>
      <c r="S8" s="12"/>
      <c r="T8" s="13"/>
      <c r="U8" s="11"/>
      <c r="V8" s="11"/>
      <c r="W8" s="11"/>
      <c r="X8" s="11"/>
      <c r="Y8" s="11"/>
      <c r="Z8" s="12"/>
      <c r="AA8" s="170"/>
      <c r="AB8" s="231"/>
      <c r="AC8" s="171"/>
      <c r="AD8" s="170"/>
      <c r="AE8" s="231"/>
      <c r="AF8" s="231"/>
      <c r="AG8" s="231"/>
      <c r="AH8" s="171"/>
      <c r="AI8" s="170"/>
      <c r="AJ8" s="231"/>
      <c r="AK8" s="171"/>
      <c r="AL8" s="251"/>
      <c r="AM8" s="6"/>
    </row>
    <row r="9" spans="1:42" ht="8.4499999999999993" customHeight="1">
      <c r="A9" s="5"/>
      <c r="B9" s="251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6"/>
    </row>
    <row r="10" spans="1:42" ht="14.25">
      <c r="A10" s="5"/>
      <c r="B10" s="251"/>
      <c r="C10" s="251"/>
      <c r="D10" s="251"/>
      <c r="E10" s="403" t="s">
        <v>18</v>
      </c>
      <c r="F10" s="403"/>
      <c r="G10" s="403"/>
      <c r="H10" s="403"/>
      <c r="I10" s="404" t="s">
        <v>19</v>
      </c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251"/>
      <c r="AE10" s="251"/>
      <c r="AF10" s="251"/>
      <c r="AG10" s="251"/>
      <c r="AH10" s="251"/>
      <c r="AI10" s="251"/>
      <c r="AJ10" s="251"/>
      <c r="AK10" s="251"/>
      <c r="AL10" s="251"/>
      <c r="AM10" s="6"/>
    </row>
    <row r="11" spans="1:42" ht="6.6" customHeight="1">
      <c r="A11" s="5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5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6"/>
    </row>
    <row r="12" spans="1:42" ht="14.25">
      <c r="A12" s="5"/>
      <c r="B12" s="251"/>
      <c r="C12" s="251"/>
      <c r="D12" s="251"/>
      <c r="E12" s="403" t="s">
        <v>20</v>
      </c>
      <c r="F12" s="403"/>
      <c r="G12" s="403"/>
      <c r="H12" s="403"/>
      <c r="I12" s="405" t="s">
        <v>21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251"/>
      <c r="AE12" s="251"/>
      <c r="AF12" s="251"/>
      <c r="AG12" s="251"/>
      <c r="AH12" s="251"/>
      <c r="AI12" s="251"/>
      <c r="AJ12" s="251"/>
      <c r="AK12" s="251"/>
      <c r="AL12" s="251"/>
      <c r="AM12" s="6"/>
    </row>
    <row r="13" spans="1:42" ht="6.6" customHeight="1">
      <c r="A13" s="5"/>
      <c r="B13" s="251"/>
      <c r="C13" s="251"/>
      <c r="D13" s="251"/>
      <c r="E13" s="255"/>
      <c r="F13" s="255"/>
      <c r="G13" s="255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6"/>
    </row>
    <row r="14" spans="1:42" ht="18.75">
      <c r="A14" s="5"/>
      <c r="B14" s="251"/>
      <c r="C14" s="251"/>
      <c r="D14" s="251"/>
      <c r="E14" s="406" t="s">
        <v>22</v>
      </c>
      <c r="F14" s="407"/>
      <c r="G14" s="407"/>
      <c r="H14" s="407"/>
      <c r="I14" s="408">
        <v>270000</v>
      </c>
      <c r="J14" s="409"/>
      <c r="K14" s="409"/>
      <c r="L14" s="409"/>
      <c r="M14" s="409"/>
      <c r="N14" s="409"/>
      <c r="O14" s="409"/>
      <c r="P14" s="409"/>
      <c r="Q14" s="364"/>
      <c r="R14" s="364"/>
      <c r="S14" s="364"/>
      <c r="U14" s="257"/>
      <c r="V14" s="365"/>
      <c r="W14" s="365"/>
      <c r="X14" s="365"/>
      <c r="Y14" s="251"/>
      <c r="Z14" s="366"/>
      <c r="AA14" s="366"/>
      <c r="AB14" s="366"/>
      <c r="AC14" s="366"/>
      <c r="AD14" s="366"/>
      <c r="AE14" s="366"/>
      <c r="AF14" s="366"/>
      <c r="AG14" s="364"/>
      <c r="AH14" s="364"/>
      <c r="AI14" s="364"/>
      <c r="AJ14" s="251"/>
      <c r="AK14" s="251"/>
      <c r="AL14" s="251"/>
      <c r="AM14" s="6"/>
    </row>
    <row r="15" spans="1:42" ht="6.6" customHeight="1">
      <c r="A15" s="5"/>
      <c r="B15" s="251"/>
      <c r="C15" s="251"/>
      <c r="D15" s="251"/>
      <c r="E15" s="255"/>
      <c r="F15" s="255"/>
      <c r="G15" s="255"/>
      <c r="H15" s="255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6"/>
    </row>
    <row r="16" spans="1:42" ht="18.75">
      <c r="A16" s="5"/>
      <c r="B16" s="251"/>
      <c r="C16" s="251"/>
      <c r="D16" s="251"/>
      <c r="E16" s="403" t="s">
        <v>23</v>
      </c>
      <c r="F16" s="411"/>
      <c r="G16" s="411"/>
      <c r="H16" s="411"/>
      <c r="I16" s="412">
        <v>235000</v>
      </c>
      <c r="J16" s="413"/>
      <c r="K16" s="413"/>
      <c r="L16" s="413"/>
      <c r="M16" s="413"/>
      <c r="N16" s="413"/>
      <c r="O16" s="413"/>
      <c r="P16" s="413"/>
      <c r="Q16" s="410">
        <v>0.87039999999999995</v>
      </c>
      <c r="R16" s="410"/>
      <c r="S16" s="410"/>
      <c r="U16" s="403" t="s">
        <v>24</v>
      </c>
      <c r="V16" s="411"/>
      <c r="W16" s="411"/>
      <c r="X16" s="411"/>
      <c r="Y16" s="412">
        <v>35000</v>
      </c>
      <c r="Z16" s="413"/>
      <c r="AA16" s="413"/>
      <c r="AB16" s="413"/>
      <c r="AC16" s="413"/>
      <c r="AD16" s="413"/>
      <c r="AE16" s="413"/>
      <c r="AF16" s="413"/>
      <c r="AG16" s="410">
        <v>0.12959999999999999</v>
      </c>
      <c r="AH16" s="410"/>
      <c r="AI16" s="410"/>
      <c r="AJ16" s="251"/>
      <c r="AK16" s="251"/>
      <c r="AL16" s="251"/>
      <c r="AM16" s="6"/>
    </row>
    <row r="17" spans="1:39" ht="6.6" customHeight="1">
      <c r="A17" s="5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7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14"/>
    </row>
    <row r="18" spans="1:39" ht="18.75">
      <c r="A18" s="5"/>
      <c r="B18" s="251"/>
      <c r="C18" s="251"/>
      <c r="D18" s="251"/>
      <c r="E18" s="403" t="s">
        <v>25</v>
      </c>
      <c r="F18" s="411"/>
      <c r="G18" s="411"/>
      <c r="H18" s="411"/>
      <c r="I18" s="412"/>
      <c r="J18" s="413"/>
      <c r="K18" s="413"/>
      <c r="L18" s="413"/>
      <c r="M18" s="413"/>
      <c r="N18" s="413"/>
      <c r="O18" s="413"/>
      <c r="P18" s="413"/>
      <c r="Q18" s="410"/>
      <c r="R18" s="410"/>
      <c r="S18" s="410"/>
      <c r="U18" s="403" t="s">
        <v>26</v>
      </c>
      <c r="V18" s="411"/>
      <c r="W18" s="411"/>
      <c r="X18" s="411"/>
      <c r="Y18" s="412"/>
      <c r="Z18" s="413"/>
      <c r="AA18" s="413"/>
      <c r="AB18" s="413"/>
      <c r="AC18" s="413"/>
      <c r="AD18" s="413"/>
      <c r="AE18" s="413"/>
      <c r="AF18" s="413"/>
      <c r="AG18" s="410"/>
      <c r="AH18" s="410"/>
      <c r="AI18" s="410"/>
      <c r="AJ18" s="251"/>
      <c r="AK18" s="251"/>
      <c r="AL18" s="251"/>
      <c r="AM18" s="14"/>
    </row>
    <row r="19" spans="1:39" ht="20.100000000000001" customHeight="1">
      <c r="A19" s="5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1"/>
      <c r="AB19" s="251"/>
      <c r="AC19" s="251"/>
      <c r="AD19" s="251"/>
      <c r="AE19" s="251"/>
      <c r="AF19" s="251"/>
      <c r="AG19" s="251"/>
      <c r="AI19" s="251"/>
      <c r="AJ19" s="251"/>
      <c r="AK19" s="251"/>
      <c r="AL19" s="251"/>
      <c r="AM19" s="14"/>
    </row>
    <row r="20" spans="1:39">
      <c r="A20" s="5"/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8"/>
      <c r="U20" s="15" t="s">
        <v>28</v>
      </c>
      <c r="V20" s="17"/>
      <c r="W20" s="17"/>
      <c r="X20" s="17"/>
      <c r="Y20" s="17"/>
      <c r="Z20" s="16"/>
      <c r="AA20" s="16"/>
      <c r="AB20" s="16"/>
      <c r="AC20" s="16"/>
      <c r="AD20" s="16"/>
      <c r="AE20" s="16"/>
      <c r="AF20" s="16"/>
      <c r="AG20" s="16"/>
      <c r="AH20" s="19"/>
      <c r="AI20" s="16"/>
      <c r="AJ20" s="16"/>
      <c r="AK20" s="20"/>
      <c r="AL20" s="251"/>
      <c r="AM20" s="14"/>
    </row>
    <row r="21" spans="1:39" ht="19.5" customHeight="1">
      <c r="A21" s="5"/>
      <c r="B21" s="2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S21" s="22"/>
      <c r="U21" s="23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"/>
      <c r="AL21" s="251"/>
      <c r="AM21" s="14"/>
    </row>
    <row r="22" spans="1:39" ht="19.5" customHeight="1">
      <c r="A22" s="5"/>
      <c r="B22" s="2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"/>
      <c r="T22" s="251"/>
      <c r="U22" s="2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9"/>
      <c r="AJ22" s="259"/>
      <c r="AK22" s="25"/>
      <c r="AL22" s="259"/>
      <c r="AM22" s="26"/>
    </row>
    <row r="23" spans="1:39" ht="19.5" customHeight="1">
      <c r="A23" s="5"/>
      <c r="B23" s="2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"/>
      <c r="T23" s="251"/>
      <c r="U23" s="23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"/>
      <c r="AL23" s="251"/>
      <c r="AM23" s="6"/>
    </row>
    <row r="24" spans="1:39" ht="19.5" customHeight="1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T24" s="251"/>
      <c r="U24" s="27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51"/>
      <c r="AM24" s="6"/>
    </row>
    <row r="25" spans="1:39" ht="19.5" customHeight="1" thickBo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</row>
    <row r="26" spans="1:39" ht="22.5" customHeight="1">
      <c r="A26" s="421" t="s">
        <v>29</v>
      </c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3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5"/>
    </row>
    <row r="27" spans="1:39">
      <c r="A27" s="426" t="s">
        <v>30</v>
      </c>
      <c r="B27" s="427"/>
      <c r="C27" s="427"/>
      <c r="D27" s="427"/>
      <c r="E27" s="428"/>
      <c r="F27" s="429" t="s">
        <v>31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/>
      <c r="AI27" s="430"/>
      <c r="AJ27" s="430"/>
      <c r="AK27" s="430"/>
      <c r="AL27" s="430"/>
      <c r="AM27" s="431"/>
    </row>
    <row r="28" spans="1:39">
      <c r="A28" s="417" t="s">
        <v>32</v>
      </c>
      <c r="B28" s="418"/>
      <c r="C28" s="418"/>
      <c r="D28" s="418"/>
      <c r="E28" s="432"/>
      <c r="F28" s="433" t="s">
        <v>33</v>
      </c>
      <c r="G28" s="434"/>
      <c r="H28" s="434"/>
      <c r="I28" s="434"/>
      <c r="J28" s="434"/>
      <c r="K28" s="434"/>
      <c r="L28" s="414" t="s">
        <v>34</v>
      </c>
      <c r="M28" s="414"/>
      <c r="N28" s="415" t="s">
        <v>35</v>
      </c>
      <c r="O28" s="415"/>
      <c r="P28" s="415"/>
      <c r="Q28" s="415"/>
      <c r="R28" s="415"/>
      <c r="S28" s="435"/>
      <c r="T28" s="436" t="s">
        <v>36</v>
      </c>
      <c r="U28" s="418"/>
      <c r="V28" s="418"/>
      <c r="W28" s="418"/>
      <c r="X28" s="432"/>
      <c r="Y28" s="433" t="s">
        <v>33</v>
      </c>
      <c r="Z28" s="434"/>
      <c r="AA28" s="434"/>
      <c r="AB28" s="434"/>
      <c r="AC28" s="434"/>
      <c r="AD28" s="434"/>
      <c r="AE28" s="414" t="s">
        <v>34</v>
      </c>
      <c r="AF28" s="414"/>
      <c r="AG28" s="415" t="s">
        <v>35</v>
      </c>
      <c r="AH28" s="415"/>
      <c r="AI28" s="415"/>
      <c r="AJ28" s="415"/>
      <c r="AK28" s="415"/>
      <c r="AL28" s="415"/>
      <c r="AM28" s="416"/>
    </row>
    <row r="29" spans="1:39">
      <c r="A29" s="417" t="s">
        <v>37</v>
      </c>
      <c r="B29" s="418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9"/>
    </row>
    <row r="30" spans="1:39" ht="18" customHeight="1">
      <c r="A30" s="437" t="s">
        <v>38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  <c r="AK30" s="438"/>
      <c r="AL30" s="438"/>
      <c r="AM30" s="439"/>
    </row>
    <row r="31" spans="1:39" ht="18" customHeight="1" thickBo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41"/>
      <c r="AH31" s="441"/>
      <c r="AI31" s="441"/>
      <c r="AJ31" s="441"/>
      <c r="AK31" s="441"/>
      <c r="AL31" s="441"/>
      <c r="AM31" s="442"/>
    </row>
    <row r="32" spans="1:39">
      <c r="A32" s="420" t="s">
        <v>39</v>
      </c>
      <c r="B32" s="420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</row>
  </sheetData>
  <mergeCells count="49">
    <mergeCell ref="AE28:AF28"/>
    <mergeCell ref="AG28:AM28"/>
    <mergeCell ref="A29:AM29"/>
    <mergeCell ref="A32:AM32"/>
    <mergeCell ref="A26:S26"/>
    <mergeCell ref="T26:AM26"/>
    <mergeCell ref="A27:E27"/>
    <mergeCell ref="F27:AM27"/>
    <mergeCell ref="A28:E28"/>
    <mergeCell ref="F28:K28"/>
    <mergeCell ref="L28:M28"/>
    <mergeCell ref="N28:S28"/>
    <mergeCell ref="T28:X28"/>
    <mergeCell ref="Y28:AD28"/>
    <mergeCell ref="A30:AM31"/>
    <mergeCell ref="AG18:AI18"/>
    <mergeCell ref="E16:H16"/>
    <mergeCell ref="I16:P16"/>
    <mergeCell ref="Q16:S16"/>
    <mergeCell ref="U16:X16"/>
    <mergeCell ref="Y16:AF16"/>
    <mergeCell ref="AG16:AI16"/>
    <mergeCell ref="E18:H18"/>
    <mergeCell ref="I18:P18"/>
    <mergeCell ref="Q18:S18"/>
    <mergeCell ref="U18:X18"/>
    <mergeCell ref="Y18:AF18"/>
    <mergeCell ref="E10:H10"/>
    <mergeCell ref="I10:AC10"/>
    <mergeCell ref="E12:H12"/>
    <mergeCell ref="I12:AC12"/>
    <mergeCell ref="E14:H14"/>
    <mergeCell ref="I14:P14"/>
    <mergeCell ref="G6:P6"/>
    <mergeCell ref="Q6:Z6"/>
    <mergeCell ref="AA6:AK6"/>
    <mergeCell ref="G7:I7"/>
    <mergeCell ref="J7:P7"/>
    <mergeCell ref="Q7:S7"/>
    <mergeCell ref="T7:Z7"/>
    <mergeCell ref="AA7:AC7"/>
    <mergeCell ref="AD7:AH7"/>
    <mergeCell ref="AI7:AK7"/>
    <mergeCell ref="AC1:AF1"/>
    <mergeCell ref="AG1:AL1"/>
    <mergeCell ref="M2:AB2"/>
    <mergeCell ref="C3:F3"/>
    <mergeCell ref="G3:K3"/>
    <mergeCell ref="O3:Z3"/>
  </mergeCells>
  <phoneticPr fontId="4"/>
  <pageMargins left="0.70866141732283472" right="0.43307086614173229" top="0.62992125984251968" bottom="0.47244094488188981" header="0.31496062992125984" footer="0.31496062992125984"/>
  <pageSetup paperSize="9" fitToHeight="0" orientation="landscape" useFirstPageNumber="1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46"/>
  <sheetViews>
    <sheetView zoomScaleNormal="100" workbookViewId="0"/>
  </sheetViews>
  <sheetFormatPr defaultColWidth="7.125" defaultRowHeight="24.75" customHeight="1"/>
  <cols>
    <col min="1" max="1" width="1.25" style="36" customWidth="1"/>
    <col min="2" max="2" width="18.125" style="36" customWidth="1"/>
    <col min="3" max="3" width="11.625" style="36" customWidth="1"/>
    <col min="4" max="4" width="6.375" style="68" customWidth="1"/>
    <col min="5" max="18" width="7.125" style="36" customWidth="1"/>
    <col min="19" max="19" width="5.75" style="36" customWidth="1"/>
    <col min="20" max="16384" width="7.125" style="36"/>
  </cols>
  <sheetData>
    <row r="1" spans="1:20" ht="33" customHeight="1" thickBot="1">
      <c r="A1" s="33"/>
      <c r="B1" s="34" t="s">
        <v>40</v>
      </c>
      <c r="C1" s="33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ht="24.75" customHeight="1">
      <c r="A2" s="33"/>
      <c r="B2" s="37" t="s">
        <v>41</v>
      </c>
      <c r="C2" s="260" t="s">
        <v>19</v>
      </c>
      <c r="D2" s="261"/>
      <c r="E2" s="262"/>
      <c r="F2" s="263"/>
      <c r="G2" s="263"/>
      <c r="H2" s="263"/>
      <c r="I2" s="264"/>
      <c r="J2" s="265"/>
      <c r="K2" s="450" t="s">
        <v>42</v>
      </c>
      <c r="L2" s="451"/>
      <c r="M2" s="452"/>
      <c r="N2" s="471" t="s">
        <v>3</v>
      </c>
      <c r="O2" s="472"/>
      <c r="P2" s="472"/>
      <c r="Q2" s="472"/>
      <c r="R2" s="473"/>
      <c r="S2" s="38" t="s">
        <v>43</v>
      </c>
      <c r="T2" s="349"/>
    </row>
    <row r="3" spans="1:20" ht="24.75" customHeight="1">
      <c r="A3" s="33"/>
      <c r="B3" s="39" t="s">
        <v>44</v>
      </c>
      <c r="C3" s="453">
        <v>45691</v>
      </c>
      <c r="D3" s="454"/>
      <c r="E3" s="266" t="s">
        <v>45</v>
      </c>
      <c r="F3" s="455">
        <v>45777</v>
      </c>
      <c r="G3" s="455"/>
      <c r="H3" s="455"/>
      <c r="I3" s="267"/>
      <c r="J3" s="267"/>
      <c r="K3" s="456" t="s">
        <v>46</v>
      </c>
      <c r="L3" s="457"/>
      <c r="M3" s="458"/>
      <c r="N3" s="443">
        <v>270000</v>
      </c>
      <c r="O3" s="444"/>
      <c r="P3" s="445"/>
      <c r="Q3" s="268"/>
      <c r="R3" s="269"/>
      <c r="S3" s="40" t="s">
        <v>47</v>
      </c>
      <c r="T3" s="349"/>
    </row>
    <row r="4" spans="1:20" ht="24.75" customHeight="1" thickBot="1">
      <c r="A4" s="33"/>
      <c r="B4" s="41" t="s">
        <v>48</v>
      </c>
      <c r="C4" s="42" t="s">
        <v>49</v>
      </c>
      <c r="D4" s="43" t="s">
        <v>50</v>
      </c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>
        <v>1</v>
      </c>
      <c r="T4" s="349"/>
    </row>
    <row r="5" spans="1:20" ht="24.75" customHeight="1" thickTop="1">
      <c r="A5" s="33"/>
      <c r="B5" s="47" t="s">
        <v>51</v>
      </c>
      <c r="C5" s="270">
        <v>135000</v>
      </c>
      <c r="D5" s="329">
        <f>IF(C5&lt;&gt;"",C5/$C$20,"")</f>
        <v>0.57446808510638303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350"/>
    </row>
    <row r="6" spans="1:20" ht="24.75" customHeight="1">
      <c r="A6" s="33"/>
      <c r="B6" s="51" t="s">
        <v>52</v>
      </c>
      <c r="C6" s="271">
        <v>100000</v>
      </c>
      <c r="D6" s="330">
        <f t="shared" ref="D6:D17" si="0">IF(C6&lt;&gt;"",C6/$C$20,"")</f>
        <v>0.42553191489361702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0"/>
      <c r="T6" s="350"/>
    </row>
    <row r="7" spans="1:20" ht="24.75" customHeight="1">
      <c r="A7" s="33"/>
      <c r="B7" s="51" t="s">
        <v>53</v>
      </c>
      <c r="C7" s="271">
        <v>0</v>
      </c>
      <c r="D7" s="330">
        <f t="shared" si="0"/>
        <v>0</v>
      </c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0"/>
      <c r="T7" s="350"/>
    </row>
    <row r="8" spans="1:20" ht="24.75" customHeight="1">
      <c r="A8" s="33"/>
      <c r="B8" s="51" t="s">
        <v>54</v>
      </c>
      <c r="C8" s="271">
        <v>0</v>
      </c>
      <c r="D8" s="330">
        <f t="shared" si="0"/>
        <v>0</v>
      </c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>
        <v>0.75</v>
      </c>
      <c r="T8" s="350"/>
    </row>
    <row r="9" spans="1:20" ht="24.75" customHeight="1">
      <c r="A9" s="33"/>
      <c r="B9" s="51" t="s">
        <v>55</v>
      </c>
      <c r="C9" s="271">
        <v>0</v>
      </c>
      <c r="D9" s="330">
        <f t="shared" si="0"/>
        <v>0</v>
      </c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5"/>
      <c r="T9" s="351"/>
    </row>
    <row r="10" spans="1:20" ht="24.75" customHeight="1">
      <c r="A10" s="33"/>
      <c r="B10" s="51" t="s">
        <v>56</v>
      </c>
      <c r="C10" s="271">
        <v>0</v>
      </c>
      <c r="D10" s="330">
        <f t="shared" si="0"/>
        <v>0</v>
      </c>
      <c r="E10" s="5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5"/>
      <c r="T10" s="351"/>
    </row>
    <row r="11" spans="1:20" ht="24.75" customHeight="1">
      <c r="A11" s="33"/>
      <c r="B11" s="51" t="s">
        <v>57</v>
      </c>
      <c r="C11" s="271">
        <v>0</v>
      </c>
      <c r="D11" s="330">
        <f t="shared" si="0"/>
        <v>0</v>
      </c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351"/>
    </row>
    <row r="12" spans="1:20" ht="24.75" customHeight="1">
      <c r="A12" s="33"/>
      <c r="B12" s="51" t="s">
        <v>58</v>
      </c>
      <c r="C12" s="271">
        <v>0</v>
      </c>
      <c r="D12" s="330">
        <f t="shared" si="0"/>
        <v>0</v>
      </c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>
        <v>0.5</v>
      </c>
      <c r="T12" s="350"/>
    </row>
    <row r="13" spans="1:20" ht="24.75" customHeight="1">
      <c r="A13" s="33"/>
      <c r="B13" s="51" t="s">
        <v>59</v>
      </c>
      <c r="C13" s="271">
        <v>0</v>
      </c>
      <c r="D13" s="330">
        <f t="shared" si="0"/>
        <v>0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0"/>
      <c r="T13" s="350"/>
    </row>
    <row r="14" spans="1:20" ht="24.75" customHeight="1">
      <c r="A14" s="33"/>
      <c r="B14" s="51" t="s">
        <v>60</v>
      </c>
      <c r="C14" s="271">
        <v>0</v>
      </c>
      <c r="D14" s="330">
        <f t="shared" si="0"/>
        <v>0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</row>
    <row r="15" spans="1:20" ht="24.75" customHeight="1">
      <c r="A15" s="33"/>
      <c r="B15" s="51" t="s">
        <v>61</v>
      </c>
      <c r="C15" s="271">
        <v>0</v>
      </c>
      <c r="D15" s="330">
        <f t="shared" si="0"/>
        <v>0</v>
      </c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0"/>
    </row>
    <row r="16" spans="1:20" ht="24.75" customHeight="1">
      <c r="A16" s="33"/>
      <c r="B16" s="51" t="s">
        <v>62</v>
      </c>
      <c r="C16" s="271">
        <v>0</v>
      </c>
      <c r="D16" s="330">
        <f t="shared" si="0"/>
        <v>0</v>
      </c>
      <c r="E16" s="52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>
        <v>0.25</v>
      </c>
    </row>
    <row r="17" spans="1:19" ht="24.75" customHeight="1">
      <c r="A17" s="33"/>
      <c r="B17" s="51" t="s">
        <v>63</v>
      </c>
      <c r="C17" s="272">
        <v>0</v>
      </c>
      <c r="D17" s="330">
        <f t="shared" si="0"/>
        <v>0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0"/>
    </row>
    <row r="18" spans="1:19" ht="24.75" customHeight="1">
      <c r="A18" s="33"/>
      <c r="B18" s="51" t="s">
        <v>64</v>
      </c>
      <c r="C18" s="272">
        <v>0</v>
      </c>
      <c r="D18" s="330">
        <f>IF(C18&lt;&gt;"",C18/$C$20,"")</f>
        <v>0</v>
      </c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0"/>
    </row>
    <row r="19" spans="1:19" ht="24.75" customHeight="1">
      <c r="A19" s="33"/>
      <c r="B19" s="51" t="s">
        <v>65</v>
      </c>
      <c r="C19" s="272">
        <v>0</v>
      </c>
      <c r="D19" s="330">
        <f>IF(C19&lt;&gt;"",C19/$C$20,"")</f>
        <v>0</v>
      </c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</row>
    <row r="20" spans="1:19" ht="24.75" customHeight="1">
      <c r="A20" s="33"/>
      <c r="B20" s="57" t="s">
        <v>66</v>
      </c>
      <c r="C20" s="273">
        <f>SUM(C5:C19)</f>
        <v>235000</v>
      </c>
      <c r="D20" s="331">
        <f>SUM(D5:D19)</f>
        <v>1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>
        <v>0</v>
      </c>
    </row>
    <row r="21" spans="1:19" ht="24.75" customHeight="1">
      <c r="A21" s="33"/>
      <c r="B21" s="446" t="s">
        <v>67</v>
      </c>
      <c r="C21" s="61"/>
      <c r="D21" s="62" t="s">
        <v>68</v>
      </c>
      <c r="E21" s="362">
        <f>E26</f>
        <v>0</v>
      </c>
      <c r="F21" s="363">
        <f t="shared" ref="F21:R21" si="1">F26</f>
        <v>0</v>
      </c>
      <c r="G21" s="363">
        <f t="shared" si="1"/>
        <v>0</v>
      </c>
      <c r="H21" s="363">
        <f t="shared" si="1"/>
        <v>0</v>
      </c>
      <c r="I21" s="363">
        <f t="shared" si="1"/>
        <v>0</v>
      </c>
      <c r="J21" s="363">
        <f t="shared" si="1"/>
        <v>0</v>
      </c>
      <c r="K21" s="363">
        <f t="shared" si="1"/>
        <v>0</v>
      </c>
      <c r="L21" s="363">
        <f t="shared" si="1"/>
        <v>0</v>
      </c>
      <c r="M21" s="363">
        <f t="shared" si="1"/>
        <v>0</v>
      </c>
      <c r="N21" s="363">
        <f t="shared" si="1"/>
        <v>0</v>
      </c>
      <c r="O21" s="363">
        <f t="shared" si="1"/>
        <v>0</v>
      </c>
      <c r="P21" s="363">
        <f t="shared" si="1"/>
        <v>0</v>
      </c>
      <c r="Q21" s="363">
        <f t="shared" si="1"/>
        <v>0</v>
      </c>
      <c r="R21" s="363">
        <f t="shared" si="1"/>
        <v>0</v>
      </c>
      <c r="S21" s="63"/>
    </row>
    <row r="22" spans="1:19" ht="24.75" customHeight="1" thickBot="1">
      <c r="A22" s="33"/>
      <c r="B22" s="447"/>
      <c r="C22" s="64" t="s">
        <v>69</v>
      </c>
      <c r="D22" s="65" t="s">
        <v>70</v>
      </c>
      <c r="E22" s="274">
        <f>ROUND($C$20*E21/1000,0)</f>
        <v>0</v>
      </c>
      <c r="F22" s="275">
        <f t="shared" ref="F22:R22" si="2">ROUND($C$20*F21/1000,0)</f>
        <v>0</v>
      </c>
      <c r="G22" s="275">
        <f t="shared" si="2"/>
        <v>0</v>
      </c>
      <c r="H22" s="275">
        <f t="shared" si="2"/>
        <v>0</v>
      </c>
      <c r="I22" s="275">
        <f t="shared" si="2"/>
        <v>0</v>
      </c>
      <c r="J22" s="275">
        <f t="shared" si="2"/>
        <v>0</v>
      </c>
      <c r="K22" s="275">
        <f t="shared" si="2"/>
        <v>0</v>
      </c>
      <c r="L22" s="275">
        <f t="shared" si="2"/>
        <v>0</v>
      </c>
      <c r="M22" s="275">
        <f t="shared" si="2"/>
        <v>0</v>
      </c>
      <c r="N22" s="275">
        <f t="shared" si="2"/>
        <v>0</v>
      </c>
      <c r="O22" s="275">
        <f t="shared" si="2"/>
        <v>0</v>
      </c>
      <c r="P22" s="275">
        <f t="shared" si="2"/>
        <v>0</v>
      </c>
      <c r="Q22" s="275">
        <f t="shared" si="2"/>
        <v>0</v>
      </c>
      <c r="R22" s="275">
        <f t="shared" si="2"/>
        <v>0</v>
      </c>
      <c r="S22" s="66"/>
    </row>
    <row r="23" spans="1:19" ht="21.95" customHeight="1">
      <c r="A23" s="33"/>
      <c r="B23" s="33"/>
      <c r="C23" s="33"/>
      <c r="D23" s="3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67"/>
      <c r="Q23" s="67"/>
      <c r="R23" s="67"/>
      <c r="S23" s="67"/>
    </row>
    <row r="24" spans="1:19" ht="12" customHeight="1" thickBot="1">
      <c r="A24" s="33"/>
      <c r="B24" s="33"/>
      <c r="C24" s="33"/>
      <c r="D24" s="3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4.6" customHeight="1">
      <c r="A25" s="33"/>
      <c r="B25" s="33"/>
      <c r="C25" s="459" t="s">
        <v>71</v>
      </c>
      <c r="D25" s="460"/>
      <c r="E25" s="367"/>
      <c r="F25" s="368">
        <f>E26+F26</f>
        <v>0</v>
      </c>
      <c r="G25" s="368">
        <f t="shared" ref="G25:R25" si="3">F25+G26</f>
        <v>0</v>
      </c>
      <c r="H25" s="368">
        <f t="shared" si="3"/>
        <v>0</v>
      </c>
      <c r="I25" s="368">
        <f t="shared" si="3"/>
        <v>0</v>
      </c>
      <c r="J25" s="368">
        <f t="shared" si="3"/>
        <v>0</v>
      </c>
      <c r="K25" s="368">
        <f t="shared" si="3"/>
        <v>0</v>
      </c>
      <c r="L25" s="368">
        <f t="shared" si="3"/>
        <v>0</v>
      </c>
      <c r="M25" s="368">
        <f t="shared" si="3"/>
        <v>0</v>
      </c>
      <c r="N25" s="368">
        <f t="shared" si="3"/>
        <v>0</v>
      </c>
      <c r="O25" s="368">
        <f t="shared" si="3"/>
        <v>0</v>
      </c>
      <c r="P25" s="368">
        <f t="shared" si="3"/>
        <v>0</v>
      </c>
      <c r="Q25" s="368">
        <f t="shared" si="3"/>
        <v>0</v>
      </c>
      <c r="R25" s="369">
        <f t="shared" si="3"/>
        <v>0</v>
      </c>
      <c r="S25" s="175"/>
    </row>
    <row r="26" spans="1:19" ht="24.6" customHeight="1">
      <c r="A26" s="33"/>
      <c r="B26" s="33"/>
      <c r="C26" s="461"/>
      <c r="D26" s="462"/>
      <c r="E26" s="370">
        <f t="shared" ref="E26:R26" si="4">E27/($C$20/1000)</f>
        <v>0</v>
      </c>
      <c r="F26" s="371">
        <f t="shared" si="4"/>
        <v>0</v>
      </c>
      <c r="G26" s="371">
        <f t="shared" si="4"/>
        <v>0</v>
      </c>
      <c r="H26" s="371">
        <f t="shared" si="4"/>
        <v>0</v>
      </c>
      <c r="I26" s="371">
        <f t="shared" si="4"/>
        <v>0</v>
      </c>
      <c r="J26" s="371">
        <f t="shared" si="4"/>
        <v>0</v>
      </c>
      <c r="K26" s="371">
        <f t="shared" si="4"/>
        <v>0</v>
      </c>
      <c r="L26" s="371">
        <f t="shared" si="4"/>
        <v>0</v>
      </c>
      <c r="M26" s="371">
        <f t="shared" si="4"/>
        <v>0</v>
      </c>
      <c r="N26" s="371">
        <f t="shared" si="4"/>
        <v>0</v>
      </c>
      <c r="O26" s="371">
        <f t="shared" si="4"/>
        <v>0</v>
      </c>
      <c r="P26" s="371">
        <f t="shared" si="4"/>
        <v>0</v>
      </c>
      <c r="Q26" s="371">
        <f t="shared" si="4"/>
        <v>0</v>
      </c>
      <c r="R26" s="372">
        <f t="shared" si="4"/>
        <v>0</v>
      </c>
      <c r="S26" s="176"/>
    </row>
    <row r="27" spans="1:19" ht="24.6" customHeight="1">
      <c r="A27" s="33"/>
      <c r="B27" s="33"/>
      <c r="C27" s="463" t="s">
        <v>72</v>
      </c>
      <c r="D27" s="464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176"/>
    </row>
    <row r="28" spans="1:19" ht="24.6" customHeight="1" thickBot="1">
      <c r="A28" s="33"/>
      <c r="B28" s="33"/>
      <c r="C28" s="465"/>
      <c r="D28" s="466"/>
      <c r="E28" s="386"/>
      <c r="F28" s="360">
        <f>E27+F27</f>
        <v>0</v>
      </c>
      <c r="G28" s="360">
        <f t="shared" ref="G28:R28" si="5">F28+G27</f>
        <v>0</v>
      </c>
      <c r="H28" s="360">
        <f t="shared" si="5"/>
        <v>0</v>
      </c>
      <c r="I28" s="360">
        <f t="shared" si="5"/>
        <v>0</v>
      </c>
      <c r="J28" s="360">
        <f t="shared" si="5"/>
        <v>0</v>
      </c>
      <c r="K28" s="360">
        <f t="shared" si="5"/>
        <v>0</v>
      </c>
      <c r="L28" s="360">
        <f t="shared" si="5"/>
        <v>0</v>
      </c>
      <c r="M28" s="360">
        <f t="shared" si="5"/>
        <v>0</v>
      </c>
      <c r="N28" s="360">
        <f t="shared" si="5"/>
        <v>0</v>
      </c>
      <c r="O28" s="360">
        <f t="shared" si="5"/>
        <v>0</v>
      </c>
      <c r="P28" s="360">
        <f t="shared" si="5"/>
        <v>0</v>
      </c>
      <c r="Q28" s="360">
        <f t="shared" si="5"/>
        <v>0</v>
      </c>
      <c r="R28" s="361">
        <f t="shared" si="5"/>
        <v>0</v>
      </c>
      <c r="S28" s="176"/>
    </row>
    <row r="29" spans="1:19" ht="21.95" customHeight="1" thickBot="1">
      <c r="A29" s="33"/>
      <c r="B29" s="33"/>
      <c r="C29" s="33"/>
      <c r="D29" s="3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ht="24.6" customHeight="1">
      <c r="A30" s="33"/>
      <c r="B30" s="33"/>
      <c r="C30" s="467"/>
      <c r="D30" s="468"/>
      <c r="E30" s="177" t="s">
        <v>73</v>
      </c>
      <c r="F30" s="178" t="s">
        <v>74</v>
      </c>
      <c r="G30" s="177" t="s">
        <v>75</v>
      </c>
      <c r="H30" s="178" t="s">
        <v>76</v>
      </c>
      <c r="I30" s="177" t="s">
        <v>77</v>
      </c>
      <c r="J30" s="178" t="s">
        <v>78</v>
      </c>
      <c r="K30" s="177" t="s">
        <v>79</v>
      </c>
      <c r="L30" s="178" t="s">
        <v>80</v>
      </c>
      <c r="M30" s="177" t="s">
        <v>81</v>
      </c>
      <c r="N30" s="179" t="s">
        <v>82</v>
      </c>
      <c r="O30" s="33"/>
      <c r="P30" s="33"/>
      <c r="Q30" s="33"/>
      <c r="R30" s="33"/>
      <c r="S30" s="33"/>
    </row>
    <row r="31" spans="1:19" ht="24.6" customHeight="1">
      <c r="A31" s="33"/>
      <c r="B31" s="33"/>
      <c r="C31" s="469"/>
      <c r="D31" s="470"/>
      <c r="E31" s="180"/>
      <c r="F31" s="181"/>
      <c r="G31" s="180"/>
      <c r="H31" s="181"/>
      <c r="I31" s="180"/>
      <c r="J31" s="181"/>
      <c r="K31" s="180"/>
      <c r="L31" s="181"/>
      <c r="M31" s="180"/>
      <c r="N31" s="182"/>
      <c r="O31" s="33"/>
      <c r="P31" s="33"/>
      <c r="Q31" s="33"/>
      <c r="R31" s="33"/>
      <c r="S31" s="33"/>
    </row>
    <row r="32" spans="1:19" ht="24.6" customHeight="1">
      <c r="A32" s="33"/>
      <c r="B32" s="33"/>
      <c r="C32" s="448"/>
      <c r="D32" s="449"/>
      <c r="E32" s="183"/>
      <c r="F32" s="184"/>
      <c r="G32" s="183"/>
      <c r="H32" s="184"/>
      <c r="I32" s="183"/>
      <c r="J32" s="184"/>
      <c r="K32" s="183"/>
      <c r="L32" s="184"/>
      <c r="M32" s="183"/>
      <c r="N32" s="185"/>
      <c r="O32" s="33"/>
      <c r="P32" s="33"/>
      <c r="Q32" s="33"/>
      <c r="R32" s="33"/>
      <c r="S32" s="33"/>
    </row>
    <row r="33" spans="1:19" ht="24.6" customHeight="1">
      <c r="A33" s="33"/>
      <c r="B33" s="33"/>
      <c r="C33" s="448"/>
      <c r="D33" s="449"/>
      <c r="E33" s="183"/>
      <c r="F33" s="184"/>
      <c r="G33" s="183"/>
      <c r="H33" s="184"/>
      <c r="I33" s="183"/>
      <c r="J33" s="184"/>
      <c r="K33" s="183"/>
      <c r="L33" s="184"/>
      <c r="M33" s="183"/>
      <c r="N33" s="185"/>
      <c r="O33" s="33"/>
      <c r="P33" s="33"/>
      <c r="Q33" s="33"/>
      <c r="R33" s="33"/>
      <c r="S33" s="33"/>
    </row>
    <row r="34" spans="1:19" ht="24.6" customHeight="1">
      <c r="A34" s="33"/>
      <c r="B34" s="33"/>
      <c r="C34" s="448"/>
      <c r="D34" s="449"/>
      <c r="E34" s="183"/>
      <c r="F34" s="184"/>
      <c r="G34" s="183"/>
      <c r="H34" s="184"/>
      <c r="I34" s="183"/>
      <c r="J34" s="184"/>
      <c r="K34" s="183"/>
      <c r="L34" s="184"/>
      <c r="M34" s="183"/>
      <c r="N34" s="185"/>
      <c r="O34" s="33"/>
      <c r="P34" s="33"/>
      <c r="Q34" s="33"/>
      <c r="R34" s="33"/>
      <c r="S34" s="33"/>
    </row>
    <row r="35" spans="1:19" ht="24.6" customHeight="1">
      <c r="A35" s="33"/>
      <c r="B35" s="33"/>
      <c r="C35" s="448"/>
      <c r="D35" s="449"/>
      <c r="E35" s="183"/>
      <c r="F35" s="184"/>
      <c r="G35" s="183"/>
      <c r="H35" s="184"/>
      <c r="I35" s="183"/>
      <c r="J35" s="184"/>
      <c r="K35" s="183"/>
      <c r="L35" s="184"/>
      <c r="M35" s="183"/>
      <c r="N35" s="185"/>
      <c r="O35" s="33"/>
      <c r="P35" s="33"/>
      <c r="Q35" s="33"/>
      <c r="R35" s="33"/>
      <c r="S35" s="33"/>
    </row>
    <row r="36" spans="1:19" ht="24.6" customHeight="1">
      <c r="A36" s="33"/>
      <c r="B36" s="33"/>
      <c r="C36" s="448"/>
      <c r="D36" s="449"/>
      <c r="E36" s="183"/>
      <c r="F36" s="184"/>
      <c r="G36" s="183"/>
      <c r="H36" s="184"/>
      <c r="I36" s="183"/>
      <c r="J36" s="184"/>
      <c r="K36" s="183"/>
      <c r="L36" s="184"/>
      <c r="M36" s="183"/>
      <c r="N36" s="185"/>
      <c r="O36" s="33"/>
      <c r="P36" s="33"/>
      <c r="Q36" s="33"/>
      <c r="R36" s="33"/>
      <c r="S36" s="33"/>
    </row>
    <row r="37" spans="1:19" ht="24.6" customHeight="1">
      <c r="A37" s="33"/>
      <c r="B37" s="33"/>
      <c r="C37" s="448"/>
      <c r="D37" s="449"/>
      <c r="E37" s="183"/>
      <c r="F37" s="184"/>
      <c r="G37" s="183"/>
      <c r="H37" s="184"/>
      <c r="I37" s="183"/>
      <c r="J37" s="184"/>
      <c r="K37" s="183"/>
      <c r="L37" s="184"/>
      <c r="M37" s="183"/>
      <c r="N37" s="185"/>
      <c r="O37" s="33"/>
      <c r="P37" s="33"/>
      <c r="Q37" s="33"/>
      <c r="R37" s="33"/>
      <c r="S37" s="33"/>
    </row>
    <row r="38" spans="1:19" ht="24.6" customHeight="1">
      <c r="A38" s="33"/>
      <c r="B38" s="33"/>
      <c r="C38" s="448"/>
      <c r="D38" s="449"/>
      <c r="E38" s="183"/>
      <c r="F38" s="184"/>
      <c r="G38" s="183"/>
      <c r="H38" s="184"/>
      <c r="I38" s="183"/>
      <c r="J38" s="184"/>
      <c r="K38" s="183"/>
      <c r="L38" s="184"/>
      <c r="M38" s="183"/>
      <c r="N38" s="185"/>
      <c r="O38" s="33"/>
      <c r="P38" s="33"/>
      <c r="Q38" s="33"/>
      <c r="R38" s="33"/>
      <c r="S38" s="33"/>
    </row>
    <row r="39" spans="1:19" ht="24.6" customHeight="1">
      <c r="A39" s="33"/>
      <c r="B39" s="33"/>
      <c r="C39" s="448"/>
      <c r="D39" s="449"/>
      <c r="E39" s="183"/>
      <c r="F39" s="184"/>
      <c r="G39" s="183"/>
      <c r="H39" s="184"/>
      <c r="I39" s="183"/>
      <c r="J39" s="184"/>
      <c r="K39" s="183"/>
      <c r="L39" s="184"/>
      <c r="M39" s="183"/>
      <c r="N39" s="185"/>
      <c r="O39" s="33"/>
      <c r="P39" s="33"/>
      <c r="Q39" s="33"/>
      <c r="R39" s="33"/>
      <c r="S39" s="33"/>
    </row>
    <row r="40" spans="1:19" ht="24.6" customHeight="1">
      <c r="A40" s="33"/>
      <c r="B40" s="33"/>
      <c r="C40" s="448"/>
      <c r="D40" s="449"/>
      <c r="E40" s="183"/>
      <c r="F40" s="184"/>
      <c r="G40" s="183"/>
      <c r="H40" s="184"/>
      <c r="I40" s="183"/>
      <c r="J40" s="184"/>
      <c r="K40" s="183"/>
      <c r="L40" s="184"/>
      <c r="M40" s="183"/>
      <c r="N40" s="185"/>
      <c r="O40" s="33"/>
      <c r="P40" s="33"/>
      <c r="Q40" s="33"/>
      <c r="R40" s="33"/>
      <c r="S40" s="33"/>
    </row>
    <row r="41" spans="1:19" ht="24.6" customHeight="1">
      <c r="A41" s="33"/>
      <c r="B41" s="33"/>
      <c r="C41" s="448"/>
      <c r="D41" s="449"/>
      <c r="E41" s="183"/>
      <c r="F41" s="184"/>
      <c r="G41" s="183"/>
      <c r="H41" s="184"/>
      <c r="I41" s="183"/>
      <c r="J41" s="184"/>
      <c r="K41" s="183"/>
      <c r="L41" s="184"/>
      <c r="M41" s="183"/>
      <c r="N41" s="185"/>
      <c r="O41" s="33"/>
      <c r="P41" s="33"/>
      <c r="Q41" s="33"/>
      <c r="R41" s="33"/>
      <c r="S41" s="33"/>
    </row>
    <row r="42" spans="1:19" ht="24.6" customHeight="1">
      <c r="A42" s="33"/>
      <c r="B42" s="33"/>
      <c r="C42" s="448"/>
      <c r="D42" s="449"/>
      <c r="E42" s="183"/>
      <c r="F42" s="184"/>
      <c r="G42" s="183"/>
      <c r="H42" s="184"/>
      <c r="I42" s="183"/>
      <c r="J42" s="184"/>
      <c r="K42" s="183"/>
      <c r="L42" s="184"/>
      <c r="M42" s="183"/>
      <c r="N42" s="185"/>
      <c r="O42" s="33"/>
      <c r="P42" s="33"/>
      <c r="Q42" s="33"/>
      <c r="R42" s="33"/>
      <c r="S42" s="33"/>
    </row>
    <row r="43" spans="1:19" ht="24.6" customHeight="1">
      <c r="A43" s="33"/>
      <c r="B43" s="33"/>
      <c r="C43" s="448"/>
      <c r="D43" s="449"/>
      <c r="E43" s="183"/>
      <c r="F43" s="184"/>
      <c r="G43" s="183"/>
      <c r="H43" s="184"/>
      <c r="I43" s="183"/>
      <c r="J43" s="184"/>
      <c r="K43" s="183"/>
      <c r="L43" s="184"/>
      <c r="M43" s="183"/>
      <c r="N43" s="185"/>
      <c r="O43" s="33"/>
      <c r="P43" s="33"/>
      <c r="Q43" s="33"/>
      <c r="R43" s="33"/>
      <c r="S43" s="33"/>
    </row>
    <row r="44" spans="1:19" ht="24.6" customHeight="1">
      <c r="A44" s="33"/>
      <c r="B44" s="33"/>
      <c r="C44" s="448"/>
      <c r="D44" s="449"/>
      <c r="E44" s="183"/>
      <c r="F44" s="184"/>
      <c r="G44" s="183"/>
      <c r="H44" s="184"/>
      <c r="I44" s="183"/>
      <c r="J44" s="184"/>
      <c r="K44" s="183"/>
      <c r="L44" s="184"/>
      <c r="M44" s="183"/>
      <c r="N44" s="185"/>
      <c r="O44" s="33"/>
      <c r="P44" s="33"/>
      <c r="Q44" s="33"/>
      <c r="R44" s="33"/>
      <c r="S44" s="33"/>
    </row>
    <row r="45" spans="1:19" ht="24.6" customHeight="1" thickBot="1">
      <c r="A45" s="33"/>
      <c r="B45" s="33"/>
      <c r="C45" s="474"/>
      <c r="D45" s="475"/>
      <c r="E45" s="186"/>
      <c r="F45" s="187"/>
      <c r="G45" s="186"/>
      <c r="H45" s="187"/>
      <c r="I45" s="186"/>
      <c r="J45" s="187"/>
      <c r="K45" s="186"/>
      <c r="L45" s="187"/>
      <c r="M45" s="186"/>
      <c r="N45" s="188"/>
      <c r="O45" s="33"/>
      <c r="P45" s="33"/>
      <c r="Q45" s="33"/>
      <c r="R45" s="33"/>
      <c r="S45" s="33"/>
    </row>
    <row r="46" spans="1:19" ht="24.6" customHeight="1">
      <c r="A46" s="33"/>
      <c r="B46" s="33"/>
      <c r="C46" s="33"/>
      <c r="D46" s="35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</sheetData>
  <mergeCells count="25"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N3:P3"/>
    <mergeCell ref="B21:B22"/>
    <mergeCell ref="C33:D33"/>
    <mergeCell ref="K2:M2"/>
    <mergeCell ref="C3:D3"/>
    <mergeCell ref="F3:H3"/>
    <mergeCell ref="K3:M3"/>
    <mergeCell ref="C25:D26"/>
    <mergeCell ref="C27:D28"/>
    <mergeCell ref="C30:D30"/>
    <mergeCell ref="C31:D31"/>
    <mergeCell ref="C32:D32"/>
    <mergeCell ref="N2:R2"/>
  </mergeCells>
  <phoneticPr fontId="4"/>
  <printOptions gridLinesSet="0"/>
  <pageMargins left="0.70866141732283472" right="0.43307086614173229" top="0.62992125984251968" bottom="0.47244094488188981" header="0.31496062992125984" footer="0.31496062992125984"/>
  <pageSetup paperSize="9" scale="86" fitToHeight="0" orientation="landscape" useFirstPageNumber="1" r:id="rId1"/>
  <drawing r:id="rId2"/>
  <legacyDrawing r:id="rId3"/>
  <controls>
    <mc:AlternateContent xmlns:mc="http://schemas.openxmlformats.org/markup-compatibility/2006">
      <mc:Choice Requires="x14">
        <control shapeId="48129" r:id="rId4" name="btn1">
          <controlPr defaultSize="0" autoLine="0" autoPict="0" r:id="rId5">
            <anchor moveWithCells="1">
              <from>
                <xdr:col>0</xdr:col>
                <xdr:colOff>85725</xdr:colOff>
                <xdr:row>23</xdr:row>
                <xdr:rowOff>123825</xdr:rowOff>
              </from>
              <to>
                <xdr:col>1</xdr:col>
                <xdr:colOff>1152525</xdr:colOff>
                <xdr:row>25</xdr:row>
                <xdr:rowOff>9525</xdr:rowOff>
              </to>
            </anchor>
          </controlPr>
        </control>
      </mc:Choice>
      <mc:Fallback>
        <control shapeId="48129" r:id="rId4" name="btn1"/>
      </mc:Fallback>
    </mc:AlternateContent>
    <mc:AlternateContent xmlns:mc="http://schemas.openxmlformats.org/markup-compatibility/2006">
      <mc:Choice Requires="x14">
        <control shapeId="48130" r:id="rId6" name="btn2">
          <controlPr defaultSize="0" autoLine="0" autoPict="0" r:id="rId7">
            <anchor moveWithCells="1">
              <from>
                <xdr:col>0</xdr:col>
                <xdr:colOff>85725</xdr:colOff>
                <xdr:row>25</xdr:row>
                <xdr:rowOff>47625</xdr:rowOff>
              </from>
              <to>
                <xdr:col>1</xdr:col>
                <xdr:colOff>1152525</xdr:colOff>
                <xdr:row>26</xdr:row>
                <xdr:rowOff>95250</xdr:rowOff>
              </to>
            </anchor>
          </controlPr>
        </control>
      </mc:Choice>
      <mc:Fallback>
        <control shapeId="48130" r:id="rId6" name="btn2"/>
      </mc:Fallback>
    </mc:AlternateContent>
    <mc:AlternateContent xmlns:mc="http://schemas.openxmlformats.org/markup-compatibility/2006">
      <mc:Choice Requires="x14">
        <control shapeId="48131" r:id="rId8" name="btn3">
          <controlPr defaultSize="0" autoLine="0" autoPict="0" r:id="rId9">
            <anchor moveWithCells="1">
              <from>
                <xdr:col>0</xdr:col>
                <xdr:colOff>85725</xdr:colOff>
                <xdr:row>26</xdr:row>
                <xdr:rowOff>142875</xdr:rowOff>
              </from>
              <to>
                <xdr:col>1</xdr:col>
                <xdr:colOff>1152525</xdr:colOff>
                <xdr:row>27</xdr:row>
                <xdr:rowOff>180975</xdr:rowOff>
              </to>
            </anchor>
          </controlPr>
        </control>
      </mc:Choice>
      <mc:Fallback>
        <control shapeId="48131" r:id="rId8" name="bt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W24"/>
  <sheetViews>
    <sheetView zoomScaleNormal="100" workbookViewId="0"/>
  </sheetViews>
  <sheetFormatPr defaultColWidth="8.25" defaultRowHeight="13.5"/>
  <cols>
    <col min="1" max="1" width="1.5" style="73" customWidth="1"/>
    <col min="2" max="2" width="15.25" style="73" customWidth="1"/>
    <col min="3" max="3" width="9.25" style="73" customWidth="1"/>
    <col min="4" max="4" width="5.625" style="73" customWidth="1"/>
    <col min="5" max="5" width="11.375" style="73" customWidth="1"/>
    <col min="6" max="6" width="15.25" style="73" customWidth="1"/>
    <col min="7" max="7" width="9.25" style="73" customWidth="1"/>
    <col min="8" max="8" width="5.625" style="73" customWidth="1"/>
    <col min="9" max="9" width="11.375" style="73" customWidth="1"/>
    <col min="10" max="10" width="15.25" style="73" customWidth="1"/>
    <col min="11" max="11" width="10.75" style="73" customWidth="1"/>
    <col min="12" max="12" width="5.625" style="73" customWidth="1"/>
    <col min="13" max="13" width="11.375" style="73" customWidth="1"/>
    <col min="14" max="14" width="2.125" style="73" customWidth="1"/>
    <col min="15" max="15" width="9.25" style="73" customWidth="1"/>
    <col min="16" max="16" width="13.25" style="73" customWidth="1"/>
    <col min="17" max="17" width="11.625" style="73" customWidth="1"/>
    <col min="18" max="18" width="9.5" style="73" customWidth="1"/>
    <col min="19" max="16384" width="8.25" style="73"/>
  </cols>
  <sheetData>
    <row r="1" spans="1:18" ht="42" customHeight="1">
      <c r="A1" s="69"/>
      <c r="B1" s="70" t="s">
        <v>83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72"/>
      <c r="N1" s="69"/>
      <c r="O1" s="69"/>
    </row>
    <row r="2" spans="1:18" ht="13.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476"/>
      <c r="M2" s="476"/>
      <c r="N2" s="69"/>
      <c r="O2" s="69"/>
    </row>
    <row r="3" spans="1:18" ht="24.95" customHeight="1">
      <c r="A3" s="69"/>
      <c r="B3" s="74" t="s">
        <v>84</v>
      </c>
      <c r="C3" s="75"/>
      <c r="D3" s="75"/>
      <c r="E3" s="75"/>
      <c r="F3" s="75"/>
      <c r="G3" s="75"/>
      <c r="H3" s="75"/>
      <c r="I3" s="76"/>
      <c r="J3" s="77" t="s">
        <v>85</v>
      </c>
      <c r="K3" s="75"/>
      <c r="L3" s="75"/>
      <c r="M3" s="78"/>
      <c r="N3" s="69"/>
      <c r="O3" s="69"/>
    </row>
    <row r="4" spans="1:18" ht="24.75" customHeight="1">
      <c r="A4" s="69"/>
      <c r="B4" s="477" t="s">
        <v>86</v>
      </c>
      <c r="C4" s="584"/>
      <c r="D4" s="584"/>
      <c r="E4" s="584"/>
      <c r="F4" s="584"/>
      <c r="G4" s="584"/>
      <c r="H4" s="584"/>
      <c r="I4" s="585"/>
      <c r="J4" s="79" t="s">
        <v>87</v>
      </c>
      <c r="K4" s="80" t="s">
        <v>88</v>
      </c>
      <c r="L4" s="80" t="s">
        <v>89</v>
      </c>
      <c r="M4" s="81" t="s">
        <v>90</v>
      </c>
      <c r="N4" s="69"/>
      <c r="O4" s="69"/>
    </row>
    <row r="5" spans="1:18" ht="27" customHeight="1">
      <c r="A5" s="69"/>
      <c r="B5" s="586"/>
      <c r="C5" s="587"/>
      <c r="D5" s="587"/>
      <c r="E5" s="587"/>
      <c r="F5" s="587"/>
      <c r="G5" s="587"/>
      <c r="H5" s="587"/>
      <c r="I5" s="588"/>
      <c r="J5" s="82" t="s">
        <v>51</v>
      </c>
      <c r="K5" s="276" t="s">
        <v>91</v>
      </c>
      <c r="L5" s="277" t="s">
        <v>92</v>
      </c>
      <c r="M5" s="278">
        <v>1</v>
      </c>
      <c r="N5" s="69"/>
      <c r="O5" s="279"/>
      <c r="P5" s="280"/>
      <c r="Q5" s="281"/>
      <c r="R5" s="282"/>
    </row>
    <row r="6" spans="1:18" ht="24.95" customHeight="1">
      <c r="A6" s="69"/>
      <c r="B6" s="586"/>
      <c r="C6" s="587"/>
      <c r="D6" s="587"/>
      <c r="E6" s="587"/>
      <c r="F6" s="587"/>
      <c r="G6" s="587"/>
      <c r="H6" s="587"/>
      <c r="I6" s="588"/>
      <c r="J6" s="85" t="s">
        <v>52</v>
      </c>
      <c r="K6" s="283" t="s">
        <v>91</v>
      </c>
      <c r="L6" s="284" t="s">
        <v>92</v>
      </c>
      <c r="M6" s="285">
        <v>1</v>
      </c>
      <c r="N6" s="69"/>
      <c r="O6" s="279"/>
      <c r="P6" s="280"/>
      <c r="Q6" s="281"/>
      <c r="R6" s="282"/>
    </row>
    <row r="7" spans="1:18" ht="24.95" customHeight="1">
      <c r="A7" s="69"/>
      <c r="B7" s="586"/>
      <c r="C7" s="587"/>
      <c r="D7" s="587"/>
      <c r="E7" s="587"/>
      <c r="F7" s="587"/>
      <c r="G7" s="587"/>
      <c r="H7" s="587"/>
      <c r="I7" s="588"/>
      <c r="J7" s="85" t="s">
        <v>53</v>
      </c>
      <c r="K7" s="283"/>
      <c r="L7" s="284" t="s">
        <v>92</v>
      </c>
      <c r="M7" s="285">
        <v>1</v>
      </c>
      <c r="N7" s="69"/>
      <c r="O7" s="279"/>
      <c r="P7" s="280"/>
      <c r="Q7" s="281"/>
      <c r="R7" s="282"/>
    </row>
    <row r="8" spans="1:18" ht="24.95" customHeight="1">
      <c r="A8" s="69"/>
      <c r="B8" s="586"/>
      <c r="C8" s="587"/>
      <c r="D8" s="587"/>
      <c r="E8" s="587"/>
      <c r="F8" s="587"/>
      <c r="G8" s="587"/>
      <c r="H8" s="587"/>
      <c r="I8" s="588"/>
      <c r="J8" s="85" t="s">
        <v>54</v>
      </c>
      <c r="K8" s="283" t="s">
        <v>93</v>
      </c>
      <c r="L8" s="284" t="s">
        <v>92</v>
      </c>
      <c r="M8" s="285">
        <v>1</v>
      </c>
      <c r="N8" s="69"/>
      <c r="O8" s="279"/>
      <c r="P8" s="280"/>
      <c r="Q8" s="281"/>
      <c r="R8" s="282"/>
    </row>
    <row r="9" spans="1:18" ht="24.95" customHeight="1">
      <c r="A9" s="69"/>
      <c r="B9" s="586"/>
      <c r="C9" s="587"/>
      <c r="D9" s="587"/>
      <c r="E9" s="587"/>
      <c r="F9" s="587"/>
      <c r="G9" s="587"/>
      <c r="H9" s="587"/>
      <c r="I9" s="588"/>
      <c r="J9" s="85" t="s">
        <v>55</v>
      </c>
      <c r="K9" s="283" t="s">
        <v>94</v>
      </c>
      <c r="L9" s="284" t="s">
        <v>92</v>
      </c>
      <c r="M9" s="285">
        <v>1</v>
      </c>
      <c r="N9" s="69"/>
      <c r="O9" s="279"/>
      <c r="P9" s="280"/>
      <c r="Q9" s="281"/>
      <c r="R9" s="282"/>
    </row>
    <row r="10" spans="1:18" ht="24.95" customHeight="1">
      <c r="A10" s="69"/>
      <c r="B10" s="586"/>
      <c r="C10" s="587"/>
      <c r="D10" s="587"/>
      <c r="E10" s="587"/>
      <c r="F10" s="587"/>
      <c r="G10" s="587"/>
      <c r="H10" s="587"/>
      <c r="I10" s="588"/>
      <c r="J10" s="85" t="s">
        <v>56</v>
      </c>
      <c r="K10" s="283" t="s">
        <v>95</v>
      </c>
      <c r="L10" s="284" t="s">
        <v>92</v>
      </c>
      <c r="M10" s="285">
        <v>1</v>
      </c>
      <c r="N10" s="69"/>
      <c r="O10" s="279"/>
      <c r="P10" s="280"/>
      <c r="Q10" s="281"/>
      <c r="R10" s="282"/>
    </row>
    <row r="11" spans="1:18" ht="24.95" customHeight="1">
      <c r="A11" s="69"/>
      <c r="B11" s="586"/>
      <c r="C11" s="587"/>
      <c r="D11" s="587"/>
      <c r="E11" s="587"/>
      <c r="F11" s="587"/>
      <c r="G11" s="587"/>
      <c r="H11" s="587"/>
      <c r="I11" s="588"/>
      <c r="J11" s="88" t="s">
        <v>57</v>
      </c>
      <c r="K11" s="283" t="s">
        <v>96</v>
      </c>
      <c r="L11" s="284" t="s">
        <v>92</v>
      </c>
      <c r="M11" s="285">
        <v>1</v>
      </c>
      <c r="N11" s="69"/>
      <c r="O11" s="279"/>
      <c r="P11" s="280"/>
      <c r="Q11" s="281"/>
      <c r="R11" s="282"/>
    </row>
    <row r="12" spans="1:18" ht="24.95" customHeight="1">
      <c r="A12" s="69"/>
      <c r="B12" s="586"/>
      <c r="C12" s="587"/>
      <c r="D12" s="587"/>
      <c r="E12" s="587"/>
      <c r="F12" s="587"/>
      <c r="G12" s="587"/>
      <c r="H12" s="587"/>
      <c r="I12" s="588"/>
      <c r="J12" s="88" t="s">
        <v>58</v>
      </c>
      <c r="K12" s="283" t="s">
        <v>97</v>
      </c>
      <c r="L12" s="284" t="s">
        <v>92</v>
      </c>
      <c r="M12" s="285">
        <v>1</v>
      </c>
      <c r="N12" s="69"/>
      <c r="O12" s="279"/>
      <c r="P12" s="280"/>
      <c r="Q12" s="281"/>
      <c r="R12" s="282"/>
    </row>
    <row r="13" spans="1:18" ht="24.95" customHeight="1">
      <c r="A13" s="69"/>
      <c r="B13" s="586"/>
      <c r="C13" s="587"/>
      <c r="D13" s="587"/>
      <c r="E13" s="587"/>
      <c r="F13" s="587"/>
      <c r="G13" s="587"/>
      <c r="H13" s="587"/>
      <c r="I13" s="588"/>
      <c r="J13" s="88" t="s">
        <v>59</v>
      </c>
      <c r="K13" s="283"/>
      <c r="L13" s="284" t="s">
        <v>92</v>
      </c>
      <c r="M13" s="285">
        <v>1</v>
      </c>
      <c r="N13" s="69"/>
      <c r="O13" s="279"/>
      <c r="P13" s="280"/>
      <c r="Q13" s="281"/>
      <c r="R13" s="282"/>
    </row>
    <row r="14" spans="1:18" ht="24.95" customHeight="1" thickBot="1">
      <c r="A14" s="69"/>
      <c r="B14" s="589"/>
      <c r="C14" s="590"/>
      <c r="D14" s="590"/>
      <c r="E14" s="590"/>
      <c r="F14" s="590"/>
      <c r="G14" s="590"/>
      <c r="H14" s="590"/>
      <c r="I14" s="591"/>
      <c r="J14" s="88" t="s">
        <v>60</v>
      </c>
      <c r="K14" s="283" t="s">
        <v>98</v>
      </c>
      <c r="L14" s="284" t="s">
        <v>92</v>
      </c>
      <c r="M14" s="285">
        <v>1</v>
      </c>
      <c r="N14" s="69"/>
      <c r="O14" s="69"/>
    </row>
    <row r="15" spans="1:18" ht="24.95" customHeight="1" thickTop="1">
      <c r="A15" s="69"/>
      <c r="B15" s="89" t="s">
        <v>99</v>
      </c>
      <c r="C15" s="90"/>
      <c r="D15" s="90"/>
      <c r="E15" s="90"/>
      <c r="F15" s="90"/>
      <c r="G15" s="90"/>
      <c r="H15" s="90"/>
      <c r="I15" s="91"/>
      <c r="J15" s="88" t="s">
        <v>61</v>
      </c>
      <c r="K15" s="283"/>
      <c r="L15" s="284" t="s">
        <v>92</v>
      </c>
      <c r="M15" s="285">
        <v>1</v>
      </c>
      <c r="N15" s="69"/>
      <c r="O15" s="69"/>
    </row>
    <row r="16" spans="1:18" ht="24.95" customHeight="1">
      <c r="A16" s="69"/>
      <c r="B16" s="92" t="s">
        <v>100</v>
      </c>
      <c r="C16" s="80" t="s">
        <v>101</v>
      </c>
      <c r="D16" s="80" t="s">
        <v>89</v>
      </c>
      <c r="E16" s="93" t="s">
        <v>90</v>
      </c>
      <c r="F16" s="79" t="s">
        <v>100</v>
      </c>
      <c r="G16" s="80" t="s">
        <v>101</v>
      </c>
      <c r="H16" s="80" t="s">
        <v>89</v>
      </c>
      <c r="I16" s="93" t="s">
        <v>90</v>
      </c>
      <c r="J16" s="88" t="s">
        <v>62</v>
      </c>
      <c r="K16" s="283" t="s">
        <v>102</v>
      </c>
      <c r="L16" s="284" t="s">
        <v>92</v>
      </c>
      <c r="M16" s="285">
        <v>1</v>
      </c>
      <c r="N16" s="69"/>
      <c r="O16" s="69"/>
    </row>
    <row r="17" spans="1:23" ht="24.95" customHeight="1">
      <c r="A17" s="69"/>
      <c r="B17" s="94"/>
      <c r="C17" s="83"/>
      <c r="D17" s="84"/>
      <c r="E17" s="286"/>
      <c r="F17" s="95"/>
      <c r="G17" s="83"/>
      <c r="H17" s="84"/>
      <c r="I17" s="286"/>
      <c r="J17" s="88" t="s">
        <v>63</v>
      </c>
      <c r="K17" s="283" t="s">
        <v>103</v>
      </c>
      <c r="L17" s="284" t="s">
        <v>92</v>
      </c>
      <c r="M17" s="285">
        <v>1</v>
      </c>
      <c r="N17" s="69"/>
      <c r="O17" s="69"/>
    </row>
    <row r="18" spans="1:23" ht="24.95" customHeight="1">
      <c r="A18" s="69"/>
      <c r="B18" s="96"/>
      <c r="C18" s="86"/>
      <c r="D18" s="87"/>
      <c r="E18" s="287"/>
      <c r="F18" s="88"/>
      <c r="G18" s="86"/>
      <c r="H18" s="87"/>
      <c r="I18" s="287"/>
      <c r="J18" s="88" t="s">
        <v>64</v>
      </c>
      <c r="K18" s="283" t="s">
        <v>104</v>
      </c>
      <c r="L18" s="284" t="s">
        <v>92</v>
      </c>
      <c r="M18" s="285">
        <v>1</v>
      </c>
      <c r="N18" s="69"/>
      <c r="O18" s="69"/>
    </row>
    <row r="19" spans="1:23" ht="24.95" customHeight="1" thickBot="1">
      <c r="A19" s="69"/>
      <c r="B19" s="97"/>
      <c r="C19" s="98"/>
      <c r="D19" s="99"/>
      <c r="E19" s="288"/>
      <c r="F19" s="100"/>
      <c r="G19" s="98"/>
      <c r="H19" s="99"/>
      <c r="I19" s="288"/>
      <c r="J19" s="100" t="s">
        <v>65</v>
      </c>
      <c r="K19" s="289" t="s">
        <v>105</v>
      </c>
      <c r="L19" s="290" t="s">
        <v>92</v>
      </c>
      <c r="M19" s="291">
        <v>1</v>
      </c>
      <c r="N19" s="69"/>
      <c r="O19" s="69"/>
    </row>
    <row r="20" spans="1:23" s="103" customFormat="1" ht="18" customHeight="1">
      <c r="A20" s="352"/>
      <c r="B20" s="352"/>
      <c r="C20" s="352"/>
      <c r="D20" s="352"/>
      <c r="E20" s="352"/>
      <c r="F20" s="352"/>
      <c r="G20" s="352"/>
      <c r="H20" s="352"/>
      <c r="I20" s="352"/>
      <c r="J20" s="353"/>
      <c r="K20" s="352"/>
      <c r="L20" s="352"/>
      <c r="M20" s="354"/>
      <c r="N20" s="352"/>
      <c r="O20" s="352"/>
      <c r="P20" s="250"/>
      <c r="Q20" s="250"/>
      <c r="R20" s="250"/>
      <c r="S20" s="250"/>
      <c r="T20" s="250"/>
      <c r="U20" s="250"/>
      <c r="V20" s="250"/>
      <c r="W20" s="250"/>
    </row>
    <row r="21" spans="1:2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2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2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</sheetData>
  <mergeCells count="2">
    <mergeCell ref="L2:M2"/>
    <mergeCell ref="B4:I14"/>
  </mergeCells>
  <phoneticPr fontId="4"/>
  <pageMargins left="0.70866141732283472" right="0.43307086614173229" top="0.62992125984251968" bottom="0.47244094488188981" header="0.31496062992125984" footer="0.31496062992125984"/>
  <pageSetup paperSize="9" scale="97" fitToHeight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zoomScaleNormal="100" workbookViewId="0"/>
  </sheetViews>
  <sheetFormatPr defaultColWidth="8.25" defaultRowHeight="13.5"/>
  <cols>
    <col min="1" max="1" width="3.375" style="73" customWidth="1"/>
    <col min="2" max="2" width="10.625" style="73" customWidth="1"/>
    <col min="3" max="3" width="2.375" style="73" customWidth="1"/>
    <col min="4" max="4" width="26.25" style="73" customWidth="1"/>
    <col min="5" max="5" width="18.75" style="73" customWidth="1"/>
    <col min="6" max="6" width="12" style="73" customWidth="1"/>
    <col min="7" max="7" width="6.5" style="73" customWidth="1"/>
    <col min="8" max="15" width="11.625" style="73" customWidth="1"/>
    <col min="16" max="16" width="3.375" style="73" customWidth="1"/>
    <col min="17" max="17" width="11.25" style="73" customWidth="1"/>
    <col min="18" max="18" width="8.25" style="73"/>
    <col min="19" max="19" width="6.625" style="73" customWidth="1"/>
    <col min="20" max="16384" width="8.25" style="73"/>
  </cols>
  <sheetData>
    <row r="1" spans="1:17" ht="9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7" ht="30.95" customHeight="1">
      <c r="A2" s="478" t="s">
        <v>106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80"/>
    </row>
    <row r="3" spans="1:17" ht="19.5" customHeight="1" thickBot="1">
      <c r="A3" s="69"/>
      <c r="B3" s="237"/>
      <c r="C3" s="237"/>
      <c r="D3" s="238"/>
      <c r="E3" s="69"/>
      <c r="F3" s="69"/>
      <c r="G3" s="69"/>
      <c r="H3" s="69"/>
      <c r="I3" s="239"/>
      <c r="J3" s="239"/>
      <c r="K3" s="239"/>
      <c r="L3" s="69"/>
      <c r="M3" s="481"/>
      <c r="N3" s="481"/>
      <c r="O3" s="476"/>
      <c r="P3" s="69"/>
    </row>
    <row r="4" spans="1:17" ht="30" customHeight="1">
      <c r="A4" s="69"/>
      <c r="B4" s="104" t="s">
        <v>107</v>
      </c>
      <c r="C4" s="482" t="s">
        <v>19</v>
      </c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4"/>
      <c r="P4" s="69"/>
    </row>
    <row r="5" spans="1:17" ht="30" customHeight="1">
      <c r="A5" s="69"/>
      <c r="B5" s="105" t="s">
        <v>108</v>
      </c>
      <c r="C5" s="485" t="s">
        <v>109</v>
      </c>
      <c r="D5" s="486"/>
      <c r="E5" s="240" t="s">
        <v>110</v>
      </c>
      <c r="F5" s="487" t="s">
        <v>111</v>
      </c>
      <c r="G5" s="488"/>
      <c r="H5" s="240" t="s">
        <v>112</v>
      </c>
      <c r="I5" s="485" t="s">
        <v>29</v>
      </c>
      <c r="J5" s="489"/>
      <c r="K5" s="490"/>
      <c r="L5" s="106" t="s">
        <v>113</v>
      </c>
      <c r="M5" s="485"/>
      <c r="N5" s="489"/>
      <c r="O5" s="491"/>
      <c r="P5" s="69"/>
    </row>
    <row r="6" spans="1:17" ht="30" customHeight="1">
      <c r="A6" s="69"/>
      <c r="B6" s="107" t="s">
        <v>114</v>
      </c>
      <c r="C6" s="485" t="s">
        <v>3</v>
      </c>
      <c r="D6" s="490"/>
      <c r="E6" s="106"/>
      <c r="F6" s="108" t="s">
        <v>115</v>
      </c>
      <c r="G6" s="108" t="s">
        <v>116</v>
      </c>
      <c r="H6" s="109" t="s">
        <v>117</v>
      </c>
      <c r="I6" s="110" t="s">
        <v>118</v>
      </c>
      <c r="J6" s="110" t="s">
        <v>119</v>
      </c>
      <c r="K6" s="110" t="s">
        <v>120</v>
      </c>
      <c r="L6" s="110" t="s">
        <v>121</v>
      </c>
      <c r="M6" s="111" t="s">
        <v>122</v>
      </c>
      <c r="N6" s="110" t="s">
        <v>123</v>
      </c>
      <c r="O6" s="112" t="s">
        <v>124</v>
      </c>
      <c r="P6" s="241"/>
      <c r="Q6" s="242"/>
    </row>
    <row r="7" spans="1:17" ht="30" customHeight="1">
      <c r="A7" s="69"/>
      <c r="B7" s="107" t="s">
        <v>125</v>
      </c>
      <c r="C7" s="485" t="s">
        <v>21</v>
      </c>
      <c r="D7" s="490"/>
      <c r="E7" s="113" t="s">
        <v>126</v>
      </c>
      <c r="F7" s="243">
        <v>270000</v>
      </c>
      <c r="G7" s="328">
        <v>1</v>
      </c>
      <c r="H7" s="244"/>
      <c r="I7" s="245"/>
      <c r="J7" s="245"/>
      <c r="K7" s="245"/>
      <c r="L7" s="245"/>
      <c r="M7" s="246"/>
      <c r="N7" s="247"/>
      <c r="O7" s="248"/>
      <c r="P7" s="249"/>
      <c r="Q7" s="234"/>
    </row>
    <row r="8" spans="1:17" ht="30" customHeight="1">
      <c r="A8" s="69"/>
      <c r="B8" s="107" t="s">
        <v>127</v>
      </c>
      <c r="C8" s="485"/>
      <c r="D8" s="501"/>
      <c r="E8" s="113" t="s">
        <v>128</v>
      </c>
      <c r="F8" s="243">
        <v>235000</v>
      </c>
      <c r="G8" s="328">
        <v>0.87039999999999995</v>
      </c>
      <c r="H8" s="244"/>
      <c r="I8" s="245"/>
      <c r="J8" s="245">
        <v>235000</v>
      </c>
      <c r="K8" s="245"/>
      <c r="L8" s="246"/>
      <c r="M8" s="246"/>
      <c r="N8" s="247"/>
      <c r="O8" s="248"/>
      <c r="P8" s="249"/>
      <c r="Q8" s="234"/>
    </row>
    <row r="9" spans="1:17" ht="30" customHeight="1">
      <c r="A9" s="69"/>
      <c r="B9" s="107" t="s">
        <v>30</v>
      </c>
      <c r="C9" s="485" t="s">
        <v>31</v>
      </c>
      <c r="D9" s="490"/>
      <c r="E9" s="114" t="s">
        <v>129</v>
      </c>
      <c r="F9" s="243">
        <v>235000</v>
      </c>
      <c r="G9" s="328">
        <v>0.87039999999999995</v>
      </c>
      <c r="H9" s="244"/>
      <c r="I9" s="245"/>
      <c r="J9" s="245">
        <v>235000</v>
      </c>
      <c r="K9" s="245"/>
      <c r="L9" s="246"/>
      <c r="M9" s="246"/>
      <c r="N9" s="247"/>
      <c r="O9" s="248"/>
      <c r="P9" s="355"/>
      <c r="Q9" s="356"/>
    </row>
    <row r="10" spans="1:17" ht="30" customHeight="1">
      <c r="A10" s="69"/>
      <c r="B10" s="107" t="s">
        <v>130</v>
      </c>
      <c r="C10" s="485" t="s">
        <v>6</v>
      </c>
      <c r="D10" s="490"/>
      <c r="E10" s="114" t="s">
        <v>131</v>
      </c>
      <c r="F10" s="243"/>
      <c r="G10" s="328"/>
      <c r="H10" s="244"/>
      <c r="I10" s="247"/>
      <c r="J10" s="247"/>
      <c r="K10" s="247"/>
      <c r="L10" s="245"/>
      <c r="M10" s="246"/>
      <c r="N10" s="247"/>
      <c r="O10" s="248"/>
      <c r="P10" s="355"/>
      <c r="Q10" s="250"/>
    </row>
    <row r="11" spans="1:17" ht="30" customHeight="1">
      <c r="A11" s="69"/>
      <c r="B11" s="107" t="s">
        <v>132</v>
      </c>
      <c r="C11" s="485"/>
      <c r="D11" s="490"/>
      <c r="E11" s="114" t="s">
        <v>133</v>
      </c>
      <c r="F11" s="243"/>
      <c r="G11" s="328"/>
      <c r="H11" s="244"/>
      <c r="I11" s="247"/>
      <c r="J11" s="247"/>
      <c r="K11" s="247"/>
      <c r="L11" s="245"/>
      <c r="M11" s="246"/>
      <c r="N11" s="247"/>
      <c r="O11" s="248"/>
      <c r="P11" s="355"/>
      <c r="Q11" s="250"/>
    </row>
    <row r="12" spans="1:17" ht="30" customHeight="1">
      <c r="A12" s="69"/>
      <c r="B12" s="107" t="s">
        <v>134</v>
      </c>
      <c r="C12" s="485" t="s">
        <v>135</v>
      </c>
      <c r="D12" s="501"/>
      <c r="E12" s="113" t="s">
        <v>136</v>
      </c>
      <c r="F12" s="243">
        <v>35000</v>
      </c>
      <c r="G12" s="328">
        <v>0.12959999999999999</v>
      </c>
      <c r="H12" s="244"/>
      <c r="I12" s="247"/>
      <c r="J12" s="247"/>
      <c r="K12" s="247"/>
      <c r="L12" s="245"/>
      <c r="M12" s="246"/>
      <c r="N12" s="247"/>
      <c r="O12" s="248"/>
      <c r="P12" s="355"/>
      <c r="Q12" s="250"/>
    </row>
    <row r="13" spans="1:17" ht="30" customHeight="1">
      <c r="A13" s="69"/>
      <c r="B13" s="107" t="s">
        <v>137</v>
      </c>
      <c r="C13" s="485" t="s">
        <v>138</v>
      </c>
      <c r="D13" s="501"/>
      <c r="E13" s="169" t="s">
        <v>139</v>
      </c>
      <c r="F13" s="243">
        <v>15120</v>
      </c>
      <c r="G13" s="328">
        <v>5.6000000000000001E-2</v>
      </c>
      <c r="H13" s="244"/>
      <c r="I13" s="247"/>
      <c r="J13" s="247"/>
      <c r="K13" s="247"/>
      <c r="L13" s="245"/>
      <c r="M13" s="246"/>
      <c r="N13" s="247"/>
      <c r="O13" s="248"/>
      <c r="P13" s="355"/>
      <c r="Q13" s="250"/>
    </row>
    <row r="14" spans="1:17" ht="30" customHeight="1">
      <c r="A14" s="69"/>
      <c r="B14" s="107" t="s">
        <v>140</v>
      </c>
      <c r="C14" s="485" t="s">
        <v>141</v>
      </c>
      <c r="D14" s="490"/>
      <c r="E14" s="114" t="s">
        <v>142</v>
      </c>
      <c r="F14" s="243">
        <v>10530</v>
      </c>
      <c r="G14" s="328">
        <v>3.9E-2</v>
      </c>
      <c r="H14" s="244"/>
      <c r="I14" s="247"/>
      <c r="J14" s="247"/>
      <c r="K14" s="247"/>
      <c r="L14" s="245"/>
      <c r="M14" s="246"/>
      <c r="N14" s="247"/>
      <c r="O14" s="248"/>
      <c r="P14" s="355"/>
      <c r="Q14" s="250"/>
    </row>
    <row r="15" spans="1:17" ht="30" customHeight="1">
      <c r="A15" s="69"/>
      <c r="B15" s="235" t="s">
        <v>32</v>
      </c>
      <c r="C15" s="505" t="s">
        <v>143</v>
      </c>
      <c r="D15" s="506"/>
      <c r="E15" s="114" t="s">
        <v>144</v>
      </c>
      <c r="F15" s="243">
        <v>4590</v>
      </c>
      <c r="G15" s="328">
        <v>1.7000000000000001E-2</v>
      </c>
      <c r="H15" s="244"/>
      <c r="I15" s="247"/>
      <c r="J15" s="247"/>
      <c r="K15" s="247"/>
      <c r="L15" s="245"/>
      <c r="M15" s="246"/>
      <c r="N15" s="247"/>
      <c r="O15" s="248"/>
      <c r="P15" s="352"/>
      <c r="Q15" s="250"/>
    </row>
    <row r="16" spans="1:17" ht="30" customHeight="1">
      <c r="A16" s="69"/>
      <c r="B16" s="107" t="s">
        <v>145</v>
      </c>
      <c r="C16" s="485" t="s">
        <v>143</v>
      </c>
      <c r="D16" s="490"/>
      <c r="E16" s="113" t="s">
        <v>146</v>
      </c>
      <c r="F16" s="243">
        <v>19880</v>
      </c>
      <c r="G16" s="328">
        <v>7.3599999999999999E-2</v>
      </c>
      <c r="H16" s="244"/>
      <c r="I16" s="247"/>
      <c r="J16" s="247"/>
      <c r="K16" s="247"/>
      <c r="L16" s="245"/>
      <c r="M16" s="246"/>
      <c r="N16" s="247"/>
      <c r="O16" s="248"/>
      <c r="P16" s="355"/>
      <c r="Q16" s="250"/>
    </row>
    <row r="17" spans="1:21" ht="30" customHeight="1">
      <c r="A17" s="69"/>
      <c r="B17" s="492" t="s">
        <v>147</v>
      </c>
      <c r="C17" s="495" t="s">
        <v>148</v>
      </c>
      <c r="D17" s="496"/>
      <c r="E17" s="113" t="s">
        <v>149</v>
      </c>
      <c r="F17" s="243">
        <v>4320</v>
      </c>
      <c r="G17" s="328">
        <v>1.6E-2</v>
      </c>
      <c r="H17" s="244"/>
      <c r="I17" s="247"/>
      <c r="J17" s="247"/>
      <c r="K17" s="247"/>
      <c r="L17" s="245"/>
      <c r="M17" s="246"/>
      <c r="N17" s="247"/>
      <c r="O17" s="248"/>
      <c r="P17" s="355"/>
      <c r="Q17" s="250"/>
    </row>
    <row r="18" spans="1:21" ht="30" customHeight="1">
      <c r="A18" s="69"/>
      <c r="B18" s="493"/>
      <c r="C18" s="497"/>
      <c r="D18" s="498"/>
      <c r="E18" s="168" t="s">
        <v>150</v>
      </c>
      <c r="F18" s="243">
        <v>15560</v>
      </c>
      <c r="G18" s="328">
        <v>5.7599999999999998E-2</v>
      </c>
      <c r="H18" s="244"/>
      <c r="I18" s="247"/>
      <c r="J18" s="247"/>
      <c r="K18" s="247"/>
      <c r="L18" s="245"/>
      <c r="M18" s="246"/>
      <c r="N18" s="247"/>
      <c r="O18" s="248"/>
      <c r="P18" s="355"/>
      <c r="Q18" s="250"/>
    </row>
    <row r="19" spans="1:21" ht="184.5" customHeight="1" thickBot="1">
      <c r="A19" s="69"/>
      <c r="B19" s="494"/>
      <c r="C19" s="499"/>
      <c r="D19" s="500"/>
      <c r="E19" s="173" t="s">
        <v>151</v>
      </c>
      <c r="F19" s="502"/>
      <c r="G19" s="503"/>
      <c r="H19" s="503"/>
      <c r="I19" s="503"/>
      <c r="J19" s="503"/>
      <c r="K19" s="503"/>
      <c r="L19" s="503"/>
      <c r="M19" s="503"/>
      <c r="N19" s="503"/>
      <c r="O19" s="504"/>
      <c r="P19" s="352"/>
      <c r="Q19" s="250"/>
    </row>
    <row r="20" spans="1:21" s="103" customFormat="1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7"/>
      <c r="P20" s="352"/>
      <c r="Q20" s="250"/>
      <c r="R20" s="250"/>
      <c r="S20" s="250"/>
      <c r="T20" s="250"/>
      <c r="U20" s="250"/>
    </row>
    <row r="21" spans="1:21">
      <c r="E21" s="250"/>
      <c r="F21" s="250"/>
      <c r="G21" s="250"/>
      <c r="H21" s="250"/>
      <c r="I21" s="250"/>
      <c r="J21" s="250"/>
      <c r="K21" s="250"/>
    </row>
    <row r="22" spans="1:21">
      <c r="E22" s="250"/>
      <c r="F22" s="250"/>
      <c r="G22" s="250"/>
      <c r="H22" s="250"/>
      <c r="I22" s="250"/>
      <c r="J22" s="250"/>
      <c r="K22" s="250"/>
    </row>
    <row r="23" spans="1:21">
      <c r="E23" s="141"/>
      <c r="F23" s="141"/>
      <c r="G23" s="141"/>
      <c r="H23" s="141"/>
    </row>
  </sheetData>
  <mergeCells count="21">
    <mergeCell ref="F19:O19"/>
    <mergeCell ref="C12:D12"/>
    <mergeCell ref="C13:D13"/>
    <mergeCell ref="C14:D14"/>
    <mergeCell ref="C15:D15"/>
    <mergeCell ref="C16:D16"/>
    <mergeCell ref="B17:B19"/>
    <mergeCell ref="C17:D19"/>
    <mergeCell ref="C6:D6"/>
    <mergeCell ref="C7:D7"/>
    <mergeCell ref="C8:D8"/>
    <mergeCell ref="C9:D9"/>
    <mergeCell ref="C10:D10"/>
    <mergeCell ref="C11:D11"/>
    <mergeCell ref="A2:P2"/>
    <mergeCell ref="M3:O3"/>
    <mergeCell ref="C4:O4"/>
    <mergeCell ref="C5:D5"/>
    <mergeCell ref="F5:G5"/>
    <mergeCell ref="I5:K5"/>
    <mergeCell ref="M5:O5"/>
  </mergeCells>
  <phoneticPr fontId="4"/>
  <pageMargins left="0.70866141732283472" right="0.43307086614173229" top="0.62992125984251968" bottom="0.47244094488188981" header="0.31496062992125984" footer="0.31496062992125984"/>
  <pageSetup paperSize="9" scale="70" fitToHeight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37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152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153</v>
      </c>
      <c r="C3" s="219" t="s">
        <v>19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154</v>
      </c>
      <c r="C5" s="525"/>
      <c r="D5" s="220" t="s">
        <v>155</v>
      </c>
      <c r="E5" s="220" t="s">
        <v>156</v>
      </c>
      <c r="F5" s="220" t="s">
        <v>157</v>
      </c>
      <c r="G5" s="220" t="s">
        <v>158</v>
      </c>
      <c r="H5" s="221" t="s">
        <v>159</v>
      </c>
      <c r="I5" s="220" t="s">
        <v>116</v>
      </c>
      <c r="J5" s="117" t="s">
        <v>160</v>
      </c>
      <c r="K5" s="69"/>
    </row>
    <row r="6" spans="1:11" ht="15.6" customHeight="1">
      <c r="A6" s="69"/>
      <c r="B6" s="222" t="s">
        <v>161</v>
      </c>
      <c r="C6" s="166"/>
      <c r="D6" s="507"/>
      <c r="E6" s="509"/>
      <c r="F6" s="511"/>
      <c r="G6" s="513"/>
      <c r="H6" s="377"/>
      <c r="I6" s="515"/>
      <c r="J6" s="223"/>
      <c r="K6" s="69" t="s">
        <v>162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/>
      <c r="I7" s="521"/>
      <c r="J7" s="226"/>
      <c r="K7" s="69" t="s">
        <v>162</v>
      </c>
    </row>
    <row r="8" spans="1:11" ht="15.6" customHeight="1">
      <c r="A8" s="69"/>
      <c r="B8" s="222" t="s">
        <v>163</v>
      </c>
      <c r="C8" s="166"/>
      <c r="D8" s="507" t="s">
        <v>92</v>
      </c>
      <c r="E8" s="509">
        <v>1</v>
      </c>
      <c r="F8" s="511">
        <v>135000</v>
      </c>
      <c r="G8" s="513">
        <v>135000</v>
      </c>
      <c r="H8" s="377" t="s">
        <v>164</v>
      </c>
      <c r="I8" s="515">
        <v>0.5</v>
      </c>
      <c r="J8" s="227"/>
      <c r="K8" s="69" t="s">
        <v>162</v>
      </c>
    </row>
    <row r="9" spans="1:11" ht="15.6" customHeight="1">
      <c r="A9" s="69"/>
      <c r="B9" s="224" t="s">
        <v>165</v>
      </c>
      <c r="C9" s="225"/>
      <c r="D9" s="517"/>
      <c r="E9" s="518"/>
      <c r="F9" s="519"/>
      <c r="G9" s="520"/>
      <c r="H9" s="378" t="s">
        <v>166</v>
      </c>
      <c r="I9" s="521"/>
      <c r="J9" s="227"/>
      <c r="K9" s="69" t="s">
        <v>162</v>
      </c>
    </row>
    <row r="10" spans="1:11" ht="15.6" customHeight="1">
      <c r="A10" s="69"/>
      <c r="B10" s="222" t="s">
        <v>167</v>
      </c>
      <c r="C10" s="166"/>
      <c r="D10" s="507" t="s">
        <v>92</v>
      </c>
      <c r="E10" s="509">
        <v>1</v>
      </c>
      <c r="F10" s="511">
        <v>100000</v>
      </c>
      <c r="G10" s="513">
        <v>100000</v>
      </c>
      <c r="H10" s="377" t="s">
        <v>168</v>
      </c>
      <c r="I10" s="515">
        <v>0.37030000000000002</v>
      </c>
      <c r="J10" s="223"/>
      <c r="K10" s="69" t="s">
        <v>162</v>
      </c>
    </row>
    <row r="11" spans="1:11" ht="15.6" customHeight="1">
      <c r="A11" s="69"/>
      <c r="B11" s="224" t="s">
        <v>165</v>
      </c>
      <c r="C11" s="225"/>
      <c r="D11" s="517"/>
      <c r="E11" s="518"/>
      <c r="F11" s="519"/>
      <c r="G11" s="520"/>
      <c r="H11" s="378" t="s">
        <v>166</v>
      </c>
      <c r="I11" s="521"/>
      <c r="J11" s="226"/>
      <c r="K11" s="69" t="s">
        <v>162</v>
      </c>
    </row>
    <row r="12" spans="1:11" ht="15.6" customHeight="1">
      <c r="A12" s="69"/>
      <c r="B12" s="222" t="s">
        <v>169</v>
      </c>
      <c r="C12" s="166"/>
      <c r="D12" s="507"/>
      <c r="E12" s="509"/>
      <c r="F12" s="511"/>
      <c r="G12" s="513">
        <v>235000</v>
      </c>
      <c r="H12" s="377"/>
      <c r="I12" s="515">
        <v>0.87039999999999995</v>
      </c>
      <c r="J12" s="223"/>
      <c r="K12" s="69" t="s">
        <v>162</v>
      </c>
    </row>
    <row r="13" spans="1:11" ht="15.6" customHeight="1">
      <c r="A13" s="69"/>
      <c r="B13" s="224"/>
      <c r="C13" s="225"/>
      <c r="D13" s="517"/>
      <c r="E13" s="518"/>
      <c r="F13" s="519"/>
      <c r="G13" s="520"/>
      <c r="H13" s="378"/>
      <c r="I13" s="521"/>
      <c r="J13" s="226"/>
      <c r="K13" s="69" t="s">
        <v>162</v>
      </c>
    </row>
    <row r="14" spans="1:11" ht="15.6" customHeight="1">
      <c r="A14" s="69"/>
      <c r="B14" s="222"/>
      <c r="C14" s="166"/>
      <c r="D14" s="507"/>
      <c r="E14" s="509"/>
      <c r="F14" s="511"/>
      <c r="G14" s="513"/>
      <c r="H14" s="377"/>
      <c r="I14" s="515"/>
      <c r="J14" s="223"/>
      <c r="K14" s="69" t="s">
        <v>162</v>
      </c>
    </row>
    <row r="15" spans="1:11" ht="15.6" customHeight="1">
      <c r="A15" s="69"/>
      <c r="B15" s="224"/>
      <c r="C15" s="225"/>
      <c r="D15" s="517"/>
      <c r="E15" s="518"/>
      <c r="F15" s="519"/>
      <c r="G15" s="520"/>
      <c r="H15" s="378"/>
      <c r="I15" s="521"/>
      <c r="J15" s="226"/>
      <c r="K15" s="69" t="s">
        <v>162</v>
      </c>
    </row>
    <row r="16" spans="1:11" ht="15.6" customHeight="1">
      <c r="A16" s="69"/>
      <c r="B16" s="222" t="s">
        <v>170</v>
      </c>
      <c r="C16" s="166"/>
      <c r="D16" s="507"/>
      <c r="E16" s="509"/>
      <c r="F16" s="511"/>
      <c r="G16" s="513"/>
      <c r="H16" s="377"/>
      <c r="I16" s="515"/>
      <c r="J16" s="223"/>
      <c r="K16" s="69" t="s">
        <v>162</v>
      </c>
    </row>
    <row r="17" spans="1:11" ht="15.6" customHeight="1">
      <c r="A17" s="69"/>
      <c r="B17" s="224"/>
      <c r="C17" s="225"/>
      <c r="D17" s="517"/>
      <c r="E17" s="518"/>
      <c r="F17" s="519"/>
      <c r="G17" s="520"/>
      <c r="H17" s="378"/>
      <c r="I17" s="521"/>
      <c r="J17" s="226"/>
      <c r="K17" s="69" t="s">
        <v>162</v>
      </c>
    </row>
    <row r="18" spans="1:11" ht="15.6" customHeight="1">
      <c r="A18" s="69"/>
      <c r="B18" s="222" t="s">
        <v>171</v>
      </c>
      <c r="C18" s="166"/>
      <c r="D18" s="507"/>
      <c r="E18" s="509"/>
      <c r="F18" s="511"/>
      <c r="G18" s="513"/>
      <c r="H18" s="377"/>
      <c r="I18" s="515"/>
      <c r="J18" s="223"/>
      <c r="K18" s="69" t="s">
        <v>162</v>
      </c>
    </row>
    <row r="19" spans="1:11" ht="15.6" customHeight="1">
      <c r="A19" s="69"/>
      <c r="B19" s="224" t="s">
        <v>172</v>
      </c>
      <c r="C19" s="225"/>
      <c r="D19" s="517"/>
      <c r="E19" s="518"/>
      <c r="F19" s="519"/>
      <c r="G19" s="520"/>
      <c r="H19" s="378"/>
      <c r="I19" s="521"/>
      <c r="J19" s="226"/>
      <c r="K19" s="69" t="s">
        <v>162</v>
      </c>
    </row>
    <row r="20" spans="1:11" ht="15.6" customHeight="1">
      <c r="A20" s="69"/>
      <c r="B20" s="222" t="s">
        <v>173</v>
      </c>
      <c r="C20" s="166"/>
      <c r="D20" s="507"/>
      <c r="E20" s="509"/>
      <c r="F20" s="511"/>
      <c r="G20" s="513"/>
      <c r="H20" s="377"/>
      <c r="I20" s="515"/>
      <c r="J20" s="223"/>
      <c r="K20" s="69" t="s">
        <v>162</v>
      </c>
    </row>
    <row r="21" spans="1:11" ht="15.6" customHeight="1">
      <c r="A21" s="69"/>
      <c r="B21" s="224" t="s">
        <v>172</v>
      </c>
      <c r="C21" s="225"/>
      <c r="D21" s="517"/>
      <c r="E21" s="518"/>
      <c r="F21" s="519"/>
      <c r="G21" s="520"/>
      <c r="H21" s="378"/>
      <c r="I21" s="521"/>
      <c r="J21" s="226"/>
      <c r="K21" s="69" t="s">
        <v>162</v>
      </c>
    </row>
    <row r="22" spans="1:11" ht="15.6" customHeight="1">
      <c r="A22" s="69"/>
      <c r="B22" s="222"/>
      <c r="C22" s="166"/>
      <c r="D22" s="507"/>
      <c r="E22" s="509"/>
      <c r="F22" s="511"/>
      <c r="G22" s="513"/>
      <c r="H22" s="377"/>
      <c r="I22" s="515"/>
      <c r="J22" s="223"/>
      <c r="K22" s="69" t="s">
        <v>162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521"/>
      <c r="J23" s="226"/>
      <c r="K23" s="69" t="s">
        <v>162</v>
      </c>
    </row>
    <row r="24" spans="1:11" ht="15.6" customHeight="1">
      <c r="A24" s="69"/>
      <c r="B24" s="222" t="s">
        <v>174</v>
      </c>
      <c r="C24" s="166"/>
      <c r="D24" s="507"/>
      <c r="E24" s="509"/>
      <c r="F24" s="511"/>
      <c r="G24" s="513">
        <v>235000</v>
      </c>
      <c r="H24" s="377"/>
      <c r="I24" s="515">
        <v>0.87039999999999995</v>
      </c>
      <c r="J24" s="223"/>
      <c r="K24" s="69" t="s">
        <v>162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521"/>
      <c r="J25" s="226"/>
      <c r="K25" s="69" t="s">
        <v>162</v>
      </c>
    </row>
    <row r="26" spans="1:11" ht="15.6" customHeight="1">
      <c r="A26" s="69"/>
      <c r="B26" s="222"/>
      <c r="C26" s="166"/>
      <c r="D26" s="507"/>
      <c r="E26" s="509"/>
      <c r="F26" s="511"/>
      <c r="G26" s="513"/>
      <c r="H26" s="377"/>
      <c r="I26" s="515"/>
      <c r="J26" s="223"/>
      <c r="K26" s="69" t="s">
        <v>162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521"/>
      <c r="J27" s="226"/>
      <c r="K27" s="69" t="s">
        <v>162</v>
      </c>
    </row>
    <row r="28" spans="1:11" ht="15.6" customHeight="1">
      <c r="A28" s="69"/>
      <c r="B28" s="222" t="s">
        <v>175</v>
      </c>
      <c r="C28" s="166"/>
      <c r="D28" s="507"/>
      <c r="E28" s="509"/>
      <c r="F28" s="511"/>
      <c r="G28" s="513">
        <v>35000</v>
      </c>
      <c r="H28" s="377"/>
      <c r="I28" s="515">
        <v>0.12959999999999999</v>
      </c>
      <c r="J28" s="223"/>
      <c r="K28" s="69" t="s">
        <v>162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521"/>
      <c r="J29" s="226"/>
      <c r="K29" s="69" t="s">
        <v>162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515"/>
      <c r="J30" s="223"/>
      <c r="K30" s="69" t="s">
        <v>162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521"/>
      <c r="J31" s="226"/>
      <c r="K31" s="69" t="s">
        <v>162</v>
      </c>
    </row>
    <row r="32" spans="1:11" ht="15.6" customHeight="1">
      <c r="A32" s="69"/>
      <c r="B32" s="222" t="s">
        <v>176</v>
      </c>
      <c r="C32" s="166"/>
      <c r="D32" s="522"/>
      <c r="E32" s="509"/>
      <c r="F32" s="511"/>
      <c r="G32" s="513">
        <v>270000</v>
      </c>
      <c r="H32" s="377"/>
      <c r="I32" s="515">
        <v>1</v>
      </c>
      <c r="J32" s="223"/>
      <c r="K32" s="69" t="s">
        <v>162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521"/>
      <c r="J33" s="226"/>
      <c r="K33" s="69" t="s">
        <v>162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515"/>
      <c r="J34" s="223"/>
      <c r="K34" s="69" t="s">
        <v>162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521"/>
      <c r="J35" s="226"/>
      <c r="K35" s="69" t="s">
        <v>162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515"/>
      <c r="J36" s="223"/>
      <c r="K36" s="69" t="s">
        <v>162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516"/>
      <c r="J37" s="230"/>
      <c r="K37" s="69" t="s">
        <v>162</v>
      </c>
    </row>
  </sheetData>
  <mergeCells count="82">
    <mergeCell ref="D1:G1"/>
    <mergeCell ref="B5:C5"/>
    <mergeCell ref="D6:D7"/>
    <mergeCell ref="E6:E7"/>
    <mergeCell ref="F6:F7"/>
    <mergeCell ref="G6:G7"/>
    <mergeCell ref="I6:I7"/>
    <mergeCell ref="D8:D9"/>
    <mergeCell ref="E8:E9"/>
    <mergeCell ref="F8:F9"/>
    <mergeCell ref="G8:G9"/>
    <mergeCell ref="I8:I9"/>
    <mergeCell ref="D10:D11"/>
    <mergeCell ref="E10:E11"/>
    <mergeCell ref="F10:F11"/>
    <mergeCell ref="G10:G11"/>
    <mergeCell ref="I10:I11"/>
    <mergeCell ref="D12:D13"/>
    <mergeCell ref="E12:E13"/>
    <mergeCell ref="F12:F13"/>
    <mergeCell ref="G12:G13"/>
    <mergeCell ref="I12:I13"/>
    <mergeCell ref="D14:D15"/>
    <mergeCell ref="E14:E15"/>
    <mergeCell ref="F14:F15"/>
    <mergeCell ref="G14:G15"/>
    <mergeCell ref="I14:I15"/>
    <mergeCell ref="D16:D17"/>
    <mergeCell ref="E16:E17"/>
    <mergeCell ref="F16:F17"/>
    <mergeCell ref="G16:G17"/>
    <mergeCell ref="I16:I17"/>
    <mergeCell ref="D18:D19"/>
    <mergeCell ref="E18:E19"/>
    <mergeCell ref="F18:F19"/>
    <mergeCell ref="G18:G19"/>
    <mergeCell ref="I18:I19"/>
    <mergeCell ref="D20:D21"/>
    <mergeCell ref="E20:E21"/>
    <mergeCell ref="F20:F21"/>
    <mergeCell ref="G20:G21"/>
    <mergeCell ref="I20:I21"/>
    <mergeCell ref="D22:D23"/>
    <mergeCell ref="E22:E23"/>
    <mergeCell ref="F22:F23"/>
    <mergeCell ref="G22:G23"/>
    <mergeCell ref="I22:I23"/>
    <mergeCell ref="D24:D25"/>
    <mergeCell ref="E24:E25"/>
    <mergeCell ref="F24:F25"/>
    <mergeCell ref="G24:G25"/>
    <mergeCell ref="I24:I25"/>
    <mergeCell ref="D26:D27"/>
    <mergeCell ref="E26:E27"/>
    <mergeCell ref="F26:F27"/>
    <mergeCell ref="G26:G27"/>
    <mergeCell ref="I26:I27"/>
    <mergeCell ref="D28:D29"/>
    <mergeCell ref="E28:E29"/>
    <mergeCell ref="F28:F29"/>
    <mergeCell ref="G28:G29"/>
    <mergeCell ref="I28:I29"/>
    <mergeCell ref="D30:D31"/>
    <mergeCell ref="E30:E31"/>
    <mergeCell ref="F30:F31"/>
    <mergeCell ref="G30:G31"/>
    <mergeCell ref="I30:I31"/>
    <mergeCell ref="D32:D33"/>
    <mergeCell ref="E32:E33"/>
    <mergeCell ref="F32:F33"/>
    <mergeCell ref="G32:G33"/>
    <mergeCell ref="I32:I33"/>
    <mergeCell ref="D34:D35"/>
    <mergeCell ref="E34:E35"/>
    <mergeCell ref="F34:F35"/>
    <mergeCell ref="G34:G35"/>
    <mergeCell ref="I34:I35"/>
    <mergeCell ref="D36:D37"/>
    <mergeCell ref="E36:E37"/>
    <mergeCell ref="F36:F37"/>
    <mergeCell ref="G36:G37"/>
    <mergeCell ref="I36:I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4DBB-FAC6-4DB6-9351-18223346DDA7}">
  <sheetPr codeName="Sheet4">
    <pageSetUpPr fitToPage="1"/>
  </sheetPr>
  <dimension ref="A1:K37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129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153</v>
      </c>
      <c r="C3" s="219" t="s">
        <v>177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154</v>
      </c>
      <c r="C5" s="525"/>
      <c r="D5" s="220" t="s">
        <v>155</v>
      </c>
      <c r="E5" s="220" t="s">
        <v>156</v>
      </c>
      <c r="F5" s="220" t="s">
        <v>157</v>
      </c>
      <c r="G5" s="220" t="s">
        <v>158</v>
      </c>
      <c r="H5" s="221" t="s">
        <v>159</v>
      </c>
      <c r="I5" s="220" t="s">
        <v>178</v>
      </c>
      <c r="J5" s="117" t="s">
        <v>160</v>
      </c>
      <c r="K5" s="69"/>
    </row>
    <row r="6" spans="1:11" ht="15.6" customHeight="1">
      <c r="A6" s="69"/>
      <c r="B6" s="222" t="s">
        <v>51</v>
      </c>
      <c r="C6" s="166"/>
      <c r="D6" s="507" t="s">
        <v>92</v>
      </c>
      <c r="E6" s="509">
        <v>1</v>
      </c>
      <c r="F6" s="511">
        <v>135000</v>
      </c>
      <c r="G6" s="513">
        <v>135000</v>
      </c>
      <c r="H6" s="377" t="s">
        <v>164</v>
      </c>
      <c r="I6" s="377"/>
      <c r="J6" s="223"/>
      <c r="K6" s="69" t="s">
        <v>162</v>
      </c>
    </row>
    <row r="7" spans="1:11" ht="15.6" customHeight="1">
      <c r="A7" s="69"/>
      <c r="B7" s="224" t="s">
        <v>91</v>
      </c>
      <c r="C7" s="225"/>
      <c r="D7" s="517"/>
      <c r="E7" s="518"/>
      <c r="F7" s="519"/>
      <c r="G7" s="520"/>
      <c r="H7" s="378" t="s">
        <v>166</v>
      </c>
      <c r="I7" s="378"/>
      <c r="J7" s="226"/>
      <c r="K7" s="69" t="s">
        <v>162</v>
      </c>
    </row>
    <row r="8" spans="1:11" ht="15.6" customHeight="1">
      <c r="A8" s="69"/>
      <c r="B8" s="222" t="s">
        <v>52</v>
      </c>
      <c r="C8" s="166"/>
      <c r="D8" s="507" t="s">
        <v>92</v>
      </c>
      <c r="E8" s="509">
        <v>1</v>
      </c>
      <c r="F8" s="511">
        <v>100000</v>
      </c>
      <c r="G8" s="513">
        <v>100000</v>
      </c>
      <c r="H8" s="377" t="s">
        <v>168</v>
      </c>
      <c r="I8" s="377"/>
      <c r="J8" s="227"/>
      <c r="K8" s="69" t="s">
        <v>162</v>
      </c>
    </row>
    <row r="9" spans="1:11" ht="15.6" customHeight="1">
      <c r="A9" s="69"/>
      <c r="B9" s="224" t="s">
        <v>91</v>
      </c>
      <c r="C9" s="225"/>
      <c r="D9" s="517"/>
      <c r="E9" s="518"/>
      <c r="F9" s="519"/>
      <c r="G9" s="520"/>
      <c r="H9" s="378" t="s">
        <v>166</v>
      </c>
      <c r="I9" s="378"/>
      <c r="J9" s="227"/>
      <c r="K9" s="69" t="s">
        <v>162</v>
      </c>
    </row>
    <row r="10" spans="1:11" ht="15.6" customHeight="1">
      <c r="A10" s="69"/>
      <c r="B10" s="222"/>
      <c r="C10" s="166"/>
      <c r="D10" s="507"/>
      <c r="E10" s="509"/>
      <c r="F10" s="511"/>
      <c r="G10" s="513"/>
      <c r="H10" s="377"/>
      <c r="I10" s="377"/>
      <c r="J10" s="223"/>
      <c r="K10" s="69" t="s">
        <v>162</v>
      </c>
    </row>
    <row r="11" spans="1:11" ht="15.6" customHeight="1">
      <c r="A11" s="69"/>
      <c r="B11" s="224"/>
      <c r="C11" s="225"/>
      <c r="D11" s="517"/>
      <c r="E11" s="518"/>
      <c r="F11" s="519"/>
      <c r="G11" s="520"/>
      <c r="H11" s="378"/>
      <c r="I11" s="378"/>
      <c r="J11" s="226"/>
      <c r="K11" s="69" t="s">
        <v>162</v>
      </c>
    </row>
    <row r="12" spans="1:11" ht="15.6" customHeight="1">
      <c r="A12" s="69"/>
      <c r="B12" s="222" t="s">
        <v>179</v>
      </c>
      <c r="C12" s="166"/>
      <c r="D12" s="507"/>
      <c r="E12" s="509"/>
      <c r="F12" s="511"/>
      <c r="G12" s="513">
        <v>235000</v>
      </c>
      <c r="H12" s="377"/>
      <c r="I12" s="377"/>
      <c r="J12" s="223"/>
      <c r="K12" s="69" t="s">
        <v>162</v>
      </c>
    </row>
    <row r="13" spans="1:11" ht="15.6" customHeight="1">
      <c r="A13" s="69"/>
      <c r="B13" s="224"/>
      <c r="C13" s="225"/>
      <c r="D13" s="517"/>
      <c r="E13" s="518"/>
      <c r="F13" s="519"/>
      <c r="G13" s="520"/>
      <c r="H13" s="378"/>
      <c r="I13" s="378"/>
      <c r="J13" s="226"/>
      <c r="K13" s="69" t="s">
        <v>162</v>
      </c>
    </row>
    <row r="14" spans="1:11" ht="15.6" customHeight="1">
      <c r="A14" s="69"/>
      <c r="B14" s="222"/>
      <c r="C14" s="166"/>
      <c r="D14" s="507"/>
      <c r="E14" s="509"/>
      <c r="F14" s="511"/>
      <c r="G14" s="513"/>
      <c r="H14" s="377"/>
      <c r="I14" s="377"/>
      <c r="J14" s="223"/>
      <c r="K14" s="69" t="s">
        <v>162</v>
      </c>
    </row>
    <row r="15" spans="1:11" ht="15.6" customHeight="1">
      <c r="A15" s="69"/>
      <c r="B15" s="224"/>
      <c r="C15" s="225"/>
      <c r="D15" s="517"/>
      <c r="E15" s="518"/>
      <c r="F15" s="519"/>
      <c r="G15" s="520"/>
      <c r="H15" s="378"/>
      <c r="I15" s="378"/>
      <c r="J15" s="226"/>
      <c r="K15" s="69" t="s">
        <v>162</v>
      </c>
    </row>
    <row r="16" spans="1:11" ht="15.6" customHeight="1">
      <c r="A16" s="69"/>
      <c r="B16" s="222"/>
      <c r="C16" s="166"/>
      <c r="D16" s="507"/>
      <c r="E16" s="509"/>
      <c r="F16" s="511"/>
      <c r="G16" s="513"/>
      <c r="H16" s="377"/>
      <c r="I16" s="377"/>
      <c r="J16" s="223"/>
      <c r="K16" s="69" t="s">
        <v>162</v>
      </c>
    </row>
    <row r="17" spans="1:11" ht="15.6" customHeight="1">
      <c r="A17" s="69"/>
      <c r="B17" s="224"/>
      <c r="C17" s="225"/>
      <c r="D17" s="517"/>
      <c r="E17" s="518"/>
      <c r="F17" s="519"/>
      <c r="G17" s="520"/>
      <c r="H17" s="378"/>
      <c r="I17" s="378"/>
      <c r="J17" s="226"/>
      <c r="K17" s="69" t="s">
        <v>162</v>
      </c>
    </row>
    <row r="18" spans="1:11" ht="15.6" customHeight="1">
      <c r="A18" s="69"/>
      <c r="B18" s="222"/>
      <c r="C18" s="166"/>
      <c r="D18" s="507"/>
      <c r="E18" s="509"/>
      <c r="F18" s="511"/>
      <c r="G18" s="513"/>
      <c r="H18" s="377"/>
      <c r="I18" s="377"/>
      <c r="J18" s="223"/>
      <c r="K18" s="69" t="s">
        <v>162</v>
      </c>
    </row>
    <row r="19" spans="1:11" ht="15.6" customHeight="1">
      <c r="A19" s="69"/>
      <c r="B19" s="224"/>
      <c r="C19" s="225"/>
      <c r="D19" s="517"/>
      <c r="E19" s="518"/>
      <c r="F19" s="519"/>
      <c r="G19" s="520"/>
      <c r="H19" s="378"/>
      <c r="I19" s="378"/>
      <c r="J19" s="226"/>
      <c r="K19" s="69" t="s">
        <v>162</v>
      </c>
    </row>
    <row r="20" spans="1:11" ht="15.6" customHeight="1">
      <c r="A20" s="69"/>
      <c r="B20" s="222"/>
      <c r="C20" s="166"/>
      <c r="D20" s="507"/>
      <c r="E20" s="509"/>
      <c r="F20" s="511"/>
      <c r="G20" s="513"/>
      <c r="H20" s="377"/>
      <c r="I20" s="377"/>
      <c r="J20" s="223"/>
      <c r="K20" s="69" t="s">
        <v>162</v>
      </c>
    </row>
    <row r="21" spans="1:11" ht="15.6" customHeight="1">
      <c r="A21" s="69"/>
      <c r="B21" s="224"/>
      <c r="C21" s="225"/>
      <c r="D21" s="517"/>
      <c r="E21" s="518"/>
      <c r="F21" s="519"/>
      <c r="G21" s="520"/>
      <c r="H21" s="378"/>
      <c r="I21" s="378"/>
      <c r="J21" s="226"/>
      <c r="K21" s="69" t="s">
        <v>162</v>
      </c>
    </row>
    <row r="22" spans="1:11" ht="15.6" customHeight="1">
      <c r="A22" s="69"/>
      <c r="B22" s="222"/>
      <c r="C22" s="166"/>
      <c r="D22" s="507"/>
      <c r="E22" s="509"/>
      <c r="F22" s="511"/>
      <c r="G22" s="513"/>
      <c r="H22" s="377"/>
      <c r="I22" s="377"/>
      <c r="J22" s="223"/>
      <c r="K22" s="69" t="s">
        <v>162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378"/>
      <c r="J23" s="226"/>
      <c r="K23" s="69" t="s">
        <v>162</v>
      </c>
    </row>
    <row r="24" spans="1:11" ht="15.6" customHeight="1">
      <c r="A24" s="69"/>
      <c r="B24" s="222"/>
      <c r="C24" s="166"/>
      <c r="D24" s="507"/>
      <c r="E24" s="509"/>
      <c r="F24" s="511"/>
      <c r="G24" s="513"/>
      <c r="H24" s="377"/>
      <c r="I24" s="377"/>
      <c r="J24" s="223"/>
      <c r="K24" s="69" t="s">
        <v>162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378"/>
      <c r="J25" s="226"/>
      <c r="K25" s="69" t="s">
        <v>162</v>
      </c>
    </row>
    <row r="26" spans="1:11" ht="15.6" customHeight="1">
      <c r="A26" s="69"/>
      <c r="B26" s="222"/>
      <c r="C26" s="166"/>
      <c r="D26" s="507"/>
      <c r="E26" s="509"/>
      <c r="F26" s="511"/>
      <c r="G26" s="513"/>
      <c r="H26" s="377"/>
      <c r="I26" s="377"/>
      <c r="J26" s="223"/>
      <c r="K26" s="69" t="s">
        <v>162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378"/>
      <c r="J27" s="226"/>
      <c r="K27" s="69" t="s">
        <v>162</v>
      </c>
    </row>
    <row r="28" spans="1:11" ht="15.6" customHeight="1">
      <c r="A28" s="69"/>
      <c r="B28" s="222"/>
      <c r="C28" s="166"/>
      <c r="D28" s="507"/>
      <c r="E28" s="509"/>
      <c r="F28" s="511"/>
      <c r="G28" s="513"/>
      <c r="H28" s="377"/>
      <c r="I28" s="377"/>
      <c r="J28" s="223"/>
      <c r="K28" s="69" t="s">
        <v>162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378"/>
      <c r="J29" s="226"/>
      <c r="K29" s="69" t="s">
        <v>162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377"/>
      <c r="J30" s="223"/>
      <c r="K30" s="69" t="s">
        <v>162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378"/>
      <c r="J31" s="226"/>
      <c r="K31" s="69" t="s">
        <v>162</v>
      </c>
    </row>
    <row r="32" spans="1:11" ht="15.6" customHeight="1">
      <c r="A32" s="69"/>
      <c r="B32" s="222"/>
      <c r="C32" s="166"/>
      <c r="D32" s="522"/>
      <c r="E32" s="509"/>
      <c r="F32" s="511"/>
      <c r="G32" s="513"/>
      <c r="H32" s="377"/>
      <c r="I32" s="377"/>
      <c r="J32" s="223"/>
      <c r="K32" s="69" t="s">
        <v>162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378"/>
      <c r="J33" s="226"/>
      <c r="K33" s="69" t="s">
        <v>162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377"/>
      <c r="J34" s="223"/>
      <c r="K34" s="69" t="s">
        <v>162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378"/>
      <c r="J35" s="226"/>
      <c r="K35" s="69" t="s">
        <v>162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377"/>
      <c r="J36" s="223"/>
      <c r="K36" s="69" t="s">
        <v>162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380"/>
      <c r="J37" s="230"/>
      <c r="K37" s="69" t="s">
        <v>162</v>
      </c>
    </row>
  </sheetData>
  <mergeCells count="6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AF17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泉南りんくうロングパークサッカー場部分修繕工事</v>
      </c>
      <c r="G1" s="300"/>
      <c r="H1" s="190" t="s">
        <v>180</v>
      </c>
      <c r="I1" s="327">
        <v>270000</v>
      </c>
      <c r="J1" s="333">
        <f>I4/I$1</f>
        <v>0.87037037037037035</v>
      </c>
      <c r="K1" s="193"/>
      <c r="L1" s="194">
        <v>3</v>
      </c>
      <c r="M1" s="195"/>
      <c r="N1" s="195"/>
      <c r="O1" s="300"/>
      <c r="P1" s="190" t="s">
        <v>126</v>
      </c>
      <c r="Q1" s="191"/>
      <c r="R1" s="196" t="e">
        <v>#DIV/0!</v>
      </c>
      <c r="S1" s="193"/>
      <c r="T1" s="194">
        <v>3</v>
      </c>
      <c r="U1" s="195"/>
      <c r="V1" s="195"/>
      <c r="X1" s="190" t="s">
        <v>126</v>
      </c>
      <c r="Y1" s="191"/>
      <c r="Z1" s="192" t="e"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181</v>
      </c>
      <c r="B2" s="198" t="s">
        <v>182</v>
      </c>
      <c r="C2" s="200" t="s">
        <v>183</v>
      </c>
      <c r="D2" s="200" t="s">
        <v>184</v>
      </c>
      <c r="E2" s="200" t="s">
        <v>185</v>
      </c>
      <c r="F2" s="200" t="s">
        <v>155</v>
      </c>
      <c r="G2" s="526" t="s">
        <v>186</v>
      </c>
      <c r="H2" s="527"/>
      <c r="I2" s="527"/>
      <c r="J2" s="527"/>
      <c r="K2" s="527"/>
      <c r="L2" s="527"/>
      <c r="M2" s="527"/>
      <c r="N2" s="528"/>
      <c r="O2" s="526" t="s">
        <v>187</v>
      </c>
      <c r="P2" s="527"/>
      <c r="Q2" s="527"/>
      <c r="R2" s="527"/>
      <c r="S2" s="527"/>
      <c r="T2" s="527"/>
      <c r="U2" s="527"/>
      <c r="V2" s="528"/>
      <c r="W2" s="526" t="s">
        <v>188</v>
      </c>
      <c r="X2" s="527"/>
      <c r="Y2" s="527"/>
      <c r="Z2" s="527"/>
      <c r="AA2" s="527"/>
      <c r="AB2" s="527"/>
      <c r="AC2" s="527"/>
      <c r="AD2" s="528"/>
      <c r="AE2" s="199" t="s">
        <v>189</v>
      </c>
      <c r="AF2" s="529" t="s">
        <v>160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156</v>
      </c>
      <c r="H3" s="205" t="s">
        <v>157</v>
      </c>
      <c r="I3" s="205" t="s">
        <v>158</v>
      </c>
      <c r="J3" s="206" t="s">
        <v>190</v>
      </c>
      <c r="K3" s="207"/>
      <c r="L3" s="208" t="s">
        <v>191</v>
      </c>
      <c r="M3" s="208" t="s">
        <v>192</v>
      </c>
      <c r="N3" s="209" t="s">
        <v>159</v>
      </c>
      <c r="O3" s="204" t="s">
        <v>156</v>
      </c>
      <c r="P3" s="205" t="s">
        <v>157</v>
      </c>
      <c r="Q3" s="205" t="s">
        <v>158</v>
      </c>
      <c r="R3" s="206" t="s">
        <v>190</v>
      </c>
      <c r="S3" s="210"/>
      <c r="T3" s="208" t="s">
        <v>191</v>
      </c>
      <c r="U3" s="208" t="s">
        <v>192</v>
      </c>
      <c r="V3" s="209" t="s">
        <v>159</v>
      </c>
      <c r="W3" s="204" t="s">
        <v>156</v>
      </c>
      <c r="X3" s="205" t="s">
        <v>157</v>
      </c>
      <c r="Y3" s="205" t="s">
        <v>158</v>
      </c>
      <c r="Z3" s="206" t="s">
        <v>190</v>
      </c>
      <c r="AA3" s="207"/>
      <c r="AB3" s="208" t="s">
        <v>191</v>
      </c>
      <c r="AC3" s="208" t="s">
        <v>192</v>
      </c>
      <c r="AD3" s="209" t="s">
        <v>159</v>
      </c>
      <c r="AE3" s="202"/>
      <c r="AF3" s="530"/>
    </row>
    <row r="4" spans="1:32">
      <c r="A4" s="301">
        <v>0</v>
      </c>
      <c r="B4" s="336"/>
      <c r="C4" s="336" t="s">
        <v>193</v>
      </c>
      <c r="D4" s="334" t="s">
        <v>109</v>
      </c>
      <c r="E4" s="336"/>
      <c r="F4" s="339" t="s">
        <v>92</v>
      </c>
      <c r="G4" s="302">
        <v>1</v>
      </c>
      <c r="H4" s="303">
        <v>235000</v>
      </c>
      <c r="I4" s="303">
        <v>235000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04">
        <v>0</v>
      </c>
      <c r="P4" s="305">
        <v>0</v>
      </c>
      <c r="Q4" s="305">
        <v>0</v>
      </c>
      <c r="R4" s="211">
        <v>0</v>
      </c>
      <c r="S4" s="212" t="s">
        <v>194</v>
      </c>
      <c r="T4" s="213" t="e">
        <v>#DIV/0!</v>
      </c>
      <c r="U4" s="214" t="s">
        <v>194</v>
      </c>
      <c r="V4" s="215" t="s">
        <v>194</v>
      </c>
      <c r="W4" s="304">
        <v>0</v>
      </c>
      <c r="X4" s="305">
        <v>0</v>
      </c>
      <c r="Y4" s="305">
        <v>0</v>
      </c>
      <c r="Z4" s="211">
        <v>0</v>
      </c>
      <c r="AA4" s="212" t="s">
        <v>194</v>
      </c>
      <c r="AB4" s="213" t="e">
        <v>#DIV/0!</v>
      </c>
      <c r="AC4" s="214" t="s">
        <v>194</v>
      </c>
      <c r="AD4" s="215" t="s">
        <v>194</v>
      </c>
      <c r="AE4" s="336" t="s">
        <v>194</v>
      </c>
      <c r="AF4" s="335" t="s">
        <v>194</v>
      </c>
    </row>
    <row r="5" spans="1:32">
      <c r="A5" s="301">
        <v>1</v>
      </c>
      <c r="B5" s="336"/>
      <c r="C5" s="336" t="s">
        <v>195</v>
      </c>
      <c r="D5" s="334" t="s">
        <v>196</v>
      </c>
      <c r="E5" s="336"/>
      <c r="F5" s="339" t="s">
        <v>92</v>
      </c>
      <c r="G5" s="302">
        <v>1</v>
      </c>
      <c r="H5" s="303">
        <v>235000</v>
      </c>
      <c r="I5" s="303">
        <v>235000</v>
      </c>
      <c r="J5" s="211"/>
      <c r="K5" s="212" t="str">
        <f>IF(OR(J5="",G5=J5),"","*")</f>
        <v/>
      </c>
      <c r="L5" s="332">
        <f>IF($A5&lt;=L$1,I5/I$4,"")</f>
        <v>1</v>
      </c>
      <c r="M5" s="337"/>
      <c r="N5" s="338"/>
      <c r="O5" s="304">
        <v>0</v>
      </c>
      <c r="P5" s="305">
        <v>0</v>
      </c>
      <c r="Q5" s="305">
        <v>0</v>
      </c>
      <c r="R5" s="211">
        <v>0</v>
      </c>
      <c r="S5" s="212" t="s">
        <v>194</v>
      </c>
      <c r="T5" s="213" t="e">
        <v>#DIV/0!</v>
      </c>
      <c r="U5" s="214" t="s">
        <v>194</v>
      </c>
      <c r="V5" s="215" t="s">
        <v>194</v>
      </c>
      <c r="W5" s="304">
        <v>0</v>
      </c>
      <c r="X5" s="305">
        <v>0</v>
      </c>
      <c r="Y5" s="305">
        <v>0</v>
      </c>
      <c r="Z5" s="211">
        <v>0</v>
      </c>
      <c r="AA5" s="212" t="s">
        <v>194</v>
      </c>
      <c r="AB5" s="213" t="e">
        <v>#DIV/0!</v>
      </c>
      <c r="AC5" s="214" t="s">
        <v>194</v>
      </c>
      <c r="AD5" s="215" t="s">
        <v>194</v>
      </c>
      <c r="AE5" s="336" t="s">
        <v>194</v>
      </c>
      <c r="AF5" s="335" t="s">
        <v>194</v>
      </c>
    </row>
    <row r="6" spans="1:32">
      <c r="A6" s="301">
        <v>2</v>
      </c>
      <c r="B6" s="336"/>
      <c r="C6" s="336" t="s">
        <v>197</v>
      </c>
      <c r="D6" s="334" t="s">
        <v>198</v>
      </c>
      <c r="E6" s="336" t="s">
        <v>91</v>
      </c>
      <c r="F6" s="339" t="s">
        <v>92</v>
      </c>
      <c r="G6" s="302">
        <v>1</v>
      </c>
      <c r="H6" s="303">
        <v>135000</v>
      </c>
      <c r="I6" s="303">
        <v>135000</v>
      </c>
      <c r="J6" s="211">
        <v>1</v>
      </c>
      <c r="K6" s="212" t="str">
        <f>IF(OR(J6="",G6=J6),"","*")</f>
        <v/>
      </c>
      <c r="L6" s="332">
        <f>IF($A6&lt;=L$1,I6/I$4,"")</f>
        <v>0.57446808510638303</v>
      </c>
      <c r="M6" s="337"/>
      <c r="N6" s="338" t="s">
        <v>199</v>
      </c>
      <c r="O6" s="304">
        <v>0</v>
      </c>
      <c r="P6" s="305">
        <v>0</v>
      </c>
      <c r="Q6" s="305">
        <v>0</v>
      </c>
      <c r="R6" s="211">
        <v>0</v>
      </c>
      <c r="S6" s="212" t="s">
        <v>194</v>
      </c>
      <c r="T6" s="213" t="e">
        <v>#DIV/0!</v>
      </c>
      <c r="U6" s="214" t="s">
        <v>194</v>
      </c>
      <c r="V6" s="215" t="s">
        <v>194</v>
      </c>
      <c r="W6" s="304">
        <v>0</v>
      </c>
      <c r="X6" s="305">
        <v>0</v>
      </c>
      <c r="Y6" s="305">
        <v>0</v>
      </c>
      <c r="Z6" s="211">
        <v>0</v>
      </c>
      <c r="AA6" s="212" t="s">
        <v>194</v>
      </c>
      <c r="AB6" s="213" t="e">
        <v>#DIV/0!</v>
      </c>
      <c r="AC6" s="214" t="s">
        <v>194</v>
      </c>
      <c r="AD6" s="215" t="s">
        <v>194</v>
      </c>
      <c r="AE6" s="336" t="s">
        <v>194</v>
      </c>
      <c r="AF6" s="335" t="s">
        <v>194</v>
      </c>
    </row>
    <row r="7" spans="1:32">
      <c r="A7" s="301">
        <v>3</v>
      </c>
      <c r="B7" s="336"/>
      <c r="C7" s="336" t="s">
        <v>119</v>
      </c>
      <c r="D7" s="334" t="s">
        <v>200</v>
      </c>
      <c r="E7" s="336"/>
      <c r="F7" s="339" t="s">
        <v>92</v>
      </c>
      <c r="G7" s="302">
        <v>1</v>
      </c>
      <c r="H7" s="303">
        <v>15000</v>
      </c>
      <c r="I7" s="303">
        <v>15000</v>
      </c>
      <c r="J7" s="211"/>
      <c r="K7" s="212" t="str">
        <f>IF(OR(J7="",G7=J7),"","*")</f>
        <v/>
      </c>
      <c r="L7" s="332">
        <f>IF($A7&lt;=L$1,I7/I$4,"")</f>
        <v>6.3829787234042548E-2</v>
      </c>
      <c r="M7" s="337"/>
      <c r="N7" s="338"/>
      <c r="O7" s="304">
        <v>0</v>
      </c>
      <c r="P7" s="305">
        <v>0</v>
      </c>
      <c r="Q7" s="305">
        <v>0</v>
      </c>
      <c r="R7" s="211">
        <v>0</v>
      </c>
      <c r="S7" s="212" t="s">
        <v>194</v>
      </c>
      <c r="T7" s="213" t="e">
        <v>#DIV/0!</v>
      </c>
      <c r="U7" s="214" t="s">
        <v>194</v>
      </c>
      <c r="V7" s="215" t="s">
        <v>194</v>
      </c>
      <c r="W7" s="304">
        <v>0</v>
      </c>
      <c r="X7" s="305">
        <v>0</v>
      </c>
      <c r="Y7" s="305">
        <v>0</v>
      </c>
      <c r="Z7" s="211">
        <v>0</v>
      </c>
      <c r="AA7" s="212" t="s">
        <v>194</v>
      </c>
      <c r="AB7" s="213" t="e">
        <v>#DIV/0!</v>
      </c>
      <c r="AC7" s="214" t="s">
        <v>194</v>
      </c>
      <c r="AD7" s="215" t="s">
        <v>194</v>
      </c>
      <c r="AE7" s="336" t="s">
        <v>194</v>
      </c>
      <c r="AF7" s="335" t="s">
        <v>194</v>
      </c>
    </row>
    <row r="8" spans="1:32">
      <c r="A8" s="301">
        <v>3</v>
      </c>
      <c r="B8" s="336"/>
      <c r="C8" s="336" t="s">
        <v>119</v>
      </c>
      <c r="D8" s="334" t="s">
        <v>201</v>
      </c>
      <c r="E8" s="336" t="s">
        <v>202</v>
      </c>
      <c r="F8" s="339" t="s">
        <v>203</v>
      </c>
      <c r="G8" s="302">
        <v>2</v>
      </c>
      <c r="H8" s="303">
        <v>3500</v>
      </c>
      <c r="I8" s="303">
        <v>7000</v>
      </c>
      <c r="J8" s="211"/>
      <c r="K8" s="212" t="str">
        <f>IF(OR(J8="",G8=J8),"","*")</f>
        <v/>
      </c>
      <c r="L8" s="332">
        <f>IF($A8&lt;=L$1,I8/I$4,"")</f>
        <v>2.9787234042553193E-2</v>
      </c>
      <c r="M8" s="337"/>
      <c r="N8" s="338"/>
      <c r="O8" s="304">
        <v>0</v>
      </c>
      <c r="P8" s="305">
        <v>0</v>
      </c>
      <c r="Q8" s="305">
        <v>0</v>
      </c>
      <c r="R8" s="211">
        <v>0</v>
      </c>
      <c r="S8" s="212" t="s">
        <v>194</v>
      </c>
      <c r="T8" s="213" t="e">
        <v>#DIV/0!</v>
      </c>
      <c r="U8" s="214" t="s">
        <v>194</v>
      </c>
      <c r="V8" s="215" t="s">
        <v>194</v>
      </c>
      <c r="W8" s="304">
        <v>0</v>
      </c>
      <c r="X8" s="305">
        <v>0</v>
      </c>
      <c r="Y8" s="305">
        <v>0</v>
      </c>
      <c r="Z8" s="211">
        <v>0</v>
      </c>
      <c r="AA8" s="212" t="s">
        <v>194</v>
      </c>
      <c r="AB8" s="213" t="e">
        <v>#DIV/0!</v>
      </c>
      <c r="AC8" s="214" t="s">
        <v>194</v>
      </c>
      <c r="AD8" s="215" t="s">
        <v>194</v>
      </c>
      <c r="AE8" s="336" t="s">
        <v>194</v>
      </c>
      <c r="AF8" s="335" t="s">
        <v>194</v>
      </c>
    </row>
    <row r="9" spans="1:32">
      <c r="A9" s="301">
        <v>3</v>
      </c>
      <c r="B9" s="336"/>
      <c r="C9" s="336" t="s">
        <v>119</v>
      </c>
      <c r="D9" s="334" t="s">
        <v>204</v>
      </c>
      <c r="E9" s="336" t="s">
        <v>205</v>
      </c>
      <c r="F9" s="339" t="s">
        <v>206</v>
      </c>
      <c r="G9" s="302">
        <v>1</v>
      </c>
      <c r="H9" s="303">
        <v>9200</v>
      </c>
      <c r="I9" s="303">
        <v>9200</v>
      </c>
      <c r="J9" s="211"/>
      <c r="K9" s="212" t="str">
        <f>IF(OR(J9="",G9=J9),"","*")</f>
        <v/>
      </c>
      <c r="L9" s="332">
        <f>IF($A9&lt;=L$1,I9/I$4,"")</f>
        <v>3.9148936170212763E-2</v>
      </c>
      <c r="M9" s="337"/>
      <c r="N9" s="338"/>
      <c r="O9" s="304">
        <v>0</v>
      </c>
      <c r="P9" s="305">
        <v>0</v>
      </c>
      <c r="Q9" s="305">
        <v>0</v>
      </c>
      <c r="R9" s="211">
        <v>0</v>
      </c>
      <c r="S9" s="212" t="s">
        <v>194</v>
      </c>
      <c r="T9" s="213" t="e">
        <v>#DIV/0!</v>
      </c>
      <c r="U9" s="214" t="s">
        <v>194</v>
      </c>
      <c r="V9" s="215" t="s">
        <v>194</v>
      </c>
      <c r="W9" s="304">
        <v>0</v>
      </c>
      <c r="X9" s="305">
        <v>0</v>
      </c>
      <c r="Y9" s="305">
        <v>0</v>
      </c>
      <c r="Z9" s="211">
        <v>0</v>
      </c>
      <c r="AA9" s="212" t="s">
        <v>194</v>
      </c>
      <c r="AB9" s="213" t="e">
        <v>#DIV/0!</v>
      </c>
      <c r="AC9" s="214" t="s">
        <v>194</v>
      </c>
      <c r="AD9" s="215" t="s">
        <v>194</v>
      </c>
      <c r="AE9" s="336" t="s">
        <v>194</v>
      </c>
      <c r="AF9" s="335" t="s">
        <v>194</v>
      </c>
    </row>
    <row r="10" spans="1:32">
      <c r="A10" s="301">
        <v>3</v>
      </c>
      <c r="B10" s="336"/>
      <c r="C10" s="336" t="s">
        <v>119</v>
      </c>
      <c r="D10" s="334" t="s">
        <v>207</v>
      </c>
      <c r="E10" s="336" t="s">
        <v>208</v>
      </c>
      <c r="F10" s="339" t="s">
        <v>209</v>
      </c>
      <c r="G10" s="302">
        <v>1</v>
      </c>
      <c r="H10" s="303">
        <v>8800</v>
      </c>
      <c r="I10" s="303">
        <v>8800</v>
      </c>
      <c r="J10" s="211"/>
      <c r="K10" s="212" t="str">
        <f>IF(OR(J10="",G10=J10),"","*")</f>
        <v/>
      </c>
      <c r="L10" s="332">
        <f>IF($A10&lt;=L$1,I10/I$4,"")</f>
        <v>3.7446808510638301E-2</v>
      </c>
      <c r="M10" s="337"/>
      <c r="N10" s="338"/>
      <c r="O10" s="304">
        <v>0</v>
      </c>
      <c r="P10" s="305">
        <v>0</v>
      </c>
      <c r="Q10" s="305">
        <v>0</v>
      </c>
      <c r="R10" s="211">
        <v>0</v>
      </c>
      <c r="S10" s="212" t="s">
        <v>194</v>
      </c>
      <c r="T10" s="213" t="e">
        <v>#DIV/0!</v>
      </c>
      <c r="U10" s="214" t="s">
        <v>194</v>
      </c>
      <c r="V10" s="215" t="s">
        <v>194</v>
      </c>
      <c r="W10" s="304">
        <v>0</v>
      </c>
      <c r="X10" s="305">
        <v>0</v>
      </c>
      <c r="Y10" s="305">
        <v>0</v>
      </c>
      <c r="Z10" s="211">
        <v>0</v>
      </c>
      <c r="AA10" s="212" t="s">
        <v>194</v>
      </c>
      <c r="AB10" s="213" t="e">
        <v>#DIV/0!</v>
      </c>
      <c r="AC10" s="214" t="s">
        <v>194</v>
      </c>
      <c r="AD10" s="215" t="s">
        <v>194</v>
      </c>
      <c r="AE10" s="336" t="s">
        <v>194</v>
      </c>
      <c r="AF10" s="335" t="s">
        <v>194</v>
      </c>
    </row>
    <row r="11" spans="1:32">
      <c r="A11" s="301">
        <v>3</v>
      </c>
      <c r="B11" s="336"/>
      <c r="C11" s="336" t="s">
        <v>119</v>
      </c>
      <c r="D11" s="334" t="s">
        <v>210</v>
      </c>
      <c r="E11" s="336" t="s">
        <v>211</v>
      </c>
      <c r="F11" s="339" t="s">
        <v>212</v>
      </c>
      <c r="G11" s="302">
        <v>1</v>
      </c>
      <c r="H11" s="303">
        <v>3200</v>
      </c>
      <c r="I11" s="303">
        <v>3200</v>
      </c>
      <c r="J11" s="211"/>
      <c r="K11" s="212" t="str">
        <f>IF(OR(J11="",G11=J11),"","*")</f>
        <v/>
      </c>
      <c r="L11" s="332">
        <f>IF($A11&lt;=L$1,I11/I$4,"")</f>
        <v>1.3617021276595745E-2</v>
      </c>
      <c r="M11" s="337"/>
      <c r="N11" s="338"/>
      <c r="O11" s="304">
        <v>0</v>
      </c>
      <c r="P11" s="305">
        <v>0</v>
      </c>
      <c r="Q11" s="305">
        <v>0</v>
      </c>
      <c r="R11" s="211">
        <v>0</v>
      </c>
      <c r="S11" s="212" t="s">
        <v>194</v>
      </c>
      <c r="T11" s="213" t="e">
        <v>#DIV/0!</v>
      </c>
      <c r="U11" s="214" t="s">
        <v>194</v>
      </c>
      <c r="V11" s="215" t="s">
        <v>194</v>
      </c>
      <c r="W11" s="304">
        <v>0</v>
      </c>
      <c r="X11" s="305">
        <v>0</v>
      </c>
      <c r="Y11" s="305">
        <v>0</v>
      </c>
      <c r="Z11" s="211">
        <v>0</v>
      </c>
      <c r="AA11" s="212" t="s">
        <v>194</v>
      </c>
      <c r="AB11" s="213" t="e">
        <v>#DIV/0!</v>
      </c>
      <c r="AC11" s="214" t="s">
        <v>194</v>
      </c>
      <c r="AD11" s="215" t="s">
        <v>194</v>
      </c>
      <c r="AE11" s="336" t="s">
        <v>194</v>
      </c>
      <c r="AF11" s="335" t="s">
        <v>194</v>
      </c>
    </row>
    <row r="12" spans="1:32">
      <c r="A12" s="301">
        <v>3</v>
      </c>
      <c r="B12" s="336"/>
      <c r="C12" s="336" t="s">
        <v>119</v>
      </c>
      <c r="D12" s="334" t="s">
        <v>213</v>
      </c>
      <c r="E12" s="336" t="s">
        <v>211</v>
      </c>
      <c r="F12" s="339" t="s">
        <v>212</v>
      </c>
      <c r="G12" s="302">
        <v>1</v>
      </c>
      <c r="H12" s="303">
        <v>4800</v>
      </c>
      <c r="I12" s="303">
        <v>4800</v>
      </c>
      <c r="J12" s="211"/>
      <c r="K12" s="212" t="str">
        <f>IF(OR(J12="",G12=J12),"","*")</f>
        <v/>
      </c>
      <c r="L12" s="332">
        <f>IF($A12&lt;=L$1,I12/I$4,"")</f>
        <v>2.0425531914893616E-2</v>
      </c>
      <c r="M12" s="337"/>
      <c r="N12" s="338"/>
      <c r="O12" s="304">
        <v>0</v>
      </c>
      <c r="P12" s="305">
        <v>0</v>
      </c>
      <c r="Q12" s="305">
        <v>0</v>
      </c>
      <c r="R12" s="211">
        <v>0</v>
      </c>
      <c r="S12" s="212" t="s">
        <v>194</v>
      </c>
      <c r="T12" s="213" t="e">
        <v>#DIV/0!</v>
      </c>
      <c r="U12" s="214" t="s">
        <v>194</v>
      </c>
      <c r="V12" s="215" t="s">
        <v>194</v>
      </c>
      <c r="W12" s="304">
        <v>0</v>
      </c>
      <c r="X12" s="305">
        <v>0</v>
      </c>
      <c r="Y12" s="305">
        <v>0</v>
      </c>
      <c r="Z12" s="211">
        <v>0</v>
      </c>
      <c r="AA12" s="212" t="s">
        <v>194</v>
      </c>
      <c r="AB12" s="213" t="e">
        <v>#DIV/0!</v>
      </c>
      <c r="AC12" s="214" t="s">
        <v>194</v>
      </c>
      <c r="AD12" s="215" t="s">
        <v>194</v>
      </c>
      <c r="AE12" s="336" t="s">
        <v>194</v>
      </c>
      <c r="AF12" s="335" t="s">
        <v>194</v>
      </c>
    </row>
    <row r="13" spans="1:32">
      <c r="A13" s="301">
        <v>3</v>
      </c>
      <c r="B13" s="336"/>
      <c r="C13" s="336" t="s">
        <v>119</v>
      </c>
      <c r="D13" s="334" t="s">
        <v>214</v>
      </c>
      <c r="E13" s="336"/>
      <c r="F13" s="339" t="s">
        <v>92</v>
      </c>
      <c r="G13" s="302">
        <v>1</v>
      </c>
      <c r="H13" s="303">
        <v>75000</v>
      </c>
      <c r="I13" s="303">
        <v>75000</v>
      </c>
      <c r="J13" s="211"/>
      <c r="K13" s="212" t="str">
        <f>IF(OR(J13="",G13=J13),"","*")</f>
        <v/>
      </c>
      <c r="L13" s="332">
        <f>IF($A13&lt;=L$1,I13/I$4,"")</f>
        <v>0.31914893617021278</v>
      </c>
      <c r="M13" s="337"/>
      <c r="N13" s="338"/>
      <c r="O13" s="304">
        <v>0</v>
      </c>
      <c r="P13" s="305">
        <v>0</v>
      </c>
      <c r="Q13" s="305">
        <v>0</v>
      </c>
      <c r="R13" s="211">
        <v>0</v>
      </c>
      <c r="S13" s="212" t="s">
        <v>194</v>
      </c>
      <c r="T13" s="213" t="e">
        <v>#DIV/0!</v>
      </c>
      <c r="U13" s="214" t="s">
        <v>194</v>
      </c>
      <c r="V13" s="215" t="s">
        <v>194</v>
      </c>
      <c r="W13" s="304">
        <v>0</v>
      </c>
      <c r="X13" s="305">
        <v>0</v>
      </c>
      <c r="Y13" s="305">
        <v>0</v>
      </c>
      <c r="Z13" s="211">
        <v>0</v>
      </c>
      <c r="AA13" s="212" t="s">
        <v>194</v>
      </c>
      <c r="AB13" s="213" t="e">
        <v>#DIV/0!</v>
      </c>
      <c r="AC13" s="214" t="s">
        <v>194</v>
      </c>
      <c r="AD13" s="215" t="s">
        <v>194</v>
      </c>
      <c r="AE13" s="336" t="s">
        <v>194</v>
      </c>
      <c r="AF13" s="335" t="s">
        <v>194</v>
      </c>
    </row>
    <row r="14" spans="1:32">
      <c r="A14" s="301">
        <v>3</v>
      </c>
      <c r="B14" s="336"/>
      <c r="C14" s="336" t="s">
        <v>119</v>
      </c>
      <c r="D14" s="334" t="s">
        <v>215</v>
      </c>
      <c r="E14" s="336"/>
      <c r="F14" s="339" t="s">
        <v>92</v>
      </c>
      <c r="G14" s="302">
        <v>1</v>
      </c>
      <c r="H14" s="303">
        <v>12000</v>
      </c>
      <c r="I14" s="303">
        <v>12000</v>
      </c>
      <c r="J14" s="211"/>
      <c r="K14" s="212" t="str">
        <f>IF(OR(J14="",G14=J14),"","*")</f>
        <v/>
      </c>
      <c r="L14" s="332">
        <f>IF($A14&lt;=L$1,I14/I$4,"")</f>
        <v>5.106382978723404E-2</v>
      </c>
      <c r="M14" s="337"/>
      <c r="N14" s="338"/>
      <c r="O14" s="304">
        <v>0</v>
      </c>
      <c r="P14" s="305">
        <v>0</v>
      </c>
      <c r="Q14" s="305">
        <v>0</v>
      </c>
      <c r="R14" s="211">
        <v>0</v>
      </c>
      <c r="S14" s="212" t="s">
        <v>194</v>
      </c>
      <c r="T14" s="213" t="e">
        <v>#DIV/0!</v>
      </c>
      <c r="U14" s="214" t="s">
        <v>194</v>
      </c>
      <c r="V14" s="215" t="s">
        <v>194</v>
      </c>
      <c r="W14" s="304">
        <v>0</v>
      </c>
      <c r="X14" s="305">
        <v>0</v>
      </c>
      <c r="Y14" s="305">
        <v>0</v>
      </c>
      <c r="Z14" s="211">
        <v>0</v>
      </c>
      <c r="AA14" s="212" t="s">
        <v>194</v>
      </c>
      <c r="AB14" s="213" t="e">
        <v>#DIV/0!</v>
      </c>
      <c r="AC14" s="214" t="s">
        <v>194</v>
      </c>
      <c r="AD14" s="215" t="s">
        <v>194</v>
      </c>
      <c r="AE14" s="336" t="s">
        <v>194</v>
      </c>
      <c r="AF14" s="335" t="s">
        <v>194</v>
      </c>
    </row>
    <row r="15" spans="1:32">
      <c r="A15" s="301">
        <v>2</v>
      </c>
      <c r="B15" s="336"/>
      <c r="C15" s="336" t="s">
        <v>197</v>
      </c>
      <c r="D15" s="334" t="s">
        <v>216</v>
      </c>
      <c r="E15" s="336" t="s">
        <v>91</v>
      </c>
      <c r="F15" s="339" t="s">
        <v>92</v>
      </c>
      <c r="G15" s="302">
        <v>1</v>
      </c>
      <c r="H15" s="303">
        <v>100000</v>
      </c>
      <c r="I15" s="303">
        <v>100000</v>
      </c>
      <c r="J15" s="211">
        <v>1</v>
      </c>
      <c r="K15" s="212" t="str">
        <f>IF(OR(J15="",G15=J15),"","*")</f>
        <v/>
      </c>
      <c r="L15" s="332">
        <f>IF($A15&lt;=L$1,I15/I$4,"")</f>
        <v>0.42553191489361702</v>
      </c>
      <c r="M15" s="337"/>
      <c r="N15" s="338" t="s">
        <v>217</v>
      </c>
      <c r="O15" s="304">
        <v>0</v>
      </c>
      <c r="P15" s="305">
        <v>0</v>
      </c>
      <c r="Q15" s="305">
        <v>0</v>
      </c>
      <c r="R15" s="211">
        <v>0</v>
      </c>
      <c r="S15" s="212" t="s">
        <v>194</v>
      </c>
      <c r="T15" s="213" t="e">
        <v>#DIV/0!</v>
      </c>
      <c r="U15" s="214" t="s">
        <v>194</v>
      </c>
      <c r="V15" s="215" t="s">
        <v>194</v>
      </c>
      <c r="W15" s="304">
        <v>0</v>
      </c>
      <c r="X15" s="305">
        <v>0</v>
      </c>
      <c r="Y15" s="305">
        <v>0</v>
      </c>
      <c r="Z15" s="211">
        <v>0</v>
      </c>
      <c r="AA15" s="212" t="s">
        <v>194</v>
      </c>
      <c r="AB15" s="213" t="e">
        <v>#DIV/0!</v>
      </c>
      <c r="AC15" s="214" t="s">
        <v>194</v>
      </c>
      <c r="AD15" s="215" t="s">
        <v>194</v>
      </c>
      <c r="AE15" s="336" t="s">
        <v>194</v>
      </c>
      <c r="AF15" s="335" t="s">
        <v>194</v>
      </c>
    </row>
    <row r="16" spans="1:32">
      <c r="A16" s="301">
        <v>3</v>
      </c>
      <c r="B16" s="336"/>
      <c r="C16" s="336" t="s">
        <v>119</v>
      </c>
      <c r="D16" s="334" t="s">
        <v>218</v>
      </c>
      <c r="E16" s="336" t="s">
        <v>91</v>
      </c>
      <c r="F16" s="339" t="s">
        <v>92</v>
      </c>
      <c r="G16" s="302">
        <v>1</v>
      </c>
      <c r="H16" s="303">
        <v>100000</v>
      </c>
      <c r="I16" s="303">
        <v>100000</v>
      </c>
      <c r="J16" s="211"/>
      <c r="K16" s="212" t="str">
        <f>IF(OR(J16="",G16=J16),"","*")</f>
        <v/>
      </c>
      <c r="L16" s="332">
        <f>IF($A16&lt;=L$1,I16/I$4,"")</f>
        <v>0.42553191489361702</v>
      </c>
      <c r="M16" s="337"/>
      <c r="N16" s="338"/>
      <c r="O16" s="304">
        <v>0</v>
      </c>
      <c r="P16" s="305">
        <v>0</v>
      </c>
      <c r="Q16" s="305">
        <v>0</v>
      </c>
      <c r="R16" s="211">
        <v>0</v>
      </c>
      <c r="S16" s="212" t="s">
        <v>194</v>
      </c>
      <c r="T16" s="213" t="e">
        <v>#DIV/0!</v>
      </c>
      <c r="U16" s="214" t="s">
        <v>194</v>
      </c>
      <c r="V16" s="215" t="s">
        <v>194</v>
      </c>
      <c r="W16" s="304">
        <v>0</v>
      </c>
      <c r="X16" s="305">
        <v>0</v>
      </c>
      <c r="Y16" s="305">
        <v>0</v>
      </c>
      <c r="Z16" s="211">
        <v>0</v>
      </c>
      <c r="AA16" s="212" t="s">
        <v>194</v>
      </c>
      <c r="AB16" s="213" t="e">
        <v>#DIV/0!</v>
      </c>
      <c r="AC16" s="214" t="s">
        <v>194</v>
      </c>
      <c r="AD16" s="215" t="s">
        <v>194</v>
      </c>
      <c r="AE16" s="336" t="s">
        <v>194</v>
      </c>
      <c r="AF16" s="335" t="s">
        <v>194</v>
      </c>
    </row>
    <row r="17" spans="1:32">
      <c r="A17" s="217"/>
      <c r="B17" s="217"/>
      <c r="C17" s="306"/>
      <c r="D17" s="217"/>
      <c r="E17" s="217"/>
      <c r="F17" s="218"/>
      <c r="G17" s="217"/>
      <c r="H17" s="217"/>
      <c r="I17" s="217"/>
      <c r="J17" s="217"/>
      <c r="K17" s="218"/>
      <c r="L17" s="217"/>
      <c r="M17" s="217"/>
      <c r="N17" s="217"/>
      <c r="O17" s="217"/>
      <c r="P17" s="217"/>
      <c r="Q17" s="217"/>
      <c r="R17" s="217"/>
      <c r="S17" s="218"/>
      <c r="T17" s="217"/>
      <c r="U17" s="217"/>
      <c r="V17" s="217"/>
      <c r="W17" s="217"/>
      <c r="X17" s="217"/>
      <c r="Y17" s="217"/>
      <c r="Z17" s="217"/>
      <c r="AA17" s="218"/>
      <c r="AB17" s="217"/>
      <c r="AC17" s="217"/>
      <c r="AD17" s="217"/>
      <c r="AE17" s="217"/>
      <c r="AF17" s="307"/>
    </row>
  </sheetData>
  <autoFilter ref="A3:AE3" xr:uid="{00000000-0009-0000-0000-000006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59" priority="56" stopIfTrue="1">
      <formula>$A4&lt;=1</formula>
    </cfRule>
    <cfRule type="expression" dxfId="58" priority="57" stopIfTrue="1">
      <formula>$A4=2</formula>
    </cfRule>
    <cfRule type="expression" dxfId="57" priority="58" stopIfTrue="1">
      <formula>$A4=3</formula>
    </cfRule>
    <cfRule type="expression" dxfId="56" priority="59" stopIfTrue="1">
      <formula>$A4=4</formula>
    </cfRule>
    <cfRule type="expression" dxfId="55" priority="60" stopIfTrue="1">
      <formula>$A4=5</formula>
    </cfRule>
  </conditionalFormatting>
  <conditionalFormatting sqref="AE4">
    <cfRule type="expression" dxfId="54" priority="26" stopIfTrue="1">
      <formula>$A4&lt;=1</formula>
    </cfRule>
    <cfRule type="expression" dxfId="53" priority="27" stopIfTrue="1">
      <formula>$A4=2</formula>
    </cfRule>
    <cfRule type="expression" dxfId="52" priority="28" stopIfTrue="1">
      <formula>$A4=3</formula>
    </cfRule>
    <cfRule type="expression" dxfId="51" priority="29" stopIfTrue="1">
      <formula>$A4=4</formula>
    </cfRule>
    <cfRule type="expression" dxfId="50" priority="30" stopIfTrue="1">
      <formula>$A4=5</formula>
    </cfRule>
  </conditionalFormatting>
  <conditionalFormatting sqref="A5:AD16 AF5:AF16">
    <cfRule type="expression" dxfId="49" priority="6" stopIfTrue="1">
      <formula>$A5&lt;=1</formula>
    </cfRule>
    <cfRule type="expression" dxfId="48" priority="7" stopIfTrue="1">
      <formula>$A5=2</formula>
    </cfRule>
    <cfRule type="expression" dxfId="47" priority="8" stopIfTrue="1">
      <formula>$A5=3</formula>
    </cfRule>
    <cfRule type="expression" dxfId="46" priority="9" stopIfTrue="1">
      <formula>$A5=4</formula>
    </cfRule>
    <cfRule type="expression" dxfId="45" priority="10" stopIfTrue="1">
      <formula>$A5=5</formula>
    </cfRule>
  </conditionalFormatting>
  <conditionalFormatting sqref="AE5:AE16">
    <cfRule type="expression" dxfId="44" priority="1" stopIfTrue="1">
      <formula>$A5&lt;=1</formula>
    </cfRule>
    <cfRule type="expression" dxfId="43" priority="2" stopIfTrue="1">
      <formula>$A5=2</formula>
    </cfRule>
    <cfRule type="expression" dxfId="42" priority="3" stopIfTrue="1">
      <formula>$A5=3</formula>
    </cfRule>
    <cfRule type="expression" dxfId="41" priority="4" stopIfTrue="1">
      <formula>$A5=4</formula>
    </cfRule>
    <cfRule type="expression" dxfId="4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H40"/>
  <sheetViews>
    <sheetView zoomScaleNormal="100" workbookViewId="0"/>
  </sheetViews>
  <sheetFormatPr defaultColWidth="8.25" defaultRowHeight="13.5"/>
  <cols>
    <col min="1" max="1" width="3.375" style="73" customWidth="1"/>
    <col min="2" max="2" width="0.875" style="73" customWidth="1"/>
    <col min="3" max="3" width="41.875" style="73" customWidth="1"/>
    <col min="4" max="4" width="18.875" style="73" customWidth="1"/>
    <col min="5" max="5" width="0.875" style="73" customWidth="1"/>
    <col min="6" max="6" width="41.875" style="73" customWidth="1"/>
    <col min="7" max="7" width="18.875" style="73" customWidth="1"/>
    <col min="8" max="8" width="3.375" style="73" customWidth="1"/>
    <col min="9" max="16384" width="8.25" style="73"/>
  </cols>
  <sheetData>
    <row r="1" spans="1:8" ht="21" customHeight="1">
      <c r="B1" s="531" t="s">
        <v>219</v>
      </c>
      <c r="C1" s="531"/>
      <c r="D1" s="531"/>
      <c r="E1" s="531"/>
      <c r="F1" s="531"/>
      <c r="G1" s="531"/>
      <c r="H1" s="381"/>
    </row>
    <row r="2" spans="1:8" ht="14.25" customHeight="1" thickBot="1">
      <c r="A2" s="69"/>
      <c r="B2" s="69"/>
      <c r="C2" s="69"/>
      <c r="D2" s="69"/>
      <c r="E2" s="69"/>
      <c r="F2" s="69"/>
      <c r="G2" s="72"/>
      <c r="H2" s="69"/>
    </row>
    <row r="3" spans="1:8" ht="20.25" customHeight="1">
      <c r="A3" s="69"/>
      <c r="B3" s="524" t="s">
        <v>220</v>
      </c>
      <c r="C3" s="592"/>
      <c r="D3" s="116" t="s">
        <v>158</v>
      </c>
      <c r="E3" s="532" t="s">
        <v>221</v>
      </c>
      <c r="F3" s="533"/>
      <c r="G3" s="117" t="s">
        <v>158</v>
      </c>
      <c r="H3" s="69"/>
    </row>
    <row r="4" spans="1:8" ht="27" customHeight="1">
      <c r="A4" s="69"/>
      <c r="B4" s="118"/>
      <c r="C4" s="119" t="s">
        <v>53</v>
      </c>
      <c r="D4" s="309"/>
      <c r="E4" s="120"/>
      <c r="F4" s="119" t="s">
        <v>59</v>
      </c>
      <c r="G4" s="310"/>
      <c r="H4" s="69"/>
    </row>
    <row r="5" spans="1:8" ht="27" customHeight="1">
      <c r="A5" s="69"/>
      <c r="B5" s="118"/>
      <c r="C5" s="119" t="s">
        <v>54</v>
      </c>
      <c r="D5" s="309"/>
      <c r="E5" s="120"/>
      <c r="F5" s="119" t="s">
        <v>60</v>
      </c>
      <c r="G5" s="310"/>
      <c r="H5" s="69"/>
    </row>
    <row r="6" spans="1:8" ht="27" customHeight="1">
      <c r="A6" s="69"/>
      <c r="B6" s="118"/>
      <c r="C6" s="119" t="s">
        <v>55</v>
      </c>
      <c r="D6" s="309"/>
      <c r="E6" s="120"/>
      <c r="F6" s="119" t="s">
        <v>61</v>
      </c>
      <c r="G6" s="310"/>
      <c r="H6" s="69"/>
    </row>
    <row r="7" spans="1:8" ht="27" customHeight="1">
      <c r="A7" s="69"/>
      <c r="B7" s="118"/>
      <c r="C7" s="119" t="s">
        <v>56</v>
      </c>
      <c r="D7" s="309"/>
      <c r="E7" s="120"/>
      <c r="F7" s="119" t="s">
        <v>62</v>
      </c>
      <c r="G7" s="310"/>
      <c r="H7" s="69"/>
    </row>
    <row r="8" spans="1:8" ht="27" customHeight="1">
      <c r="A8" s="69"/>
      <c r="B8" s="118"/>
      <c r="C8" s="119" t="s">
        <v>57</v>
      </c>
      <c r="D8" s="309"/>
      <c r="E8" s="120"/>
      <c r="F8" s="119" t="s">
        <v>63</v>
      </c>
      <c r="G8" s="310"/>
      <c r="H8" s="69"/>
    </row>
    <row r="9" spans="1:8" ht="27" customHeight="1">
      <c r="A9" s="69"/>
      <c r="B9" s="118"/>
      <c r="C9" s="119" t="s">
        <v>58</v>
      </c>
      <c r="D9" s="309"/>
      <c r="E9" s="120"/>
      <c r="F9" s="119" t="s">
        <v>64</v>
      </c>
      <c r="G9" s="310"/>
      <c r="H9" s="69"/>
    </row>
    <row r="10" spans="1:8" ht="27" customHeight="1">
      <c r="A10" s="69"/>
      <c r="B10" s="118"/>
      <c r="C10" s="119"/>
      <c r="D10" s="309"/>
      <c r="E10" s="120"/>
      <c r="F10" s="119" t="s">
        <v>65</v>
      </c>
      <c r="G10" s="310"/>
      <c r="H10" s="69"/>
    </row>
    <row r="11" spans="1:8" ht="27" customHeight="1">
      <c r="A11" s="69"/>
      <c r="B11" s="118"/>
      <c r="C11" s="119" t="s">
        <v>179</v>
      </c>
      <c r="D11" s="309"/>
      <c r="E11" s="120"/>
      <c r="F11" s="119" t="s">
        <v>222</v>
      </c>
      <c r="G11" s="310"/>
      <c r="H11" s="69"/>
    </row>
    <row r="12" spans="1:8" ht="27" customHeight="1">
      <c r="A12" s="69"/>
      <c r="B12" s="118"/>
      <c r="C12" s="119"/>
      <c r="D12" s="309"/>
      <c r="E12" s="120"/>
      <c r="F12" s="119"/>
      <c r="G12" s="310"/>
      <c r="H12" s="69"/>
    </row>
    <row r="13" spans="1:8" ht="27" customHeight="1">
      <c r="A13" s="69"/>
      <c r="B13" s="118"/>
      <c r="C13" s="119"/>
      <c r="D13" s="309"/>
      <c r="E13" s="120"/>
      <c r="F13" s="119" t="s">
        <v>179</v>
      </c>
      <c r="G13" s="310"/>
      <c r="H13" s="69"/>
    </row>
    <row r="14" spans="1:8" ht="27" customHeight="1">
      <c r="A14" s="69"/>
      <c r="B14" s="118"/>
      <c r="C14" s="119"/>
      <c r="D14" s="309"/>
      <c r="E14" s="120"/>
      <c r="F14" s="119"/>
      <c r="G14" s="310"/>
      <c r="H14" s="69"/>
    </row>
    <row r="15" spans="1:8" ht="27" customHeight="1">
      <c r="A15" s="69"/>
      <c r="B15" s="118"/>
      <c r="C15" s="119"/>
      <c r="D15" s="309"/>
      <c r="E15" s="120"/>
      <c r="F15" s="119"/>
      <c r="G15" s="310"/>
      <c r="H15" s="69"/>
    </row>
    <row r="16" spans="1:8" ht="27" customHeight="1">
      <c r="A16" s="69"/>
      <c r="B16" s="118"/>
      <c r="C16" s="119"/>
      <c r="D16" s="309"/>
      <c r="E16" s="120"/>
      <c r="F16" s="119"/>
      <c r="G16" s="310"/>
      <c r="H16" s="69"/>
    </row>
    <row r="17" spans="1:8" ht="27" customHeight="1">
      <c r="A17" s="69"/>
      <c r="B17" s="118"/>
      <c r="C17" s="119"/>
      <c r="D17" s="309"/>
      <c r="E17" s="120"/>
      <c r="F17" s="119"/>
      <c r="G17" s="310"/>
      <c r="H17" s="69"/>
    </row>
    <row r="18" spans="1:8" ht="27" customHeight="1">
      <c r="A18" s="69"/>
      <c r="B18" s="118"/>
      <c r="C18" s="119"/>
      <c r="D18" s="309"/>
      <c r="E18" s="120"/>
      <c r="F18" s="119"/>
      <c r="G18" s="310"/>
      <c r="H18" s="69"/>
    </row>
    <row r="19" spans="1:8" ht="27" customHeight="1" thickBot="1">
      <c r="A19" s="69"/>
      <c r="B19" s="121"/>
      <c r="C19" s="122"/>
      <c r="D19" s="311"/>
      <c r="E19" s="123"/>
      <c r="F19" s="122"/>
      <c r="G19" s="312"/>
      <c r="H19" s="69"/>
    </row>
    <row r="20" spans="1:8">
      <c r="F20" s="174"/>
      <c r="G20" s="174"/>
    </row>
    <row r="21" spans="1:8" ht="21" customHeight="1"/>
    <row r="22" spans="1:8" ht="14.25" customHeight="1"/>
    <row r="23" spans="1:8" ht="20.25" customHeight="1"/>
    <row r="24" spans="1:8" ht="27" customHeight="1"/>
    <row r="25" spans="1:8" ht="27" customHeight="1"/>
    <row r="26" spans="1:8" ht="27" customHeight="1"/>
    <row r="27" spans="1:8" ht="27" customHeight="1"/>
    <row r="28" spans="1:8" ht="27" customHeight="1"/>
    <row r="29" spans="1:8" ht="27" customHeight="1"/>
    <row r="30" spans="1:8" ht="27" customHeight="1"/>
    <row r="31" spans="1:8" ht="27" customHeight="1"/>
    <row r="32" spans="1:8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13.5" customHeight="1"/>
  </sheetData>
  <mergeCells count="3">
    <mergeCell ref="B1:G1"/>
    <mergeCell ref="B3:C3"/>
    <mergeCell ref="E3:F3"/>
  </mergeCells>
  <phoneticPr fontId="4"/>
  <pageMargins left="0.70866141732283472" right="0.43307086614173229" top="0.62992125984251968" bottom="0.47244094488188981" header="0.31496062992125984" footer="0.31496062992125984"/>
  <pageSetup paperSize="9" scale="95" fitToHeight="0" orientation="landscape" useFirstPageNumber="1" r:id="rId1"/>
  <headerFooter>
    <oddFooter>&amp;C&amp;"ＭＳ 明朝,標準"&amp;P ページ</oddFooter>
  </headerFooter>
  <rowBreaks count="1" manualBreakCount="1">
    <brk id="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O46"/>
  <sheetViews>
    <sheetView zoomScaleNormal="100" zoomScaleSheetLayoutView="100" workbookViewId="0"/>
  </sheetViews>
  <sheetFormatPr defaultColWidth="8.25" defaultRowHeight="13.5"/>
  <cols>
    <col min="1" max="1" width="2.125" style="73" customWidth="1"/>
    <col min="2" max="2" width="31.625" style="73" customWidth="1"/>
    <col min="3" max="3" width="5.875" style="73" customWidth="1"/>
    <col min="4" max="4" width="10.625" style="73" customWidth="1"/>
    <col min="5" max="5" width="12.625" style="73" customWidth="1"/>
    <col min="6" max="6" width="15.125" style="135" customWidth="1"/>
    <col min="7" max="14" width="10" style="135" customWidth="1"/>
    <col min="15" max="15" width="2.125" style="73" customWidth="1"/>
    <col min="16" max="16384" width="8.25" style="73"/>
  </cols>
  <sheetData>
    <row r="1" spans="1:15" s="313" customFormat="1" ht="27" customHeight="1" thickBot="1">
      <c r="A1" s="124"/>
      <c r="B1" s="125"/>
      <c r="C1" s="534" t="s">
        <v>223</v>
      </c>
      <c r="D1" s="534"/>
      <c r="E1" s="534"/>
      <c r="F1" s="534"/>
      <c r="G1" s="534"/>
      <c r="H1" s="534"/>
      <c r="I1" s="126"/>
      <c r="J1" s="126"/>
      <c r="K1" s="126"/>
      <c r="L1" s="126"/>
      <c r="M1" s="481"/>
      <c r="N1" s="481"/>
      <c r="O1" s="249"/>
    </row>
    <row r="2" spans="1:15" ht="18" customHeight="1">
      <c r="A2" s="69"/>
      <c r="B2" s="535" t="s">
        <v>224</v>
      </c>
      <c r="C2" s="536" t="s">
        <v>155</v>
      </c>
      <c r="D2" s="538" t="s">
        <v>225</v>
      </c>
      <c r="E2" s="536" t="s">
        <v>226</v>
      </c>
      <c r="F2" s="540" t="s">
        <v>227</v>
      </c>
      <c r="G2" s="542" t="s">
        <v>228</v>
      </c>
      <c r="H2" s="543"/>
      <c r="I2" s="543"/>
      <c r="J2" s="543"/>
      <c r="K2" s="543"/>
      <c r="L2" s="543"/>
      <c r="M2" s="543"/>
      <c r="N2" s="544"/>
      <c r="O2" s="69"/>
    </row>
    <row r="3" spans="1:15" ht="19.5" customHeight="1">
      <c r="A3" s="69"/>
      <c r="B3" s="593"/>
      <c r="C3" s="537"/>
      <c r="D3" s="539"/>
      <c r="E3" s="537"/>
      <c r="F3" s="541"/>
      <c r="G3" s="127" t="s">
        <v>117</v>
      </c>
      <c r="H3" s="128" t="s">
        <v>118</v>
      </c>
      <c r="I3" s="128" t="s">
        <v>119</v>
      </c>
      <c r="J3" s="128" t="s">
        <v>120</v>
      </c>
      <c r="K3" s="128" t="s">
        <v>121</v>
      </c>
      <c r="L3" s="128" t="s">
        <v>122</v>
      </c>
      <c r="M3" s="128" t="s">
        <v>123</v>
      </c>
      <c r="N3" s="129" t="s">
        <v>124</v>
      </c>
      <c r="O3" s="69"/>
    </row>
    <row r="4" spans="1:15" ht="30" customHeight="1">
      <c r="A4" s="69"/>
      <c r="B4" s="130" t="s">
        <v>53</v>
      </c>
      <c r="C4" s="131" t="s">
        <v>92</v>
      </c>
      <c r="D4" s="314">
        <v>1</v>
      </c>
      <c r="E4" s="315"/>
      <c r="F4" s="316"/>
      <c r="G4" s="317"/>
      <c r="H4" s="318"/>
      <c r="I4" s="318"/>
      <c r="J4" s="318"/>
      <c r="K4" s="318"/>
      <c r="L4" s="318"/>
      <c r="M4" s="318"/>
      <c r="N4" s="319"/>
      <c r="O4" s="69"/>
    </row>
    <row r="5" spans="1:15" ht="30" customHeight="1">
      <c r="A5" s="69"/>
      <c r="B5" s="130" t="s">
        <v>54</v>
      </c>
      <c r="C5" s="131" t="s">
        <v>92</v>
      </c>
      <c r="D5" s="320">
        <v>1</v>
      </c>
      <c r="E5" s="315"/>
      <c r="F5" s="316"/>
      <c r="G5" s="317"/>
      <c r="H5" s="318"/>
      <c r="I5" s="318"/>
      <c r="J5" s="318"/>
      <c r="K5" s="318"/>
      <c r="L5" s="318"/>
      <c r="M5" s="318"/>
      <c r="N5" s="319"/>
      <c r="O5" s="69"/>
    </row>
    <row r="6" spans="1:15" ht="30" customHeight="1">
      <c r="A6" s="69"/>
      <c r="B6" s="130" t="s">
        <v>55</v>
      </c>
      <c r="C6" s="131" t="s">
        <v>92</v>
      </c>
      <c r="D6" s="320">
        <v>1</v>
      </c>
      <c r="E6" s="315"/>
      <c r="F6" s="316"/>
      <c r="G6" s="317"/>
      <c r="H6" s="318"/>
      <c r="I6" s="318"/>
      <c r="J6" s="318"/>
      <c r="K6" s="318"/>
      <c r="L6" s="318"/>
      <c r="M6" s="318"/>
      <c r="N6" s="319"/>
      <c r="O6" s="69"/>
    </row>
    <row r="7" spans="1:15" ht="30" customHeight="1">
      <c r="A7" s="69"/>
      <c r="B7" s="130" t="s">
        <v>56</v>
      </c>
      <c r="C7" s="131" t="s">
        <v>92</v>
      </c>
      <c r="D7" s="320">
        <v>1</v>
      </c>
      <c r="E7" s="315"/>
      <c r="F7" s="316"/>
      <c r="G7" s="317"/>
      <c r="H7" s="318"/>
      <c r="I7" s="318"/>
      <c r="J7" s="318"/>
      <c r="K7" s="318"/>
      <c r="L7" s="318"/>
      <c r="M7" s="318"/>
      <c r="N7" s="319"/>
      <c r="O7" s="69"/>
    </row>
    <row r="8" spans="1:15" ht="30" customHeight="1">
      <c r="A8" s="69"/>
      <c r="B8" s="130" t="s">
        <v>57</v>
      </c>
      <c r="C8" s="131" t="s">
        <v>92</v>
      </c>
      <c r="D8" s="320">
        <v>1</v>
      </c>
      <c r="E8" s="315"/>
      <c r="F8" s="316"/>
      <c r="G8" s="317"/>
      <c r="H8" s="318"/>
      <c r="I8" s="318"/>
      <c r="J8" s="318"/>
      <c r="K8" s="318"/>
      <c r="L8" s="318"/>
      <c r="M8" s="318"/>
      <c r="N8" s="319"/>
      <c r="O8" s="69"/>
    </row>
    <row r="9" spans="1:15" ht="30" customHeight="1">
      <c r="A9" s="69"/>
      <c r="B9" s="130" t="s">
        <v>58</v>
      </c>
      <c r="C9" s="131" t="s">
        <v>92</v>
      </c>
      <c r="D9" s="320">
        <v>1</v>
      </c>
      <c r="E9" s="315"/>
      <c r="F9" s="316"/>
      <c r="G9" s="317"/>
      <c r="H9" s="318"/>
      <c r="I9" s="318"/>
      <c r="J9" s="318"/>
      <c r="K9" s="318"/>
      <c r="L9" s="318"/>
      <c r="M9" s="318"/>
      <c r="N9" s="319"/>
      <c r="O9" s="69"/>
    </row>
    <row r="10" spans="1:15" ht="30" customHeight="1">
      <c r="A10" s="69"/>
      <c r="B10" s="130"/>
      <c r="C10" s="131"/>
      <c r="D10" s="320"/>
      <c r="E10" s="315"/>
      <c r="F10" s="316"/>
      <c r="G10" s="317"/>
      <c r="H10" s="318"/>
      <c r="I10" s="318"/>
      <c r="J10" s="318"/>
      <c r="K10" s="318"/>
      <c r="L10" s="318"/>
      <c r="M10" s="318"/>
      <c r="N10" s="319"/>
      <c r="O10" s="69"/>
    </row>
    <row r="11" spans="1:15" ht="30" customHeight="1">
      <c r="A11" s="69"/>
      <c r="B11" s="130" t="s">
        <v>179</v>
      </c>
      <c r="C11" s="131"/>
      <c r="D11" s="320"/>
      <c r="E11" s="315"/>
      <c r="F11" s="316"/>
      <c r="G11" s="317"/>
      <c r="H11" s="318"/>
      <c r="I11" s="318"/>
      <c r="J11" s="318"/>
      <c r="K11" s="318"/>
      <c r="L11" s="318"/>
      <c r="M11" s="318"/>
      <c r="N11" s="319"/>
      <c r="O11" s="69"/>
    </row>
    <row r="12" spans="1:15" ht="30" customHeight="1">
      <c r="A12" s="69"/>
      <c r="B12" s="130"/>
      <c r="C12" s="131"/>
      <c r="D12" s="320"/>
      <c r="E12" s="315"/>
      <c r="F12" s="316"/>
      <c r="G12" s="317"/>
      <c r="H12" s="318"/>
      <c r="I12" s="318"/>
      <c r="J12" s="318"/>
      <c r="K12" s="318"/>
      <c r="L12" s="318"/>
      <c r="M12" s="318"/>
      <c r="N12" s="319"/>
      <c r="O12" s="69"/>
    </row>
    <row r="13" spans="1:15" ht="30" customHeight="1">
      <c r="A13" s="69"/>
      <c r="B13" s="130"/>
      <c r="C13" s="131"/>
      <c r="D13" s="320"/>
      <c r="E13" s="315"/>
      <c r="F13" s="316"/>
      <c r="G13" s="317"/>
      <c r="H13" s="318"/>
      <c r="I13" s="318"/>
      <c r="J13" s="318"/>
      <c r="K13" s="318"/>
      <c r="L13" s="318"/>
      <c r="M13" s="318"/>
      <c r="N13" s="319"/>
      <c r="O13" s="69"/>
    </row>
    <row r="14" spans="1:15" ht="30" customHeight="1">
      <c r="A14" s="69"/>
      <c r="B14" s="130"/>
      <c r="C14" s="131"/>
      <c r="D14" s="320"/>
      <c r="E14" s="315"/>
      <c r="F14" s="316"/>
      <c r="G14" s="317"/>
      <c r="H14" s="318"/>
      <c r="I14" s="318"/>
      <c r="J14" s="318"/>
      <c r="K14" s="318"/>
      <c r="L14" s="318"/>
      <c r="M14" s="318"/>
      <c r="N14" s="319"/>
      <c r="O14" s="69"/>
    </row>
    <row r="15" spans="1:15" ht="30" customHeight="1">
      <c r="A15" s="69"/>
      <c r="B15" s="130"/>
      <c r="C15" s="131"/>
      <c r="D15" s="320"/>
      <c r="E15" s="315"/>
      <c r="F15" s="316"/>
      <c r="G15" s="317"/>
      <c r="H15" s="318"/>
      <c r="I15" s="318"/>
      <c r="J15" s="318"/>
      <c r="K15" s="318"/>
      <c r="L15" s="318"/>
      <c r="M15" s="318"/>
      <c r="N15" s="319"/>
      <c r="O15" s="69"/>
    </row>
    <row r="16" spans="1:15" ht="30" customHeight="1">
      <c r="A16" s="69"/>
      <c r="B16" s="130"/>
      <c r="C16" s="131"/>
      <c r="D16" s="320"/>
      <c r="E16" s="315"/>
      <c r="F16" s="316"/>
      <c r="G16" s="317"/>
      <c r="H16" s="318"/>
      <c r="I16" s="318"/>
      <c r="J16" s="318"/>
      <c r="K16" s="318"/>
      <c r="L16" s="318"/>
      <c r="M16" s="318"/>
      <c r="N16" s="319"/>
      <c r="O16" s="69"/>
    </row>
    <row r="17" spans="1:15" ht="30" customHeight="1">
      <c r="A17" s="69"/>
      <c r="B17" s="130"/>
      <c r="C17" s="131"/>
      <c r="D17" s="320"/>
      <c r="E17" s="315"/>
      <c r="F17" s="316"/>
      <c r="G17" s="317"/>
      <c r="H17" s="318"/>
      <c r="I17" s="318"/>
      <c r="J17" s="318"/>
      <c r="K17" s="318"/>
      <c r="L17" s="318"/>
      <c r="M17" s="318"/>
      <c r="N17" s="319"/>
      <c r="O17" s="69"/>
    </row>
    <row r="18" spans="1:15" ht="30" customHeight="1">
      <c r="A18" s="69"/>
      <c r="B18" s="130"/>
      <c r="C18" s="131"/>
      <c r="D18" s="320"/>
      <c r="E18" s="315"/>
      <c r="F18" s="316"/>
      <c r="G18" s="317"/>
      <c r="H18" s="318"/>
      <c r="I18" s="318"/>
      <c r="J18" s="318"/>
      <c r="K18" s="318"/>
      <c r="L18" s="318"/>
      <c r="M18" s="318"/>
      <c r="N18" s="319"/>
      <c r="O18" s="69"/>
    </row>
    <row r="19" spans="1:15" ht="30" customHeight="1">
      <c r="A19" s="69"/>
      <c r="B19" s="130"/>
      <c r="C19" s="131"/>
      <c r="D19" s="320"/>
      <c r="E19" s="315"/>
      <c r="F19" s="316"/>
      <c r="G19" s="317"/>
      <c r="H19" s="318"/>
      <c r="I19" s="318"/>
      <c r="J19" s="318"/>
      <c r="K19" s="318"/>
      <c r="L19" s="318"/>
      <c r="M19" s="318"/>
      <c r="N19" s="319"/>
      <c r="O19" s="69"/>
    </row>
    <row r="20" spans="1:15" ht="30" customHeight="1">
      <c r="A20" s="69"/>
      <c r="B20" s="130"/>
      <c r="C20" s="131"/>
      <c r="D20" s="320"/>
      <c r="E20" s="315"/>
      <c r="F20" s="316"/>
      <c r="G20" s="317"/>
      <c r="H20" s="318"/>
      <c r="I20" s="318"/>
      <c r="J20" s="318"/>
      <c r="K20" s="318"/>
      <c r="L20" s="318"/>
      <c r="M20" s="318"/>
      <c r="N20" s="319"/>
      <c r="O20" s="69"/>
    </row>
    <row r="21" spans="1:15" ht="30" customHeight="1">
      <c r="A21" s="69"/>
      <c r="B21" s="130"/>
      <c r="C21" s="131"/>
      <c r="D21" s="320"/>
      <c r="E21" s="315"/>
      <c r="F21" s="316"/>
      <c r="G21" s="317"/>
      <c r="H21" s="318"/>
      <c r="I21" s="318"/>
      <c r="J21" s="318"/>
      <c r="K21" s="318"/>
      <c r="L21" s="318"/>
      <c r="M21" s="318"/>
      <c r="N21" s="319"/>
      <c r="O21" s="69"/>
    </row>
    <row r="22" spans="1:15" ht="30" customHeight="1" thickBot="1">
      <c r="A22" s="69"/>
      <c r="B22" s="132"/>
      <c r="C22" s="133"/>
      <c r="D22" s="321"/>
      <c r="E22" s="322"/>
      <c r="F22" s="323"/>
      <c r="G22" s="324"/>
      <c r="H22" s="325"/>
      <c r="I22" s="325"/>
      <c r="J22" s="325"/>
      <c r="K22" s="325"/>
      <c r="L22" s="325"/>
      <c r="M22" s="325"/>
      <c r="N22" s="326"/>
      <c r="O22" s="69"/>
    </row>
    <row r="23" spans="1:15" s="103" customFormat="1" ht="18" customHeight="1">
      <c r="A23" s="101"/>
      <c r="B23" s="101"/>
      <c r="C23" s="101"/>
      <c r="D23" s="101"/>
      <c r="E23" s="101"/>
      <c r="F23" s="134"/>
      <c r="G23" s="134"/>
      <c r="H23" s="134"/>
      <c r="I23" s="134"/>
      <c r="J23" s="134"/>
      <c r="K23" s="134"/>
      <c r="L23" s="134"/>
      <c r="M23" s="102"/>
      <c r="N23" s="102"/>
      <c r="O23" s="101"/>
    </row>
    <row r="24" spans="1:15" ht="27" customHeight="1"/>
    <row r="25" spans="1:15" ht="18" customHeight="1"/>
    <row r="26" spans="1:15" ht="19.5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18" customHeight="1"/>
  </sheetData>
  <mergeCells count="8">
    <mergeCell ref="C1:H1"/>
    <mergeCell ref="M1:N1"/>
    <mergeCell ref="B2:B3"/>
    <mergeCell ref="C2:C3"/>
    <mergeCell ref="D2:D3"/>
    <mergeCell ref="E2:E3"/>
    <mergeCell ref="F2:F3"/>
    <mergeCell ref="G2:N2"/>
  </mergeCells>
  <phoneticPr fontId="4"/>
  <pageMargins left="0.70866141732283472" right="0.43307086614173229" top="0.62992125984251968" bottom="0.47244094488188981" header="0.31496062992125984" footer="0.31496062992125984"/>
  <pageSetup paperSize="9" scale="77" fitToHeight="0" orientation="landscape" useFirstPageNumber="1" r:id="rId1"/>
  <headerFooter>
    <oddFooter>&amp;C&amp;"ＭＳ 明朝,標準"&amp;Pページ</oddFooter>
  </headerFooter>
  <rowBreaks count="1" manualBreakCount="1">
    <brk id="2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AF12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泉南りんくうロングパークサッカー場部分修繕工事</v>
      </c>
      <c r="G1" s="300"/>
      <c r="H1" s="190" t="s">
        <v>176</v>
      </c>
      <c r="I1" s="327">
        <v>270000</v>
      </c>
      <c r="J1" s="333">
        <f>I4/I$1</f>
        <v>0.87037037037037035</v>
      </c>
      <c r="K1" s="193"/>
      <c r="L1" s="194">
        <v>3</v>
      </c>
      <c r="M1" s="195"/>
      <c r="N1" s="195"/>
      <c r="O1" s="300"/>
      <c r="P1" s="190" t="s">
        <v>126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126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181</v>
      </c>
      <c r="B2" s="198" t="s">
        <v>229</v>
      </c>
      <c r="C2" s="200" t="s">
        <v>183</v>
      </c>
      <c r="D2" s="200" t="s">
        <v>184</v>
      </c>
      <c r="E2" s="200" t="s">
        <v>185</v>
      </c>
      <c r="F2" s="200" t="s">
        <v>155</v>
      </c>
      <c r="G2" s="526" t="s">
        <v>186</v>
      </c>
      <c r="H2" s="527"/>
      <c r="I2" s="527"/>
      <c r="J2" s="527"/>
      <c r="K2" s="527"/>
      <c r="L2" s="527"/>
      <c r="M2" s="527"/>
      <c r="N2" s="528"/>
      <c r="O2" s="526" t="s">
        <v>187</v>
      </c>
      <c r="P2" s="527"/>
      <c r="Q2" s="527"/>
      <c r="R2" s="527"/>
      <c r="S2" s="527"/>
      <c r="T2" s="527"/>
      <c r="U2" s="527"/>
      <c r="V2" s="528"/>
      <c r="W2" s="526" t="s">
        <v>188</v>
      </c>
      <c r="X2" s="527"/>
      <c r="Y2" s="527"/>
      <c r="Z2" s="527"/>
      <c r="AA2" s="527"/>
      <c r="AB2" s="527"/>
      <c r="AC2" s="527"/>
      <c r="AD2" s="528"/>
      <c r="AE2" s="199" t="s">
        <v>189</v>
      </c>
      <c r="AF2" s="529" t="s">
        <v>160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156</v>
      </c>
      <c r="H3" s="205" t="s">
        <v>157</v>
      </c>
      <c r="I3" s="205" t="s">
        <v>158</v>
      </c>
      <c r="J3" s="206" t="s">
        <v>190</v>
      </c>
      <c r="K3" s="207"/>
      <c r="L3" s="208" t="s">
        <v>191</v>
      </c>
      <c r="M3" s="208" t="s">
        <v>192</v>
      </c>
      <c r="N3" s="209" t="s">
        <v>159</v>
      </c>
      <c r="O3" s="204" t="s">
        <v>156</v>
      </c>
      <c r="P3" s="205" t="s">
        <v>157</v>
      </c>
      <c r="Q3" s="205" t="s">
        <v>158</v>
      </c>
      <c r="R3" s="206" t="s">
        <v>190</v>
      </c>
      <c r="S3" s="210"/>
      <c r="T3" s="208" t="s">
        <v>191</v>
      </c>
      <c r="U3" s="208" t="s">
        <v>192</v>
      </c>
      <c r="V3" s="209" t="s">
        <v>159</v>
      </c>
      <c r="W3" s="204" t="s">
        <v>156</v>
      </c>
      <c r="X3" s="205" t="s">
        <v>157</v>
      </c>
      <c r="Y3" s="205" t="s">
        <v>158</v>
      </c>
      <c r="Z3" s="206" t="s">
        <v>190</v>
      </c>
      <c r="AA3" s="207"/>
      <c r="AB3" s="208" t="s">
        <v>191</v>
      </c>
      <c r="AC3" s="208" t="s">
        <v>192</v>
      </c>
      <c r="AD3" s="209" t="s">
        <v>159</v>
      </c>
      <c r="AE3" s="202"/>
      <c r="AF3" s="530"/>
    </row>
    <row r="4" spans="1:32">
      <c r="A4" s="301">
        <v>0</v>
      </c>
      <c r="B4" s="336"/>
      <c r="C4" s="336" t="s">
        <v>193</v>
      </c>
      <c r="D4" s="334" t="s">
        <v>109</v>
      </c>
      <c r="E4" s="336"/>
      <c r="F4" s="339" t="s">
        <v>92</v>
      </c>
      <c r="G4" s="302">
        <v>1</v>
      </c>
      <c r="H4" s="303">
        <v>235000</v>
      </c>
      <c r="I4" s="303">
        <v>235000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>
        <v>0</v>
      </c>
      <c r="P4" s="341">
        <v>0</v>
      </c>
      <c r="Q4" s="341">
        <v>0</v>
      </c>
      <c r="R4" s="342">
        <v>0</v>
      </c>
      <c r="S4" s="343" t="s">
        <v>194</v>
      </c>
      <c r="T4" s="337" t="e">
        <v>#DIV/0!</v>
      </c>
      <c r="U4" s="337" t="s">
        <v>194</v>
      </c>
      <c r="V4" s="338" t="s">
        <v>194</v>
      </c>
      <c r="W4" s="340">
        <v>0</v>
      </c>
      <c r="X4" s="341">
        <v>0</v>
      </c>
      <c r="Y4" s="341">
        <v>0</v>
      </c>
      <c r="Z4" s="342">
        <v>0</v>
      </c>
      <c r="AA4" s="343" t="s">
        <v>194</v>
      </c>
      <c r="AB4" s="337" t="e">
        <v>#DIV/0!</v>
      </c>
      <c r="AC4" s="337" t="s">
        <v>194</v>
      </c>
      <c r="AD4" s="338" t="s">
        <v>194</v>
      </c>
      <c r="AE4" s="336"/>
      <c r="AF4" s="335" t="s">
        <v>194</v>
      </c>
    </row>
    <row r="5" spans="1:32">
      <c r="A5" s="301">
        <v>1</v>
      </c>
      <c r="B5" s="336"/>
      <c r="C5" s="336" t="s">
        <v>195</v>
      </c>
      <c r="D5" s="334" t="s">
        <v>230</v>
      </c>
      <c r="E5" s="336"/>
      <c r="F5" s="339" t="s">
        <v>92</v>
      </c>
      <c r="G5" s="302">
        <v>1</v>
      </c>
      <c r="H5" s="303">
        <v>0</v>
      </c>
      <c r="I5" s="303">
        <v>0</v>
      </c>
      <c r="J5" s="211"/>
      <c r="K5" s="212" t="str">
        <f>IF(OR(J5="",G5=J5),"","*")</f>
        <v/>
      </c>
      <c r="L5" s="332">
        <f>IF($A5&lt;=L$1,I5/I$4,"")</f>
        <v>0</v>
      </c>
      <c r="M5" s="337"/>
      <c r="N5" s="338"/>
      <c r="O5" s="340">
        <v>0</v>
      </c>
      <c r="P5" s="341">
        <v>0</v>
      </c>
      <c r="Q5" s="341">
        <v>0</v>
      </c>
      <c r="R5" s="342">
        <v>0</v>
      </c>
      <c r="S5" s="343" t="s">
        <v>194</v>
      </c>
      <c r="T5" s="337" t="e">
        <v>#DIV/0!</v>
      </c>
      <c r="U5" s="337" t="s">
        <v>194</v>
      </c>
      <c r="V5" s="338" t="s">
        <v>194</v>
      </c>
      <c r="W5" s="340">
        <v>0</v>
      </c>
      <c r="X5" s="341">
        <v>0</v>
      </c>
      <c r="Y5" s="341">
        <v>0</v>
      </c>
      <c r="Z5" s="342">
        <v>0</v>
      </c>
      <c r="AA5" s="343" t="s">
        <v>194</v>
      </c>
      <c r="AB5" s="337" t="e">
        <v>#DIV/0!</v>
      </c>
      <c r="AC5" s="337" t="s">
        <v>194</v>
      </c>
      <c r="AD5" s="338" t="s">
        <v>194</v>
      </c>
      <c r="AE5" s="336"/>
      <c r="AF5" s="335" t="s">
        <v>194</v>
      </c>
    </row>
    <row r="6" spans="1:32">
      <c r="A6" s="301">
        <v>2</v>
      </c>
      <c r="B6" s="336"/>
      <c r="C6" s="336" t="s">
        <v>197</v>
      </c>
      <c r="D6" s="334" t="s">
        <v>231</v>
      </c>
      <c r="E6" s="336"/>
      <c r="F6" s="339" t="s">
        <v>92</v>
      </c>
      <c r="G6" s="302">
        <v>1</v>
      </c>
      <c r="H6" s="303">
        <v>0</v>
      </c>
      <c r="I6" s="303">
        <v>0</v>
      </c>
      <c r="J6" s="211">
        <v>1</v>
      </c>
      <c r="K6" s="212" t="str">
        <f>IF(OR(J6="",G6=J6),"","*")</f>
        <v/>
      </c>
      <c r="L6" s="332">
        <f>IF($A6&lt;=L$1,I6/I$4,"")</f>
        <v>0</v>
      </c>
      <c r="M6" s="337"/>
      <c r="N6" s="338" t="s">
        <v>232</v>
      </c>
      <c r="O6" s="340">
        <v>0</v>
      </c>
      <c r="P6" s="341">
        <v>0</v>
      </c>
      <c r="Q6" s="341">
        <v>0</v>
      </c>
      <c r="R6" s="342">
        <v>0</v>
      </c>
      <c r="S6" s="343" t="s">
        <v>194</v>
      </c>
      <c r="T6" s="337" t="e">
        <v>#DIV/0!</v>
      </c>
      <c r="U6" s="337" t="s">
        <v>194</v>
      </c>
      <c r="V6" s="338" t="s">
        <v>194</v>
      </c>
      <c r="W6" s="340">
        <v>0</v>
      </c>
      <c r="X6" s="341">
        <v>0</v>
      </c>
      <c r="Y6" s="341">
        <v>0</v>
      </c>
      <c r="Z6" s="342">
        <v>0</v>
      </c>
      <c r="AA6" s="343" t="s">
        <v>194</v>
      </c>
      <c r="AB6" s="337" t="e">
        <v>#DIV/0!</v>
      </c>
      <c r="AC6" s="337" t="s">
        <v>194</v>
      </c>
      <c r="AD6" s="338" t="s">
        <v>194</v>
      </c>
      <c r="AE6" s="336"/>
      <c r="AF6" s="335" t="s">
        <v>194</v>
      </c>
    </row>
    <row r="7" spans="1:32">
      <c r="A7" s="301">
        <v>2</v>
      </c>
      <c r="B7" s="336"/>
      <c r="C7" s="336" t="s">
        <v>197</v>
      </c>
      <c r="D7" s="334" t="s">
        <v>233</v>
      </c>
      <c r="E7" s="336" t="s">
        <v>93</v>
      </c>
      <c r="F7" s="339" t="s">
        <v>92</v>
      </c>
      <c r="G7" s="302">
        <v>1</v>
      </c>
      <c r="H7" s="303">
        <v>0</v>
      </c>
      <c r="I7" s="303">
        <v>0</v>
      </c>
      <c r="J7" s="211">
        <v>1</v>
      </c>
      <c r="K7" s="212" t="str">
        <f>IF(OR(J7="",G7=J7),"","*")</f>
        <v/>
      </c>
      <c r="L7" s="332">
        <f>IF($A7&lt;=L$1,I7/I$4,"")</f>
        <v>0</v>
      </c>
      <c r="M7" s="337"/>
      <c r="N7" s="338" t="s">
        <v>234</v>
      </c>
      <c r="O7" s="340">
        <v>0</v>
      </c>
      <c r="P7" s="341">
        <v>0</v>
      </c>
      <c r="Q7" s="341">
        <v>0</v>
      </c>
      <c r="R7" s="342">
        <v>0</v>
      </c>
      <c r="S7" s="343" t="s">
        <v>194</v>
      </c>
      <c r="T7" s="337" t="e">
        <v>#DIV/0!</v>
      </c>
      <c r="U7" s="337" t="s">
        <v>194</v>
      </c>
      <c r="V7" s="338" t="s">
        <v>194</v>
      </c>
      <c r="W7" s="340">
        <v>0</v>
      </c>
      <c r="X7" s="341">
        <v>0</v>
      </c>
      <c r="Y7" s="341">
        <v>0</v>
      </c>
      <c r="Z7" s="342">
        <v>0</v>
      </c>
      <c r="AA7" s="343" t="s">
        <v>194</v>
      </c>
      <c r="AB7" s="337" t="e">
        <v>#DIV/0!</v>
      </c>
      <c r="AC7" s="337" t="s">
        <v>194</v>
      </c>
      <c r="AD7" s="338" t="s">
        <v>194</v>
      </c>
      <c r="AE7" s="336"/>
      <c r="AF7" s="335" t="s">
        <v>194</v>
      </c>
    </row>
    <row r="8" spans="1:32">
      <c r="A8" s="301">
        <v>2</v>
      </c>
      <c r="B8" s="336"/>
      <c r="C8" s="336" t="s">
        <v>197</v>
      </c>
      <c r="D8" s="334" t="s">
        <v>235</v>
      </c>
      <c r="E8" s="336" t="s">
        <v>94</v>
      </c>
      <c r="F8" s="339" t="s">
        <v>92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236</v>
      </c>
      <c r="O8" s="340">
        <v>0</v>
      </c>
      <c r="P8" s="341">
        <v>0</v>
      </c>
      <c r="Q8" s="341">
        <v>0</v>
      </c>
      <c r="R8" s="342">
        <v>0</v>
      </c>
      <c r="S8" s="343" t="s">
        <v>194</v>
      </c>
      <c r="T8" s="337" t="e">
        <v>#DIV/0!</v>
      </c>
      <c r="U8" s="337" t="s">
        <v>194</v>
      </c>
      <c r="V8" s="338" t="s">
        <v>194</v>
      </c>
      <c r="W8" s="340">
        <v>0</v>
      </c>
      <c r="X8" s="341">
        <v>0</v>
      </c>
      <c r="Y8" s="341">
        <v>0</v>
      </c>
      <c r="Z8" s="342">
        <v>0</v>
      </c>
      <c r="AA8" s="343" t="s">
        <v>194</v>
      </c>
      <c r="AB8" s="337" t="e">
        <v>#DIV/0!</v>
      </c>
      <c r="AC8" s="337" t="s">
        <v>194</v>
      </c>
      <c r="AD8" s="338" t="s">
        <v>194</v>
      </c>
      <c r="AE8" s="336"/>
      <c r="AF8" s="335" t="s">
        <v>194</v>
      </c>
    </row>
    <row r="9" spans="1:32">
      <c r="A9" s="301">
        <v>2</v>
      </c>
      <c r="B9" s="336"/>
      <c r="C9" s="336" t="s">
        <v>197</v>
      </c>
      <c r="D9" s="334" t="s">
        <v>237</v>
      </c>
      <c r="E9" s="336" t="s">
        <v>95</v>
      </c>
      <c r="F9" s="339" t="s">
        <v>92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238</v>
      </c>
      <c r="O9" s="340">
        <v>0</v>
      </c>
      <c r="P9" s="341">
        <v>0</v>
      </c>
      <c r="Q9" s="341">
        <v>0</v>
      </c>
      <c r="R9" s="342">
        <v>0</v>
      </c>
      <c r="S9" s="343" t="s">
        <v>194</v>
      </c>
      <c r="T9" s="337" t="e">
        <v>#DIV/0!</v>
      </c>
      <c r="U9" s="337" t="s">
        <v>194</v>
      </c>
      <c r="V9" s="338" t="s">
        <v>194</v>
      </c>
      <c r="W9" s="340">
        <v>0</v>
      </c>
      <c r="X9" s="341">
        <v>0</v>
      </c>
      <c r="Y9" s="341">
        <v>0</v>
      </c>
      <c r="Z9" s="342">
        <v>0</v>
      </c>
      <c r="AA9" s="343" t="s">
        <v>194</v>
      </c>
      <c r="AB9" s="337" t="e">
        <v>#DIV/0!</v>
      </c>
      <c r="AC9" s="337" t="s">
        <v>194</v>
      </c>
      <c r="AD9" s="338" t="s">
        <v>194</v>
      </c>
      <c r="AE9" s="336"/>
      <c r="AF9" s="335" t="s">
        <v>194</v>
      </c>
    </row>
    <row r="10" spans="1:32">
      <c r="A10" s="301">
        <v>2</v>
      </c>
      <c r="B10" s="336"/>
      <c r="C10" s="336" t="s">
        <v>197</v>
      </c>
      <c r="D10" s="334" t="s">
        <v>239</v>
      </c>
      <c r="E10" s="336" t="s">
        <v>96</v>
      </c>
      <c r="F10" s="339" t="s">
        <v>92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240</v>
      </c>
      <c r="O10" s="340">
        <v>0</v>
      </c>
      <c r="P10" s="341">
        <v>0</v>
      </c>
      <c r="Q10" s="341">
        <v>0</v>
      </c>
      <c r="R10" s="342">
        <v>0</v>
      </c>
      <c r="S10" s="343" t="s">
        <v>194</v>
      </c>
      <c r="T10" s="337" t="e">
        <v>#DIV/0!</v>
      </c>
      <c r="U10" s="337" t="s">
        <v>194</v>
      </c>
      <c r="V10" s="338" t="s">
        <v>194</v>
      </c>
      <c r="W10" s="340">
        <v>0</v>
      </c>
      <c r="X10" s="341">
        <v>0</v>
      </c>
      <c r="Y10" s="341">
        <v>0</v>
      </c>
      <c r="Z10" s="342">
        <v>0</v>
      </c>
      <c r="AA10" s="343" t="s">
        <v>194</v>
      </c>
      <c r="AB10" s="337" t="e">
        <v>#DIV/0!</v>
      </c>
      <c r="AC10" s="337" t="s">
        <v>194</v>
      </c>
      <c r="AD10" s="338" t="s">
        <v>194</v>
      </c>
      <c r="AE10" s="336"/>
      <c r="AF10" s="335" t="s">
        <v>194</v>
      </c>
    </row>
    <row r="11" spans="1:32">
      <c r="A11" s="301">
        <v>2</v>
      </c>
      <c r="B11" s="336"/>
      <c r="C11" s="336" t="s">
        <v>197</v>
      </c>
      <c r="D11" s="334" t="s">
        <v>241</v>
      </c>
      <c r="E11" s="336" t="s">
        <v>97</v>
      </c>
      <c r="F11" s="339" t="s">
        <v>92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242</v>
      </c>
      <c r="O11" s="340">
        <v>0</v>
      </c>
      <c r="P11" s="341">
        <v>0</v>
      </c>
      <c r="Q11" s="341">
        <v>0</v>
      </c>
      <c r="R11" s="342">
        <v>0</v>
      </c>
      <c r="S11" s="343" t="s">
        <v>194</v>
      </c>
      <c r="T11" s="337" t="e">
        <v>#DIV/0!</v>
      </c>
      <c r="U11" s="337" t="s">
        <v>194</v>
      </c>
      <c r="V11" s="338" t="s">
        <v>194</v>
      </c>
      <c r="W11" s="340">
        <v>0</v>
      </c>
      <c r="X11" s="341">
        <v>0</v>
      </c>
      <c r="Y11" s="341">
        <v>0</v>
      </c>
      <c r="Z11" s="342">
        <v>0</v>
      </c>
      <c r="AA11" s="343" t="s">
        <v>194</v>
      </c>
      <c r="AB11" s="337" t="e">
        <v>#DIV/0!</v>
      </c>
      <c r="AC11" s="337" t="s">
        <v>194</v>
      </c>
      <c r="AD11" s="338" t="s">
        <v>194</v>
      </c>
      <c r="AE11" s="336"/>
      <c r="AF11" s="335" t="s">
        <v>194</v>
      </c>
    </row>
    <row r="12" spans="1:32">
      <c r="A12" s="217"/>
      <c r="B12" s="217"/>
      <c r="C12" s="306"/>
      <c r="D12" s="217"/>
      <c r="E12" s="217"/>
      <c r="F12" s="218"/>
      <c r="G12" s="217"/>
      <c r="H12" s="217"/>
      <c r="I12" s="217"/>
      <c r="J12" s="217"/>
      <c r="K12" s="218"/>
      <c r="L12" s="217"/>
      <c r="M12" s="217"/>
      <c r="N12" s="217"/>
      <c r="O12" s="217"/>
      <c r="P12" s="217"/>
      <c r="Q12" s="217"/>
      <c r="R12" s="217"/>
      <c r="S12" s="218"/>
      <c r="T12" s="217"/>
      <c r="U12" s="217"/>
      <c r="V12" s="217"/>
      <c r="W12" s="217"/>
      <c r="X12" s="217"/>
      <c r="Y12" s="217"/>
      <c r="Z12" s="217"/>
      <c r="AA12" s="218"/>
      <c r="AB12" s="217"/>
      <c r="AC12" s="217"/>
      <c r="AD12" s="217"/>
      <c r="AE12" s="217"/>
      <c r="AF12" s="307"/>
    </row>
  </sheetData>
  <autoFilter ref="A3:AE3" xr:uid="{00000000-0009-0000-0000-000009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39" priority="26" stopIfTrue="1">
      <formula>$A4&lt;=1</formula>
    </cfRule>
    <cfRule type="expression" dxfId="38" priority="27" stopIfTrue="1">
      <formula>$A4=2</formula>
    </cfRule>
    <cfRule type="expression" dxfId="37" priority="28" stopIfTrue="1">
      <formula>$A4=3</formula>
    </cfRule>
    <cfRule type="expression" dxfId="36" priority="29" stopIfTrue="1">
      <formula>$A4=4</formula>
    </cfRule>
    <cfRule type="expression" dxfId="35" priority="30" stopIfTrue="1">
      <formula>$A4=5</formula>
    </cfRule>
  </conditionalFormatting>
  <conditionalFormatting sqref="AE4">
    <cfRule type="expression" dxfId="34" priority="16" stopIfTrue="1">
      <formula>$A4&lt;=1</formula>
    </cfRule>
    <cfRule type="expression" dxfId="33" priority="17" stopIfTrue="1">
      <formula>$A4=2</formula>
    </cfRule>
    <cfRule type="expression" dxfId="32" priority="18" stopIfTrue="1">
      <formula>$A4=3</formula>
    </cfRule>
    <cfRule type="expression" dxfId="31" priority="19" stopIfTrue="1">
      <formula>$A4=4</formula>
    </cfRule>
    <cfRule type="expression" dxfId="30" priority="20" stopIfTrue="1">
      <formula>$A4=5</formula>
    </cfRule>
  </conditionalFormatting>
  <conditionalFormatting sqref="A5:AD11 AF5:AF11">
    <cfRule type="expression" dxfId="29" priority="6" stopIfTrue="1">
      <formula>$A5&lt;=1</formula>
    </cfRule>
    <cfRule type="expression" dxfId="28" priority="7" stopIfTrue="1">
      <formula>$A5=2</formula>
    </cfRule>
    <cfRule type="expression" dxfId="27" priority="8" stopIfTrue="1">
      <formula>$A5=3</formula>
    </cfRule>
    <cfRule type="expression" dxfId="26" priority="9" stopIfTrue="1">
      <formula>$A5=4</formula>
    </cfRule>
    <cfRule type="expression" dxfId="25" priority="10" stopIfTrue="1">
      <formula>$A5=5</formula>
    </cfRule>
  </conditionalFormatting>
  <conditionalFormatting sqref="AE5:AE11">
    <cfRule type="expression" dxfId="24" priority="1" stopIfTrue="1">
      <formula>$A5&lt;=1</formula>
    </cfRule>
    <cfRule type="expression" dxfId="23" priority="2" stopIfTrue="1">
      <formula>$A5=2</formula>
    </cfRule>
    <cfRule type="expression" dxfId="22" priority="3" stopIfTrue="1">
      <formula>$A5=3</formula>
    </cfRule>
    <cfRule type="expression" dxfId="21" priority="4" stopIfTrue="1">
      <formula>$A5=4</formula>
    </cfRule>
    <cfRule type="expression" dxfId="2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I62"/>
  <sheetViews>
    <sheetView zoomScaleNormal="100" workbookViewId="0"/>
  </sheetViews>
  <sheetFormatPr defaultColWidth="8.25" defaultRowHeight="13.5"/>
  <cols>
    <col min="1" max="1" width="2.375" style="73" customWidth="1"/>
    <col min="2" max="2" width="32.625" style="73" customWidth="1"/>
    <col min="3" max="3" width="30.625" style="73" customWidth="1"/>
    <col min="4" max="4" width="5.875" style="73" customWidth="1"/>
    <col min="5" max="5" width="10.625" style="73" customWidth="1"/>
    <col min="6" max="6" width="12.625" style="141" customWidth="1"/>
    <col min="7" max="7" width="15.125" style="73" customWidth="1"/>
    <col min="8" max="8" width="14.375" style="73" customWidth="1"/>
    <col min="9" max="9" width="2.125" style="73" customWidth="1"/>
    <col min="10" max="16384" width="8.25" style="73"/>
  </cols>
  <sheetData>
    <row r="1" spans="1:9" s="313" customFormat="1" ht="23.1" customHeight="1" thickBot="1">
      <c r="A1" s="124"/>
      <c r="B1" s="125"/>
      <c r="C1" s="534" t="s">
        <v>243</v>
      </c>
      <c r="D1" s="534"/>
      <c r="E1" s="534"/>
      <c r="F1" s="534"/>
      <c r="G1" s="136"/>
      <c r="H1" s="358"/>
      <c r="I1" s="376"/>
    </row>
    <row r="2" spans="1:9" ht="19.5" customHeight="1">
      <c r="A2" s="69"/>
      <c r="B2" s="382" t="s">
        <v>244</v>
      </c>
      <c r="C2" s="384" t="s">
        <v>185</v>
      </c>
      <c r="D2" s="384" t="s">
        <v>245</v>
      </c>
      <c r="E2" s="383" t="s">
        <v>246</v>
      </c>
      <c r="F2" s="383" t="s">
        <v>226</v>
      </c>
      <c r="G2" s="385" t="s">
        <v>227</v>
      </c>
      <c r="H2" s="137" t="s">
        <v>247</v>
      </c>
      <c r="I2" s="69"/>
    </row>
    <row r="3" spans="1:9" ht="15.75" customHeight="1">
      <c r="A3" s="69"/>
      <c r="B3" s="547" t="s">
        <v>59</v>
      </c>
      <c r="C3" s="549"/>
      <c r="D3" s="551" t="s">
        <v>92</v>
      </c>
      <c r="E3" s="553">
        <v>1</v>
      </c>
      <c r="F3" s="511"/>
      <c r="G3" s="545"/>
      <c r="H3" s="138" t="s">
        <v>248</v>
      </c>
      <c r="I3" s="69"/>
    </row>
    <row r="4" spans="1:9" ht="15.75" customHeight="1">
      <c r="A4" s="69"/>
      <c r="B4" s="557"/>
      <c r="C4" s="558"/>
      <c r="D4" s="559"/>
      <c r="E4" s="560"/>
      <c r="F4" s="561"/>
      <c r="G4" s="546"/>
      <c r="H4" s="139" t="s">
        <v>166</v>
      </c>
      <c r="I4" s="69"/>
    </row>
    <row r="5" spans="1:9" ht="15.75" customHeight="1">
      <c r="A5" s="69"/>
      <c r="B5" s="547" t="s">
        <v>60</v>
      </c>
      <c r="C5" s="549" t="s">
        <v>98</v>
      </c>
      <c r="D5" s="551" t="s">
        <v>92</v>
      </c>
      <c r="E5" s="553">
        <v>1</v>
      </c>
      <c r="F5" s="511"/>
      <c r="G5" s="545"/>
      <c r="H5" s="138" t="s">
        <v>249</v>
      </c>
      <c r="I5" s="69"/>
    </row>
    <row r="6" spans="1:9" ht="15.75" customHeight="1">
      <c r="A6" s="69"/>
      <c r="B6" s="557"/>
      <c r="C6" s="558"/>
      <c r="D6" s="559"/>
      <c r="E6" s="560"/>
      <c r="F6" s="561"/>
      <c r="G6" s="546"/>
      <c r="H6" s="139" t="s">
        <v>166</v>
      </c>
      <c r="I6" s="69"/>
    </row>
    <row r="7" spans="1:9" ht="15.75" customHeight="1">
      <c r="A7" s="69"/>
      <c r="B7" s="547" t="s">
        <v>61</v>
      </c>
      <c r="C7" s="549"/>
      <c r="D7" s="551" t="s">
        <v>92</v>
      </c>
      <c r="E7" s="553">
        <v>1</v>
      </c>
      <c r="F7" s="511"/>
      <c r="G7" s="545"/>
      <c r="H7" s="138" t="s">
        <v>250</v>
      </c>
      <c r="I7" s="69"/>
    </row>
    <row r="8" spans="1:9" ht="15.75" customHeight="1">
      <c r="A8" s="69"/>
      <c r="B8" s="557"/>
      <c r="C8" s="558"/>
      <c r="D8" s="559"/>
      <c r="E8" s="560"/>
      <c r="F8" s="561"/>
      <c r="G8" s="546"/>
      <c r="H8" s="139" t="s">
        <v>166</v>
      </c>
      <c r="I8" s="69"/>
    </row>
    <row r="9" spans="1:9" ht="15.75" customHeight="1">
      <c r="A9" s="69"/>
      <c r="B9" s="547" t="s">
        <v>62</v>
      </c>
      <c r="C9" s="549" t="s">
        <v>102</v>
      </c>
      <c r="D9" s="551" t="s">
        <v>92</v>
      </c>
      <c r="E9" s="553">
        <v>1</v>
      </c>
      <c r="F9" s="511"/>
      <c r="G9" s="545"/>
      <c r="H9" s="138" t="s">
        <v>251</v>
      </c>
      <c r="I9" s="69"/>
    </row>
    <row r="10" spans="1:9" ht="15.75" customHeight="1">
      <c r="A10" s="69"/>
      <c r="B10" s="557"/>
      <c r="C10" s="558"/>
      <c r="D10" s="559"/>
      <c r="E10" s="560"/>
      <c r="F10" s="561"/>
      <c r="G10" s="546"/>
      <c r="H10" s="139" t="s">
        <v>166</v>
      </c>
      <c r="I10" s="69"/>
    </row>
    <row r="11" spans="1:9" ht="15.75" customHeight="1">
      <c r="A11" s="69"/>
      <c r="B11" s="547" t="s">
        <v>63</v>
      </c>
      <c r="C11" s="549" t="s">
        <v>103</v>
      </c>
      <c r="D11" s="551" t="s">
        <v>92</v>
      </c>
      <c r="E11" s="553">
        <v>1</v>
      </c>
      <c r="F11" s="511"/>
      <c r="G11" s="545"/>
      <c r="H11" s="138" t="s">
        <v>252</v>
      </c>
      <c r="I11" s="69"/>
    </row>
    <row r="12" spans="1:9" ht="15.75" customHeight="1">
      <c r="A12" s="69"/>
      <c r="B12" s="557"/>
      <c r="C12" s="558"/>
      <c r="D12" s="559"/>
      <c r="E12" s="560"/>
      <c r="F12" s="561"/>
      <c r="G12" s="546"/>
      <c r="H12" s="139" t="s">
        <v>166</v>
      </c>
      <c r="I12" s="69"/>
    </row>
    <row r="13" spans="1:9" ht="15.75" customHeight="1">
      <c r="A13" s="69"/>
      <c r="B13" s="547" t="s">
        <v>64</v>
      </c>
      <c r="C13" s="549" t="s">
        <v>104</v>
      </c>
      <c r="D13" s="551" t="s">
        <v>92</v>
      </c>
      <c r="E13" s="553">
        <v>1</v>
      </c>
      <c r="F13" s="511"/>
      <c r="G13" s="545"/>
      <c r="H13" s="138" t="s">
        <v>253</v>
      </c>
      <c r="I13" s="69"/>
    </row>
    <row r="14" spans="1:9" ht="15.75" customHeight="1">
      <c r="A14" s="69"/>
      <c r="B14" s="557"/>
      <c r="C14" s="558"/>
      <c r="D14" s="559"/>
      <c r="E14" s="560"/>
      <c r="F14" s="561"/>
      <c r="G14" s="546"/>
      <c r="H14" s="139" t="s">
        <v>166</v>
      </c>
      <c r="I14" s="69"/>
    </row>
    <row r="15" spans="1:9" ht="15.75" customHeight="1">
      <c r="A15" s="69"/>
      <c r="B15" s="547" t="s">
        <v>65</v>
      </c>
      <c r="C15" s="549" t="s">
        <v>105</v>
      </c>
      <c r="D15" s="551" t="s">
        <v>92</v>
      </c>
      <c r="E15" s="553">
        <v>1</v>
      </c>
      <c r="F15" s="511"/>
      <c r="G15" s="545"/>
      <c r="H15" s="138" t="s">
        <v>254</v>
      </c>
      <c r="I15" s="69"/>
    </row>
    <row r="16" spans="1:9" ht="15.75" customHeight="1">
      <c r="A16" s="69"/>
      <c r="B16" s="557"/>
      <c r="C16" s="558"/>
      <c r="D16" s="559"/>
      <c r="E16" s="560"/>
      <c r="F16" s="561"/>
      <c r="G16" s="546"/>
      <c r="H16" s="139" t="s">
        <v>166</v>
      </c>
      <c r="I16" s="69"/>
    </row>
    <row r="17" spans="1:9" ht="15.75" customHeight="1">
      <c r="A17" s="69"/>
      <c r="B17" s="547" t="s">
        <v>222</v>
      </c>
      <c r="C17" s="549" t="s">
        <v>255</v>
      </c>
      <c r="D17" s="551" t="s">
        <v>92</v>
      </c>
      <c r="E17" s="553">
        <v>1</v>
      </c>
      <c r="F17" s="511"/>
      <c r="G17" s="545"/>
      <c r="H17" s="138" t="s">
        <v>256</v>
      </c>
      <c r="I17" s="69"/>
    </row>
    <row r="18" spans="1:9" ht="15.75" customHeight="1">
      <c r="A18" s="69"/>
      <c r="B18" s="557"/>
      <c r="C18" s="558"/>
      <c r="D18" s="559"/>
      <c r="E18" s="560"/>
      <c r="F18" s="561"/>
      <c r="G18" s="546"/>
      <c r="H18" s="139" t="s">
        <v>166</v>
      </c>
      <c r="I18" s="69"/>
    </row>
    <row r="19" spans="1:9" ht="15.75" customHeight="1">
      <c r="A19" s="69"/>
      <c r="B19" s="547"/>
      <c r="C19" s="549"/>
      <c r="D19" s="551"/>
      <c r="E19" s="553"/>
      <c r="F19" s="511"/>
      <c r="G19" s="545"/>
      <c r="H19" s="138"/>
      <c r="I19" s="69"/>
    </row>
    <row r="20" spans="1:9" ht="15.75" customHeight="1">
      <c r="A20" s="69"/>
      <c r="B20" s="557"/>
      <c r="C20" s="558"/>
      <c r="D20" s="559"/>
      <c r="E20" s="560"/>
      <c r="F20" s="561"/>
      <c r="G20" s="546"/>
      <c r="H20" s="139"/>
      <c r="I20" s="69"/>
    </row>
    <row r="21" spans="1:9" ht="15.75" customHeight="1">
      <c r="A21" s="69"/>
      <c r="B21" s="547" t="s">
        <v>179</v>
      </c>
      <c r="C21" s="549"/>
      <c r="D21" s="551"/>
      <c r="E21" s="553"/>
      <c r="F21" s="511"/>
      <c r="G21" s="545"/>
      <c r="H21" s="138"/>
      <c r="I21" s="69"/>
    </row>
    <row r="22" spans="1:9" ht="15.75" customHeight="1">
      <c r="A22" s="69"/>
      <c r="B22" s="557"/>
      <c r="C22" s="558"/>
      <c r="D22" s="559"/>
      <c r="E22" s="560"/>
      <c r="F22" s="561"/>
      <c r="G22" s="546"/>
      <c r="H22" s="139"/>
      <c r="I22" s="69"/>
    </row>
    <row r="23" spans="1:9" ht="15.75" customHeight="1">
      <c r="A23" s="69"/>
      <c r="B23" s="547"/>
      <c r="C23" s="549"/>
      <c r="D23" s="551"/>
      <c r="E23" s="553"/>
      <c r="F23" s="511"/>
      <c r="G23" s="545"/>
      <c r="H23" s="138"/>
      <c r="I23" s="69"/>
    </row>
    <row r="24" spans="1:9" ht="15.75" customHeight="1">
      <c r="A24" s="69"/>
      <c r="B24" s="557"/>
      <c r="C24" s="558"/>
      <c r="D24" s="559"/>
      <c r="E24" s="560"/>
      <c r="F24" s="561"/>
      <c r="G24" s="546"/>
      <c r="H24" s="139"/>
      <c r="I24" s="69"/>
    </row>
    <row r="25" spans="1:9" ht="15.75" customHeight="1">
      <c r="A25" s="69"/>
      <c r="B25" s="547"/>
      <c r="C25" s="549"/>
      <c r="D25" s="551"/>
      <c r="E25" s="553"/>
      <c r="F25" s="511"/>
      <c r="G25" s="545"/>
      <c r="H25" s="138"/>
      <c r="I25" s="69"/>
    </row>
    <row r="26" spans="1:9" ht="15.75" customHeight="1">
      <c r="A26" s="69"/>
      <c r="B26" s="557"/>
      <c r="C26" s="558"/>
      <c r="D26" s="559"/>
      <c r="E26" s="560"/>
      <c r="F26" s="561"/>
      <c r="G26" s="546"/>
      <c r="H26" s="139"/>
      <c r="I26" s="69"/>
    </row>
    <row r="27" spans="1:9" ht="15.75" customHeight="1">
      <c r="A27" s="69"/>
      <c r="B27" s="547"/>
      <c r="C27" s="549"/>
      <c r="D27" s="551"/>
      <c r="E27" s="553"/>
      <c r="F27" s="511"/>
      <c r="G27" s="545"/>
      <c r="H27" s="138"/>
      <c r="I27" s="69"/>
    </row>
    <row r="28" spans="1:9" ht="15.75" customHeight="1">
      <c r="A28" s="69"/>
      <c r="B28" s="557"/>
      <c r="C28" s="558"/>
      <c r="D28" s="559"/>
      <c r="E28" s="560"/>
      <c r="F28" s="561"/>
      <c r="G28" s="546"/>
      <c r="H28" s="139"/>
      <c r="I28" s="69"/>
    </row>
    <row r="29" spans="1:9" ht="15.75" customHeight="1">
      <c r="A29" s="69"/>
      <c r="B29" s="547"/>
      <c r="C29" s="549"/>
      <c r="D29" s="551"/>
      <c r="E29" s="553"/>
      <c r="F29" s="511"/>
      <c r="G29" s="545"/>
      <c r="H29" s="138"/>
      <c r="I29" s="69"/>
    </row>
    <row r="30" spans="1:9" ht="15.75" customHeight="1" thickBot="1">
      <c r="A30" s="69"/>
      <c r="B30" s="548"/>
      <c r="C30" s="550"/>
      <c r="D30" s="552"/>
      <c r="E30" s="554"/>
      <c r="F30" s="555"/>
      <c r="G30" s="556"/>
      <c r="H30" s="140"/>
      <c r="I30" s="69"/>
    </row>
    <row r="31" spans="1:9" s="103" customFormat="1" ht="18" customHeight="1">
      <c r="A31" s="352"/>
      <c r="B31" s="352"/>
      <c r="C31" s="352"/>
      <c r="D31" s="352"/>
      <c r="E31" s="352"/>
      <c r="F31" s="352"/>
      <c r="G31" s="359"/>
      <c r="H31" s="359"/>
      <c r="I31" s="352"/>
    </row>
    <row r="32" spans="1:9" ht="23.1" customHeight="1"/>
    <row r="33" ht="19.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8" customHeight="1"/>
  </sheetData>
  <mergeCells count="85">
    <mergeCell ref="C1:F1"/>
    <mergeCell ref="B3:B4"/>
    <mergeCell ref="C3:C4"/>
    <mergeCell ref="D3:D4"/>
    <mergeCell ref="E3:E4"/>
    <mergeCell ref="F3:F4"/>
    <mergeCell ref="G3:G4"/>
    <mergeCell ref="B5:B6"/>
    <mergeCell ref="C5:C6"/>
    <mergeCell ref="D5:D6"/>
    <mergeCell ref="E5:E6"/>
    <mergeCell ref="F5:F6"/>
    <mergeCell ref="G5:G6"/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11:G12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5:G16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9:G20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23:G24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27:G28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</mergeCells>
  <phoneticPr fontId="4"/>
  <pageMargins left="0.70866141732283472" right="0.43307086614173229" top="0.62992125984251968" bottom="0.47244094488188981" header="0.31496062992125984" footer="0.31496062992125984"/>
  <pageSetup paperSize="9" scale="96" fitToHeight="0" orientation="landscape" useFirstPageNumber="1" r:id="rId1"/>
  <headerFooter>
    <oddFooter>&amp;C&amp;"ＭＳ 明朝,標準"&amp;Pページ</oddFoot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pageSetUpPr fitToPage="1"/>
  </sheetPr>
  <dimension ref="A1:AF14"/>
  <sheetViews>
    <sheetView zoomScaleNormal="100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泉南りんくうロングパークサッカー場部分修繕工事</v>
      </c>
      <c r="G1" s="300"/>
      <c r="H1" s="190" t="s">
        <v>176</v>
      </c>
      <c r="I1" s="327">
        <v>270000</v>
      </c>
      <c r="J1" s="333">
        <f>I4/I$1</f>
        <v>0.87037037037037035</v>
      </c>
      <c r="K1" s="193"/>
      <c r="L1" s="194">
        <v>3</v>
      </c>
      <c r="M1" s="195"/>
      <c r="N1" s="195"/>
      <c r="O1" s="300"/>
      <c r="P1" s="190" t="s">
        <v>126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126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181</v>
      </c>
      <c r="B2" s="198" t="s">
        <v>257</v>
      </c>
      <c r="C2" s="200" t="s">
        <v>183</v>
      </c>
      <c r="D2" s="200" t="s">
        <v>184</v>
      </c>
      <c r="E2" s="200" t="s">
        <v>185</v>
      </c>
      <c r="F2" s="200" t="s">
        <v>155</v>
      </c>
      <c r="G2" s="526" t="s">
        <v>186</v>
      </c>
      <c r="H2" s="527"/>
      <c r="I2" s="527"/>
      <c r="J2" s="527"/>
      <c r="K2" s="527"/>
      <c r="L2" s="527"/>
      <c r="M2" s="527"/>
      <c r="N2" s="528"/>
      <c r="O2" s="526" t="s">
        <v>187</v>
      </c>
      <c r="P2" s="527"/>
      <c r="Q2" s="527"/>
      <c r="R2" s="527"/>
      <c r="S2" s="527"/>
      <c r="T2" s="527"/>
      <c r="U2" s="527"/>
      <c r="V2" s="528"/>
      <c r="W2" s="526" t="s">
        <v>188</v>
      </c>
      <c r="X2" s="527"/>
      <c r="Y2" s="527"/>
      <c r="Z2" s="527"/>
      <c r="AA2" s="527"/>
      <c r="AB2" s="527"/>
      <c r="AC2" s="527"/>
      <c r="AD2" s="528"/>
      <c r="AE2" s="199" t="s">
        <v>189</v>
      </c>
      <c r="AF2" s="529" t="s">
        <v>160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156</v>
      </c>
      <c r="H3" s="205" t="s">
        <v>157</v>
      </c>
      <c r="I3" s="205" t="s">
        <v>158</v>
      </c>
      <c r="J3" s="206" t="s">
        <v>190</v>
      </c>
      <c r="K3" s="207"/>
      <c r="L3" s="208" t="s">
        <v>191</v>
      </c>
      <c r="M3" s="208" t="s">
        <v>192</v>
      </c>
      <c r="N3" s="209" t="s">
        <v>159</v>
      </c>
      <c r="O3" s="204" t="s">
        <v>156</v>
      </c>
      <c r="P3" s="205" t="s">
        <v>157</v>
      </c>
      <c r="Q3" s="205" t="s">
        <v>158</v>
      </c>
      <c r="R3" s="206" t="s">
        <v>190</v>
      </c>
      <c r="S3" s="210"/>
      <c r="T3" s="208" t="s">
        <v>191</v>
      </c>
      <c r="U3" s="208" t="s">
        <v>192</v>
      </c>
      <c r="V3" s="209" t="s">
        <v>159</v>
      </c>
      <c r="W3" s="204" t="s">
        <v>156</v>
      </c>
      <c r="X3" s="205" t="s">
        <v>157</v>
      </c>
      <c r="Y3" s="205" t="s">
        <v>158</v>
      </c>
      <c r="Z3" s="206" t="s">
        <v>190</v>
      </c>
      <c r="AA3" s="207"/>
      <c r="AB3" s="208" t="s">
        <v>191</v>
      </c>
      <c r="AC3" s="208" t="s">
        <v>192</v>
      </c>
      <c r="AD3" s="209" t="s">
        <v>159</v>
      </c>
      <c r="AE3" s="202"/>
      <c r="AF3" s="530"/>
    </row>
    <row r="4" spans="1:32">
      <c r="A4" s="301">
        <v>0</v>
      </c>
      <c r="B4" s="336"/>
      <c r="C4" s="336" t="s">
        <v>193</v>
      </c>
      <c r="D4" s="334" t="s">
        <v>109</v>
      </c>
      <c r="E4" s="336"/>
      <c r="F4" s="339" t="s">
        <v>92</v>
      </c>
      <c r="G4" s="302">
        <v>1</v>
      </c>
      <c r="H4" s="303">
        <v>235000</v>
      </c>
      <c r="I4" s="303">
        <v>235000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>
        <v>0</v>
      </c>
      <c r="P4" s="341">
        <v>0</v>
      </c>
      <c r="Q4" s="341">
        <v>0</v>
      </c>
      <c r="R4" s="342">
        <v>0</v>
      </c>
      <c r="S4" s="343" t="s">
        <v>194</v>
      </c>
      <c r="T4" s="337" t="e">
        <v>#DIV/0!</v>
      </c>
      <c r="U4" s="337" t="s">
        <v>194</v>
      </c>
      <c r="V4" s="338" t="s">
        <v>194</v>
      </c>
      <c r="W4" s="340">
        <v>0</v>
      </c>
      <c r="X4" s="341">
        <v>0</v>
      </c>
      <c r="Y4" s="341">
        <v>0</v>
      </c>
      <c r="Z4" s="342">
        <v>0</v>
      </c>
      <c r="AA4" s="343" t="s">
        <v>194</v>
      </c>
      <c r="AB4" s="337" t="e">
        <v>#DIV/0!</v>
      </c>
      <c r="AC4" s="337" t="s">
        <v>194</v>
      </c>
      <c r="AD4" s="338" t="s">
        <v>194</v>
      </c>
      <c r="AE4" s="336"/>
      <c r="AF4" s="335" t="s">
        <v>194</v>
      </c>
    </row>
    <row r="5" spans="1:32">
      <c r="A5" s="301">
        <v>1</v>
      </c>
      <c r="B5" s="336"/>
      <c r="C5" s="336" t="s">
        <v>195</v>
      </c>
      <c r="D5" s="334" t="s">
        <v>258</v>
      </c>
      <c r="E5" s="336"/>
      <c r="F5" s="339" t="s">
        <v>92</v>
      </c>
      <c r="G5" s="302">
        <v>1</v>
      </c>
      <c r="H5" s="303">
        <v>0</v>
      </c>
      <c r="I5" s="303">
        <v>0</v>
      </c>
      <c r="J5" s="211"/>
      <c r="K5" s="212" t="str">
        <f>IF(OR(J5="",G5=J5),"","*")</f>
        <v/>
      </c>
      <c r="L5" s="332">
        <f>IF($A5&lt;=L$1,I5/I$4,"")</f>
        <v>0</v>
      </c>
      <c r="M5" s="337"/>
      <c r="N5" s="338"/>
      <c r="O5" s="340">
        <v>0</v>
      </c>
      <c r="P5" s="341">
        <v>0</v>
      </c>
      <c r="Q5" s="341">
        <v>0</v>
      </c>
      <c r="R5" s="342">
        <v>0</v>
      </c>
      <c r="S5" s="343" t="s">
        <v>194</v>
      </c>
      <c r="T5" s="337" t="e">
        <v>#DIV/0!</v>
      </c>
      <c r="U5" s="337" t="s">
        <v>194</v>
      </c>
      <c r="V5" s="338" t="s">
        <v>194</v>
      </c>
      <c r="W5" s="340">
        <v>0</v>
      </c>
      <c r="X5" s="341">
        <v>0</v>
      </c>
      <c r="Y5" s="341">
        <v>0</v>
      </c>
      <c r="Z5" s="342">
        <v>0</v>
      </c>
      <c r="AA5" s="343" t="s">
        <v>194</v>
      </c>
      <c r="AB5" s="337" t="e">
        <v>#DIV/0!</v>
      </c>
      <c r="AC5" s="337" t="s">
        <v>194</v>
      </c>
      <c r="AD5" s="338" t="s">
        <v>194</v>
      </c>
      <c r="AE5" s="336"/>
      <c r="AF5" s="335" t="s">
        <v>194</v>
      </c>
    </row>
    <row r="6" spans="1:32">
      <c r="A6" s="301">
        <v>2</v>
      </c>
      <c r="B6" s="336"/>
      <c r="C6" s="336" t="s">
        <v>197</v>
      </c>
      <c r="D6" s="334" t="s">
        <v>259</v>
      </c>
      <c r="E6" s="336"/>
      <c r="F6" s="339" t="s">
        <v>92</v>
      </c>
      <c r="G6" s="302">
        <v>1</v>
      </c>
      <c r="H6" s="303">
        <v>0</v>
      </c>
      <c r="I6" s="303">
        <v>0</v>
      </c>
      <c r="J6" s="211">
        <v>1</v>
      </c>
      <c r="K6" s="212" t="str">
        <f>IF(OR(J6="",G6=J6),"","*")</f>
        <v/>
      </c>
      <c r="L6" s="332">
        <f>IF($A6&lt;=L$1,I6/I$4,"")</f>
        <v>0</v>
      </c>
      <c r="M6" s="337"/>
      <c r="N6" s="338" t="s">
        <v>260</v>
      </c>
      <c r="O6" s="340">
        <v>0</v>
      </c>
      <c r="P6" s="341">
        <v>0</v>
      </c>
      <c r="Q6" s="341">
        <v>0</v>
      </c>
      <c r="R6" s="342">
        <v>0</v>
      </c>
      <c r="S6" s="343" t="s">
        <v>194</v>
      </c>
      <c r="T6" s="337" t="e">
        <v>#DIV/0!</v>
      </c>
      <c r="U6" s="337" t="s">
        <v>194</v>
      </c>
      <c r="V6" s="338" t="s">
        <v>194</v>
      </c>
      <c r="W6" s="340">
        <v>0</v>
      </c>
      <c r="X6" s="341">
        <v>0</v>
      </c>
      <c r="Y6" s="341">
        <v>0</v>
      </c>
      <c r="Z6" s="342">
        <v>0</v>
      </c>
      <c r="AA6" s="343" t="s">
        <v>194</v>
      </c>
      <c r="AB6" s="337" t="e">
        <v>#DIV/0!</v>
      </c>
      <c r="AC6" s="337" t="s">
        <v>194</v>
      </c>
      <c r="AD6" s="338" t="s">
        <v>194</v>
      </c>
      <c r="AE6" s="336"/>
      <c r="AF6" s="335" t="s">
        <v>194</v>
      </c>
    </row>
    <row r="7" spans="1:32">
      <c r="A7" s="301">
        <v>2</v>
      </c>
      <c r="B7" s="336"/>
      <c r="C7" s="336" t="s">
        <v>197</v>
      </c>
      <c r="D7" s="334" t="s">
        <v>261</v>
      </c>
      <c r="E7" s="336" t="s">
        <v>98</v>
      </c>
      <c r="F7" s="339" t="s">
        <v>92</v>
      </c>
      <c r="G7" s="302">
        <v>1</v>
      </c>
      <c r="H7" s="303">
        <v>0</v>
      </c>
      <c r="I7" s="303">
        <v>0</v>
      </c>
      <c r="J7" s="211">
        <v>1</v>
      </c>
      <c r="K7" s="212" t="str">
        <f>IF(OR(J7="",G7=J7),"","*")</f>
        <v/>
      </c>
      <c r="L7" s="332">
        <f>IF($A7&lt;=L$1,I7/I$4,"")</f>
        <v>0</v>
      </c>
      <c r="M7" s="337"/>
      <c r="N7" s="338" t="s">
        <v>262</v>
      </c>
      <c r="O7" s="340">
        <v>0</v>
      </c>
      <c r="P7" s="341">
        <v>0</v>
      </c>
      <c r="Q7" s="341">
        <v>0</v>
      </c>
      <c r="R7" s="342">
        <v>0</v>
      </c>
      <c r="S7" s="343" t="s">
        <v>194</v>
      </c>
      <c r="T7" s="337" t="e">
        <v>#DIV/0!</v>
      </c>
      <c r="U7" s="337" t="s">
        <v>194</v>
      </c>
      <c r="V7" s="338" t="s">
        <v>194</v>
      </c>
      <c r="W7" s="340">
        <v>0</v>
      </c>
      <c r="X7" s="341">
        <v>0</v>
      </c>
      <c r="Y7" s="341">
        <v>0</v>
      </c>
      <c r="Z7" s="342">
        <v>0</v>
      </c>
      <c r="AA7" s="343" t="s">
        <v>194</v>
      </c>
      <c r="AB7" s="337" t="e">
        <v>#DIV/0!</v>
      </c>
      <c r="AC7" s="337" t="s">
        <v>194</v>
      </c>
      <c r="AD7" s="338" t="s">
        <v>194</v>
      </c>
      <c r="AE7" s="336"/>
      <c r="AF7" s="335" t="s">
        <v>194</v>
      </c>
    </row>
    <row r="8" spans="1:32">
      <c r="A8" s="301">
        <v>2</v>
      </c>
      <c r="B8" s="336"/>
      <c r="C8" s="336" t="s">
        <v>197</v>
      </c>
      <c r="D8" s="334" t="s">
        <v>263</v>
      </c>
      <c r="E8" s="336"/>
      <c r="F8" s="339" t="s">
        <v>92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264</v>
      </c>
      <c r="O8" s="340">
        <v>0</v>
      </c>
      <c r="P8" s="341">
        <v>0</v>
      </c>
      <c r="Q8" s="341">
        <v>0</v>
      </c>
      <c r="R8" s="342">
        <v>0</v>
      </c>
      <c r="S8" s="343" t="s">
        <v>194</v>
      </c>
      <c r="T8" s="337" t="e">
        <v>#DIV/0!</v>
      </c>
      <c r="U8" s="337" t="s">
        <v>194</v>
      </c>
      <c r="V8" s="338" t="s">
        <v>194</v>
      </c>
      <c r="W8" s="340">
        <v>0</v>
      </c>
      <c r="X8" s="341">
        <v>0</v>
      </c>
      <c r="Y8" s="341">
        <v>0</v>
      </c>
      <c r="Z8" s="342">
        <v>0</v>
      </c>
      <c r="AA8" s="343" t="s">
        <v>194</v>
      </c>
      <c r="AB8" s="337" t="e">
        <v>#DIV/0!</v>
      </c>
      <c r="AC8" s="337" t="s">
        <v>194</v>
      </c>
      <c r="AD8" s="338" t="s">
        <v>194</v>
      </c>
      <c r="AE8" s="336"/>
      <c r="AF8" s="335" t="s">
        <v>194</v>
      </c>
    </row>
    <row r="9" spans="1:32">
      <c r="A9" s="301">
        <v>2</v>
      </c>
      <c r="B9" s="336"/>
      <c r="C9" s="336" t="s">
        <v>197</v>
      </c>
      <c r="D9" s="334" t="s">
        <v>265</v>
      </c>
      <c r="E9" s="336" t="s">
        <v>102</v>
      </c>
      <c r="F9" s="339" t="s">
        <v>92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266</v>
      </c>
      <c r="O9" s="340">
        <v>0</v>
      </c>
      <c r="P9" s="341">
        <v>0</v>
      </c>
      <c r="Q9" s="341">
        <v>0</v>
      </c>
      <c r="R9" s="342">
        <v>0</v>
      </c>
      <c r="S9" s="343" t="s">
        <v>194</v>
      </c>
      <c r="T9" s="337" t="e">
        <v>#DIV/0!</v>
      </c>
      <c r="U9" s="337" t="s">
        <v>194</v>
      </c>
      <c r="V9" s="338" t="s">
        <v>194</v>
      </c>
      <c r="W9" s="340">
        <v>0</v>
      </c>
      <c r="X9" s="341">
        <v>0</v>
      </c>
      <c r="Y9" s="341">
        <v>0</v>
      </c>
      <c r="Z9" s="342">
        <v>0</v>
      </c>
      <c r="AA9" s="343" t="s">
        <v>194</v>
      </c>
      <c r="AB9" s="337" t="e">
        <v>#DIV/0!</v>
      </c>
      <c r="AC9" s="337" t="s">
        <v>194</v>
      </c>
      <c r="AD9" s="338" t="s">
        <v>194</v>
      </c>
      <c r="AE9" s="336"/>
      <c r="AF9" s="335" t="s">
        <v>194</v>
      </c>
    </row>
    <row r="10" spans="1:32">
      <c r="A10" s="301">
        <v>2</v>
      </c>
      <c r="B10" s="336"/>
      <c r="C10" s="336" t="s">
        <v>197</v>
      </c>
      <c r="D10" s="334" t="s">
        <v>267</v>
      </c>
      <c r="E10" s="336" t="s">
        <v>103</v>
      </c>
      <c r="F10" s="339" t="s">
        <v>92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268</v>
      </c>
      <c r="O10" s="340">
        <v>0</v>
      </c>
      <c r="P10" s="341">
        <v>0</v>
      </c>
      <c r="Q10" s="341">
        <v>0</v>
      </c>
      <c r="R10" s="342">
        <v>0</v>
      </c>
      <c r="S10" s="343" t="s">
        <v>194</v>
      </c>
      <c r="T10" s="337" t="e">
        <v>#DIV/0!</v>
      </c>
      <c r="U10" s="337" t="s">
        <v>194</v>
      </c>
      <c r="V10" s="338" t="s">
        <v>194</v>
      </c>
      <c r="W10" s="340">
        <v>0</v>
      </c>
      <c r="X10" s="341">
        <v>0</v>
      </c>
      <c r="Y10" s="341">
        <v>0</v>
      </c>
      <c r="Z10" s="342">
        <v>0</v>
      </c>
      <c r="AA10" s="343" t="s">
        <v>194</v>
      </c>
      <c r="AB10" s="337" t="e">
        <v>#DIV/0!</v>
      </c>
      <c r="AC10" s="337" t="s">
        <v>194</v>
      </c>
      <c r="AD10" s="338" t="s">
        <v>194</v>
      </c>
      <c r="AE10" s="336"/>
      <c r="AF10" s="335" t="s">
        <v>194</v>
      </c>
    </row>
    <row r="11" spans="1:32">
      <c r="A11" s="301">
        <v>2</v>
      </c>
      <c r="B11" s="336"/>
      <c r="C11" s="336" t="s">
        <v>197</v>
      </c>
      <c r="D11" s="334" t="s">
        <v>269</v>
      </c>
      <c r="E11" s="336" t="s">
        <v>104</v>
      </c>
      <c r="F11" s="339" t="s">
        <v>92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270</v>
      </c>
      <c r="O11" s="340">
        <v>0</v>
      </c>
      <c r="P11" s="341">
        <v>0</v>
      </c>
      <c r="Q11" s="341">
        <v>0</v>
      </c>
      <c r="R11" s="342">
        <v>0</v>
      </c>
      <c r="S11" s="343" t="s">
        <v>194</v>
      </c>
      <c r="T11" s="337" t="e">
        <v>#DIV/0!</v>
      </c>
      <c r="U11" s="337" t="s">
        <v>194</v>
      </c>
      <c r="V11" s="338" t="s">
        <v>194</v>
      </c>
      <c r="W11" s="340">
        <v>0</v>
      </c>
      <c r="X11" s="341">
        <v>0</v>
      </c>
      <c r="Y11" s="341">
        <v>0</v>
      </c>
      <c r="Z11" s="342">
        <v>0</v>
      </c>
      <c r="AA11" s="343" t="s">
        <v>194</v>
      </c>
      <c r="AB11" s="337" t="e">
        <v>#DIV/0!</v>
      </c>
      <c r="AC11" s="337" t="s">
        <v>194</v>
      </c>
      <c r="AD11" s="338" t="s">
        <v>194</v>
      </c>
      <c r="AE11" s="336"/>
      <c r="AF11" s="335" t="s">
        <v>194</v>
      </c>
    </row>
    <row r="12" spans="1:32">
      <c r="A12" s="301">
        <v>2</v>
      </c>
      <c r="B12" s="336"/>
      <c r="C12" s="336" t="s">
        <v>197</v>
      </c>
      <c r="D12" s="334" t="s">
        <v>271</v>
      </c>
      <c r="E12" s="336" t="s">
        <v>105</v>
      </c>
      <c r="F12" s="339" t="s">
        <v>92</v>
      </c>
      <c r="G12" s="302">
        <v>1</v>
      </c>
      <c r="H12" s="303">
        <v>0</v>
      </c>
      <c r="I12" s="303">
        <v>0</v>
      </c>
      <c r="J12" s="211">
        <v>1</v>
      </c>
      <c r="K12" s="212" t="str">
        <f>IF(OR(J12="",G12=J12),"","*")</f>
        <v/>
      </c>
      <c r="L12" s="332">
        <f>IF($A12&lt;=L$1,I12/I$4,"")</f>
        <v>0</v>
      </c>
      <c r="M12" s="337"/>
      <c r="N12" s="338" t="s">
        <v>272</v>
      </c>
      <c r="O12" s="340">
        <v>0</v>
      </c>
      <c r="P12" s="341">
        <v>0</v>
      </c>
      <c r="Q12" s="341">
        <v>0</v>
      </c>
      <c r="R12" s="342">
        <v>0</v>
      </c>
      <c r="S12" s="343" t="s">
        <v>194</v>
      </c>
      <c r="T12" s="337" t="e">
        <v>#DIV/0!</v>
      </c>
      <c r="U12" s="337" t="s">
        <v>194</v>
      </c>
      <c r="V12" s="338" t="s">
        <v>194</v>
      </c>
      <c r="W12" s="340">
        <v>0</v>
      </c>
      <c r="X12" s="341">
        <v>0</v>
      </c>
      <c r="Y12" s="341">
        <v>0</v>
      </c>
      <c r="Z12" s="342">
        <v>0</v>
      </c>
      <c r="AA12" s="343" t="s">
        <v>194</v>
      </c>
      <c r="AB12" s="337" t="e">
        <v>#DIV/0!</v>
      </c>
      <c r="AC12" s="337" t="s">
        <v>194</v>
      </c>
      <c r="AD12" s="338" t="s">
        <v>194</v>
      </c>
      <c r="AE12" s="336"/>
      <c r="AF12" s="335" t="s">
        <v>194</v>
      </c>
    </row>
    <row r="13" spans="1:32">
      <c r="A13" s="301">
        <v>2</v>
      </c>
      <c r="B13" s="336"/>
      <c r="C13" s="336" t="s">
        <v>197</v>
      </c>
      <c r="D13" s="334" t="s">
        <v>273</v>
      </c>
      <c r="E13" s="336" t="s">
        <v>255</v>
      </c>
      <c r="F13" s="339" t="s">
        <v>92</v>
      </c>
      <c r="G13" s="302">
        <v>1</v>
      </c>
      <c r="H13" s="303">
        <v>0</v>
      </c>
      <c r="I13" s="303">
        <v>0</v>
      </c>
      <c r="J13" s="211">
        <v>1</v>
      </c>
      <c r="K13" s="212" t="str">
        <f>IF(OR(J13="",G13=J13),"","*")</f>
        <v/>
      </c>
      <c r="L13" s="332">
        <f>IF($A13&lt;=L$1,I13/I$4,"")</f>
        <v>0</v>
      </c>
      <c r="M13" s="337"/>
      <c r="N13" s="338" t="s">
        <v>274</v>
      </c>
      <c r="O13" s="340">
        <v>0</v>
      </c>
      <c r="P13" s="341">
        <v>0</v>
      </c>
      <c r="Q13" s="341">
        <v>0</v>
      </c>
      <c r="R13" s="342">
        <v>0</v>
      </c>
      <c r="S13" s="343" t="s">
        <v>194</v>
      </c>
      <c r="T13" s="337" t="e">
        <v>#DIV/0!</v>
      </c>
      <c r="U13" s="337" t="s">
        <v>194</v>
      </c>
      <c r="V13" s="338" t="s">
        <v>194</v>
      </c>
      <c r="W13" s="340">
        <v>0</v>
      </c>
      <c r="X13" s="341">
        <v>0</v>
      </c>
      <c r="Y13" s="341">
        <v>0</v>
      </c>
      <c r="Z13" s="342">
        <v>0</v>
      </c>
      <c r="AA13" s="343" t="s">
        <v>194</v>
      </c>
      <c r="AB13" s="337" t="e">
        <v>#DIV/0!</v>
      </c>
      <c r="AC13" s="337" t="s">
        <v>194</v>
      </c>
      <c r="AD13" s="338" t="s">
        <v>194</v>
      </c>
      <c r="AE13" s="336"/>
      <c r="AF13" s="335" t="s">
        <v>194</v>
      </c>
    </row>
    <row r="14" spans="1:32">
      <c r="A14" s="217"/>
      <c r="B14" s="217"/>
      <c r="C14" s="306"/>
      <c r="D14" s="217"/>
      <c r="E14" s="217"/>
      <c r="F14" s="218"/>
      <c r="G14" s="217"/>
      <c r="H14" s="217"/>
      <c r="I14" s="217"/>
      <c r="J14" s="217"/>
      <c r="K14" s="218"/>
      <c r="L14" s="217"/>
      <c r="M14" s="217"/>
      <c r="N14" s="217"/>
      <c r="O14" s="217"/>
      <c r="P14" s="217"/>
      <c r="Q14" s="217"/>
      <c r="R14" s="217"/>
      <c r="S14" s="218"/>
      <c r="T14" s="217"/>
      <c r="U14" s="217"/>
      <c r="V14" s="217"/>
      <c r="W14" s="217"/>
      <c r="X14" s="217"/>
      <c r="Y14" s="217"/>
      <c r="Z14" s="217"/>
      <c r="AA14" s="218"/>
      <c r="AB14" s="217"/>
      <c r="AC14" s="217"/>
      <c r="AD14" s="217"/>
      <c r="AE14" s="217"/>
      <c r="AF14" s="307"/>
    </row>
  </sheetData>
  <autoFilter ref="A3:AE3" xr:uid="{00000000-0009-0000-0000-00000B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19" priority="26" stopIfTrue="1">
      <formula>$A4&lt;=1</formula>
    </cfRule>
    <cfRule type="expression" dxfId="18" priority="27" stopIfTrue="1">
      <formula>$A4=2</formula>
    </cfRule>
    <cfRule type="expression" dxfId="17" priority="28" stopIfTrue="1">
      <formula>$A4=3</formula>
    </cfRule>
    <cfRule type="expression" dxfId="16" priority="29" stopIfTrue="1">
      <formula>$A4=4</formula>
    </cfRule>
    <cfRule type="expression" dxfId="15" priority="30" stopIfTrue="1">
      <formula>$A4=5</formula>
    </cfRule>
  </conditionalFormatting>
  <conditionalFormatting sqref="AE4">
    <cfRule type="expression" dxfId="14" priority="16" stopIfTrue="1">
      <formula>$A4&lt;=1</formula>
    </cfRule>
    <cfRule type="expression" dxfId="13" priority="17" stopIfTrue="1">
      <formula>$A4=2</formula>
    </cfRule>
    <cfRule type="expression" dxfId="12" priority="18" stopIfTrue="1">
      <formula>$A4=3</formula>
    </cfRule>
    <cfRule type="expression" dxfId="11" priority="19" stopIfTrue="1">
      <formula>$A4=4</formula>
    </cfRule>
    <cfRule type="expression" dxfId="10" priority="20" stopIfTrue="1">
      <formula>$A4=5</formula>
    </cfRule>
  </conditionalFormatting>
  <conditionalFormatting sqref="A5:AD13 AF5:AF13">
    <cfRule type="expression" dxfId="9" priority="6" stopIfTrue="1">
      <formula>$A5&lt;=1</formula>
    </cfRule>
    <cfRule type="expression" dxfId="8" priority="7" stopIfTrue="1">
      <formula>$A5=2</formula>
    </cfRule>
    <cfRule type="expression" dxfId="7" priority="8" stopIfTrue="1">
      <formula>$A5=3</formula>
    </cfRule>
    <cfRule type="expression" dxfId="6" priority="9" stopIfTrue="1">
      <formula>$A5=4</formula>
    </cfRule>
    <cfRule type="expression" dxfId="5" priority="10" stopIfTrue="1">
      <formula>$A5=5</formula>
    </cfRule>
  </conditionalFormatting>
  <conditionalFormatting sqref="AE5:AE13">
    <cfRule type="expression" dxfId="4" priority="1" stopIfTrue="1">
      <formula>$A5&lt;=1</formula>
    </cfRule>
    <cfRule type="expression" dxfId="3" priority="2" stopIfTrue="1">
      <formula>$A5=2</formula>
    </cfRule>
    <cfRule type="expression" dxfId="2" priority="3" stopIfTrue="1">
      <formula>$A5=3</formula>
    </cfRule>
    <cfRule type="expression" dxfId="1" priority="4" stopIfTrue="1">
      <formula>$A5=4</formula>
    </cfRule>
    <cfRule type="expression" dxfId="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49"/>
  <sheetViews>
    <sheetView tabSelected="1"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275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276</v>
      </c>
      <c r="C3" s="146" t="s">
        <v>277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278</v>
      </c>
      <c r="K4" s="69"/>
    </row>
    <row r="5" spans="1:11" ht="18" customHeight="1">
      <c r="A5" s="69"/>
      <c r="B5" s="580" t="s">
        <v>279</v>
      </c>
      <c r="C5" s="581"/>
      <c r="D5" s="153" t="s">
        <v>245</v>
      </c>
      <c r="E5" s="153" t="s">
        <v>280</v>
      </c>
      <c r="F5" s="153" t="s">
        <v>281</v>
      </c>
      <c r="G5" s="153" t="s">
        <v>282</v>
      </c>
      <c r="H5" s="154" t="s">
        <v>283</v>
      </c>
      <c r="I5" s="153" t="s">
        <v>284</v>
      </c>
      <c r="J5" s="155" t="s">
        <v>285</v>
      </c>
      <c r="K5" s="69"/>
    </row>
    <row r="6" spans="1:11" ht="10.5" customHeight="1">
      <c r="A6" s="69"/>
      <c r="B6" s="156" t="s">
        <v>286</v>
      </c>
      <c r="C6" s="157"/>
      <c r="D6" s="562" t="s">
        <v>287</v>
      </c>
      <c r="E6" s="578">
        <v>1</v>
      </c>
      <c r="F6" s="566">
        <v>8800</v>
      </c>
      <c r="G6" s="568">
        <v>8800</v>
      </c>
      <c r="H6" s="345"/>
      <c r="I6" s="345"/>
      <c r="J6" s="158"/>
      <c r="K6" s="69" t="s">
        <v>162</v>
      </c>
    </row>
    <row r="7" spans="1:11" ht="10.5" customHeight="1">
      <c r="A7" s="69"/>
      <c r="B7" s="159" t="s">
        <v>288</v>
      </c>
      <c r="C7" s="160"/>
      <c r="D7" s="563"/>
      <c r="E7" s="579"/>
      <c r="F7" s="567"/>
      <c r="G7" s="569"/>
      <c r="H7" s="346"/>
      <c r="I7" s="346" t="s">
        <v>289</v>
      </c>
      <c r="J7" s="161"/>
      <c r="K7" s="69" t="s">
        <v>162</v>
      </c>
    </row>
    <row r="8" spans="1:11" ht="10.5" customHeight="1">
      <c r="A8" s="69"/>
      <c r="B8" s="156" t="s">
        <v>290</v>
      </c>
      <c r="C8" s="157"/>
      <c r="D8" s="562" t="s">
        <v>291</v>
      </c>
      <c r="E8" s="578">
        <v>1</v>
      </c>
      <c r="F8" s="566">
        <v>15000</v>
      </c>
      <c r="G8" s="568">
        <v>15000</v>
      </c>
      <c r="H8" s="345"/>
      <c r="I8" s="345"/>
      <c r="J8" s="162"/>
      <c r="K8" s="69" t="s">
        <v>162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289</v>
      </c>
      <c r="J9" s="162"/>
      <c r="K9" s="69" t="s">
        <v>162</v>
      </c>
    </row>
    <row r="10" spans="1:11" ht="10.5" customHeight="1">
      <c r="A10" s="69"/>
      <c r="B10" s="156" t="s">
        <v>292</v>
      </c>
      <c r="C10" s="157"/>
      <c r="D10" s="562" t="s">
        <v>293</v>
      </c>
      <c r="E10" s="578">
        <v>1</v>
      </c>
      <c r="F10" s="566">
        <v>4800</v>
      </c>
      <c r="G10" s="568">
        <v>4800</v>
      </c>
      <c r="H10" s="345"/>
      <c r="I10" s="345"/>
      <c r="J10" s="158"/>
      <c r="K10" s="69" t="s">
        <v>162</v>
      </c>
    </row>
    <row r="11" spans="1:11" ht="10.5" customHeight="1">
      <c r="A11" s="69"/>
      <c r="B11" s="159" t="s">
        <v>294</v>
      </c>
      <c r="C11" s="160"/>
      <c r="D11" s="563"/>
      <c r="E11" s="579"/>
      <c r="F11" s="567"/>
      <c r="G11" s="569"/>
      <c r="H11" s="346"/>
      <c r="I11" s="346" t="s">
        <v>289</v>
      </c>
      <c r="J11" s="161"/>
      <c r="K11" s="69" t="s">
        <v>162</v>
      </c>
    </row>
    <row r="12" spans="1:11" ht="10.5" customHeight="1">
      <c r="A12" s="69"/>
      <c r="B12" s="156" t="s">
        <v>295</v>
      </c>
      <c r="C12" s="157"/>
      <c r="D12" s="562" t="s">
        <v>296</v>
      </c>
      <c r="E12" s="564">
        <v>2</v>
      </c>
      <c r="F12" s="566">
        <v>3500</v>
      </c>
      <c r="G12" s="568">
        <v>7000</v>
      </c>
      <c r="H12" s="345"/>
      <c r="I12" s="345"/>
      <c r="J12" s="158"/>
      <c r="K12" s="69" t="s">
        <v>162</v>
      </c>
    </row>
    <row r="13" spans="1:11" ht="10.5" customHeight="1">
      <c r="A13" s="69"/>
      <c r="B13" s="159" t="s">
        <v>297</v>
      </c>
      <c r="C13" s="160"/>
      <c r="D13" s="563"/>
      <c r="E13" s="565"/>
      <c r="F13" s="567"/>
      <c r="G13" s="569"/>
      <c r="H13" s="346"/>
      <c r="I13" s="346" t="s">
        <v>289</v>
      </c>
      <c r="J13" s="161"/>
      <c r="K13" s="69" t="s">
        <v>162</v>
      </c>
    </row>
    <row r="14" spans="1:11" ht="10.5" customHeight="1">
      <c r="A14" s="69"/>
      <c r="B14" s="156" t="s">
        <v>298</v>
      </c>
      <c r="C14" s="157"/>
      <c r="D14" s="562" t="s">
        <v>291</v>
      </c>
      <c r="E14" s="564">
        <v>1</v>
      </c>
      <c r="F14" s="566">
        <v>75000</v>
      </c>
      <c r="G14" s="568">
        <v>75000</v>
      </c>
      <c r="H14" s="345"/>
      <c r="I14" s="345"/>
      <c r="J14" s="158"/>
      <c r="K14" s="69" t="s">
        <v>162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289</v>
      </c>
      <c r="J15" s="161"/>
      <c r="K15" s="69" t="s">
        <v>162</v>
      </c>
    </row>
    <row r="16" spans="1:11" ht="10.5" customHeight="1">
      <c r="A16" s="69"/>
      <c r="B16" s="156" t="s">
        <v>299</v>
      </c>
      <c r="C16" s="157"/>
      <c r="D16" s="562" t="s">
        <v>291</v>
      </c>
      <c r="E16" s="564">
        <v>1</v>
      </c>
      <c r="F16" s="566">
        <v>100000</v>
      </c>
      <c r="G16" s="568">
        <v>100000</v>
      </c>
      <c r="H16" s="345"/>
      <c r="I16" s="345"/>
      <c r="J16" s="158"/>
      <c r="K16" s="69" t="s">
        <v>162</v>
      </c>
    </row>
    <row r="17" spans="1:11" ht="10.5" customHeight="1">
      <c r="A17" s="69"/>
      <c r="B17" s="159" t="s">
        <v>300</v>
      </c>
      <c r="C17" s="160"/>
      <c r="D17" s="563"/>
      <c r="E17" s="565"/>
      <c r="F17" s="567"/>
      <c r="G17" s="569"/>
      <c r="H17" s="346"/>
      <c r="I17" s="346" t="s">
        <v>289</v>
      </c>
      <c r="J17" s="161"/>
      <c r="K17" s="69" t="s">
        <v>162</v>
      </c>
    </row>
    <row r="18" spans="1:11" ht="10.5" customHeight="1">
      <c r="A18" s="69"/>
      <c r="B18" s="156" t="s">
        <v>301</v>
      </c>
      <c r="C18" s="157"/>
      <c r="D18" s="562" t="s">
        <v>302</v>
      </c>
      <c r="E18" s="564">
        <v>1</v>
      </c>
      <c r="F18" s="566">
        <v>9200</v>
      </c>
      <c r="G18" s="568">
        <v>9200</v>
      </c>
      <c r="H18" s="345"/>
      <c r="I18" s="345"/>
      <c r="J18" s="158"/>
      <c r="K18" s="69" t="s">
        <v>162</v>
      </c>
    </row>
    <row r="19" spans="1:11" ht="10.5" customHeight="1">
      <c r="A19" s="69"/>
      <c r="B19" s="159" t="s">
        <v>303</v>
      </c>
      <c r="C19" s="160"/>
      <c r="D19" s="563"/>
      <c r="E19" s="565"/>
      <c r="F19" s="567"/>
      <c r="G19" s="569"/>
      <c r="H19" s="346"/>
      <c r="I19" s="346" t="s">
        <v>289</v>
      </c>
      <c r="J19" s="161"/>
      <c r="K19" s="69" t="s">
        <v>162</v>
      </c>
    </row>
    <row r="20" spans="1:11" ht="10.5" customHeight="1">
      <c r="A20" s="69"/>
      <c r="B20" s="156" t="s">
        <v>304</v>
      </c>
      <c r="C20" s="157"/>
      <c r="D20" s="562" t="s">
        <v>291</v>
      </c>
      <c r="E20" s="564">
        <v>1</v>
      </c>
      <c r="F20" s="566">
        <v>12000</v>
      </c>
      <c r="G20" s="568">
        <v>12000</v>
      </c>
      <c r="H20" s="345"/>
      <c r="I20" s="345"/>
      <c r="J20" s="158"/>
      <c r="K20" s="69" t="s">
        <v>162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 t="s">
        <v>289</v>
      </c>
      <c r="J21" s="161"/>
      <c r="K21" s="69" t="s">
        <v>162</v>
      </c>
    </row>
    <row r="22" spans="1:11" ht="10.5" customHeight="1">
      <c r="A22" s="69"/>
      <c r="B22" s="156" t="s">
        <v>305</v>
      </c>
      <c r="C22" s="157"/>
      <c r="D22" s="562" t="s">
        <v>293</v>
      </c>
      <c r="E22" s="564">
        <v>1</v>
      </c>
      <c r="F22" s="566">
        <v>3200</v>
      </c>
      <c r="G22" s="568">
        <v>3200</v>
      </c>
      <c r="H22" s="345"/>
      <c r="I22" s="345"/>
      <c r="J22" s="158"/>
      <c r="K22" s="69" t="s">
        <v>162</v>
      </c>
    </row>
    <row r="23" spans="1:11" ht="10.5" customHeight="1">
      <c r="A23" s="69"/>
      <c r="B23" s="159" t="s">
        <v>294</v>
      </c>
      <c r="C23" s="160"/>
      <c r="D23" s="563"/>
      <c r="E23" s="565"/>
      <c r="F23" s="567"/>
      <c r="G23" s="569"/>
      <c r="H23" s="346"/>
      <c r="I23" s="346" t="s">
        <v>289</v>
      </c>
      <c r="J23" s="161"/>
      <c r="K23" s="69" t="s">
        <v>162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162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162</v>
      </c>
    </row>
    <row r="26" spans="1:11" ht="10.5" customHeight="1">
      <c r="A26" s="69"/>
      <c r="B26" s="156" t="s">
        <v>306</v>
      </c>
      <c r="C26" s="157"/>
      <c r="D26" s="562"/>
      <c r="E26" s="564"/>
      <c r="F26" s="566"/>
      <c r="G26" s="568">
        <v>235000</v>
      </c>
      <c r="H26" s="345"/>
      <c r="I26" s="345"/>
      <c r="J26" s="158"/>
      <c r="K26" s="69" t="s">
        <v>162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162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162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162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162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162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162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162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162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162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162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162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162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162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162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162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162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162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162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162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162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162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606CE188D28940AD34A5A89F2D053C" ma:contentTypeVersion="11" ma:contentTypeDescription="新しいドキュメントを作成します。" ma:contentTypeScope="" ma:versionID="6367c6e2ae9c80eef1023045c4f44133">
  <xsd:schema xmlns:xsd="http://www.w3.org/2001/XMLSchema" xmlns:xs="http://www.w3.org/2001/XMLSchema" xmlns:p="http://schemas.microsoft.com/office/2006/metadata/properties" xmlns:ns2="e31b89d1-c09f-4fbd-8951-34db3b3d2971" xmlns:ns3="ad02d3de-1e61-4623-9abf-266af121b8ab" targetNamespace="http://schemas.microsoft.com/office/2006/metadata/properties" ma:root="true" ma:fieldsID="cb1aff3119471ed21a8ae59526470d25" ns2:_="" ns3:_="">
    <xsd:import namespace="e31b89d1-c09f-4fbd-8951-34db3b3d2971"/>
    <xsd:import namespace="ad02d3de-1e61-4623-9abf-266af121b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89d1-c09f-4fbd-8951-34db3b3d2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f7957b-e2f9-4b4b-9f6b-683eb5b99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d3de-1e61-4623-9abf-266af121b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ffa33-536b-46ea-879c-2b3fc85e38ee}" ma:internalName="TaxCatchAll" ma:showField="CatchAllData" ma:web="ad02d3de-1e61-4623-9abf-266af121b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b89d1-c09f-4fbd-8951-34db3b3d2971">
      <Terms xmlns="http://schemas.microsoft.com/office/infopath/2007/PartnerControls"/>
    </lcf76f155ced4ddcb4097134ff3c332f>
    <TaxCatchAll xmlns="ad02d3de-1e61-4623-9abf-266af121b8a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2D64A-8F0C-4F6F-9C5B-C4A57462A992}"/>
</file>

<file path=customXml/itemProps2.xml><?xml version="1.0" encoding="utf-8"?>
<ds:datastoreItem xmlns:ds="http://schemas.openxmlformats.org/officeDocument/2006/customXml" ds:itemID="{F334C084-26E9-4913-8ACA-97BE6FD59849}"/>
</file>

<file path=customXml/itemProps3.xml><?xml version="1.0" encoding="utf-8"?>
<ds:datastoreItem xmlns:ds="http://schemas.openxmlformats.org/officeDocument/2006/customXml" ds:itemID="{7EFF2009-9C2F-4668-9645-36FA2DF978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大場 拓也</cp:lastModifiedBy>
  <cp:revision/>
  <dcterms:created xsi:type="dcterms:W3CDTF">2022-05-27T06:34:00Z</dcterms:created>
  <dcterms:modified xsi:type="dcterms:W3CDTF">2025-10-07T02:29:36Z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0x01010068606CE188D28940AD34A5A89F2D053C</vt:lpwstr>
  </property>
  <property fmtid="{D5CDD505-2E9C-101B-9397-08002B2CF9AE}" pid="3" name="MediaServiceImageTags">
    <vt:lpwstr/>
  </property>
</Properties>
</file>