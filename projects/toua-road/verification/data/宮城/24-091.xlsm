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C18D7715-F50C-4102-8912-41D4257BB366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'工事費一覧表(共通仮設費)'!$A$1:$AF$22</definedName>
    <definedName name="_xlnm.Print_Area" localSheetId="11">'工事費一覧表(現場経費)'!$A$1:$AF$18</definedName>
    <definedName name="_xlnm.Print_Area" localSheetId="6">'工事費一覧表(直接工事費)'!$A$1:$AF$408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15" i="34"/>
  <c r="L15" i="34"/>
  <c r="K16" i="34"/>
  <c r="L16" i="34"/>
  <c r="K17" i="34"/>
  <c r="L17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15" i="32"/>
  <c r="L15" i="32"/>
  <c r="K16" i="32"/>
  <c r="L16" i="32"/>
  <c r="K17" i="32"/>
  <c r="L17" i="32"/>
  <c r="K18" i="32"/>
  <c r="L18" i="32"/>
  <c r="K19" i="32"/>
  <c r="L19" i="32"/>
  <c r="K20" i="32"/>
  <c r="L20" i="32"/>
  <c r="K21" i="32"/>
  <c r="L21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K78" i="29"/>
  <c r="L78" i="29"/>
  <c r="K79" i="29"/>
  <c r="L79" i="29"/>
  <c r="K80" i="29"/>
  <c r="L80" i="29"/>
  <c r="K81" i="29"/>
  <c r="L81" i="29"/>
  <c r="K82" i="29"/>
  <c r="L82" i="29"/>
  <c r="K83" i="29"/>
  <c r="L83" i="29"/>
  <c r="K84" i="29"/>
  <c r="L84" i="29"/>
  <c r="K85" i="29"/>
  <c r="L85" i="29"/>
  <c r="K86" i="29"/>
  <c r="L86" i="29"/>
  <c r="K87" i="29"/>
  <c r="L87" i="29"/>
  <c r="K88" i="29"/>
  <c r="L88" i="29"/>
  <c r="K89" i="29"/>
  <c r="L89" i="29"/>
  <c r="K90" i="29"/>
  <c r="L90" i="29"/>
  <c r="K91" i="29"/>
  <c r="L91" i="29"/>
  <c r="K92" i="29"/>
  <c r="L92" i="29"/>
  <c r="K93" i="29"/>
  <c r="L93" i="29"/>
  <c r="K94" i="29"/>
  <c r="L94" i="29"/>
  <c r="K95" i="29"/>
  <c r="L95" i="29"/>
  <c r="K96" i="29"/>
  <c r="L96" i="29"/>
  <c r="K97" i="29"/>
  <c r="L97" i="29"/>
  <c r="K98" i="29"/>
  <c r="L98" i="29"/>
  <c r="K99" i="29"/>
  <c r="L99" i="29"/>
  <c r="K100" i="29"/>
  <c r="L100" i="29"/>
  <c r="K101" i="29"/>
  <c r="L101" i="29"/>
  <c r="K102" i="29"/>
  <c r="L102" i="29"/>
  <c r="K103" i="29"/>
  <c r="L103" i="29"/>
  <c r="K104" i="29"/>
  <c r="L104" i="29"/>
  <c r="K105" i="29"/>
  <c r="L105" i="29"/>
  <c r="K106" i="29"/>
  <c r="L106" i="29"/>
  <c r="K107" i="29"/>
  <c r="L107" i="29"/>
  <c r="K108" i="29"/>
  <c r="L108" i="29"/>
  <c r="K109" i="29"/>
  <c r="L109" i="29"/>
  <c r="K110" i="29"/>
  <c r="L110" i="29"/>
  <c r="K111" i="29"/>
  <c r="L111" i="29"/>
  <c r="K112" i="29"/>
  <c r="L112" i="29"/>
  <c r="K113" i="29"/>
  <c r="L113" i="29"/>
  <c r="K114" i="29"/>
  <c r="L114" i="29"/>
  <c r="K115" i="29"/>
  <c r="L115" i="29"/>
  <c r="K116" i="29"/>
  <c r="L116" i="29"/>
  <c r="K117" i="29"/>
  <c r="L117" i="29"/>
  <c r="K118" i="29"/>
  <c r="L118" i="29"/>
  <c r="K119" i="29"/>
  <c r="L119" i="29"/>
  <c r="K120" i="29"/>
  <c r="L120" i="29"/>
  <c r="K121" i="29"/>
  <c r="L121" i="29"/>
  <c r="K122" i="29"/>
  <c r="L122" i="29"/>
  <c r="K123" i="29"/>
  <c r="L123" i="29"/>
  <c r="K124" i="29"/>
  <c r="L124" i="29"/>
  <c r="K125" i="29"/>
  <c r="L125" i="29"/>
  <c r="K126" i="29"/>
  <c r="L126" i="29"/>
  <c r="K127" i="29"/>
  <c r="L127" i="29"/>
  <c r="K128" i="29"/>
  <c r="L128" i="29"/>
  <c r="K129" i="29"/>
  <c r="L129" i="29"/>
  <c r="K130" i="29"/>
  <c r="L130" i="29"/>
  <c r="K131" i="29"/>
  <c r="L131" i="29"/>
  <c r="K132" i="29"/>
  <c r="L132" i="29"/>
  <c r="K133" i="29"/>
  <c r="L133" i="29"/>
  <c r="K134" i="29"/>
  <c r="L134" i="29"/>
  <c r="K135" i="29"/>
  <c r="L135" i="29"/>
  <c r="K136" i="29"/>
  <c r="L136" i="29"/>
  <c r="K137" i="29"/>
  <c r="L137" i="29"/>
  <c r="K138" i="29"/>
  <c r="L138" i="29"/>
  <c r="K139" i="29"/>
  <c r="L139" i="29"/>
  <c r="K140" i="29"/>
  <c r="L140" i="29"/>
  <c r="K141" i="29"/>
  <c r="L141" i="29"/>
  <c r="K142" i="29"/>
  <c r="L142" i="29"/>
  <c r="K143" i="29"/>
  <c r="L143" i="29"/>
  <c r="K144" i="29"/>
  <c r="L144" i="29"/>
  <c r="K145" i="29"/>
  <c r="L145" i="29"/>
  <c r="K146" i="29"/>
  <c r="L146" i="29"/>
  <c r="K147" i="29"/>
  <c r="L147" i="29"/>
  <c r="K148" i="29"/>
  <c r="L148" i="29"/>
  <c r="K149" i="29"/>
  <c r="L149" i="29"/>
  <c r="K150" i="29"/>
  <c r="L150" i="29"/>
  <c r="K151" i="29"/>
  <c r="L151" i="29"/>
  <c r="K152" i="29"/>
  <c r="L152" i="29"/>
  <c r="K153" i="29"/>
  <c r="L153" i="29"/>
  <c r="K154" i="29"/>
  <c r="L154" i="29"/>
  <c r="K155" i="29"/>
  <c r="L155" i="29"/>
  <c r="K156" i="29"/>
  <c r="L156" i="29"/>
  <c r="K157" i="29"/>
  <c r="L157" i="29"/>
  <c r="K158" i="29"/>
  <c r="L158" i="29"/>
  <c r="K159" i="29"/>
  <c r="L159" i="29"/>
  <c r="K160" i="29"/>
  <c r="L160" i="29"/>
  <c r="K161" i="29"/>
  <c r="L161" i="29"/>
  <c r="K162" i="29"/>
  <c r="L162" i="29"/>
  <c r="K163" i="29"/>
  <c r="L163" i="29"/>
  <c r="K164" i="29"/>
  <c r="L164" i="29"/>
  <c r="K165" i="29"/>
  <c r="L165" i="29"/>
  <c r="K166" i="29"/>
  <c r="L166" i="29"/>
  <c r="K167" i="29"/>
  <c r="L167" i="29"/>
  <c r="K168" i="29"/>
  <c r="L168" i="29"/>
  <c r="K169" i="29"/>
  <c r="L169" i="29"/>
  <c r="K170" i="29"/>
  <c r="L170" i="29"/>
  <c r="K171" i="29"/>
  <c r="L171" i="29"/>
  <c r="K172" i="29"/>
  <c r="L172" i="29"/>
  <c r="K173" i="29"/>
  <c r="L173" i="29"/>
  <c r="K174" i="29"/>
  <c r="L174" i="29"/>
  <c r="K175" i="29"/>
  <c r="L175" i="29"/>
  <c r="K176" i="29"/>
  <c r="L176" i="29"/>
  <c r="K177" i="29"/>
  <c r="L177" i="29"/>
  <c r="K178" i="29"/>
  <c r="L178" i="29"/>
  <c r="K179" i="29"/>
  <c r="L179" i="29"/>
  <c r="K180" i="29"/>
  <c r="L180" i="29"/>
  <c r="K181" i="29"/>
  <c r="L181" i="29"/>
  <c r="K182" i="29"/>
  <c r="L182" i="29"/>
  <c r="K183" i="29"/>
  <c r="L183" i="29"/>
  <c r="K184" i="29"/>
  <c r="L184" i="29"/>
  <c r="K185" i="29"/>
  <c r="L185" i="29"/>
  <c r="K186" i="29"/>
  <c r="L186" i="29"/>
  <c r="K187" i="29"/>
  <c r="L187" i="29"/>
  <c r="K188" i="29"/>
  <c r="L188" i="29"/>
  <c r="K189" i="29"/>
  <c r="L189" i="29"/>
  <c r="K190" i="29"/>
  <c r="L190" i="29"/>
  <c r="K191" i="29"/>
  <c r="L191" i="29"/>
  <c r="K192" i="29"/>
  <c r="L192" i="29"/>
  <c r="K193" i="29"/>
  <c r="L193" i="29"/>
  <c r="K194" i="29"/>
  <c r="L194" i="29"/>
  <c r="K195" i="29"/>
  <c r="L195" i="29"/>
  <c r="K196" i="29"/>
  <c r="L196" i="29"/>
  <c r="K197" i="29"/>
  <c r="L197" i="29"/>
  <c r="K198" i="29"/>
  <c r="L198" i="29"/>
  <c r="K199" i="29"/>
  <c r="L199" i="29"/>
  <c r="K200" i="29"/>
  <c r="L200" i="29"/>
  <c r="K201" i="29"/>
  <c r="L201" i="29"/>
  <c r="K202" i="29"/>
  <c r="L202" i="29"/>
  <c r="K203" i="29"/>
  <c r="L203" i="29"/>
  <c r="K204" i="29"/>
  <c r="L204" i="29"/>
  <c r="K205" i="29"/>
  <c r="L205" i="29"/>
  <c r="K206" i="29"/>
  <c r="L206" i="29"/>
  <c r="K207" i="29"/>
  <c r="L207" i="29"/>
  <c r="K208" i="29"/>
  <c r="L208" i="29"/>
  <c r="K209" i="29"/>
  <c r="L209" i="29"/>
  <c r="K210" i="29"/>
  <c r="L210" i="29"/>
  <c r="K211" i="29"/>
  <c r="L211" i="29"/>
  <c r="K212" i="29"/>
  <c r="L212" i="29"/>
  <c r="K213" i="29"/>
  <c r="L213" i="29"/>
  <c r="K214" i="29"/>
  <c r="L214" i="29"/>
  <c r="K215" i="29"/>
  <c r="L215" i="29"/>
  <c r="K216" i="29"/>
  <c r="L216" i="29"/>
  <c r="K217" i="29"/>
  <c r="L217" i="29"/>
  <c r="K218" i="29"/>
  <c r="L218" i="29"/>
  <c r="K219" i="29"/>
  <c r="L219" i="29"/>
  <c r="K220" i="29"/>
  <c r="L220" i="29"/>
  <c r="K221" i="29"/>
  <c r="L221" i="29"/>
  <c r="K222" i="29"/>
  <c r="L222" i="29"/>
  <c r="K223" i="29"/>
  <c r="L223" i="29"/>
  <c r="K224" i="29"/>
  <c r="L224" i="29"/>
  <c r="K225" i="29"/>
  <c r="L225" i="29"/>
  <c r="K226" i="29"/>
  <c r="L226" i="29"/>
  <c r="K227" i="29"/>
  <c r="L227" i="29"/>
  <c r="K228" i="29"/>
  <c r="L228" i="29"/>
  <c r="K229" i="29"/>
  <c r="L229" i="29"/>
  <c r="K230" i="29"/>
  <c r="L230" i="29"/>
  <c r="K231" i="29"/>
  <c r="L231" i="29"/>
  <c r="K232" i="29"/>
  <c r="L232" i="29"/>
  <c r="K233" i="29"/>
  <c r="L233" i="29"/>
  <c r="K234" i="29"/>
  <c r="L234" i="29"/>
  <c r="K235" i="29"/>
  <c r="L235" i="29"/>
  <c r="K236" i="29"/>
  <c r="L236" i="29"/>
  <c r="K237" i="29"/>
  <c r="L237" i="29"/>
  <c r="K238" i="29"/>
  <c r="L238" i="29"/>
  <c r="K239" i="29"/>
  <c r="L239" i="29"/>
  <c r="K240" i="29"/>
  <c r="L240" i="29"/>
  <c r="K241" i="29"/>
  <c r="L241" i="29"/>
  <c r="K242" i="29"/>
  <c r="L242" i="29"/>
  <c r="K243" i="29"/>
  <c r="L243" i="29"/>
  <c r="K244" i="29"/>
  <c r="L244" i="29"/>
  <c r="K245" i="29"/>
  <c r="L245" i="29"/>
  <c r="K246" i="29"/>
  <c r="L246" i="29"/>
  <c r="K247" i="29"/>
  <c r="L247" i="29"/>
  <c r="K248" i="29"/>
  <c r="L248" i="29"/>
  <c r="K249" i="29"/>
  <c r="L249" i="29"/>
  <c r="K250" i="29"/>
  <c r="L250" i="29"/>
  <c r="K251" i="29"/>
  <c r="L251" i="29"/>
  <c r="K252" i="29"/>
  <c r="L252" i="29"/>
  <c r="K253" i="29"/>
  <c r="L253" i="29"/>
  <c r="K254" i="29"/>
  <c r="L254" i="29"/>
  <c r="K255" i="29"/>
  <c r="L255" i="29"/>
  <c r="K256" i="29"/>
  <c r="L256" i="29"/>
  <c r="K257" i="29"/>
  <c r="L257" i="29"/>
  <c r="K258" i="29"/>
  <c r="L258" i="29"/>
  <c r="K259" i="29"/>
  <c r="L259" i="29"/>
  <c r="K260" i="29"/>
  <c r="L260" i="29"/>
  <c r="K261" i="29"/>
  <c r="L261" i="29"/>
  <c r="K262" i="29"/>
  <c r="L262" i="29"/>
  <c r="K263" i="29"/>
  <c r="L263" i="29"/>
  <c r="K264" i="29"/>
  <c r="L264" i="29"/>
  <c r="K265" i="29"/>
  <c r="L265" i="29"/>
  <c r="K266" i="29"/>
  <c r="L266" i="29"/>
  <c r="K267" i="29"/>
  <c r="L267" i="29"/>
  <c r="K268" i="29"/>
  <c r="L268" i="29"/>
  <c r="K269" i="29"/>
  <c r="L269" i="29"/>
  <c r="K270" i="29"/>
  <c r="L270" i="29"/>
  <c r="K271" i="29"/>
  <c r="L271" i="29"/>
  <c r="K272" i="29"/>
  <c r="L272" i="29"/>
  <c r="K273" i="29"/>
  <c r="L273" i="29"/>
  <c r="K274" i="29"/>
  <c r="L274" i="29"/>
  <c r="K275" i="29"/>
  <c r="L275" i="29"/>
  <c r="K276" i="29"/>
  <c r="L276" i="29"/>
  <c r="K277" i="29"/>
  <c r="L277" i="29"/>
  <c r="K278" i="29"/>
  <c r="L278" i="29"/>
  <c r="K279" i="29"/>
  <c r="L279" i="29"/>
  <c r="K280" i="29"/>
  <c r="L280" i="29"/>
  <c r="K281" i="29"/>
  <c r="L281" i="29"/>
  <c r="K282" i="29"/>
  <c r="L282" i="29"/>
  <c r="K283" i="29"/>
  <c r="L283" i="29"/>
  <c r="K284" i="29"/>
  <c r="L284" i="29"/>
  <c r="K285" i="29"/>
  <c r="L285" i="29"/>
  <c r="K286" i="29"/>
  <c r="L286" i="29"/>
  <c r="K287" i="29"/>
  <c r="L287" i="29"/>
  <c r="K288" i="29"/>
  <c r="L288" i="29"/>
  <c r="K289" i="29"/>
  <c r="L289" i="29"/>
  <c r="K290" i="29"/>
  <c r="L290" i="29"/>
  <c r="K291" i="29"/>
  <c r="L291" i="29"/>
  <c r="K292" i="29"/>
  <c r="L292" i="29"/>
  <c r="K293" i="29"/>
  <c r="L293" i="29"/>
  <c r="K294" i="29"/>
  <c r="L294" i="29"/>
  <c r="K295" i="29"/>
  <c r="L295" i="29"/>
  <c r="K296" i="29"/>
  <c r="L296" i="29"/>
  <c r="K297" i="29"/>
  <c r="L297" i="29"/>
  <c r="K298" i="29"/>
  <c r="L298" i="29"/>
  <c r="K299" i="29"/>
  <c r="L299" i="29"/>
  <c r="K300" i="29"/>
  <c r="L300" i="29"/>
  <c r="K301" i="29"/>
  <c r="L301" i="29"/>
  <c r="K302" i="29"/>
  <c r="L302" i="29"/>
  <c r="K303" i="29"/>
  <c r="L303" i="29"/>
  <c r="K304" i="29"/>
  <c r="L304" i="29"/>
  <c r="K305" i="29"/>
  <c r="L305" i="29"/>
  <c r="K306" i="29"/>
  <c r="L306" i="29"/>
  <c r="K307" i="29"/>
  <c r="L307" i="29"/>
  <c r="K308" i="29"/>
  <c r="L308" i="29"/>
  <c r="K309" i="29"/>
  <c r="L309" i="29"/>
  <c r="K310" i="29"/>
  <c r="L310" i="29"/>
  <c r="K311" i="29"/>
  <c r="L311" i="29"/>
  <c r="K312" i="29"/>
  <c r="L312" i="29"/>
  <c r="K313" i="29"/>
  <c r="L313" i="29"/>
  <c r="K314" i="29"/>
  <c r="L314" i="29"/>
  <c r="K315" i="29"/>
  <c r="L315" i="29"/>
  <c r="K316" i="29"/>
  <c r="L316" i="29"/>
  <c r="K317" i="29"/>
  <c r="L317" i="29"/>
  <c r="K318" i="29"/>
  <c r="L318" i="29"/>
  <c r="K319" i="29"/>
  <c r="L319" i="29"/>
  <c r="K320" i="29"/>
  <c r="L320" i="29"/>
  <c r="K321" i="29"/>
  <c r="L321" i="29"/>
  <c r="K322" i="29"/>
  <c r="L322" i="29"/>
  <c r="K323" i="29"/>
  <c r="L323" i="29"/>
  <c r="K324" i="29"/>
  <c r="L324" i="29"/>
  <c r="K325" i="29"/>
  <c r="L325" i="29"/>
  <c r="K326" i="29"/>
  <c r="L326" i="29"/>
  <c r="K327" i="29"/>
  <c r="L327" i="29"/>
  <c r="K328" i="29"/>
  <c r="L328" i="29"/>
  <c r="K329" i="29"/>
  <c r="L329" i="29"/>
  <c r="K330" i="29"/>
  <c r="L330" i="29"/>
  <c r="K331" i="29"/>
  <c r="L331" i="29"/>
  <c r="K332" i="29"/>
  <c r="L332" i="29"/>
  <c r="K333" i="29"/>
  <c r="L333" i="29"/>
  <c r="K334" i="29"/>
  <c r="L334" i="29"/>
  <c r="K335" i="29"/>
  <c r="L335" i="29"/>
  <c r="K336" i="29"/>
  <c r="L336" i="29"/>
  <c r="K337" i="29"/>
  <c r="L337" i="29"/>
  <c r="K338" i="29"/>
  <c r="L338" i="29"/>
  <c r="K339" i="29"/>
  <c r="L339" i="29"/>
  <c r="K340" i="29"/>
  <c r="L340" i="29"/>
  <c r="K341" i="29"/>
  <c r="L341" i="29"/>
  <c r="K342" i="29"/>
  <c r="L342" i="29"/>
  <c r="K343" i="29"/>
  <c r="L343" i="29"/>
  <c r="K344" i="29"/>
  <c r="L344" i="29"/>
  <c r="K345" i="29"/>
  <c r="L345" i="29"/>
  <c r="K346" i="29"/>
  <c r="L346" i="29"/>
  <c r="K347" i="29"/>
  <c r="L347" i="29"/>
  <c r="K348" i="29"/>
  <c r="L348" i="29"/>
  <c r="K349" i="29"/>
  <c r="L349" i="29"/>
  <c r="K350" i="29"/>
  <c r="L350" i="29"/>
  <c r="K351" i="29"/>
  <c r="L351" i="29"/>
  <c r="K352" i="29"/>
  <c r="L352" i="29"/>
  <c r="K353" i="29"/>
  <c r="L353" i="29"/>
  <c r="K354" i="29"/>
  <c r="L354" i="29"/>
  <c r="K355" i="29"/>
  <c r="L355" i="29"/>
  <c r="K356" i="29"/>
  <c r="L356" i="29"/>
  <c r="K357" i="29"/>
  <c r="L357" i="29"/>
  <c r="K358" i="29"/>
  <c r="L358" i="29"/>
  <c r="K359" i="29"/>
  <c r="L359" i="29"/>
  <c r="K360" i="29"/>
  <c r="L360" i="29"/>
  <c r="K361" i="29"/>
  <c r="L361" i="29"/>
  <c r="K362" i="29"/>
  <c r="L362" i="29"/>
  <c r="K363" i="29"/>
  <c r="L363" i="29"/>
  <c r="K364" i="29"/>
  <c r="L364" i="29"/>
  <c r="K365" i="29"/>
  <c r="L365" i="29"/>
  <c r="K366" i="29"/>
  <c r="L366" i="29"/>
  <c r="K367" i="29"/>
  <c r="L367" i="29"/>
  <c r="K368" i="29"/>
  <c r="L368" i="29"/>
  <c r="K369" i="29"/>
  <c r="L369" i="29"/>
  <c r="K370" i="29"/>
  <c r="L370" i="29"/>
  <c r="K371" i="29"/>
  <c r="L371" i="29"/>
  <c r="K372" i="29"/>
  <c r="L372" i="29"/>
  <c r="K373" i="29"/>
  <c r="L373" i="29"/>
  <c r="K374" i="29"/>
  <c r="L374" i="29"/>
  <c r="K375" i="29"/>
  <c r="L375" i="29"/>
  <c r="K376" i="29"/>
  <c r="L376" i="29"/>
  <c r="K377" i="29"/>
  <c r="L377" i="29"/>
  <c r="K378" i="29"/>
  <c r="L378" i="29"/>
  <c r="K379" i="29"/>
  <c r="L379" i="29"/>
  <c r="K380" i="29"/>
  <c r="L380" i="29"/>
  <c r="K381" i="29"/>
  <c r="L381" i="29"/>
  <c r="K382" i="29"/>
  <c r="L382" i="29"/>
  <c r="K383" i="29"/>
  <c r="L383" i="29"/>
  <c r="K384" i="29"/>
  <c r="L384" i="29"/>
  <c r="K385" i="29"/>
  <c r="L385" i="29"/>
  <c r="K386" i="29"/>
  <c r="L386" i="29"/>
  <c r="K387" i="29"/>
  <c r="L387" i="29"/>
  <c r="K388" i="29"/>
  <c r="L388" i="29"/>
  <c r="K389" i="29"/>
  <c r="L389" i="29"/>
  <c r="K390" i="29"/>
  <c r="L390" i="29"/>
  <c r="K391" i="29"/>
  <c r="L391" i="29"/>
  <c r="K392" i="29"/>
  <c r="L392" i="29"/>
  <c r="K393" i="29"/>
  <c r="L393" i="29"/>
  <c r="K394" i="29"/>
  <c r="L394" i="29"/>
  <c r="K395" i="29"/>
  <c r="L395" i="29"/>
  <c r="K396" i="29"/>
  <c r="L396" i="29"/>
  <c r="K397" i="29"/>
  <c r="L397" i="29"/>
  <c r="K398" i="29"/>
  <c r="L398" i="29"/>
  <c r="K399" i="29"/>
  <c r="L399" i="29"/>
  <c r="K400" i="29"/>
  <c r="L400" i="29"/>
  <c r="K401" i="29"/>
  <c r="L401" i="29"/>
  <c r="K402" i="29"/>
  <c r="L402" i="29"/>
  <c r="K403" i="29"/>
  <c r="L403" i="29"/>
  <c r="K404" i="29"/>
  <c r="L404" i="29"/>
  <c r="K405" i="29"/>
  <c r="L405" i="29"/>
  <c r="K406" i="29"/>
  <c r="L406" i="29"/>
  <c r="K407" i="29"/>
  <c r="L407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 s="1"/>
  <c r="D11" i="25"/>
  <c r="O26" i="25" l="1"/>
  <c r="O21" i="25" s="1"/>
  <c r="O22" i="25" s="1"/>
  <c r="Q26" i="25"/>
  <c r="Q21" i="25" s="1"/>
  <c r="D10" i="25"/>
  <c r="D18" i="25"/>
  <c r="H26" i="25"/>
  <c r="H21" i="25" s="1"/>
  <c r="H22" i="25" s="1"/>
  <c r="P26" i="25"/>
  <c r="P21" i="25" s="1"/>
  <c r="P22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L26" i="25"/>
  <c r="L21" i="25" s="1"/>
  <c r="L22" i="25" s="1"/>
  <c r="D7" i="25"/>
  <c r="D15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<sst xmlns="http://schemas.openxmlformats.org/spreadsheetml/2006/main" count="4425" uniqueCount="987">
  <si>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</si>
  <si>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</si>
  <si>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</si>
  <si>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</si>
  <si>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</si>
  <si>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</si>
  <si>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</si>
  <si>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</si>
  <si>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</si>
  <si>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</si>
  <si>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</si>
  <si>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</si>
  <si>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</si>
  <si>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</si>
  <si>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</si>
  <si>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</si>
  <si>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</si>
  <si>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</si>
  <si>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</si>
  <si>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</si>
  <si>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</si>
  <si>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</si>
  <si>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</si>
  <si>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</si>
  <si>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</si>
  <si>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</si>
  <si>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</si>
  <si>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</si>
  <si>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</si>
  <si>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</si>
  <si>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</si>
  <si>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</si>
  <si>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</si>
  <si>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</si>
  <si>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</si>
  <si>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</si>
  <si>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</si>
  <si>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</si>
  <si>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</si>
  <si>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</si>
  <si>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</si>
  <si>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</si>
  <si>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</si>
  <si>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</si>
  <si>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</si>
  <si>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</si>
  <si>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</si>
  <si>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</si>
  <si>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</si>
  <si>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</si>
  <si>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</si>
  <si>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</si>
  <si>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</si>
  <si>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</si>
  <si>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</si>
  <si>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</si>
  <si>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</si>
  <si>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</si>
  <si>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</si>
  <si>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</si>
  <si>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</si>
  <si>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</si>
  <si>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</si>
  <si>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</si>
  <si>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</si>
  <si>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</si>
  <si>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</si>
  <si>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</si>
  <si>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</si>
  <si>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</si>
  <si>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</si>
  <si>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</si>
  <si>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</si>
  <si>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</si>
  <si>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</si>
  <si>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</si>
  <si>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</si>
  <si>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</si>
  <si>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</si>
  <si>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</si>
  <si>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</si>
  <si>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</si>
  <si>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</si>
  <si>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</si>
  <si>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</si>
  <si>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</si>
  <si>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</si>
  <si>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</si>
  <si>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</si>
  <si>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</si>
  <si>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</si>
  <si>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</si>
  <si>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</si>
  <si>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</si>
  <si>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</si>
  <si>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</si>
  <si>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</si>
  <si>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</si>
  <si>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</si>
  <si>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</si>
  <si>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</si>
  <si>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</si>
  <si>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</si>
  <si>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</si>
  <si>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</si>
  <si>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</si>
  <si>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</si>
  <si>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</si>
  <si>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</si>
  <si>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</si>
  <si>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</si>
  <si>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</si>
  <si>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</si>
  <si>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</si>
  <si>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</si>
  <si>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</si>
  <si>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</si>
  <si>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</si>
  <si>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</si>
  <si>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</si>
  <si>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</si>
  <si>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</si>
  <si>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</si>
  <si>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</si>
  <si>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</si>
  <si>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</si>
  <si>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</si>
  <si>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</si>
  <si>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</si>
  <si>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</si>
  <si>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</si>
  <si>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</si>
  <si>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</si>
  <si>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</si>
  <si>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</si>
  <si>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</si>
  <si>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</si>
  <si>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</si>
  <si>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</si>
  <si>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</si>
  <si>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</si>
  <si>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</si>
  <si>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</si>
  <si>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</si>
  <si>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</si>
  <si>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24-091 F</t>
  </si>
  <si>
    <t>（第12回変更予算）</t>
  </si>
  <si>
    <t>北山辰雄</t>
  </si>
  <si>
    <t>山本師史</t>
  </si>
  <si>
    <t>仙台港駅構内トラックスケール設置に伴う基礎工事</t>
  </si>
  <si>
    <t>仙台臨海鉄道株式会社</t>
  </si>
  <si>
    <t>宮城支店</t>
  </si>
  <si>
    <t>仙台市宮城野区港四丁目11-2</t>
  </si>
  <si>
    <t>2024年7月29日</t>
  </si>
  <si>
    <t>2025年2月28日</t>
  </si>
  <si>
    <t>舗装版撤去</t>
  </si>
  <si>
    <t>既設路盤撤去</t>
  </si>
  <si>
    <t>掘削・基面整正</t>
  </si>
  <si>
    <t>基礎砕石</t>
  </si>
  <si>
    <t>基礎コンクリート</t>
  </si>
  <si>
    <t>鉄筋工</t>
  </si>
  <si>
    <t>型枠工</t>
  </si>
  <si>
    <t>底版コンクリート</t>
  </si>
  <si>
    <t>天端工</t>
  </si>
  <si>
    <t>コンクリート打設足場工</t>
  </si>
  <si>
    <t>躯体コンクリート</t>
  </si>
  <si>
    <t>ストッパ当て金具、プレート設置</t>
  </si>
  <si>
    <t>埋戻し</t>
  </si>
  <si>
    <t>残土処理</t>
  </si>
  <si>
    <t>路床改良</t>
  </si>
  <si>
    <t>As10cm</t>
  </si>
  <si>
    <t>m2</t>
  </si>
  <si>
    <t>m3</t>
  </si>
  <si>
    <t>式</t>
  </si>
  <si>
    <t>個所</t>
  </si>
  <si>
    <t>t=60cm　ｾﾒﾝﾄ8%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</si>
  <si>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</si>
  <si>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</si>
  <si>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</si>
  <si>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</si>
  <si>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</si>
  <si>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</si>
  <si>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</si>
  <si>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</si>
  <si>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仙台港駅構内トラックスケール設置</t>
  </si>
  <si>
    <t>東北支社</t>
  </si>
  <si>
    <t>単独</t>
  </si>
  <si>
    <t>F</t>
  </si>
  <si>
    <t>2024年7月23日</t>
  </si>
  <si>
    <t>2024年7月29日 ～ 2025年2月28日</t>
  </si>
  <si>
    <t>直接工事費</t>
  </si>
  <si>
    <t xml:space="preserve">  舗装版撤去</t>
  </si>
  <si>
    <t xml:space="preserve">  As10cm</t>
  </si>
  <si>
    <t>15号</t>
  </si>
  <si>
    <t>内訳書</t>
  </si>
  <si>
    <t xml:space="preserve">  既設路盤撤去</t>
  </si>
  <si>
    <t xml:space="preserve">  </t>
  </si>
  <si>
    <t>51号</t>
  </si>
  <si>
    <t xml:space="preserve">  掘削・基面整正</t>
  </si>
  <si>
    <t>16号</t>
  </si>
  <si>
    <t xml:space="preserve">  基礎砕石</t>
  </si>
  <si>
    <t>17号</t>
  </si>
  <si>
    <t xml:space="preserve">  基礎コンクリート</t>
  </si>
  <si>
    <t>18号</t>
  </si>
  <si>
    <t xml:space="preserve">  鉄筋工</t>
  </si>
  <si>
    <t>19号</t>
  </si>
  <si>
    <t xml:space="preserve">  型枠工</t>
  </si>
  <si>
    <t>20号</t>
  </si>
  <si>
    <t xml:space="preserve">  底版コンクリート</t>
  </si>
  <si>
    <t>23号</t>
  </si>
  <si>
    <t xml:space="preserve">  天端工</t>
  </si>
  <si>
    <t>21号</t>
  </si>
  <si>
    <t xml:space="preserve">  コンクリート打設足場工</t>
  </si>
  <si>
    <t>24号</t>
  </si>
  <si>
    <t xml:space="preserve">  躯体コンクリート</t>
  </si>
  <si>
    <t>22号</t>
  </si>
  <si>
    <t xml:space="preserve">  ストッパ当て金具、プレート設置</t>
  </si>
  <si>
    <t>50号</t>
  </si>
  <si>
    <t xml:space="preserve">  埋戻し</t>
  </si>
  <si>
    <t>25号</t>
  </si>
  <si>
    <t xml:space="preserve">  残土処理</t>
  </si>
  <si>
    <t>40号</t>
  </si>
  <si>
    <t xml:space="preserve">  路床改良</t>
  </si>
  <si>
    <t xml:space="preserve">  t=60cm　ｾﾒﾝﾄ8%</t>
  </si>
  <si>
    <t>28号</t>
  </si>
  <si>
    <t xml:space="preserve">  アスファルト舗装</t>
  </si>
  <si>
    <t xml:space="preserve">  RC15cm・安定5cm・粗粒5cm・密粒5cm</t>
  </si>
  <si>
    <t>29号</t>
  </si>
  <si>
    <t xml:space="preserve">  擦り付け舗装A</t>
  </si>
  <si>
    <t xml:space="preserve">  RC20cm・安定5cm・粗粒5cm・密粒5cm</t>
  </si>
  <si>
    <t>30号</t>
  </si>
  <si>
    <t xml:space="preserve">  擦り付け舗装B</t>
  </si>
  <si>
    <t>31号</t>
  </si>
  <si>
    <t xml:space="preserve">  排水管φ150</t>
  </si>
  <si>
    <t xml:space="preserve">  無孔管4m　有孔管10m</t>
  </si>
  <si>
    <t>ｍ</t>
  </si>
  <si>
    <t>32号</t>
  </si>
  <si>
    <t xml:space="preserve">  集水桝</t>
  </si>
  <si>
    <t xml:space="preserve">  600×600×1500　ボルト固定25ｔ</t>
  </si>
  <si>
    <t>基</t>
  </si>
  <si>
    <t>33号</t>
  </si>
  <si>
    <t xml:space="preserve">  横断用側溝300</t>
  </si>
  <si>
    <t xml:space="preserve">  ボルト固定25ｔ</t>
  </si>
  <si>
    <t>34号</t>
  </si>
  <si>
    <t xml:space="preserve">  既存雨水桝ｸﾞﾚｰﾁﾝｸﾞ蓋改良</t>
  </si>
  <si>
    <t xml:space="preserve">  Zアングル仕様</t>
  </si>
  <si>
    <t>35号</t>
  </si>
  <si>
    <t xml:space="preserve">  土留め設置</t>
  </si>
  <si>
    <t xml:space="preserve">  設置・撤去　L=6.0m　</t>
  </si>
  <si>
    <t>36号</t>
  </si>
  <si>
    <t xml:space="preserve">  充填引抜</t>
  </si>
  <si>
    <t xml:space="preserve">  L=6.0m　</t>
  </si>
  <si>
    <t>37号</t>
  </si>
  <si>
    <t xml:space="preserve">  蓄光舗装</t>
  </si>
  <si>
    <t>枚</t>
  </si>
  <si>
    <t>38号</t>
  </si>
  <si>
    <t xml:space="preserve">  ライン</t>
  </si>
  <si>
    <t>39号</t>
  </si>
  <si>
    <t xml:space="preserve">  下請経費</t>
  </si>
  <si>
    <t>27号</t>
  </si>
  <si>
    <t xml:space="preserve">  コンクリート削孔</t>
  </si>
  <si>
    <t>41号</t>
  </si>
  <si>
    <t xml:space="preserve">  路床置き換え工</t>
  </si>
  <si>
    <t>42号</t>
  </si>
  <si>
    <t xml:space="preserve">  AS舗装工</t>
  </si>
  <si>
    <t>43号</t>
  </si>
  <si>
    <t xml:space="preserve">  地盤改良</t>
  </si>
  <si>
    <t xml:space="preserve">  D-Box</t>
  </si>
  <si>
    <t>44号</t>
  </si>
  <si>
    <t xml:space="preserve">  排水管　</t>
  </si>
  <si>
    <t>45号</t>
  </si>
  <si>
    <t xml:space="preserve">  電線地中埋設管</t>
  </si>
  <si>
    <t>46号</t>
  </si>
  <si>
    <t xml:space="preserve">  電源引き込み</t>
  </si>
  <si>
    <t>47号</t>
  </si>
  <si>
    <t xml:space="preserve">  コンクリート基礎</t>
  </si>
  <si>
    <t xml:space="preserve">  ハンドホール改良</t>
  </si>
  <si>
    <t>48号</t>
  </si>
  <si>
    <t xml:space="preserve">  ハンドホール蓋撤去</t>
  </si>
  <si>
    <t>52号</t>
  </si>
  <si>
    <t xml:space="preserve">  舗装留ブロック設置</t>
  </si>
  <si>
    <t>49号</t>
  </si>
  <si>
    <t xml:space="preserve">  有孔管</t>
  </si>
  <si>
    <t xml:space="preserve">  桝</t>
  </si>
  <si>
    <t>56号</t>
  </si>
  <si>
    <t>53号</t>
  </si>
  <si>
    <t xml:space="preserve">  AS舗装</t>
  </si>
  <si>
    <t>54号</t>
  </si>
  <si>
    <t xml:space="preserve">  側溝蓋</t>
  </si>
  <si>
    <t>55号</t>
  </si>
  <si>
    <t xml:space="preserve">  流末清掃</t>
  </si>
  <si>
    <t>57号</t>
  </si>
  <si>
    <t xml:space="preserve">  オーバーレイ</t>
  </si>
  <si>
    <t>58号</t>
  </si>
  <si>
    <t xml:space="preserve">  区画線</t>
  </si>
  <si>
    <t>59号</t>
  </si>
  <si>
    <t xml:space="preserve">    付帯工</t>
  </si>
  <si>
    <t xml:space="preserve">    </t>
  </si>
  <si>
    <t>工種行</t>
  </si>
  <si>
    <t xml:space="preserve">      ポストコーン</t>
  </si>
  <si>
    <t xml:space="preserve">      </t>
  </si>
  <si>
    <t>60号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</si>
  <si>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</si>
  <si>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</si>
  <si>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</si>
  <si>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</si>
  <si>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</si>
  <si>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</si>
  <si>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</si>
  <si>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アスファルト舗装</t>
  </si>
  <si>
    <t>RC15cm・安定5cm・粗粒5cm・密粒5cm</t>
  </si>
  <si>
    <t>擦り付け舗装A</t>
  </si>
  <si>
    <t>RC20cm・安定5cm・粗粒5cm・密粒5cm</t>
  </si>
  <si>
    <t>擦り付け舗装B</t>
  </si>
  <si>
    <t>排水管φ150</t>
  </si>
  <si>
    <t>無孔管4m　有孔管10m</t>
  </si>
  <si>
    <t>集水桝</t>
  </si>
  <si>
    <t>600×600×1500　ボルト固定25ｔ</t>
  </si>
  <si>
    <t>横断用側溝300</t>
  </si>
  <si>
    <t>ボルト固定25ｔ</t>
  </si>
  <si>
    <t>既存雨水桝ｸﾞﾚｰﾁﾝｸﾞ蓋改良</t>
  </si>
  <si>
    <t>Zアングル仕様</t>
  </si>
  <si>
    <t>土留め設置</t>
  </si>
  <si>
    <t>設置・撤去　L=6.0m　</t>
  </si>
  <si>
    <t>充填引抜</t>
  </si>
  <si>
    <t>L=6.0m　</t>
  </si>
  <si>
    <t>蓄光舗装</t>
  </si>
  <si>
    <t>ライン</t>
  </si>
  <si>
    <t>下請経費</t>
  </si>
  <si>
    <t>コンクリート削孔</t>
  </si>
  <si>
    <t>路床置き換え工</t>
  </si>
  <si>
    <t>AS舗装工</t>
  </si>
  <si>
    <t>地盤改良</t>
  </si>
  <si>
    <t>D-Box</t>
  </si>
  <si>
    <t>排水管　</t>
  </si>
  <si>
    <t>電線地中埋設管</t>
  </si>
  <si>
    <t>電源引き込み</t>
  </si>
  <si>
    <t>コンクリート基礎</t>
  </si>
  <si>
    <t>ハンドホール改良</t>
  </si>
  <si>
    <t>ハンドホール蓋撤去</t>
  </si>
  <si>
    <t>舗装留ブロック設置</t>
  </si>
  <si>
    <t>有孔管</t>
  </si>
  <si>
    <t>桝</t>
  </si>
  <si>
    <t>AS舗装</t>
  </si>
  <si>
    <t>側溝蓋</t>
  </si>
  <si>
    <t>流末清掃</t>
  </si>
  <si>
    <t>オーバーレイ</t>
  </si>
  <si>
    <t>区画線</t>
  </si>
  <si>
    <t xml:space="preserve">  付帯工</t>
  </si>
  <si>
    <t xml:space="preserve">    ポストコーン</t>
  </si>
  <si>
    <t>計</t>
  </si>
  <si>
    <t>仙台港駅構内トラックスケール設置に伴う基礎工事</t>
    <phoneticPr fontId="4"/>
  </si>
  <si>
    <t>総括</t>
  </si>
  <si>
    <t>集計行</t>
  </si>
  <si>
    <t>｜直接工事費</t>
  </si>
  <si>
    <t>内訳代価</t>
  </si>
  <si>
    <t>｜｜舗装版撤去</t>
  </si>
  <si>
    <t>15号内訳書</t>
  </si>
  <si>
    <t>｜｜｜As舗装版切断</t>
  </si>
  <si>
    <t>T=100</t>
  </si>
  <si>
    <t>m</t>
  </si>
  <si>
    <t xml:space="preserve">g0002 </t>
  </si>
  <si>
    <t>｜｜｜汚泥処理</t>
  </si>
  <si>
    <t>｜｜｜軽油</t>
  </si>
  <si>
    <t>リットル</t>
  </si>
  <si>
    <t xml:space="preserve">s5001 </t>
  </si>
  <si>
    <t xml:space="preserve">{数量=60*1} </t>
  </si>
  <si>
    <t>｜｜｜技工</t>
  </si>
  <si>
    <t>直営作業員</t>
  </si>
  <si>
    <t>人</t>
  </si>
  <si>
    <t xml:space="preserve">{数量=3*1} </t>
  </si>
  <si>
    <t>｜｜｜ﾊﾞｯｸﾎｳ</t>
  </si>
  <si>
    <t>0.4m3</t>
  </si>
  <si>
    <t>台</t>
  </si>
  <si>
    <t xml:space="preserve">{数量=1*1} </t>
  </si>
  <si>
    <t>｜｜｜中間処理場委託料金</t>
  </si>
  <si>
    <t>ｱｽﾌｧﾙﾄ塊 40cm以下</t>
  </si>
  <si>
    <t>ｔ</t>
  </si>
  <si>
    <t xml:space="preserve">4-5-32-25650-1 </t>
  </si>
  <si>
    <t xml:space="preserve">{数量=323.7*0.1*2.4} </t>
  </si>
  <si>
    <t>｜｜｜10tﾀﾞﾝﾌﾟ常用</t>
  </si>
  <si>
    <t>昼間</t>
  </si>
  <si>
    <t xml:space="preserve">{数量=2*1} </t>
  </si>
  <si>
    <t>｜｜｜連絡車</t>
  </si>
  <si>
    <t>Wﾋﾟｯｸ</t>
  </si>
  <si>
    <t>｜｜既設路盤撤去</t>
  </si>
  <si>
    <t>51号内訳書</t>
  </si>
  <si>
    <t>｜｜｜諸雑費</t>
  </si>
  <si>
    <t>調整金</t>
  </si>
  <si>
    <t>｜｜掘削・基面整正</t>
  </si>
  <si>
    <t>16号内訳書</t>
  </si>
  <si>
    <t xml:space="preserve">{数量=100*5} </t>
  </si>
  <si>
    <t xml:space="preserve">{数量=6*5} </t>
  </si>
  <si>
    <t xml:space="preserve">{数量=1*5} </t>
  </si>
  <si>
    <t>0.1m3</t>
  </si>
  <si>
    <t>｜｜｜ﾊﾝﾄﾞｶﾞｲﾄﾞﾛｰﾗ</t>
  </si>
  <si>
    <t>｜｜｜ﾗﾝﾏ</t>
  </si>
  <si>
    <t>｜｜｜ﾌﾟﾚｰﾄ</t>
  </si>
  <si>
    <t>｜｜基礎砕石</t>
  </si>
  <si>
    <t>17号内訳書</t>
  </si>
  <si>
    <t>｜｜｜RC-40</t>
  </si>
  <si>
    <t>現着</t>
  </si>
  <si>
    <t xml:space="preserve">s0002 </t>
  </si>
  <si>
    <t xml:space="preserve">{数量=20.63*4.16*0.1*1.35} </t>
  </si>
  <si>
    <t xml:space="preserve">{数量=100*1} </t>
  </si>
  <si>
    <t>｜｜基礎コンクリート</t>
  </si>
  <si>
    <t>18号内訳書</t>
  </si>
  <si>
    <t>｜｜｜生ｺﾝ</t>
  </si>
  <si>
    <t>21-8-25</t>
  </si>
  <si>
    <t>m7</t>
  </si>
  <si>
    <t xml:space="preserve">s3005 </t>
  </si>
  <si>
    <t xml:space="preserve">{数量=20.63*4.16*0.1*1.1} </t>
  </si>
  <si>
    <t>｜｜｜型枠材</t>
  </si>
  <si>
    <t xml:space="preserve">{数量=4+6} </t>
  </si>
  <si>
    <t>｜｜｜ｺﾝｸﾘｰﾄﾎﾟﾝﾌﾟ車</t>
  </si>
  <si>
    <t>日</t>
  </si>
  <si>
    <t xml:space="preserve">5-6-32-4522-15 </t>
  </si>
  <si>
    <t>(3)720h (4)100d (5)130d (17)9.3L/h</t>
  </si>
  <si>
    <t>｜｜｜発電機</t>
  </si>
  <si>
    <t>900ｗ</t>
  </si>
  <si>
    <t xml:space="preserve">k10348071 </t>
  </si>
  <si>
    <t>｜｜｜高周波ﾊﾞｲﾌﾞﾚｰﾀｰ</t>
  </si>
  <si>
    <t xml:space="preserve">k10348072 </t>
  </si>
  <si>
    <t>｜｜鉄筋工</t>
  </si>
  <si>
    <t>19号内訳書</t>
  </si>
  <si>
    <t>｜｜｜鉄筋工 加工･組立[手間のみ]</t>
  </si>
  <si>
    <t>一般構造物</t>
  </si>
  <si>
    <t xml:space="preserve">1-5-32-24344-1 </t>
  </si>
  <si>
    <t>｜｜型枠工</t>
  </si>
  <si>
    <t>20号内訳書</t>
  </si>
  <si>
    <t>｜｜｜型枠工 加工･組立[手間のみ]</t>
  </si>
  <si>
    <t>｜｜底版コンクリート</t>
  </si>
  <si>
    <t>23号内訳書</t>
  </si>
  <si>
    <t>24-8-25</t>
  </si>
  <si>
    <t xml:space="preserve">{数量=((0.2+0.345)/2*9.15)*1.53*4} </t>
  </si>
  <si>
    <t xml:space="preserve">{数量=50*1} </t>
  </si>
  <si>
    <t>｜｜｜雑材</t>
  </si>
  <si>
    <t xml:space="preserve">{数量=10*2} </t>
  </si>
  <si>
    <t>{数量=1*2} (3)720h (4)100d (5)130d (17)9.3L/h</t>
  </si>
  <si>
    <t xml:space="preserve">{数量=1*2} </t>
  </si>
  <si>
    <t xml:space="preserve">{数量=2*2} </t>
  </si>
  <si>
    <t>｜｜天端工</t>
  </si>
  <si>
    <t>21号内訳書</t>
  </si>
  <si>
    <t>｜｜｜天端枠アングル設置</t>
  </si>
  <si>
    <t>｜｜コンクリート打設足場工</t>
  </si>
  <si>
    <t>24号内訳書</t>
  </si>
  <si>
    <t>｜｜｜コンクリート足場設置</t>
  </si>
  <si>
    <t>｜｜躯体コンクリート</t>
  </si>
  <si>
    <t>22号内訳書</t>
  </si>
  <si>
    <t xml:space="preserve">{数量=(1.58*0.3*18.03*3)+(1.58*0.3*3.96*2)} </t>
  </si>
  <si>
    <t xml:space="preserve">{数量=7*4} </t>
  </si>
  <si>
    <t>{数量=1*3} (3)720h (4)100d (5)130d (17)9.3L/h</t>
  </si>
  <si>
    <t xml:space="preserve">{数量=1*3} </t>
  </si>
  <si>
    <t xml:space="preserve">{数量=2*3} </t>
  </si>
  <si>
    <t>｜｜ストッパ当て金具、プレート設置</t>
  </si>
  <si>
    <t>50号内訳書</t>
  </si>
  <si>
    <t>｜｜｜アンカーボルト</t>
  </si>
  <si>
    <t>個</t>
  </si>
  <si>
    <t>｜｜｜プレート</t>
  </si>
  <si>
    <t>｜｜｜ストッパ当て金具</t>
  </si>
  <si>
    <t>｜｜｜4ユニック</t>
  </si>
  <si>
    <t>｜｜｜ストッパ設置</t>
  </si>
  <si>
    <t>｜｜埋戻し</t>
  </si>
  <si>
    <t>25号内訳書</t>
  </si>
  <si>
    <t xml:space="preserve">{数量=5*1} </t>
  </si>
  <si>
    <t>｜｜残土処理</t>
  </si>
  <si>
    <t>40号内訳書</t>
  </si>
  <si>
    <t xml:space="preserve">{数量=43/3回} </t>
  </si>
  <si>
    <t>｜｜｜土砂処理費</t>
  </si>
  <si>
    <t>10ｔ車</t>
  </si>
  <si>
    <t xml:space="preserve">u10348097 </t>
  </si>
  <si>
    <t xml:space="preserve">{数量=232/5.5} </t>
  </si>
  <si>
    <t>｜｜路床改良</t>
  </si>
  <si>
    <t>28号内訳書</t>
  </si>
  <si>
    <t>｜｜｜ｾﾒﾝﾄ 高炉B種</t>
  </si>
  <si>
    <t>ﾌﾚｺﾝ(1t袋)</t>
  </si>
  <si>
    <t xml:space="preserve">1-5-33-139044-1 </t>
  </si>
  <si>
    <t xml:space="preserve">{数量=338*0.6*0.08} </t>
  </si>
  <si>
    <t xml:space="preserve">{数量=100*2} </t>
  </si>
  <si>
    <t xml:space="preserve">{数量=5*2} </t>
  </si>
  <si>
    <t>｜｜｜ﾀｲﾔﾛｰﾗ</t>
  </si>
  <si>
    <t>10t</t>
  </si>
  <si>
    <t>｜｜｜4tﾀﾞﾝﾌﾟ</t>
  </si>
  <si>
    <t>｜｜アスファルト舗装</t>
  </si>
  <si>
    <t>29号内訳書</t>
  </si>
  <si>
    <t xml:space="preserve">{数量=264*0.15*1.35} </t>
  </si>
  <si>
    <t>｜｜｜再生瀝青安定処理</t>
  </si>
  <si>
    <t>t</t>
  </si>
  <si>
    <t xml:space="preserve">s0009 </t>
  </si>
  <si>
    <t xml:space="preserve">{数量=264*0.05*2.4*1.07} </t>
  </si>
  <si>
    <t xml:space="preserve">｜｜｜再生粗粒度As20 </t>
  </si>
  <si>
    <t xml:space="preserve">s2003 </t>
  </si>
  <si>
    <t>｜｜｜再生密粒度As20F</t>
  </si>
  <si>
    <t xml:space="preserve">s2011 </t>
  </si>
  <si>
    <t>｜｜｜RSK-3・4</t>
  </si>
  <si>
    <t xml:space="preserve">s10348008 </t>
  </si>
  <si>
    <t xml:space="preserve">{数量=264*1} </t>
  </si>
  <si>
    <t>｜｜｜ﾀｯｸﾌｧｲﾝSQ</t>
  </si>
  <si>
    <t xml:space="preserve">s10348049 </t>
  </si>
  <si>
    <t xml:space="preserve">{数量=264*2*0.4} </t>
  </si>
  <si>
    <t>｜｜｜砂</t>
  </si>
  <si>
    <t xml:space="preserve">s10348006 </t>
  </si>
  <si>
    <t xml:space="preserve">{数量=264*0.002} </t>
  </si>
  <si>
    <t>ℓ</t>
  </si>
  <si>
    <t xml:space="preserve">{数量=100*3} </t>
  </si>
  <si>
    <t>｜｜｜ｶﾞｿﾘﾝ</t>
  </si>
  <si>
    <t xml:space="preserve">s5002 </t>
  </si>
  <si>
    <t xml:space="preserve">{数量=20*3} </t>
  </si>
  <si>
    <t xml:space="preserve">{数量=10*3} </t>
  </si>
  <si>
    <t>｜｜｜ﾃﾞｽﾄﾘﾋﾞｭｰﾀ</t>
  </si>
  <si>
    <t xml:space="preserve">k10348080 </t>
  </si>
  <si>
    <t>｜｜｜ﾃﾞｽﾄﾘﾋﾞｭｰﾀ（SQ用）</t>
  </si>
  <si>
    <t xml:space="preserve">k10348082 </t>
  </si>
  <si>
    <t>｜｜｜ｱｽﾌｧﾙﾄﾌｨﾆｯｼｬ</t>
  </si>
  <si>
    <t>W=4.5m級</t>
  </si>
  <si>
    <t>｜｜｜ｺﾝﾊﾞｲﾝﾄﾞﾛｰﾗ</t>
  </si>
  <si>
    <t>4t</t>
  </si>
  <si>
    <t>｜｜｜ﾀｲﾔｼｮﾍﾞﾙ</t>
  </si>
  <si>
    <t>｜｜｜散水車</t>
  </si>
  <si>
    <t xml:space="preserve">{数量=3*3} </t>
  </si>
  <si>
    <t>｜｜擦り付け舗装A</t>
  </si>
  <si>
    <t>30号内訳書</t>
  </si>
  <si>
    <t xml:space="preserve">{数量=75*0.2*1.35} </t>
  </si>
  <si>
    <t xml:space="preserve">{数量=75*0.05*2.4*1.07} </t>
  </si>
  <si>
    <t xml:space="preserve">{数量=75*1} </t>
  </si>
  <si>
    <t xml:space="preserve">{数量=75*2*0.4} </t>
  </si>
  <si>
    <t xml:space="preserve">{数量=75*0.002} </t>
  </si>
  <si>
    <t xml:space="preserve">{数量=20*1} </t>
  </si>
  <si>
    <t xml:space="preserve">{数量=10*1} </t>
  </si>
  <si>
    <t>｜｜擦り付け舗装B</t>
  </si>
  <si>
    <t>31号内訳書</t>
  </si>
  <si>
    <t xml:space="preserve">{数量=36*0.2*1.35} </t>
  </si>
  <si>
    <t xml:space="preserve">{数量=36*0.05*2.4*1.07} </t>
  </si>
  <si>
    <t xml:space="preserve">{数量=36*1} </t>
  </si>
  <si>
    <t xml:space="preserve">{数量=36*2*0.4} </t>
  </si>
  <si>
    <t xml:space="preserve">{数量=36*0.002} </t>
  </si>
  <si>
    <t>｜｜排水管φ150</t>
  </si>
  <si>
    <t>32号内訳書</t>
  </si>
  <si>
    <t>｜｜｜硬質ﾎﾟﾘ塩化ﾋﾞﾆﾙ管 一般管(VP)</t>
  </si>
  <si>
    <t>呼び径150 165×8.9mm×4m</t>
  </si>
  <si>
    <t>本</t>
  </si>
  <si>
    <t xml:space="preserve">1-5-32-18542-1 </t>
  </si>
  <si>
    <t>｜｜｜硬質塩化ﾋﾞﾆﾙ有孔管 VP有孔管</t>
  </si>
  <si>
    <t>呼び径150mm 165×8.9mm×4m</t>
  </si>
  <si>
    <t xml:space="preserve">1-5-33-85552-1 </t>
  </si>
  <si>
    <t>｜｜｜排水用硬質ﾎﾟﾘ塩ﾋﾞ管DV継手 90°ｴﾙﾎﾞ</t>
  </si>
  <si>
    <t>呼び径150mm</t>
  </si>
  <si>
    <t xml:space="preserve">1-5-32-29840-1 </t>
  </si>
  <si>
    <t>｜｜｜山砂</t>
  </si>
  <si>
    <t xml:space="preserve">s10348004 </t>
  </si>
  <si>
    <t xml:space="preserve">{数量=0.35*0.35*14} </t>
  </si>
  <si>
    <t xml:space="preserve">{数量=40*1} </t>
  </si>
  <si>
    <t>｜｜集水桝</t>
  </si>
  <si>
    <t>33号内訳書</t>
  </si>
  <si>
    <t>｜｜｜集水桝</t>
  </si>
  <si>
    <t xml:space="preserve">1-5-33-66130-1 </t>
  </si>
  <si>
    <t xml:space="preserve">{数量=0.8*0.8*0.2*1.35} </t>
  </si>
  <si>
    <t xml:space="preserve">{数量=4*1} </t>
  </si>
  <si>
    <t xml:space="preserve">u0003 </t>
  </si>
  <si>
    <t>｜｜横断用側溝300</t>
  </si>
  <si>
    <t>34号内訳書</t>
  </si>
  <si>
    <t>｜｜｜横断用側溝300</t>
  </si>
  <si>
    <t xml:space="preserve">{数量=35/2} </t>
  </si>
  <si>
    <t xml:space="preserve">{数量=0.5*35*0.1*1.35} </t>
  </si>
  <si>
    <t xml:space="preserve">{数量=0.5*35*0.1*1.1} </t>
  </si>
  <si>
    <t>｜｜｜モルタルコンクリート</t>
  </si>
  <si>
    <t>配合1：3</t>
  </si>
  <si>
    <t xml:space="preserve">s10348025 </t>
  </si>
  <si>
    <t xml:space="preserve">{数量=0.4*35*0.03*1.1} </t>
  </si>
  <si>
    <t xml:space="preserve">{数量=40*5} </t>
  </si>
  <si>
    <t xml:space="preserve">{数量=5*5} </t>
  </si>
  <si>
    <t xml:space="preserve">{数量=2*5} </t>
  </si>
  <si>
    <t>｜｜既存雨水桝ｸﾞﾚｰﾁﾝｸﾞ蓋改良</t>
  </si>
  <si>
    <t>35号内訳書</t>
  </si>
  <si>
    <t>｜｜｜雨水桝ｸﾞﾚｰﾁﾝｸﾞ蓋</t>
  </si>
  <si>
    <t xml:space="preserve">{数量=4*2} </t>
  </si>
  <si>
    <t>｜｜｜小物</t>
  </si>
  <si>
    <t>｜｜土留め設置</t>
  </si>
  <si>
    <t>36号内訳書</t>
  </si>
  <si>
    <t>｜｜｜鋼矢板圧入・引抜</t>
  </si>
  <si>
    <t>｜｜｜オーガ併用圧入</t>
  </si>
  <si>
    <t>｜｜｜圧入機据付解体</t>
  </si>
  <si>
    <t>回</t>
  </si>
  <si>
    <t>｜｜｜引き抜き</t>
  </si>
  <si>
    <t>｜｜｜引抜き機据付解体</t>
  </si>
  <si>
    <t>｜｜｜鋼材降ろし</t>
  </si>
  <si>
    <t>｜｜｜鋼材積込</t>
  </si>
  <si>
    <t>｜｜｜鋼材リース料</t>
  </si>
  <si>
    <t>｜｜｜トラック往復（打ち込み）</t>
  </si>
  <si>
    <t>｜｜｜トラック往復（引き抜き）</t>
  </si>
  <si>
    <t>｜｜｜現場管理費</t>
  </si>
  <si>
    <t>｜｜｜法定福利費</t>
  </si>
  <si>
    <t>｜｜｜一般管理費</t>
  </si>
  <si>
    <t>｜｜充填引抜</t>
  </si>
  <si>
    <t>37号内訳書</t>
  </si>
  <si>
    <t>｜｜｜充填引抜</t>
  </si>
  <si>
    <t>｜｜蓄光舗装</t>
  </si>
  <si>
    <t>38号内訳書</t>
  </si>
  <si>
    <t>｜｜｜蓄光タイル□</t>
  </si>
  <si>
    <t xml:space="preserve">s10348001 </t>
  </si>
  <si>
    <t>｜｜｜蓄光タイル〇</t>
  </si>
  <si>
    <t>｜｜｜ｺｱｶｯﾀｰ</t>
  </si>
  <si>
    <t xml:space="preserve">k10348076 </t>
  </si>
  <si>
    <t>｜｜ライン</t>
  </si>
  <si>
    <t>39号内訳書</t>
  </si>
  <si>
    <t>｜｜｜区画線設置</t>
  </si>
  <si>
    <t>1式工事</t>
  </si>
  <si>
    <t xml:space="preserve">g1001 </t>
  </si>
  <si>
    <t>｜｜下請経費</t>
  </si>
  <si>
    <t>27号内訳書</t>
  </si>
  <si>
    <t>｜｜｜外注経費</t>
  </si>
  <si>
    <t>トラックスケール基礎</t>
  </si>
  <si>
    <t>｜｜｜外注経費10%/法定福利費17%</t>
  </si>
  <si>
    <t>舗装・土留め</t>
  </si>
  <si>
    <t>｜｜コンクリート削孔</t>
  </si>
  <si>
    <t>41号内訳書</t>
  </si>
  <si>
    <t>｜｜｜コンクリート削孔</t>
  </si>
  <si>
    <t>｜｜路床置き換え工</t>
  </si>
  <si>
    <t>42号内訳書</t>
  </si>
  <si>
    <t xml:space="preserve">{数量=246.4*0.7*1.35} </t>
  </si>
  <si>
    <t xml:space="preserve">{数量=3*5} </t>
  </si>
  <si>
    <t>0.15m3</t>
  </si>
  <si>
    <t xml:space="preserve">{数量=30*5} </t>
  </si>
  <si>
    <t>｜｜AS舗装工</t>
  </si>
  <si>
    <t>43号内訳書</t>
  </si>
  <si>
    <t xml:space="preserve">{数量=248.6*0.15*1.35} </t>
  </si>
  <si>
    <t xml:space="preserve">{数量=248.6*1.2} </t>
  </si>
  <si>
    <t>｜｜｜再生安定処理</t>
  </si>
  <si>
    <t xml:space="preserve">{数量=248.6*0.05*2.4*1.07} </t>
  </si>
  <si>
    <t xml:space="preserve">{数量=248.6*0.05*2.1*1.07} </t>
  </si>
  <si>
    <t xml:space="preserve">{数量=248.6*0.4} </t>
  </si>
  <si>
    <t xml:space="preserve">{数量=248.6*0.002} </t>
  </si>
  <si>
    <t xml:space="preserve">{数量=40*3} </t>
  </si>
  <si>
    <t xml:space="preserve">{数量=8*3} </t>
  </si>
  <si>
    <t>W=6.0m級</t>
  </si>
  <si>
    <t>｜｜｜ﾏｶﾀﾞﾑﾛｰﾗ</t>
  </si>
  <si>
    <t xml:space="preserve">u0006 </t>
  </si>
  <si>
    <t xml:space="preserve">{数量=3*4} </t>
  </si>
  <si>
    <t>｜｜地盤改良</t>
  </si>
  <si>
    <t>44号内訳書</t>
  </si>
  <si>
    <t>｜｜｜単粒砕石</t>
  </si>
  <si>
    <t xml:space="preserve">{数量=6*8} </t>
  </si>
  <si>
    <t>｜｜｜D-Box</t>
  </si>
  <si>
    <t xml:space="preserve">{数量=1*39} </t>
  </si>
  <si>
    <t>｜｜排水管　</t>
  </si>
  <si>
    <t>45号内訳書</t>
  </si>
  <si>
    <t>｜｜｜材料</t>
  </si>
  <si>
    <t xml:space="preserve">{数量=30*3} </t>
  </si>
  <si>
    <t>｜｜電線地中埋設管</t>
  </si>
  <si>
    <t>46号内訳書</t>
  </si>
  <si>
    <t>｜｜｜FEP管</t>
  </si>
  <si>
    <t xml:space="preserve">{数量=3*2} </t>
  </si>
  <si>
    <t xml:space="preserve">{数量=30*2} </t>
  </si>
  <si>
    <t xml:space="preserve">{数量=20*2} </t>
  </si>
  <si>
    <t>｜｜｜ケーブルトラフ</t>
  </si>
  <si>
    <t xml:space="preserve">{数量=2.1*1} </t>
  </si>
  <si>
    <t>｜｜電源引き込み</t>
  </si>
  <si>
    <t>47号内訳書</t>
  </si>
  <si>
    <t>｜｜｜電源引き込み</t>
  </si>
  <si>
    <t>｜｜コンクリート基礎</t>
  </si>
  <si>
    <t>48号内訳書</t>
  </si>
  <si>
    <t>｜｜｜コンクリート基礎</t>
  </si>
  <si>
    <t xml:space="preserve">{数量=30*1} </t>
  </si>
  <si>
    <t>｜｜｜雑費</t>
  </si>
  <si>
    <t>｜｜ハンドホール蓋撤去</t>
  </si>
  <si>
    <t>52号内訳書</t>
  </si>
  <si>
    <t>｜｜舗装留ブロック設置</t>
  </si>
  <si>
    <t>49号内訳書</t>
  </si>
  <si>
    <t xml:space="preserve">{数量=20*5} </t>
  </si>
  <si>
    <t>｜｜｜ｴﾝｼﾞﾝｶｯﾀｰ</t>
  </si>
  <si>
    <t>刃付</t>
  </si>
  <si>
    <t xml:space="preserve">k10348075 </t>
  </si>
  <si>
    <t>｜｜｜歩車道ブロック</t>
  </si>
  <si>
    <t>｜｜有孔管</t>
  </si>
  <si>
    <t>56号内訳書</t>
  </si>
  <si>
    <t>｜｜｜有孔管</t>
  </si>
  <si>
    <t>53号内訳書</t>
  </si>
  <si>
    <t>｜｜｜AS魂処理費</t>
  </si>
  <si>
    <t xml:space="preserve">u10348098 </t>
  </si>
  <si>
    <t xml:space="preserve">{数量=6*2} </t>
  </si>
  <si>
    <t>｜｜｜AS舗装切断</t>
  </si>
  <si>
    <t>｜｜AS舗装</t>
  </si>
  <si>
    <t>54号内訳書</t>
  </si>
  <si>
    <t xml:space="preserve">{数量=880.9*0.4} </t>
  </si>
  <si>
    <t>｜｜｜密粒度As改質Ⅱ型</t>
  </si>
  <si>
    <t xml:space="preserve">s2031 </t>
  </si>
  <si>
    <t xml:space="preserve">{数量=880.9*0.05*2.35*1.08} </t>
  </si>
  <si>
    <t xml:space="preserve">{数量=150*2} </t>
  </si>
  <si>
    <t xml:space="preserve">{数量=9*2} </t>
  </si>
  <si>
    <t xml:space="preserve">{数量=880.9*0.005} </t>
  </si>
  <si>
    <t>｜｜側溝蓋</t>
  </si>
  <si>
    <t>55号内訳書</t>
  </si>
  <si>
    <t>｜｜｜有筋Co処理費</t>
  </si>
  <si>
    <t xml:space="preserve">u10348099 </t>
  </si>
  <si>
    <t xml:space="preserve">{数量=0.055*171} </t>
  </si>
  <si>
    <t xml:space="preserve">{数量=25*2} </t>
  </si>
  <si>
    <t>｜｜｜コンクリート蓋</t>
  </si>
  <si>
    <t>｜｜流末清掃</t>
  </si>
  <si>
    <t>57号内訳書</t>
  </si>
  <si>
    <t>｜｜オーバーレイ</t>
  </si>
  <si>
    <t>58号内訳書</t>
  </si>
  <si>
    <t>｜｜｜路面清掃車</t>
  </si>
  <si>
    <t xml:space="preserve">k10348095 </t>
  </si>
  <si>
    <t>｜｜｜ﾃﾞｨｽﾄﾘﾋﾞｭｰﾀ</t>
  </si>
  <si>
    <t>車</t>
  </si>
  <si>
    <t xml:space="preserve">k1001 </t>
  </si>
  <si>
    <t xml:space="preserve">{数量=9*3} </t>
  </si>
  <si>
    <t xml:space="preserve">{数量=1,058*0.05*2.35*1.08} </t>
  </si>
  <si>
    <t xml:space="preserve">{数量=60*3} </t>
  </si>
  <si>
    <t>59号内訳書</t>
  </si>
  <si>
    <t>｜｜付帯工</t>
  </si>
  <si>
    <t>｜｜｜ポストコーン</t>
  </si>
  <si>
    <t>60号内訳書</t>
  </si>
  <si>
    <t>｜｜｜｜ポストコーン</t>
  </si>
  <si>
    <t>着脱式(３本脚)　H=650</t>
  </si>
  <si>
    <t>着脱式(３本脚)　H=800</t>
  </si>
  <si>
    <t>｜｜｜｜リブ式　区画線</t>
  </si>
  <si>
    <t>実線15㎝</t>
  </si>
  <si>
    <t xml:space="preserve">{数量=9.5*4} </t>
  </si>
  <si>
    <t>予算12</t>
    <phoneticPr fontId="6"/>
  </si>
  <si>
    <t>重機運搬費</t>
  </si>
  <si>
    <t>社員給料</t>
  </si>
  <si>
    <t>準備費</t>
  </si>
  <si>
    <t>事務用品費</t>
  </si>
  <si>
    <t>地代家賃</t>
  </si>
  <si>
    <t>電力用水光熱費</t>
  </si>
  <si>
    <t>仮設費</t>
  </si>
  <si>
    <t>通信費</t>
  </si>
  <si>
    <t>安全費</t>
  </si>
  <si>
    <t>旅費交通費</t>
  </si>
  <si>
    <t>技術管理費</t>
  </si>
  <si>
    <t>保険料</t>
  </si>
  <si>
    <t>車両費</t>
  </si>
  <si>
    <t>雑費</t>
  </si>
  <si>
    <t>0</t>
  </si>
  <si>
    <t>#DIV/0!</t>
  </si>
  <si>
    <t>｜共通仮設費</t>
  </si>
  <si>
    <t>｜｜重機運搬費</t>
  </si>
  <si>
    <t>1号内訳書</t>
  </si>
  <si>
    <t>｜｜｜トラックスケール基礎</t>
  </si>
  <si>
    <t>｜｜｜10t車回送</t>
  </si>
  <si>
    <t>BH・AF・TR・TSCR・小物</t>
  </si>
  <si>
    <t>｜｜準備費</t>
  </si>
  <si>
    <t>(準備測量・仮設設置撤去・他)</t>
  </si>
  <si>
    <t>2号内訳書</t>
  </si>
  <si>
    <t>｜｜｜技工 測量・安全施設関係</t>
  </si>
  <si>
    <t xml:space="preserve">{数量=3*8} </t>
  </si>
  <si>
    <t>｜｜｜3tﾀﾞﾝﾌﾟ</t>
  </si>
  <si>
    <t xml:space="preserve">{数量=1*8} </t>
  </si>
  <si>
    <t>｜｜地代家賃</t>
  </si>
  <si>
    <t>(借地費用や駐車場及び宿舎の賃貸等)</t>
  </si>
  <si>
    <t>3号内訳書</t>
  </si>
  <si>
    <t>｜｜仮設費</t>
  </si>
  <si>
    <t>(仮設事務所・倉庫・トイレ(環境改善含む)、仮設電気　等)</t>
  </si>
  <si>
    <t>4号内訳書</t>
  </si>
  <si>
    <t>｜｜安全費</t>
  </si>
  <si>
    <t>(仮設事務所仮囲い・工事看板や安全施設・事務所警備　等)</t>
  </si>
  <si>
    <t>5号内訳書</t>
  </si>
  <si>
    <t>｜｜｜交通誘導員(昼間8h)</t>
  </si>
  <si>
    <t xml:space="preserve">g2001 </t>
  </si>
  <si>
    <t>｜｜｜安全施設</t>
  </si>
  <si>
    <t>A型バリケード等</t>
  </si>
  <si>
    <t>月</t>
  </si>
  <si>
    <t>｜｜技術管理費</t>
  </si>
  <si>
    <t>(土質試験・ASP・MC施工関係・完成図書 等)</t>
  </si>
  <si>
    <t>6号内訳書</t>
  </si>
  <si>
    <t>｜｜｜FWD調査</t>
  </si>
  <si>
    <t>｜｜｜土質調査</t>
  </si>
  <si>
    <t>スウェーディング</t>
  </si>
  <si>
    <t>｜｜｜セメント処理配合試験</t>
  </si>
  <si>
    <t>試料採取</t>
  </si>
  <si>
    <t>7号</t>
  </si>
  <si>
    <t>(コピー機、トナー、文具、コピー用紙、その他)</t>
  </si>
  <si>
    <t>8号</t>
  </si>
  <si>
    <t>9号</t>
  </si>
  <si>
    <t>(携帯通話料、ネット回線契約、電話回線契約　等)</t>
  </si>
  <si>
    <t>10号</t>
  </si>
  <si>
    <t>(出張、移動旅費等)</t>
  </si>
  <si>
    <t>11号</t>
  </si>
  <si>
    <t>(建退共・労災保険・労災上乗せ保険　等)</t>
  </si>
  <si>
    <t>12号</t>
  </si>
  <si>
    <t>(連絡車)</t>
  </si>
  <si>
    <t>13号</t>
  </si>
  <si>
    <t>(現場特有で発生が見込まれる費用　等)</t>
  </si>
  <si>
    <t>14号</t>
  </si>
  <si>
    <t>｜現場経費</t>
  </si>
  <si>
    <t>｜｜社員給料</t>
  </si>
  <si>
    <t>7号内訳書</t>
  </si>
  <si>
    <t>｜｜｜社員給料</t>
  </si>
  <si>
    <t>総合5級　昼間</t>
  </si>
  <si>
    <t xml:space="preserve">m0009 </t>
  </si>
  <si>
    <t>総合2級　昼間</t>
  </si>
  <si>
    <t xml:space="preserve">m0003 </t>
  </si>
  <si>
    <t>総合1級　昼間</t>
  </si>
  <si>
    <t xml:space="preserve">m0002 </t>
  </si>
  <si>
    <t>総合4級　昼間</t>
  </si>
  <si>
    <t xml:space="preserve">m0008 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</si>
  <si>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</si>
  <si>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</si>
  <si>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</si>
  <si>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</si>
  <si>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</si>
  <si>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</si>
  <si>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</si>
  <si>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</si>
  <si>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</si>
  <si>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</si>
  <si>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</si>
  <si>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</si>
  <si>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</si>
  <si>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</si>
  <si>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工事名称</t>
    <phoneticPr fontId="6"/>
  </si>
  <si>
    <t>仙台港駅構内トラックスケール設置に伴う基礎工事</t>
    <phoneticPr fontId="6"/>
  </si>
  <si>
    <t>24-091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</si>
  <si>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</si>
  <si>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</si>
  <si>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</si>
  <si>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</si>
  <si>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</si>
  <si>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</si>
  <si>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</si>
  <si>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FEP管</t>
    <phoneticPr fontId="6"/>
  </si>
  <si>
    <t>ｍ</t>
    <phoneticPr fontId="6"/>
  </si>
  <si>
    <t>材料費</t>
    <phoneticPr fontId="6"/>
  </si>
  <si>
    <t>RC-40</t>
    <phoneticPr fontId="6"/>
  </si>
  <si>
    <t>m3</t>
    <phoneticPr fontId="6"/>
  </si>
  <si>
    <t>現着</t>
    <phoneticPr fontId="6"/>
  </si>
  <si>
    <t>RSK-3・4</t>
    <phoneticPr fontId="6"/>
  </si>
  <si>
    <t>リットル</t>
    <phoneticPr fontId="6"/>
  </si>
  <si>
    <t>アンカーボルト</t>
    <phoneticPr fontId="6"/>
  </si>
  <si>
    <t>個</t>
    <phoneticPr fontId="6"/>
  </si>
  <si>
    <t>ｶﾞｿﾘﾝ</t>
    <phoneticPr fontId="6"/>
  </si>
  <si>
    <t>ℓ</t>
    <phoneticPr fontId="6"/>
  </si>
  <si>
    <t>ケーブルトラフ</t>
    <phoneticPr fontId="6"/>
  </si>
  <si>
    <t>コンクリート蓋</t>
    <phoneticPr fontId="6"/>
  </si>
  <si>
    <t>枚</t>
    <phoneticPr fontId="6"/>
  </si>
  <si>
    <t>コンクリート基礎</t>
    <phoneticPr fontId="6"/>
  </si>
  <si>
    <t>ストッパ当て金具</t>
    <phoneticPr fontId="6"/>
  </si>
  <si>
    <t>ｾﾒﾝﾄ 高炉B種</t>
    <phoneticPr fontId="6"/>
  </si>
  <si>
    <t>ｔ</t>
    <phoneticPr fontId="6"/>
  </si>
  <si>
    <t>ﾌﾚｺﾝ(1t袋)</t>
    <phoneticPr fontId="6"/>
  </si>
  <si>
    <t>ﾀｯｸﾌｧｲﾝSQ</t>
    <phoneticPr fontId="6"/>
  </si>
  <si>
    <t>プレート</t>
    <phoneticPr fontId="6"/>
  </si>
  <si>
    <t>モルタルコンクリート</t>
    <phoneticPr fontId="6"/>
  </si>
  <si>
    <t>配合1：3</t>
    <phoneticPr fontId="6"/>
  </si>
  <si>
    <t>雨水桝ｸﾞﾚｰﾁﾝｸﾞ蓋</t>
    <phoneticPr fontId="6"/>
  </si>
  <si>
    <t>Zアングル仕様</t>
    <phoneticPr fontId="6"/>
  </si>
  <si>
    <t>横断用側溝300</t>
    <phoneticPr fontId="6"/>
  </si>
  <si>
    <t>ボルト固定25ｔ</t>
    <phoneticPr fontId="6"/>
  </si>
  <si>
    <t>型枠材</t>
    <phoneticPr fontId="6"/>
  </si>
  <si>
    <t>式</t>
    <phoneticPr fontId="6"/>
  </si>
  <si>
    <t>軽油</t>
    <phoneticPr fontId="6"/>
  </si>
  <si>
    <t>硬質ﾎﾟﾘ塩化ﾋﾞﾆﾙ管 一般管(VP)</t>
    <phoneticPr fontId="6"/>
  </si>
  <si>
    <t>本</t>
    <phoneticPr fontId="6"/>
  </si>
  <si>
    <t>呼び径150 165×8.9mm×4m</t>
    <phoneticPr fontId="6"/>
  </si>
  <si>
    <t>硬質塩化ﾋﾞﾆﾙ有孔管 VP有孔管</t>
    <phoneticPr fontId="6"/>
  </si>
  <si>
    <t>呼び径150mm 165×8.9mm×4m</t>
    <phoneticPr fontId="6"/>
  </si>
  <si>
    <t>材料調書</t>
    <phoneticPr fontId="6"/>
  </si>
  <si>
    <t>砂</t>
    <phoneticPr fontId="6"/>
  </si>
  <si>
    <t>再生安定処理</t>
    <phoneticPr fontId="6"/>
  </si>
  <si>
    <t xml:space="preserve">再生粗粒度As20 </t>
    <phoneticPr fontId="6"/>
  </si>
  <si>
    <t>t</t>
    <phoneticPr fontId="6"/>
  </si>
  <si>
    <t>再生密粒度As20F</t>
    <phoneticPr fontId="6"/>
  </si>
  <si>
    <t>再生瀝青安定処理</t>
    <phoneticPr fontId="6"/>
  </si>
  <si>
    <t>材料</t>
    <phoneticPr fontId="6"/>
  </si>
  <si>
    <t>雑材</t>
    <phoneticPr fontId="6"/>
  </si>
  <si>
    <t>雑費</t>
    <phoneticPr fontId="6"/>
  </si>
  <si>
    <t>山砂</t>
    <phoneticPr fontId="6"/>
  </si>
  <si>
    <t>集水桝</t>
    <phoneticPr fontId="6"/>
  </si>
  <si>
    <t>小物</t>
    <phoneticPr fontId="6"/>
  </si>
  <si>
    <t>生ｺﾝ</t>
    <phoneticPr fontId="6"/>
  </si>
  <si>
    <t>m7</t>
    <phoneticPr fontId="6"/>
  </si>
  <si>
    <t>21-8-25</t>
    <phoneticPr fontId="6"/>
  </si>
  <si>
    <t>24-8-25</t>
    <phoneticPr fontId="6"/>
  </si>
  <si>
    <t>単粒砕石</t>
    <phoneticPr fontId="6"/>
  </si>
  <si>
    <t>蓄光タイル□</t>
    <phoneticPr fontId="6"/>
  </si>
  <si>
    <t>蓄光タイル〇</t>
    <phoneticPr fontId="6"/>
  </si>
  <si>
    <t>排水用硬質ﾎﾟﾘ塩ﾋﾞ管DV継手 90°ｴﾙﾎﾞ</t>
    <phoneticPr fontId="6"/>
  </si>
  <si>
    <t>呼び径150mm</t>
    <phoneticPr fontId="6"/>
  </si>
  <si>
    <t>歩車道ブロック</t>
    <phoneticPr fontId="6"/>
  </si>
  <si>
    <t>密粒度As改質Ⅱ型</t>
    <phoneticPr fontId="6"/>
  </si>
  <si>
    <t>有孔管</t>
    <phoneticPr fontId="6"/>
  </si>
  <si>
    <t>計</t>
    <phoneticPr fontId="6"/>
  </si>
  <si>
    <t>技工</t>
    <phoneticPr fontId="6"/>
  </si>
  <si>
    <t>人</t>
    <phoneticPr fontId="6"/>
  </si>
  <si>
    <t>直営作業員</t>
    <phoneticPr fontId="6"/>
  </si>
  <si>
    <t>労務費</t>
    <phoneticPr fontId="6"/>
  </si>
  <si>
    <t>技工 測量・安全施設関係</t>
    <phoneticPr fontId="6"/>
  </si>
  <si>
    <t>AS舗装切断</t>
    <phoneticPr fontId="6"/>
  </si>
  <si>
    <t>外注費</t>
    <phoneticPr fontId="6"/>
  </si>
  <si>
    <t>As舗装版切断</t>
    <phoneticPr fontId="6"/>
  </si>
  <si>
    <t>m</t>
    <phoneticPr fontId="6"/>
  </si>
  <si>
    <t>T=100</t>
    <phoneticPr fontId="6"/>
  </si>
  <si>
    <t>FWD調査</t>
    <phoneticPr fontId="6"/>
  </si>
  <si>
    <t>オーガ併用圧入</t>
    <phoneticPr fontId="6"/>
  </si>
  <si>
    <t>コンクリート削孔</t>
    <phoneticPr fontId="6"/>
  </si>
  <si>
    <t>個所</t>
    <phoneticPr fontId="6"/>
  </si>
  <si>
    <t>コンクリート足場設置</t>
    <phoneticPr fontId="6"/>
  </si>
  <si>
    <t>一般構造物</t>
    <phoneticPr fontId="6"/>
  </si>
  <si>
    <t>ストッパ設置</t>
    <phoneticPr fontId="6"/>
  </si>
  <si>
    <t>セメント処理配合試験</t>
    <phoneticPr fontId="6"/>
  </si>
  <si>
    <t>試料採取</t>
    <phoneticPr fontId="6"/>
  </si>
  <si>
    <t>トラックスケール基礎</t>
    <phoneticPr fontId="6"/>
  </si>
  <si>
    <t>トラック往復（引き抜き）</t>
    <phoneticPr fontId="6"/>
  </si>
  <si>
    <t>台</t>
    <phoneticPr fontId="6"/>
  </si>
  <si>
    <t>トラック往復（打ち込み）</t>
    <phoneticPr fontId="6"/>
  </si>
  <si>
    <t>ポストコーン</t>
    <phoneticPr fontId="6"/>
  </si>
  <si>
    <t>着脱式(３本脚)　H=650</t>
    <phoneticPr fontId="6"/>
  </si>
  <si>
    <t>着脱式(３本脚)　H=800</t>
    <phoneticPr fontId="6"/>
  </si>
  <si>
    <t>リブ式　区画線</t>
    <phoneticPr fontId="6"/>
  </si>
  <si>
    <t>実線15㎝</t>
    <phoneticPr fontId="6"/>
  </si>
  <si>
    <t>圧入機据付解体</t>
    <phoneticPr fontId="6"/>
  </si>
  <si>
    <t>回</t>
    <phoneticPr fontId="6"/>
  </si>
  <si>
    <t>安全施設</t>
    <phoneticPr fontId="6"/>
  </si>
  <si>
    <t>月</t>
    <phoneticPr fontId="6"/>
  </si>
  <si>
    <t>A型バリケード等</t>
    <phoneticPr fontId="6"/>
  </si>
  <si>
    <t>引き抜き</t>
    <phoneticPr fontId="6"/>
  </si>
  <si>
    <t>引抜き機据付解体</t>
    <phoneticPr fontId="6"/>
  </si>
  <si>
    <t>汚泥処理</t>
    <phoneticPr fontId="6"/>
  </si>
  <si>
    <t>外注経費</t>
    <phoneticPr fontId="6"/>
  </si>
  <si>
    <t>外注調書</t>
    <phoneticPr fontId="6"/>
  </si>
  <si>
    <t>外注経費10%/法定福利費17%</t>
    <phoneticPr fontId="6"/>
  </si>
  <si>
    <t>舗装・土留め</t>
    <phoneticPr fontId="6"/>
  </si>
  <si>
    <t>区画線設置</t>
    <phoneticPr fontId="6"/>
  </si>
  <si>
    <t>1式工事</t>
    <phoneticPr fontId="6"/>
  </si>
  <si>
    <t>型枠工 加工･組立[手間のみ]</t>
    <phoneticPr fontId="6"/>
  </si>
  <si>
    <t>現場管理費</t>
    <phoneticPr fontId="6"/>
  </si>
  <si>
    <t>交通誘導員(昼間8h)</t>
    <phoneticPr fontId="6"/>
  </si>
  <si>
    <t>鋼材リース料</t>
    <phoneticPr fontId="6"/>
  </si>
  <si>
    <t>鋼材降ろし</t>
    <phoneticPr fontId="6"/>
  </si>
  <si>
    <t>鋼材積込</t>
    <phoneticPr fontId="6"/>
  </si>
  <si>
    <t>鋼矢板圧入・引抜</t>
    <phoneticPr fontId="6"/>
  </si>
  <si>
    <t>充填引抜</t>
    <phoneticPr fontId="6"/>
  </si>
  <si>
    <t>中間処理場委託料金</t>
    <phoneticPr fontId="6"/>
  </si>
  <si>
    <t>ｱｽﾌｧﾙﾄ塊 40cm以下</t>
    <phoneticPr fontId="6"/>
  </si>
  <si>
    <t>鉄筋工 加工･組立[手間のみ]</t>
    <phoneticPr fontId="6"/>
  </si>
  <si>
    <t>天端枠アングル設置</t>
    <phoneticPr fontId="6"/>
  </si>
  <si>
    <t>電源引き込み</t>
    <phoneticPr fontId="6"/>
  </si>
  <si>
    <t>土質調査</t>
    <phoneticPr fontId="6"/>
  </si>
  <si>
    <t>スウェーディング</t>
    <phoneticPr fontId="6"/>
  </si>
  <si>
    <t>法定福利費</t>
    <phoneticPr fontId="6"/>
  </si>
  <si>
    <t>ｱｽﾌｧﾙﾄﾌｨﾆｯｼｬ</t>
    <phoneticPr fontId="6"/>
  </si>
  <si>
    <t>W=4.5m級</t>
    <phoneticPr fontId="6"/>
  </si>
  <si>
    <t>機械費</t>
    <phoneticPr fontId="6"/>
  </si>
  <si>
    <t>W=6.0m級</t>
    <phoneticPr fontId="6"/>
  </si>
  <si>
    <t>ｴﾝｼﾞﾝｶｯﾀｰ</t>
    <phoneticPr fontId="6"/>
  </si>
  <si>
    <t>刃付</t>
    <phoneticPr fontId="6"/>
  </si>
  <si>
    <t>ｺｱｶｯﾀｰ</t>
    <phoneticPr fontId="6"/>
  </si>
  <si>
    <t>ｺﾝｸﾘｰﾄﾎﾟﾝﾌﾟ車</t>
    <phoneticPr fontId="6"/>
  </si>
  <si>
    <t>日</t>
    <phoneticPr fontId="6"/>
  </si>
  <si>
    <t>ｺﾝﾊﾞｲﾝﾄﾞﾛｰﾗ</t>
    <phoneticPr fontId="6"/>
  </si>
  <si>
    <t>4t</t>
    <phoneticPr fontId="6"/>
  </si>
  <si>
    <t>ﾀｲﾔｼｮﾍﾞﾙ</t>
    <phoneticPr fontId="6"/>
  </si>
  <si>
    <t>0.4m3</t>
    <phoneticPr fontId="6"/>
  </si>
  <si>
    <t>ﾀｲﾔﾛｰﾗ</t>
    <phoneticPr fontId="6"/>
  </si>
  <si>
    <t>10t</t>
    <phoneticPr fontId="6"/>
  </si>
  <si>
    <t>ﾃﾞｨｽﾄﾘﾋﾞｭｰﾀ</t>
    <phoneticPr fontId="6"/>
  </si>
  <si>
    <t>車</t>
    <phoneticPr fontId="6"/>
  </si>
  <si>
    <t>ﾃﾞｽﾄﾘﾋﾞｭｰﾀ</t>
    <phoneticPr fontId="6"/>
  </si>
  <si>
    <t>昼間</t>
    <phoneticPr fontId="6"/>
  </si>
  <si>
    <t>ﾃﾞｽﾄﾘﾋﾞｭｰﾀ（SQ用）</t>
    <phoneticPr fontId="6"/>
  </si>
  <si>
    <t>ﾊﾞｯｸﾎｳ</t>
    <phoneticPr fontId="6"/>
  </si>
  <si>
    <t>0.15m3</t>
    <phoneticPr fontId="6"/>
  </si>
  <si>
    <t>0.1m3</t>
    <phoneticPr fontId="6"/>
  </si>
  <si>
    <t>ﾊﾝﾄﾞｶﾞｲﾄﾞﾛｰﾗ</t>
    <phoneticPr fontId="6"/>
  </si>
  <si>
    <t>ﾌﾟﾚｰﾄ</t>
    <phoneticPr fontId="6"/>
  </si>
  <si>
    <t>ﾏｶﾀﾞﾑﾛｰﾗ</t>
    <phoneticPr fontId="6"/>
  </si>
  <si>
    <t>ﾗﾝﾏ</t>
    <phoneticPr fontId="6"/>
  </si>
  <si>
    <t>高周波ﾊﾞｲﾌﾞﾚｰﾀｰ</t>
    <phoneticPr fontId="6"/>
  </si>
  <si>
    <t>機械調書</t>
    <phoneticPr fontId="6"/>
  </si>
  <si>
    <t>散水車</t>
    <phoneticPr fontId="6"/>
  </si>
  <si>
    <t>発電機</t>
    <phoneticPr fontId="6"/>
  </si>
  <si>
    <t>900ｗ</t>
    <phoneticPr fontId="6"/>
  </si>
  <si>
    <t>路面清掃車</t>
    <phoneticPr fontId="6"/>
  </si>
  <si>
    <t>10tﾀﾞﾝﾌﾟ常用</t>
    <phoneticPr fontId="6"/>
  </si>
  <si>
    <t>運搬費</t>
    <phoneticPr fontId="6"/>
  </si>
  <si>
    <t>10t車回送</t>
    <phoneticPr fontId="6"/>
  </si>
  <si>
    <t>BH・AF・TR・TSCR・小物</t>
    <phoneticPr fontId="6"/>
  </si>
  <si>
    <t>3tﾀﾞﾝﾌﾟ</t>
    <phoneticPr fontId="6"/>
  </si>
  <si>
    <t>4tﾀﾞﾝﾌﾟ</t>
    <phoneticPr fontId="6"/>
  </si>
  <si>
    <t>4ユニック</t>
    <phoneticPr fontId="6"/>
  </si>
  <si>
    <t>AS魂処理費</t>
    <phoneticPr fontId="6"/>
  </si>
  <si>
    <t>土砂処理費</t>
    <phoneticPr fontId="6"/>
  </si>
  <si>
    <t>10ｔ車</t>
    <phoneticPr fontId="6"/>
  </si>
  <si>
    <t>有筋Co処理費</t>
    <phoneticPr fontId="6"/>
  </si>
  <si>
    <t>連絡車</t>
    <phoneticPr fontId="6"/>
  </si>
  <si>
    <t>Wﾋﾟｯｸ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</si>
</sst>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145</v>
      </c>
      <c r="H3" s="442"/>
      <c r="I3" s="442"/>
      <c r="J3" s="442"/>
      <c r="K3" s="443"/>
      <c r="L3" s="257"/>
      <c r="M3" s="257"/>
      <c r="N3" s="257"/>
      <c r="O3" s="444" t="s">
        <v>146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147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 t="s">
        <v>148</v>
      </c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135</v>
      </c>
      <c r="F10" s="417"/>
      <c r="G10" s="417"/>
      <c r="H10" s="417"/>
      <c r="I10" s="421" t="s">
        <v>149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136</v>
      </c>
      <c r="F12" s="417"/>
      <c r="G12" s="417"/>
      <c r="H12" s="417"/>
      <c r="I12" s="422" t="s">
        <v>150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137</v>
      </c>
      <c r="F14" s="424"/>
      <c r="G14" s="424"/>
      <c r="H14" s="424"/>
      <c r="I14" s="425">
        <v>71970000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53706003</v>
      </c>
      <c r="J16" s="420"/>
      <c r="K16" s="420"/>
      <c r="L16" s="420"/>
      <c r="M16" s="420"/>
      <c r="N16" s="420"/>
      <c r="O16" s="420"/>
      <c r="P16" s="420"/>
      <c r="Q16" s="416">
        <v>0.74619999999999997</v>
      </c>
      <c r="R16" s="416"/>
      <c r="S16" s="416"/>
      <c r="U16" s="417" t="s">
        <v>16</v>
      </c>
      <c r="V16" s="418"/>
      <c r="W16" s="418"/>
      <c r="X16" s="418"/>
      <c r="Y16" s="419">
        <v>18263997</v>
      </c>
      <c r="Z16" s="420"/>
      <c r="AA16" s="420"/>
      <c r="AB16" s="420"/>
      <c r="AC16" s="420"/>
      <c r="AD16" s="420"/>
      <c r="AE16" s="420"/>
      <c r="AF16" s="420"/>
      <c r="AG16" s="416">
        <v>0.25380000000000003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151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152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153</v>
      </c>
      <c r="G28" s="407"/>
      <c r="H28" s="407"/>
      <c r="I28" s="407"/>
      <c r="J28" s="407"/>
      <c r="K28" s="407"/>
      <c r="L28" s="387" t="s">
        <v>138</v>
      </c>
      <c r="M28" s="387"/>
      <c r="N28" s="388" t="s">
        <v>154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153</v>
      </c>
      <c r="Z28" s="407"/>
      <c r="AA28" s="407"/>
      <c r="AB28" s="407"/>
      <c r="AC28" s="407"/>
      <c r="AD28" s="407"/>
      <c r="AE28" s="387" t="s">
        <v>138</v>
      </c>
      <c r="AF28" s="387"/>
      <c r="AG28" s="388" t="s">
        <v>154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132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149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145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45502</v>
      </c>
      <c r="D3" s="458"/>
      <c r="E3" s="272" t="s">
        <v>139</v>
      </c>
      <c r="F3" s="459">
        <v>45716</v>
      </c>
      <c r="G3" s="459"/>
      <c r="H3" s="459"/>
      <c r="I3" s="273"/>
      <c r="J3" s="273"/>
      <c r="K3" s="460" t="s">
        <v>30</v>
      </c>
      <c r="L3" s="461"/>
      <c r="M3" s="462"/>
      <c r="N3" s="449">
        <v>71970000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155</v>
      </c>
      <c r="C5" s="276">
        <v>293595</v>
      </c>
      <c r="D5" s="335">
        <f>IF(C5&lt;&gt;"",C5/$C$20,"")</f>
        <v>2.4772909720613183E-2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156</v>
      </c>
      <c r="C6" s="277">
        <v>485550</v>
      </c>
      <c r="D6" s="336">
        <f t="shared" ref="D6:D17" si="0">IF(C6&lt;&gt;"",C6/$C$20,"")</f>
        <v>4.0969656550158315E-2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157</v>
      </c>
      <c r="C7" s="277">
        <v>890930</v>
      </c>
      <c r="D7" s="336">
        <f t="shared" si="0"/>
        <v>7.5174742272129641E-2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158</v>
      </c>
      <c r="C8" s="277">
        <v>139825</v>
      </c>
      <c r="D8" s="336">
        <f t="shared" si="0"/>
        <v>1.1798130423490653E-2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159</v>
      </c>
      <c r="C9" s="277">
        <v>543280</v>
      </c>
      <c r="D9" s="336">
        <f t="shared" si="0"/>
        <v>4.5840788817979636E-2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160</v>
      </c>
      <c r="C10" s="277">
        <v>1250000</v>
      </c>
      <c r="D10" s="336">
        <f t="shared" si="0"/>
        <v>0.10547229057295417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161</v>
      </c>
      <c r="C11" s="277">
        <v>1750000</v>
      </c>
      <c r="D11" s="336">
        <f t="shared" si="0"/>
        <v>0.14766120680213585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162</v>
      </c>
      <c r="C12" s="277">
        <v>1234064</v>
      </c>
      <c r="D12" s="336">
        <f t="shared" si="0"/>
        <v>0.10412764543489769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163</v>
      </c>
      <c r="C13" s="277">
        <v>600000</v>
      </c>
      <c r="D13" s="336">
        <f t="shared" si="0"/>
        <v>5.0626699475018001E-2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164</v>
      </c>
      <c r="C14" s="277">
        <v>300000</v>
      </c>
      <c r="D14" s="336">
        <f t="shared" si="0"/>
        <v>2.5313349737509001E-2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165</v>
      </c>
      <c r="C15" s="277">
        <v>1557570</v>
      </c>
      <c r="D15" s="336">
        <f t="shared" si="0"/>
        <v>0.13142438050217298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166</v>
      </c>
      <c r="C16" s="277">
        <v>654000</v>
      </c>
      <c r="D16" s="336">
        <f t="shared" si="0"/>
        <v>5.5183102427769623E-2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167</v>
      </c>
      <c r="C17" s="278">
        <v>151200</v>
      </c>
      <c r="D17" s="336">
        <f t="shared" si="0"/>
        <v>1.2757928267704537E-2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168</v>
      </c>
      <c r="C18" s="278">
        <v>2001440</v>
      </c>
      <c r="D18" s="336">
        <f>IF(C18&lt;&gt;"",C18/$C$20,"")</f>
        <v>0.1688771689954667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169</v>
      </c>
      <c r="C19" s="278">
        <v>0</v>
      </c>
      <c r="D19" s="336">
        <f>IF(C19&lt;&gt;"",C19/$C$20,"")</f>
        <v>0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11851454</v>
      </c>
      <c r="D20" s="337">
        <f>SUM(D5:D19)</f>
        <v>0.99999999999999978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119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120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155</v>
      </c>
      <c r="K5" s="282" t="s">
        <v>170</v>
      </c>
      <c r="L5" s="283" t="s">
        <v>171</v>
      </c>
      <c r="M5" s="284">
        <v>323.7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156</v>
      </c>
      <c r="K6" s="289"/>
      <c r="L6" s="290" t="s">
        <v>171</v>
      </c>
      <c r="M6" s="291">
        <v>323.7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157</v>
      </c>
      <c r="K7" s="289"/>
      <c r="L7" s="290" t="s">
        <v>171</v>
      </c>
      <c r="M7" s="291">
        <v>410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158</v>
      </c>
      <c r="K8" s="289"/>
      <c r="L8" s="290" t="s">
        <v>171</v>
      </c>
      <c r="M8" s="291">
        <v>25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159</v>
      </c>
      <c r="K9" s="289"/>
      <c r="L9" s="290" t="s">
        <v>172</v>
      </c>
      <c r="M9" s="291">
        <v>10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160</v>
      </c>
      <c r="K10" s="289"/>
      <c r="L10" s="290" t="s">
        <v>173</v>
      </c>
      <c r="M10" s="291">
        <v>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161</v>
      </c>
      <c r="K11" s="289"/>
      <c r="L11" s="290" t="s">
        <v>173</v>
      </c>
      <c r="M11" s="291">
        <v>1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162</v>
      </c>
      <c r="K12" s="289"/>
      <c r="L12" s="290" t="s">
        <v>172</v>
      </c>
      <c r="M12" s="291">
        <v>16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163</v>
      </c>
      <c r="K13" s="289"/>
      <c r="L13" s="290" t="s">
        <v>173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164</v>
      </c>
      <c r="K14" s="289"/>
      <c r="L14" s="290" t="s">
        <v>173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165</v>
      </c>
      <c r="K15" s="289"/>
      <c r="L15" s="290" t="s">
        <v>172</v>
      </c>
      <c r="M15" s="291">
        <v>30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166</v>
      </c>
      <c r="K16" s="289"/>
      <c r="L16" s="290" t="s">
        <v>174</v>
      </c>
      <c r="M16" s="291">
        <v>20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167</v>
      </c>
      <c r="K17" s="289"/>
      <c r="L17" s="290" t="s">
        <v>173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168</v>
      </c>
      <c r="K18" s="289"/>
      <c r="L18" s="290" t="s">
        <v>173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169</v>
      </c>
      <c r="K19" s="295" t="s">
        <v>175</v>
      </c>
      <c r="L19" s="296" t="s">
        <v>171</v>
      </c>
      <c r="M19" s="297"/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149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184</v>
      </c>
      <c r="D5" s="512"/>
      <c r="E5" s="246" t="s">
        <v>133</v>
      </c>
      <c r="F5" s="513" t="s">
        <v>185</v>
      </c>
      <c r="G5" s="514"/>
      <c r="H5" s="246" t="s">
        <v>134</v>
      </c>
      <c r="I5" s="491" t="s">
        <v>151</v>
      </c>
      <c r="J5" s="515"/>
      <c r="K5" s="493"/>
      <c r="L5" s="106" t="s">
        <v>118</v>
      </c>
      <c r="M5" s="491"/>
      <c r="N5" s="515"/>
      <c r="O5" s="516"/>
      <c r="P5" s="69"/>
    </row>
    <row r="6" spans="1:17" ht="30" customHeight="1">
      <c r="A6" s="69"/>
      <c r="B6" s="107" t="s">
        <v>53</v>
      </c>
      <c r="C6" s="491" t="s">
        <v>145</v>
      </c>
      <c r="D6" s="493"/>
      <c r="E6" s="106"/>
      <c r="F6" s="108" t="s">
        <v>54</v>
      </c>
      <c r="G6" s="108" t="s">
        <v>55</v>
      </c>
      <c r="H6" s="109" t="s">
        <v>176</v>
      </c>
      <c r="I6" s="110" t="s">
        <v>177</v>
      </c>
      <c r="J6" s="110" t="s">
        <v>178</v>
      </c>
      <c r="K6" s="110" t="s">
        <v>179</v>
      </c>
      <c r="L6" s="110" t="s">
        <v>180</v>
      </c>
      <c r="M6" s="111" t="s">
        <v>181</v>
      </c>
      <c r="N6" s="110" t="s">
        <v>182</v>
      </c>
      <c r="O6" s="112" t="s">
        <v>183</v>
      </c>
      <c r="P6" s="247"/>
      <c r="Q6" s="248"/>
    </row>
    <row r="7" spans="1:17" ht="30" customHeight="1">
      <c r="A7" s="69"/>
      <c r="B7" s="107" t="s">
        <v>56</v>
      </c>
      <c r="C7" s="491" t="s">
        <v>150</v>
      </c>
      <c r="D7" s="493"/>
      <c r="E7" s="113" t="s">
        <v>57</v>
      </c>
      <c r="F7" s="249">
        <v>71970000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/>
      <c r="D8" s="492"/>
      <c r="E8" s="113" t="s">
        <v>59</v>
      </c>
      <c r="F8" s="249">
        <v>53706003</v>
      </c>
      <c r="G8" s="334">
        <v>0.74619999999999997</v>
      </c>
      <c r="H8" s="250">
        <v>8954749</v>
      </c>
      <c r="I8" s="251">
        <v>6759670</v>
      </c>
      <c r="J8" s="251">
        <v>24640560</v>
      </c>
      <c r="K8" s="251">
        <v>1787282</v>
      </c>
      <c r="L8" s="252">
        <v>2317941</v>
      </c>
      <c r="M8" s="252"/>
      <c r="N8" s="253">
        <v>6695000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152</v>
      </c>
      <c r="D9" s="493"/>
      <c r="E9" s="114" t="s">
        <v>60</v>
      </c>
      <c r="F9" s="249">
        <v>41816203</v>
      </c>
      <c r="G9" s="334">
        <v>0.58099999999999996</v>
      </c>
      <c r="H9" s="250">
        <v>8804749</v>
      </c>
      <c r="I9" s="251">
        <v>6115670</v>
      </c>
      <c r="J9" s="251">
        <v>20800560</v>
      </c>
      <c r="K9" s="251">
        <v>1787282</v>
      </c>
      <c r="L9" s="252">
        <v>1757141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147</v>
      </c>
      <c r="D10" s="493"/>
      <c r="E10" s="114" t="s">
        <v>62</v>
      </c>
      <c r="F10" s="249">
        <v>5194800</v>
      </c>
      <c r="G10" s="334">
        <v>7.22E-2</v>
      </c>
      <c r="H10" s="250">
        <v>150000</v>
      </c>
      <c r="I10" s="253">
        <v>644000</v>
      </c>
      <c r="J10" s="253">
        <v>3840000</v>
      </c>
      <c r="K10" s="253"/>
      <c r="L10" s="251">
        <v>560800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 t="s">
        <v>148</v>
      </c>
      <c r="D11" s="493"/>
      <c r="E11" s="114" t="s">
        <v>64</v>
      </c>
      <c r="F11" s="249">
        <v>6695000</v>
      </c>
      <c r="G11" s="334">
        <v>9.2999999999999999E-2</v>
      </c>
      <c r="H11" s="250"/>
      <c r="I11" s="253"/>
      <c r="J11" s="253"/>
      <c r="K11" s="253"/>
      <c r="L11" s="251"/>
      <c r="M11" s="252"/>
      <c r="N11" s="253">
        <v>6695000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186</v>
      </c>
      <c r="D12" s="492"/>
      <c r="E12" s="113" t="s">
        <v>66</v>
      </c>
      <c r="F12" s="249">
        <v>18263997</v>
      </c>
      <c r="G12" s="334">
        <v>0.25380000000000003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187</v>
      </c>
      <c r="D13" s="492"/>
      <c r="E13" s="169" t="s">
        <v>110</v>
      </c>
      <c r="F13" s="249">
        <v>5757600</v>
      </c>
      <c r="G13" s="334">
        <v>0.08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188</v>
      </c>
      <c r="D14" s="493"/>
      <c r="E14" s="114" t="s">
        <v>111</v>
      </c>
      <c r="F14" s="249">
        <v>3814410</v>
      </c>
      <c r="G14" s="334">
        <v>5.2999999999999999E-2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189</v>
      </c>
      <c r="D15" s="495"/>
      <c r="E15" s="114" t="s">
        <v>112</v>
      </c>
      <c r="F15" s="249">
        <v>1943190</v>
      </c>
      <c r="G15" s="334">
        <v>2.7E-2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189</v>
      </c>
      <c r="D16" s="493"/>
      <c r="E16" s="113" t="s">
        <v>113</v>
      </c>
      <c r="F16" s="249">
        <v>12506397</v>
      </c>
      <c r="G16" s="334">
        <v>0.17380000000000001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>
        <v>935610</v>
      </c>
      <c r="G17" s="334">
        <v>1.2999999999999999E-2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11570787</v>
      </c>
      <c r="G18" s="334">
        <v>0.1608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148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149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190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191</v>
      </c>
      <c r="C8" s="166"/>
      <c r="D8" s="517" t="s">
        <v>171</v>
      </c>
      <c r="E8" s="519">
        <v>323.7</v>
      </c>
      <c r="F8" s="521">
        <v>907</v>
      </c>
      <c r="G8" s="523">
        <v>293595</v>
      </c>
      <c r="H8" s="351" t="s">
        <v>193</v>
      </c>
      <c r="I8" s="525">
        <v>4.0000000000000001E-3</v>
      </c>
      <c r="J8" s="227"/>
      <c r="K8" s="69" t="s">
        <v>96</v>
      </c>
    </row>
    <row r="9" spans="1:11" ht="15.6" customHeight="1">
      <c r="A9" s="69"/>
      <c r="B9" s="224" t="s">
        <v>192</v>
      </c>
      <c r="C9" s="225"/>
      <c r="D9" s="518"/>
      <c r="E9" s="520"/>
      <c r="F9" s="522"/>
      <c r="G9" s="524"/>
      <c r="H9" s="352" t="s">
        <v>194</v>
      </c>
      <c r="I9" s="526"/>
      <c r="J9" s="227"/>
      <c r="K9" s="69" t="s">
        <v>96</v>
      </c>
    </row>
    <row r="10" spans="1:11" ht="15.6" customHeight="1">
      <c r="A10" s="69"/>
      <c r="B10" s="222" t="s">
        <v>195</v>
      </c>
      <c r="C10" s="166"/>
      <c r="D10" s="517" t="s">
        <v>171</v>
      </c>
      <c r="E10" s="519">
        <v>323.7</v>
      </c>
      <c r="F10" s="521">
        <v>1500</v>
      </c>
      <c r="G10" s="523">
        <v>485550</v>
      </c>
      <c r="H10" s="351" t="s">
        <v>197</v>
      </c>
      <c r="I10" s="525">
        <v>6.7000000000000002E-3</v>
      </c>
      <c r="J10" s="223"/>
      <c r="K10" s="69" t="s">
        <v>96</v>
      </c>
    </row>
    <row r="11" spans="1:11" ht="15.6" customHeight="1">
      <c r="A11" s="69"/>
      <c r="B11" s="224" t="s">
        <v>196</v>
      </c>
      <c r="C11" s="225"/>
      <c r="D11" s="518"/>
      <c r="E11" s="520"/>
      <c r="F11" s="522"/>
      <c r="G11" s="524"/>
      <c r="H11" s="352" t="s">
        <v>194</v>
      </c>
      <c r="I11" s="526"/>
      <c r="J11" s="226"/>
      <c r="K11" s="69" t="s">
        <v>96</v>
      </c>
    </row>
    <row r="12" spans="1:11" ht="15.6" customHeight="1">
      <c r="A12" s="69"/>
      <c r="B12" s="222" t="s">
        <v>198</v>
      </c>
      <c r="C12" s="166"/>
      <c r="D12" s="517" t="s">
        <v>171</v>
      </c>
      <c r="E12" s="519">
        <v>410</v>
      </c>
      <c r="F12" s="521">
        <v>2173</v>
      </c>
      <c r="G12" s="523">
        <v>890930</v>
      </c>
      <c r="H12" s="351" t="s">
        <v>199</v>
      </c>
      <c r="I12" s="525">
        <v>1.23E-2</v>
      </c>
      <c r="J12" s="223"/>
      <c r="K12" s="69" t="s">
        <v>96</v>
      </c>
    </row>
    <row r="13" spans="1:11" ht="15.6" customHeight="1">
      <c r="A13" s="69"/>
      <c r="B13" s="224" t="s">
        <v>196</v>
      </c>
      <c r="C13" s="225"/>
      <c r="D13" s="518"/>
      <c r="E13" s="520"/>
      <c r="F13" s="522"/>
      <c r="G13" s="524"/>
      <c r="H13" s="352" t="s">
        <v>194</v>
      </c>
      <c r="I13" s="526"/>
      <c r="J13" s="226"/>
      <c r="K13" s="69" t="s">
        <v>96</v>
      </c>
    </row>
    <row r="14" spans="1:11" ht="15.6" customHeight="1">
      <c r="A14" s="69"/>
      <c r="B14" s="222" t="s">
        <v>200</v>
      </c>
      <c r="C14" s="166"/>
      <c r="D14" s="517" t="s">
        <v>171</v>
      </c>
      <c r="E14" s="519">
        <v>25</v>
      </c>
      <c r="F14" s="521">
        <v>5593</v>
      </c>
      <c r="G14" s="523">
        <v>139825</v>
      </c>
      <c r="H14" s="351" t="s">
        <v>201</v>
      </c>
      <c r="I14" s="525">
        <v>1.9E-3</v>
      </c>
      <c r="J14" s="223"/>
      <c r="K14" s="69" t="s">
        <v>96</v>
      </c>
    </row>
    <row r="15" spans="1:11" ht="15.6" customHeight="1">
      <c r="A15" s="69"/>
      <c r="B15" s="224" t="s">
        <v>196</v>
      </c>
      <c r="C15" s="225"/>
      <c r="D15" s="518"/>
      <c r="E15" s="520"/>
      <c r="F15" s="522"/>
      <c r="G15" s="524"/>
      <c r="H15" s="352" t="s">
        <v>194</v>
      </c>
      <c r="I15" s="526"/>
      <c r="J15" s="226"/>
      <c r="K15" s="69" t="s">
        <v>96</v>
      </c>
    </row>
    <row r="16" spans="1:11" ht="15.6" customHeight="1">
      <c r="A16" s="69"/>
      <c r="B16" s="222" t="s">
        <v>202</v>
      </c>
      <c r="C16" s="166"/>
      <c r="D16" s="517" t="s">
        <v>172</v>
      </c>
      <c r="E16" s="519">
        <v>10</v>
      </c>
      <c r="F16" s="521">
        <v>54328</v>
      </c>
      <c r="G16" s="523">
        <v>543280</v>
      </c>
      <c r="H16" s="351" t="s">
        <v>203</v>
      </c>
      <c r="I16" s="525">
        <v>7.4999999999999997E-3</v>
      </c>
      <c r="J16" s="223"/>
      <c r="K16" s="69" t="s">
        <v>96</v>
      </c>
    </row>
    <row r="17" spans="1:11" ht="15.6" customHeight="1">
      <c r="A17" s="69"/>
      <c r="B17" s="224" t="s">
        <v>196</v>
      </c>
      <c r="C17" s="225"/>
      <c r="D17" s="518"/>
      <c r="E17" s="520"/>
      <c r="F17" s="522"/>
      <c r="G17" s="524"/>
      <c r="H17" s="352" t="s">
        <v>194</v>
      </c>
      <c r="I17" s="526"/>
      <c r="J17" s="226"/>
      <c r="K17" s="69" t="s">
        <v>96</v>
      </c>
    </row>
    <row r="18" spans="1:11" ht="15.6" customHeight="1">
      <c r="A18" s="69"/>
      <c r="B18" s="222" t="s">
        <v>204</v>
      </c>
      <c r="C18" s="166"/>
      <c r="D18" s="517" t="s">
        <v>173</v>
      </c>
      <c r="E18" s="519">
        <v>1</v>
      </c>
      <c r="F18" s="521">
        <v>1250000</v>
      </c>
      <c r="G18" s="523">
        <v>1250000</v>
      </c>
      <c r="H18" s="351" t="s">
        <v>205</v>
      </c>
      <c r="I18" s="525">
        <v>1.7299999999999999E-2</v>
      </c>
      <c r="J18" s="223"/>
      <c r="K18" s="69" t="s">
        <v>96</v>
      </c>
    </row>
    <row r="19" spans="1:11" ht="15.6" customHeight="1">
      <c r="A19" s="69"/>
      <c r="B19" s="224" t="s">
        <v>196</v>
      </c>
      <c r="C19" s="225"/>
      <c r="D19" s="518"/>
      <c r="E19" s="520"/>
      <c r="F19" s="522"/>
      <c r="G19" s="524"/>
      <c r="H19" s="352" t="s">
        <v>194</v>
      </c>
      <c r="I19" s="526"/>
      <c r="J19" s="226"/>
      <c r="K19" s="69" t="s">
        <v>96</v>
      </c>
    </row>
    <row r="20" spans="1:11" ht="15.6" customHeight="1">
      <c r="A20" s="69"/>
      <c r="B20" s="222" t="s">
        <v>206</v>
      </c>
      <c r="C20" s="166"/>
      <c r="D20" s="517" t="s">
        <v>173</v>
      </c>
      <c r="E20" s="519">
        <v>1</v>
      </c>
      <c r="F20" s="521">
        <v>1750000</v>
      </c>
      <c r="G20" s="523">
        <v>1750000</v>
      </c>
      <c r="H20" s="351" t="s">
        <v>207</v>
      </c>
      <c r="I20" s="525">
        <v>2.4299999999999999E-2</v>
      </c>
      <c r="J20" s="223"/>
      <c r="K20" s="69" t="s">
        <v>96</v>
      </c>
    </row>
    <row r="21" spans="1:11" ht="15.6" customHeight="1">
      <c r="A21" s="69"/>
      <c r="B21" s="224" t="s">
        <v>196</v>
      </c>
      <c r="C21" s="225"/>
      <c r="D21" s="518"/>
      <c r="E21" s="520"/>
      <c r="F21" s="522"/>
      <c r="G21" s="524"/>
      <c r="H21" s="352" t="s">
        <v>194</v>
      </c>
      <c r="I21" s="526"/>
      <c r="J21" s="226"/>
      <c r="K21" s="69" t="s">
        <v>96</v>
      </c>
    </row>
    <row r="22" spans="1:11" ht="15.6" customHeight="1">
      <c r="A22" s="69"/>
      <c r="B22" s="222" t="s">
        <v>208</v>
      </c>
      <c r="C22" s="166"/>
      <c r="D22" s="517" t="s">
        <v>172</v>
      </c>
      <c r="E22" s="519">
        <v>16</v>
      </c>
      <c r="F22" s="521">
        <v>77129</v>
      </c>
      <c r="G22" s="523">
        <v>1234064</v>
      </c>
      <c r="H22" s="351" t="s">
        <v>209</v>
      </c>
      <c r="I22" s="525">
        <v>1.7100000000000001E-2</v>
      </c>
      <c r="J22" s="223"/>
      <c r="K22" s="69" t="s">
        <v>96</v>
      </c>
    </row>
    <row r="23" spans="1:11" ht="15.6" customHeight="1">
      <c r="A23" s="69"/>
      <c r="B23" s="224" t="s">
        <v>196</v>
      </c>
      <c r="C23" s="225"/>
      <c r="D23" s="518"/>
      <c r="E23" s="520"/>
      <c r="F23" s="522"/>
      <c r="G23" s="524"/>
      <c r="H23" s="352" t="s">
        <v>194</v>
      </c>
      <c r="I23" s="526"/>
      <c r="J23" s="226"/>
      <c r="K23" s="69" t="s">
        <v>96</v>
      </c>
    </row>
    <row r="24" spans="1:11" ht="15.6" customHeight="1">
      <c r="A24" s="69"/>
      <c r="B24" s="222" t="s">
        <v>210</v>
      </c>
      <c r="C24" s="166"/>
      <c r="D24" s="517" t="s">
        <v>173</v>
      </c>
      <c r="E24" s="519">
        <v>1</v>
      </c>
      <c r="F24" s="521">
        <v>600000</v>
      </c>
      <c r="G24" s="523">
        <v>600000</v>
      </c>
      <c r="H24" s="351" t="s">
        <v>211</v>
      </c>
      <c r="I24" s="525">
        <v>8.3000000000000001E-3</v>
      </c>
      <c r="J24" s="223"/>
      <c r="K24" s="69" t="s">
        <v>96</v>
      </c>
    </row>
    <row r="25" spans="1:11" ht="15.6" customHeight="1">
      <c r="A25" s="69"/>
      <c r="B25" s="224" t="s">
        <v>196</v>
      </c>
      <c r="C25" s="225"/>
      <c r="D25" s="518"/>
      <c r="E25" s="520"/>
      <c r="F25" s="522"/>
      <c r="G25" s="524"/>
      <c r="H25" s="352" t="s">
        <v>194</v>
      </c>
      <c r="I25" s="526"/>
      <c r="J25" s="226"/>
      <c r="K25" s="69" t="s">
        <v>96</v>
      </c>
    </row>
    <row r="26" spans="1:11" ht="15.6" customHeight="1">
      <c r="A26" s="69"/>
      <c r="B26" s="222" t="s">
        <v>212</v>
      </c>
      <c r="C26" s="166"/>
      <c r="D26" s="517" t="s">
        <v>173</v>
      </c>
      <c r="E26" s="519">
        <v>1</v>
      </c>
      <c r="F26" s="521">
        <v>300000</v>
      </c>
      <c r="G26" s="523">
        <v>300000</v>
      </c>
      <c r="H26" s="351" t="s">
        <v>213</v>
      </c>
      <c r="I26" s="525">
        <v>4.1000000000000003E-3</v>
      </c>
      <c r="J26" s="223"/>
      <c r="K26" s="69" t="s">
        <v>96</v>
      </c>
    </row>
    <row r="27" spans="1:11" ht="15.6" customHeight="1">
      <c r="A27" s="69"/>
      <c r="B27" s="224" t="s">
        <v>196</v>
      </c>
      <c r="C27" s="225"/>
      <c r="D27" s="518"/>
      <c r="E27" s="520"/>
      <c r="F27" s="522"/>
      <c r="G27" s="524"/>
      <c r="H27" s="352" t="s">
        <v>194</v>
      </c>
      <c r="I27" s="526"/>
      <c r="J27" s="226"/>
      <c r="K27" s="69" t="s">
        <v>96</v>
      </c>
    </row>
    <row r="28" spans="1:11" ht="15.6" customHeight="1">
      <c r="A28" s="69"/>
      <c r="B28" s="222" t="s">
        <v>214</v>
      </c>
      <c r="C28" s="166"/>
      <c r="D28" s="517" t="s">
        <v>172</v>
      </c>
      <c r="E28" s="519">
        <v>30</v>
      </c>
      <c r="F28" s="521">
        <v>51919</v>
      </c>
      <c r="G28" s="523">
        <v>1557570</v>
      </c>
      <c r="H28" s="351" t="s">
        <v>215</v>
      </c>
      <c r="I28" s="525">
        <v>2.1600000000000001E-2</v>
      </c>
      <c r="J28" s="223"/>
      <c r="K28" s="69" t="s">
        <v>96</v>
      </c>
    </row>
    <row r="29" spans="1:11" ht="15.6" customHeight="1">
      <c r="A29" s="69"/>
      <c r="B29" s="224" t="s">
        <v>196</v>
      </c>
      <c r="C29" s="225"/>
      <c r="D29" s="518"/>
      <c r="E29" s="520"/>
      <c r="F29" s="522"/>
      <c r="G29" s="524"/>
      <c r="H29" s="352" t="s">
        <v>194</v>
      </c>
      <c r="I29" s="526"/>
      <c r="J29" s="226"/>
      <c r="K29" s="69" t="s">
        <v>96</v>
      </c>
    </row>
    <row r="30" spans="1:11" ht="15.6" customHeight="1">
      <c r="A30" s="69"/>
      <c r="B30" s="222" t="s">
        <v>216</v>
      </c>
      <c r="C30" s="166"/>
      <c r="D30" s="517" t="s">
        <v>174</v>
      </c>
      <c r="E30" s="519">
        <v>20</v>
      </c>
      <c r="F30" s="521">
        <v>32700</v>
      </c>
      <c r="G30" s="523">
        <v>654000</v>
      </c>
      <c r="H30" s="351" t="s">
        <v>217</v>
      </c>
      <c r="I30" s="525">
        <v>8.9999999999999993E-3</v>
      </c>
      <c r="J30" s="223"/>
      <c r="K30" s="69" t="s">
        <v>96</v>
      </c>
    </row>
    <row r="31" spans="1:11" ht="15.6" customHeight="1">
      <c r="A31" s="69"/>
      <c r="B31" s="224" t="s">
        <v>196</v>
      </c>
      <c r="C31" s="225"/>
      <c r="D31" s="518"/>
      <c r="E31" s="520"/>
      <c r="F31" s="522"/>
      <c r="G31" s="524"/>
      <c r="H31" s="352" t="s">
        <v>194</v>
      </c>
      <c r="I31" s="526"/>
      <c r="J31" s="226"/>
      <c r="K31" s="69" t="s">
        <v>96</v>
      </c>
    </row>
    <row r="32" spans="1:11" ht="15.6" customHeight="1">
      <c r="A32" s="69"/>
      <c r="B32" s="222" t="s">
        <v>218</v>
      </c>
      <c r="C32" s="166"/>
      <c r="D32" s="532" t="s">
        <v>173</v>
      </c>
      <c r="E32" s="519">
        <v>1</v>
      </c>
      <c r="F32" s="521">
        <v>151200</v>
      </c>
      <c r="G32" s="523">
        <v>151200</v>
      </c>
      <c r="H32" s="351" t="s">
        <v>219</v>
      </c>
      <c r="I32" s="525">
        <v>2.0999999999999999E-3</v>
      </c>
      <c r="J32" s="223"/>
      <c r="K32" s="69" t="s">
        <v>96</v>
      </c>
    </row>
    <row r="33" spans="1:11" ht="15.6" customHeight="1">
      <c r="A33" s="69"/>
      <c r="B33" s="224" t="s">
        <v>196</v>
      </c>
      <c r="C33" s="225"/>
      <c r="D33" s="532"/>
      <c r="E33" s="520"/>
      <c r="F33" s="522"/>
      <c r="G33" s="524"/>
      <c r="H33" s="354" t="s">
        <v>194</v>
      </c>
      <c r="I33" s="526"/>
      <c r="J33" s="226"/>
      <c r="K33" s="69" t="s">
        <v>96</v>
      </c>
    </row>
    <row r="34" spans="1:11" ht="15.6" customHeight="1">
      <c r="A34" s="69"/>
      <c r="B34" s="222" t="s">
        <v>220</v>
      </c>
      <c r="C34" s="166"/>
      <c r="D34" s="517" t="s">
        <v>173</v>
      </c>
      <c r="E34" s="519">
        <v>1</v>
      </c>
      <c r="F34" s="521">
        <v>2001440</v>
      </c>
      <c r="G34" s="523">
        <v>2001440</v>
      </c>
      <c r="H34" s="351" t="s">
        <v>221</v>
      </c>
      <c r="I34" s="525">
        <v>2.7799999999999998E-2</v>
      </c>
      <c r="J34" s="223"/>
      <c r="K34" s="69" t="s">
        <v>96</v>
      </c>
    </row>
    <row r="35" spans="1:11" ht="15.6" customHeight="1">
      <c r="A35" s="69"/>
      <c r="B35" s="224" t="s">
        <v>196</v>
      </c>
      <c r="C35" s="225"/>
      <c r="D35" s="518"/>
      <c r="E35" s="520"/>
      <c r="F35" s="522"/>
      <c r="G35" s="524"/>
      <c r="H35" s="352" t="s">
        <v>194</v>
      </c>
      <c r="I35" s="526"/>
      <c r="J35" s="226"/>
      <c r="K35" s="69" t="s">
        <v>96</v>
      </c>
    </row>
    <row r="36" spans="1:11" ht="15.6" customHeight="1">
      <c r="A36" s="69"/>
      <c r="B36" s="301" t="s">
        <v>222</v>
      </c>
      <c r="C36" s="302"/>
      <c r="D36" s="517" t="s">
        <v>171</v>
      </c>
      <c r="E36" s="519"/>
      <c r="F36" s="521">
        <v>2057</v>
      </c>
      <c r="G36" s="523"/>
      <c r="H36" s="351" t="s">
        <v>224</v>
      </c>
      <c r="I36" s="525"/>
      <c r="J36" s="223"/>
      <c r="K36" s="69" t="s">
        <v>96</v>
      </c>
    </row>
    <row r="37" spans="1:11" ht="15.6" customHeight="1" thickBot="1">
      <c r="A37" s="69"/>
      <c r="B37" s="228" t="s">
        <v>223</v>
      </c>
      <c r="C37" s="229"/>
      <c r="D37" s="527"/>
      <c r="E37" s="528"/>
      <c r="F37" s="529"/>
      <c r="G37" s="530"/>
      <c r="H37" s="353" t="s">
        <v>194</v>
      </c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144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149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 t="s">
        <v>225</v>
      </c>
      <c r="C43" s="166"/>
      <c r="D43" s="517" t="s">
        <v>171</v>
      </c>
      <c r="E43" s="519"/>
      <c r="F43" s="521">
        <v>8996</v>
      </c>
      <c r="G43" s="523"/>
      <c r="H43" s="351" t="s">
        <v>227</v>
      </c>
      <c r="I43" s="525"/>
      <c r="J43" s="223"/>
      <c r="K43" s="69" t="s">
        <v>96</v>
      </c>
    </row>
    <row r="44" spans="1:11" ht="15.6" customHeight="1">
      <c r="A44" s="69"/>
      <c r="B44" s="224" t="s">
        <v>226</v>
      </c>
      <c r="C44" s="225"/>
      <c r="D44" s="518"/>
      <c r="E44" s="520"/>
      <c r="F44" s="522"/>
      <c r="G44" s="524"/>
      <c r="H44" s="352" t="s">
        <v>194</v>
      </c>
      <c r="I44" s="526"/>
      <c r="J44" s="226"/>
      <c r="K44" s="69" t="s">
        <v>96</v>
      </c>
    </row>
    <row r="45" spans="1:11" ht="15.6" customHeight="1">
      <c r="A45" s="69"/>
      <c r="B45" s="222" t="s">
        <v>228</v>
      </c>
      <c r="C45" s="166"/>
      <c r="D45" s="517" t="s">
        <v>171</v>
      </c>
      <c r="E45" s="519"/>
      <c r="F45" s="521">
        <v>10232</v>
      </c>
      <c r="G45" s="523"/>
      <c r="H45" s="351" t="s">
        <v>230</v>
      </c>
      <c r="I45" s="525"/>
      <c r="J45" s="227"/>
      <c r="K45" s="69" t="s">
        <v>96</v>
      </c>
    </row>
    <row r="46" spans="1:11" ht="15.6" customHeight="1">
      <c r="A46" s="69"/>
      <c r="B46" s="224" t="s">
        <v>229</v>
      </c>
      <c r="C46" s="225"/>
      <c r="D46" s="518"/>
      <c r="E46" s="520"/>
      <c r="F46" s="522"/>
      <c r="G46" s="524"/>
      <c r="H46" s="352" t="s">
        <v>194</v>
      </c>
      <c r="I46" s="526"/>
      <c r="J46" s="227"/>
      <c r="K46" s="69" t="s">
        <v>96</v>
      </c>
    </row>
    <row r="47" spans="1:11" ht="15.6" customHeight="1">
      <c r="A47" s="69"/>
      <c r="B47" s="222" t="s">
        <v>231</v>
      </c>
      <c r="C47" s="166"/>
      <c r="D47" s="517" t="s">
        <v>171</v>
      </c>
      <c r="E47" s="519"/>
      <c r="F47" s="521">
        <v>16210</v>
      </c>
      <c r="G47" s="523"/>
      <c r="H47" s="351" t="s">
        <v>232</v>
      </c>
      <c r="I47" s="525"/>
      <c r="J47" s="223"/>
      <c r="K47" s="69" t="s">
        <v>96</v>
      </c>
    </row>
    <row r="48" spans="1:11" ht="15.6" customHeight="1">
      <c r="A48" s="69"/>
      <c r="B48" s="224" t="s">
        <v>229</v>
      </c>
      <c r="C48" s="225"/>
      <c r="D48" s="518"/>
      <c r="E48" s="520"/>
      <c r="F48" s="522"/>
      <c r="G48" s="524"/>
      <c r="H48" s="352" t="s">
        <v>194</v>
      </c>
      <c r="I48" s="526"/>
      <c r="J48" s="226"/>
      <c r="K48" s="69" t="s">
        <v>96</v>
      </c>
    </row>
    <row r="49" spans="1:11" ht="15.6" customHeight="1">
      <c r="A49" s="69"/>
      <c r="B49" s="222" t="s">
        <v>233</v>
      </c>
      <c r="C49" s="166"/>
      <c r="D49" s="517" t="s">
        <v>235</v>
      </c>
      <c r="E49" s="519"/>
      <c r="F49" s="521">
        <v>14135</v>
      </c>
      <c r="G49" s="523"/>
      <c r="H49" s="351" t="s">
        <v>236</v>
      </c>
      <c r="I49" s="525"/>
      <c r="J49" s="223"/>
      <c r="K49" s="69" t="s">
        <v>96</v>
      </c>
    </row>
    <row r="50" spans="1:11" ht="15.6" customHeight="1">
      <c r="A50" s="69"/>
      <c r="B50" s="224" t="s">
        <v>234</v>
      </c>
      <c r="C50" s="225"/>
      <c r="D50" s="518"/>
      <c r="E50" s="520"/>
      <c r="F50" s="522"/>
      <c r="G50" s="524"/>
      <c r="H50" s="352" t="s">
        <v>194</v>
      </c>
      <c r="I50" s="526"/>
      <c r="J50" s="226"/>
      <c r="K50" s="69" t="s">
        <v>96</v>
      </c>
    </row>
    <row r="51" spans="1:11" ht="15.6" customHeight="1">
      <c r="A51" s="69"/>
      <c r="B51" s="222" t="s">
        <v>237</v>
      </c>
      <c r="C51" s="166"/>
      <c r="D51" s="517" t="s">
        <v>239</v>
      </c>
      <c r="E51" s="519"/>
      <c r="F51" s="521">
        <v>252197</v>
      </c>
      <c r="G51" s="523"/>
      <c r="H51" s="351" t="s">
        <v>240</v>
      </c>
      <c r="I51" s="525"/>
      <c r="J51" s="223"/>
      <c r="K51" s="69" t="s">
        <v>96</v>
      </c>
    </row>
    <row r="52" spans="1:11" ht="15.6" customHeight="1">
      <c r="A52" s="69"/>
      <c r="B52" s="224" t="s">
        <v>238</v>
      </c>
      <c r="C52" s="225"/>
      <c r="D52" s="518"/>
      <c r="E52" s="520"/>
      <c r="F52" s="522"/>
      <c r="G52" s="524"/>
      <c r="H52" s="352" t="s">
        <v>194</v>
      </c>
      <c r="I52" s="526"/>
      <c r="J52" s="226"/>
      <c r="K52" s="69" t="s">
        <v>96</v>
      </c>
    </row>
    <row r="53" spans="1:11" ht="15.6" customHeight="1">
      <c r="A53" s="69"/>
      <c r="B53" s="222" t="s">
        <v>241</v>
      </c>
      <c r="C53" s="166"/>
      <c r="D53" s="517" t="s">
        <v>235</v>
      </c>
      <c r="E53" s="519"/>
      <c r="F53" s="521">
        <v>110606</v>
      </c>
      <c r="G53" s="523"/>
      <c r="H53" s="351" t="s">
        <v>243</v>
      </c>
      <c r="I53" s="525"/>
      <c r="J53" s="223"/>
      <c r="K53" s="69" t="s">
        <v>96</v>
      </c>
    </row>
    <row r="54" spans="1:11" ht="15.6" customHeight="1">
      <c r="A54" s="69"/>
      <c r="B54" s="224" t="s">
        <v>242</v>
      </c>
      <c r="C54" s="225"/>
      <c r="D54" s="518"/>
      <c r="E54" s="520"/>
      <c r="F54" s="522"/>
      <c r="G54" s="524"/>
      <c r="H54" s="352" t="s">
        <v>194</v>
      </c>
      <c r="I54" s="526"/>
      <c r="J54" s="226"/>
      <c r="K54" s="69" t="s">
        <v>96</v>
      </c>
    </row>
    <row r="55" spans="1:11" ht="15.6" customHeight="1">
      <c r="A55" s="69"/>
      <c r="B55" s="222" t="s">
        <v>244</v>
      </c>
      <c r="C55" s="166"/>
      <c r="D55" s="517" t="s">
        <v>239</v>
      </c>
      <c r="E55" s="519"/>
      <c r="F55" s="521">
        <v>376400</v>
      </c>
      <c r="G55" s="523"/>
      <c r="H55" s="351" t="s">
        <v>246</v>
      </c>
      <c r="I55" s="525"/>
      <c r="J55" s="223"/>
      <c r="K55" s="69" t="s">
        <v>96</v>
      </c>
    </row>
    <row r="56" spans="1:11" ht="15.6" customHeight="1">
      <c r="A56" s="69"/>
      <c r="B56" s="224" t="s">
        <v>245</v>
      </c>
      <c r="C56" s="225"/>
      <c r="D56" s="518"/>
      <c r="E56" s="520"/>
      <c r="F56" s="522"/>
      <c r="G56" s="524"/>
      <c r="H56" s="352" t="s">
        <v>194</v>
      </c>
      <c r="I56" s="526"/>
      <c r="J56" s="226"/>
      <c r="K56" s="69" t="s">
        <v>96</v>
      </c>
    </row>
    <row r="57" spans="1:11" ht="15.6" customHeight="1">
      <c r="A57" s="69"/>
      <c r="B57" s="222" t="s">
        <v>247</v>
      </c>
      <c r="C57" s="166"/>
      <c r="D57" s="517" t="s">
        <v>173</v>
      </c>
      <c r="E57" s="519">
        <v>1</v>
      </c>
      <c r="F57" s="521">
        <v>5800000</v>
      </c>
      <c r="G57" s="523">
        <v>5800000</v>
      </c>
      <c r="H57" s="351" t="s">
        <v>249</v>
      </c>
      <c r="I57" s="525">
        <v>8.0500000000000002E-2</v>
      </c>
      <c r="J57" s="223"/>
      <c r="K57" s="69" t="s">
        <v>96</v>
      </c>
    </row>
    <row r="58" spans="1:11" ht="15.6" customHeight="1">
      <c r="A58" s="69"/>
      <c r="B58" s="224" t="s">
        <v>248</v>
      </c>
      <c r="C58" s="225"/>
      <c r="D58" s="518"/>
      <c r="E58" s="520"/>
      <c r="F58" s="522"/>
      <c r="G58" s="524"/>
      <c r="H58" s="352" t="s">
        <v>194</v>
      </c>
      <c r="I58" s="526"/>
      <c r="J58" s="226"/>
      <c r="K58" s="69" t="s">
        <v>96</v>
      </c>
    </row>
    <row r="59" spans="1:11" ht="15.6" customHeight="1">
      <c r="A59" s="69"/>
      <c r="B59" s="222" t="s">
        <v>250</v>
      </c>
      <c r="C59" s="166"/>
      <c r="D59" s="517" t="s">
        <v>173</v>
      </c>
      <c r="E59" s="519">
        <v>1</v>
      </c>
      <c r="F59" s="521">
        <v>4700000</v>
      </c>
      <c r="G59" s="523">
        <v>4700000</v>
      </c>
      <c r="H59" s="351" t="s">
        <v>252</v>
      </c>
      <c r="I59" s="525">
        <v>6.5299999999999997E-2</v>
      </c>
      <c r="J59" s="223"/>
      <c r="K59" s="69" t="s">
        <v>96</v>
      </c>
    </row>
    <row r="60" spans="1:11" ht="15.6" customHeight="1">
      <c r="A60" s="69"/>
      <c r="B60" s="224" t="s">
        <v>251</v>
      </c>
      <c r="C60" s="225"/>
      <c r="D60" s="518"/>
      <c r="E60" s="520"/>
      <c r="F60" s="522"/>
      <c r="G60" s="524"/>
      <c r="H60" s="352" t="s">
        <v>194</v>
      </c>
      <c r="I60" s="526"/>
      <c r="J60" s="226"/>
      <c r="K60" s="69" t="s">
        <v>96</v>
      </c>
    </row>
    <row r="61" spans="1:11" ht="15.6" customHeight="1">
      <c r="A61" s="69"/>
      <c r="B61" s="222" t="s">
        <v>253</v>
      </c>
      <c r="C61" s="166"/>
      <c r="D61" s="517" t="s">
        <v>254</v>
      </c>
      <c r="E61" s="519">
        <v>20</v>
      </c>
      <c r="F61" s="521">
        <v>15307</v>
      </c>
      <c r="G61" s="523">
        <v>306140</v>
      </c>
      <c r="H61" s="351" t="s">
        <v>255</v>
      </c>
      <c r="I61" s="525">
        <v>4.1999999999999997E-3</v>
      </c>
      <c r="J61" s="223"/>
      <c r="K61" s="69" t="s">
        <v>96</v>
      </c>
    </row>
    <row r="62" spans="1:11" ht="15.6" customHeight="1">
      <c r="A62" s="69"/>
      <c r="B62" s="224" t="s">
        <v>196</v>
      </c>
      <c r="C62" s="225"/>
      <c r="D62" s="518"/>
      <c r="E62" s="520"/>
      <c r="F62" s="522"/>
      <c r="G62" s="524"/>
      <c r="H62" s="352" t="s">
        <v>194</v>
      </c>
      <c r="I62" s="526"/>
      <c r="J62" s="226"/>
      <c r="K62" s="69" t="s">
        <v>96</v>
      </c>
    </row>
    <row r="63" spans="1:11" ht="15.6" customHeight="1">
      <c r="A63" s="69"/>
      <c r="B63" s="222" t="s">
        <v>256</v>
      </c>
      <c r="C63" s="166"/>
      <c r="D63" s="517" t="s">
        <v>173</v>
      </c>
      <c r="E63" s="519">
        <v>1</v>
      </c>
      <c r="F63" s="521">
        <v>140000</v>
      </c>
      <c r="G63" s="523">
        <v>140000</v>
      </c>
      <c r="H63" s="351" t="s">
        <v>257</v>
      </c>
      <c r="I63" s="525">
        <v>1.9E-3</v>
      </c>
      <c r="J63" s="223"/>
      <c r="K63" s="69" t="s">
        <v>96</v>
      </c>
    </row>
    <row r="64" spans="1:11" ht="15.6" customHeight="1">
      <c r="A64" s="69"/>
      <c r="B64" s="224" t="s">
        <v>196</v>
      </c>
      <c r="C64" s="225"/>
      <c r="D64" s="518"/>
      <c r="E64" s="520"/>
      <c r="F64" s="522"/>
      <c r="G64" s="524"/>
      <c r="H64" s="352" t="s">
        <v>194</v>
      </c>
      <c r="I64" s="526"/>
      <c r="J64" s="226"/>
      <c r="K64" s="69" t="s">
        <v>96</v>
      </c>
    </row>
    <row r="65" spans="1:11" ht="15.6" customHeight="1">
      <c r="A65" s="69"/>
      <c r="B65" s="222" t="s">
        <v>258</v>
      </c>
      <c r="C65" s="166"/>
      <c r="D65" s="517" t="s">
        <v>173</v>
      </c>
      <c r="E65" s="519">
        <v>1</v>
      </c>
      <c r="F65" s="521">
        <v>4735000</v>
      </c>
      <c r="G65" s="523">
        <v>4735000</v>
      </c>
      <c r="H65" s="351" t="s">
        <v>259</v>
      </c>
      <c r="I65" s="525">
        <v>6.5699999999999995E-2</v>
      </c>
      <c r="J65" s="223"/>
      <c r="K65" s="69" t="s">
        <v>96</v>
      </c>
    </row>
    <row r="66" spans="1:11" ht="15.6" customHeight="1">
      <c r="A66" s="69"/>
      <c r="B66" s="224" t="s">
        <v>196</v>
      </c>
      <c r="C66" s="225"/>
      <c r="D66" s="518"/>
      <c r="E66" s="520"/>
      <c r="F66" s="522"/>
      <c r="G66" s="524"/>
      <c r="H66" s="352" t="s">
        <v>194</v>
      </c>
      <c r="I66" s="526"/>
      <c r="J66" s="226"/>
      <c r="K66" s="69" t="s">
        <v>96</v>
      </c>
    </row>
    <row r="67" spans="1:11" ht="15.6" customHeight="1">
      <c r="A67" s="69"/>
      <c r="B67" s="222" t="s">
        <v>260</v>
      </c>
      <c r="C67" s="166"/>
      <c r="D67" s="517" t="s">
        <v>174</v>
      </c>
      <c r="E67" s="519">
        <v>1</v>
      </c>
      <c r="F67" s="521">
        <v>45000</v>
      </c>
      <c r="G67" s="523">
        <v>45000</v>
      </c>
      <c r="H67" s="351" t="s">
        <v>261</v>
      </c>
      <c r="I67" s="525">
        <v>5.9999999999999995E-4</v>
      </c>
      <c r="J67" s="223"/>
      <c r="K67" s="69" t="s">
        <v>96</v>
      </c>
    </row>
    <row r="68" spans="1:11" ht="15.6" customHeight="1">
      <c r="A68" s="69"/>
      <c r="B68" s="224" t="s">
        <v>196</v>
      </c>
      <c r="C68" s="225"/>
      <c r="D68" s="518"/>
      <c r="E68" s="520"/>
      <c r="F68" s="522"/>
      <c r="G68" s="524"/>
      <c r="H68" s="352" t="s">
        <v>194</v>
      </c>
      <c r="I68" s="526"/>
      <c r="J68" s="226"/>
      <c r="K68" s="69" t="s">
        <v>96</v>
      </c>
    </row>
    <row r="69" spans="1:11" ht="15.6" customHeight="1">
      <c r="A69" s="69"/>
      <c r="B69" s="222" t="s">
        <v>262</v>
      </c>
      <c r="C69" s="166"/>
      <c r="D69" s="532" t="s">
        <v>171</v>
      </c>
      <c r="E69" s="519">
        <v>246.4</v>
      </c>
      <c r="F69" s="521">
        <v>4378</v>
      </c>
      <c r="G69" s="523">
        <v>1078739</v>
      </c>
      <c r="H69" s="351" t="s">
        <v>263</v>
      </c>
      <c r="I69" s="525">
        <v>1.49E-2</v>
      </c>
      <c r="J69" s="223"/>
      <c r="K69" s="69" t="s">
        <v>96</v>
      </c>
    </row>
    <row r="70" spans="1:11" ht="15.6" customHeight="1">
      <c r="A70" s="69"/>
      <c r="B70" s="224" t="s">
        <v>196</v>
      </c>
      <c r="C70" s="225"/>
      <c r="D70" s="532"/>
      <c r="E70" s="520"/>
      <c r="F70" s="522"/>
      <c r="G70" s="524"/>
      <c r="H70" s="354" t="s">
        <v>194</v>
      </c>
      <c r="I70" s="526"/>
      <c r="J70" s="226"/>
      <c r="K70" s="69" t="s">
        <v>96</v>
      </c>
    </row>
    <row r="71" spans="1:11" ht="15.6" customHeight="1">
      <c r="A71" s="69"/>
      <c r="B71" s="222" t="s">
        <v>264</v>
      </c>
      <c r="C71" s="166"/>
      <c r="D71" s="517" t="s">
        <v>171</v>
      </c>
      <c r="E71" s="519">
        <v>248.6</v>
      </c>
      <c r="F71" s="521">
        <v>8536</v>
      </c>
      <c r="G71" s="523">
        <v>2122049</v>
      </c>
      <c r="H71" s="351" t="s">
        <v>265</v>
      </c>
      <c r="I71" s="525">
        <v>2.9399999999999999E-2</v>
      </c>
      <c r="J71" s="223"/>
      <c r="K71" s="69" t="s">
        <v>96</v>
      </c>
    </row>
    <row r="72" spans="1:11" ht="15.6" customHeight="1">
      <c r="A72" s="69"/>
      <c r="B72" s="224" t="s">
        <v>196</v>
      </c>
      <c r="C72" s="225"/>
      <c r="D72" s="518"/>
      <c r="E72" s="520"/>
      <c r="F72" s="522"/>
      <c r="G72" s="524"/>
      <c r="H72" s="352" t="s">
        <v>194</v>
      </c>
      <c r="I72" s="526"/>
      <c r="J72" s="226"/>
      <c r="K72" s="69" t="s">
        <v>96</v>
      </c>
    </row>
    <row r="73" spans="1:11" ht="15.6" customHeight="1">
      <c r="A73" s="69"/>
      <c r="B73" s="301" t="s">
        <v>266</v>
      </c>
      <c r="C73" s="302"/>
      <c r="D73" s="517" t="s">
        <v>171</v>
      </c>
      <c r="E73" s="519">
        <v>87.75</v>
      </c>
      <c r="F73" s="521">
        <v>12607</v>
      </c>
      <c r="G73" s="523">
        <v>1106264</v>
      </c>
      <c r="H73" s="351" t="s">
        <v>268</v>
      </c>
      <c r="I73" s="525">
        <v>1.5299999999999999E-2</v>
      </c>
      <c r="J73" s="223"/>
      <c r="K73" s="69" t="s">
        <v>96</v>
      </c>
    </row>
    <row r="74" spans="1:11" ht="15.6" customHeight="1" thickBot="1">
      <c r="A74" s="69"/>
      <c r="B74" s="228" t="s">
        <v>267</v>
      </c>
      <c r="C74" s="229"/>
      <c r="D74" s="527"/>
      <c r="E74" s="528"/>
      <c r="F74" s="529"/>
      <c r="G74" s="530"/>
      <c r="H74" s="353" t="s">
        <v>194</v>
      </c>
      <c r="I74" s="531"/>
      <c r="J74" s="230"/>
      <c r="K74" s="69" t="s">
        <v>96</v>
      </c>
    </row>
    <row r="75" spans="1:11" ht="30" customHeight="1" thickBot="1">
      <c r="A75" s="69"/>
      <c r="B75" s="142"/>
      <c r="C75" s="142"/>
      <c r="D75" s="533" t="s">
        <v>144</v>
      </c>
      <c r="E75" s="533"/>
      <c r="F75" s="533"/>
      <c r="G75" s="533"/>
      <c r="H75" s="69"/>
      <c r="I75" s="69"/>
      <c r="J75" s="69"/>
      <c r="K75" s="69"/>
    </row>
    <row r="76" spans="1:11" ht="15.95" customHeight="1">
      <c r="A76" s="143"/>
      <c r="B76" s="143"/>
      <c r="C76" s="143"/>
      <c r="D76" s="143"/>
      <c r="E76" s="143"/>
      <c r="F76" s="143"/>
      <c r="G76" s="143"/>
      <c r="H76" s="143"/>
      <c r="I76" s="143"/>
      <c r="J76" s="143"/>
      <c r="K76" s="143"/>
    </row>
    <row r="77" spans="1:11" ht="30.95" customHeight="1">
      <c r="A77" s="144"/>
      <c r="B77" s="298" t="s">
        <v>89</v>
      </c>
      <c r="C77" s="219" t="s">
        <v>149</v>
      </c>
      <c r="D77" s="285"/>
      <c r="E77" s="299"/>
      <c r="F77" s="167"/>
      <c r="G77" s="167"/>
      <c r="H77" s="167"/>
      <c r="I77" s="167"/>
      <c r="J77" s="300"/>
      <c r="K77" s="144"/>
    </row>
    <row r="78" spans="1:11" ht="14.1" customHeight="1" thickBot="1">
      <c r="A78" s="69"/>
      <c r="B78" s="69"/>
      <c r="C78" s="69"/>
      <c r="D78" s="69"/>
      <c r="E78" s="69"/>
      <c r="F78" s="69"/>
      <c r="G78" s="69"/>
      <c r="H78" s="69"/>
      <c r="I78" s="69"/>
      <c r="J78" s="72"/>
      <c r="K78" s="69"/>
    </row>
    <row r="79" spans="1:11" ht="17.45" customHeight="1">
      <c r="A79" s="69"/>
      <c r="B79" s="534" t="s">
        <v>90</v>
      </c>
      <c r="C79" s="535"/>
      <c r="D79" s="220" t="s">
        <v>77</v>
      </c>
      <c r="E79" s="220" t="s">
        <v>91</v>
      </c>
      <c r="F79" s="220" t="s">
        <v>92</v>
      </c>
      <c r="G79" s="220" t="s">
        <v>73</v>
      </c>
      <c r="H79" s="221" t="s">
        <v>93</v>
      </c>
      <c r="I79" s="220" t="s">
        <v>55</v>
      </c>
      <c r="J79" s="117" t="s">
        <v>95</v>
      </c>
      <c r="K79" s="69"/>
    </row>
    <row r="80" spans="1:11" ht="15.6" customHeight="1">
      <c r="A80" s="69"/>
      <c r="B80" s="222" t="s">
        <v>269</v>
      </c>
      <c r="C80" s="166"/>
      <c r="D80" s="517" t="s">
        <v>235</v>
      </c>
      <c r="E80" s="519">
        <v>46.8</v>
      </c>
      <c r="F80" s="521">
        <v>10815</v>
      </c>
      <c r="G80" s="523">
        <v>506142</v>
      </c>
      <c r="H80" s="351" t="s">
        <v>270</v>
      </c>
      <c r="I80" s="525">
        <v>7.0000000000000001E-3</v>
      </c>
      <c r="J80" s="223"/>
      <c r="K80" s="69" t="s">
        <v>96</v>
      </c>
    </row>
    <row r="81" spans="1:11" ht="15.6" customHeight="1">
      <c r="A81" s="69"/>
      <c r="B81" s="224" t="s">
        <v>196</v>
      </c>
      <c r="C81" s="225"/>
      <c r="D81" s="518"/>
      <c r="E81" s="520"/>
      <c r="F81" s="522"/>
      <c r="G81" s="524"/>
      <c r="H81" s="352" t="s">
        <v>194</v>
      </c>
      <c r="I81" s="526"/>
      <c r="J81" s="226"/>
      <c r="K81" s="69" t="s">
        <v>96</v>
      </c>
    </row>
    <row r="82" spans="1:11" ht="15.6" customHeight="1">
      <c r="A82" s="69"/>
      <c r="B82" s="222" t="s">
        <v>271</v>
      </c>
      <c r="C82" s="166"/>
      <c r="D82" s="517" t="s">
        <v>235</v>
      </c>
      <c r="E82" s="519">
        <v>60.5</v>
      </c>
      <c r="F82" s="521">
        <v>4768</v>
      </c>
      <c r="G82" s="523">
        <v>288464</v>
      </c>
      <c r="H82" s="351" t="s">
        <v>272</v>
      </c>
      <c r="I82" s="525">
        <v>4.0000000000000001E-3</v>
      </c>
      <c r="J82" s="227"/>
      <c r="K82" s="69" t="s">
        <v>96</v>
      </c>
    </row>
    <row r="83" spans="1:11" ht="15.6" customHeight="1">
      <c r="A83" s="69"/>
      <c r="B83" s="224" t="s">
        <v>196</v>
      </c>
      <c r="C83" s="225"/>
      <c r="D83" s="518"/>
      <c r="E83" s="520"/>
      <c r="F83" s="522"/>
      <c r="G83" s="524"/>
      <c r="H83" s="352" t="s">
        <v>194</v>
      </c>
      <c r="I83" s="526"/>
      <c r="J83" s="227"/>
      <c r="K83" s="69" t="s">
        <v>96</v>
      </c>
    </row>
    <row r="84" spans="1:11" ht="15.6" customHeight="1">
      <c r="A84" s="69"/>
      <c r="B84" s="222" t="s">
        <v>273</v>
      </c>
      <c r="C84" s="166"/>
      <c r="D84" s="517" t="s">
        <v>173</v>
      </c>
      <c r="E84" s="519">
        <v>1</v>
      </c>
      <c r="F84" s="521">
        <v>450000</v>
      </c>
      <c r="G84" s="523">
        <v>450000</v>
      </c>
      <c r="H84" s="351" t="s">
        <v>274</v>
      </c>
      <c r="I84" s="525">
        <v>6.1999999999999998E-3</v>
      </c>
      <c r="J84" s="223"/>
      <c r="K84" s="69" t="s">
        <v>96</v>
      </c>
    </row>
    <row r="85" spans="1:11" ht="15.6" customHeight="1">
      <c r="A85" s="69"/>
      <c r="B85" s="224" t="s">
        <v>196</v>
      </c>
      <c r="C85" s="225"/>
      <c r="D85" s="518"/>
      <c r="E85" s="520"/>
      <c r="F85" s="522"/>
      <c r="G85" s="524"/>
      <c r="H85" s="352" t="s">
        <v>194</v>
      </c>
      <c r="I85" s="526"/>
      <c r="J85" s="226"/>
      <c r="K85" s="69" t="s">
        <v>96</v>
      </c>
    </row>
    <row r="86" spans="1:11" ht="15.6" customHeight="1">
      <c r="A86" s="69"/>
      <c r="B86" s="222" t="s">
        <v>275</v>
      </c>
      <c r="C86" s="166"/>
      <c r="D86" s="517" t="s">
        <v>239</v>
      </c>
      <c r="E86" s="519">
        <v>3</v>
      </c>
      <c r="F86" s="521">
        <v>139350</v>
      </c>
      <c r="G86" s="523">
        <v>418050</v>
      </c>
      <c r="H86" s="351" t="s">
        <v>277</v>
      </c>
      <c r="I86" s="525">
        <v>5.7999999999999996E-3</v>
      </c>
      <c r="J86" s="223"/>
      <c r="K86" s="69" t="s">
        <v>96</v>
      </c>
    </row>
    <row r="87" spans="1:11" ht="15.6" customHeight="1">
      <c r="A87" s="69"/>
      <c r="B87" s="224" t="s">
        <v>276</v>
      </c>
      <c r="C87" s="225"/>
      <c r="D87" s="518"/>
      <c r="E87" s="520"/>
      <c r="F87" s="522"/>
      <c r="G87" s="524"/>
      <c r="H87" s="352" t="s">
        <v>194</v>
      </c>
      <c r="I87" s="526"/>
      <c r="J87" s="226"/>
      <c r="K87" s="69" t="s">
        <v>96</v>
      </c>
    </row>
    <row r="88" spans="1:11" ht="15.6" customHeight="1">
      <c r="A88" s="69"/>
      <c r="B88" s="222" t="s">
        <v>278</v>
      </c>
      <c r="C88" s="166"/>
      <c r="D88" s="517" t="s">
        <v>173</v>
      </c>
      <c r="E88" s="519">
        <v>1</v>
      </c>
      <c r="F88" s="521">
        <v>20000</v>
      </c>
      <c r="G88" s="523">
        <v>20000</v>
      </c>
      <c r="H88" s="351" t="s">
        <v>279</v>
      </c>
      <c r="I88" s="525">
        <v>2.0000000000000001E-4</v>
      </c>
      <c r="J88" s="223"/>
      <c r="K88" s="69" t="s">
        <v>96</v>
      </c>
    </row>
    <row r="89" spans="1:11" ht="15.6" customHeight="1">
      <c r="A89" s="69"/>
      <c r="B89" s="224" t="s">
        <v>196</v>
      </c>
      <c r="C89" s="225"/>
      <c r="D89" s="518"/>
      <c r="E89" s="520"/>
      <c r="F89" s="522"/>
      <c r="G89" s="524"/>
      <c r="H89" s="352" t="s">
        <v>194</v>
      </c>
      <c r="I89" s="526"/>
      <c r="J89" s="226"/>
      <c r="K89" s="69" t="s">
        <v>96</v>
      </c>
    </row>
    <row r="90" spans="1:11" ht="15.6" customHeight="1">
      <c r="A90" s="69"/>
      <c r="B90" s="222" t="s">
        <v>280</v>
      </c>
      <c r="C90" s="166"/>
      <c r="D90" s="517" t="s">
        <v>235</v>
      </c>
      <c r="E90" s="519">
        <v>54</v>
      </c>
      <c r="F90" s="521">
        <v>25799</v>
      </c>
      <c r="G90" s="523">
        <v>1393146</v>
      </c>
      <c r="H90" s="351" t="s">
        <v>281</v>
      </c>
      <c r="I90" s="525">
        <v>1.9300000000000001E-2</v>
      </c>
      <c r="J90" s="223"/>
      <c r="K90" s="69" t="s">
        <v>96</v>
      </c>
    </row>
    <row r="91" spans="1:11" ht="15.6" customHeight="1">
      <c r="A91" s="69"/>
      <c r="B91" s="224" t="s">
        <v>196</v>
      </c>
      <c r="C91" s="225"/>
      <c r="D91" s="518"/>
      <c r="E91" s="520"/>
      <c r="F91" s="522"/>
      <c r="G91" s="524"/>
      <c r="H91" s="352" t="s">
        <v>194</v>
      </c>
      <c r="I91" s="526"/>
      <c r="J91" s="226"/>
      <c r="K91" s="69" t="s">
        <v>96</v>
      </c>
    </row>
    <row r="92" spans="1:11" ht="15.6" customHeight="1">
      <c r="A92" s="69"/>
      <c r="B92" s="222" t="s">
        <v>282</v>
      </c>
      <c r="C92" s="166"/>
      <c r="D92" s="517" t="s">
        <v>235</v>
      </c>
      <c r="E92" s="519">
        <v>30</v>
      </c>
      <c r="F92" s="521">
        <v>7228</v>
      </c>
      <c r="G92" s="523">
        <v>216840</v>
      </c>
      <c r="H92" s="351" t="s">
        <v>284</v>
      </c>
      <c r="I92" s="525">
        <v>3.0000000000000001E-3</v>
      </c>
      <c r="J92" s="223"/>
      <c r="K92" s="69" t="s">
        <v>96</v>
      </c>
    </row>
    <row r="93" spans="1:11" ht="15.6" customHeight="1">
      <c r="A93" s="69"/>
      <c r="B93" s="224" t="s">
        <v>283</v>
      </c>
      <c r="C93" s="225"/>
      <c r="D93" s="518"/>
      <c r="E93" s="520"/>
      <c r="F93" s="522"/>
      <c r="G93" s="524"/>
      <c r="H93" s="352" t="s">
        <v>194</v>
      </c>
      <c r="I93" s="526"/>
      <c r="J93" s="226"/>
      <c r="K93" s="69" t="s">
        <v>96</v>
      </c>
    </row>
    <row r="94" spans="1:11" ht="15.6" customHeight="1">
      <c r="A94" s="69"/>
      <c r="B94" s="222" t="s">
        <v>191</v>
      </c>
      <c r="C94" s="166"/>
      <c r="D94" s="517" t="s">
        <v>171</v>
      </c>
      <c r="E94" s="519">
        <v>880.9</v>
      </c>
      <c r="F94" s="521">
        <v>649</v>
      </c>
      <c r="G94" s="523">
        <v>571704</v>
      </c>
      <c r="H94" s="351" t="s">
        <v>285</v>
      </c>
      <c r="I94" s="525">
        <v>7.9000000000000008E-3</v>
      </c>
      <c r="J94" s="223"/>
      <c r="K94" s="69" t="s">
        <v>96</v>
      </c>
    </row>
    <row r="95" spans="1:11" ht="15.6" customHeight="1">
      <c r="A95" s="69"/>
      <c r="B95" s="224" t="s">
        <v>196</v>
      </c>
      <c r="C95" s="225"/>
      <c r="D95" s="518"/>
      <c r="E95" s="520"/>
      <c r="F95" s="522"/>
      <c r="G95" s="524"/>
      <c r="H95" s="352" t="s">
        <v>194</v>
      </c>
      <c r="I95" s="526"/>
      <c r="J95" s="226"/>
      <c r="K95" s="69" t="s">
        <v>96</v>
      </c>
    </row>
    <row r="96" spans="1:11" ht="15.6" customHeight="1">
      <c r="A96" s="69"/>
      <c r="B96" s="222" t="s">
        <v>286</v>
      </c>
      <c r="C96" s="166"/>
      <c r="D96" s="517" t="s">
        <v>171</v>
      </c>
      <c r="E96" s="519">
        <v>880.9</v>
      </c>
      <c r="F96" s="521">
        <v>2180</v>
      </c>
      <c r="G96" s="523">
        <v>1920362</v>
      </c>
      <c r="H96" s="351" t="s">
        <v>287</v>
      </c>
      <c r="I96" s="525">
        <v>2.6599999999999999E-2</v>
      </c>
      <c r="J96" s="223"/>
      <c r="K96" s="69" t="s">
        <v>96</v>
      </c>
    </row>
    <row r="97" spans="1:11" ht="15.6" customHeight="1">
      <c r="A97" s="69"/>
      <c r="B97" s="224" t="s">
        <v>196</v>
      </c>
      <c r="C97" s="225"/>
      <c r="D97" s="518"/>
      <c r="E97" s="520"/>
      <c r="F97" s="522"/>
      <c r="G97" s="524"/>
      <c r="H97" s="352" t="s">
        <v>194</v>
      </c>
      <c r="I97" s="526"/>
      <c r="J97" s="226"/>
      <c r="K97" s="69" t="s">
        <v>96</v>
      </c>
    </row>
    <row r="98" spans="1:11" ht="15.6" customHeight="1">
      <c r="A98" s="69"/>
      <c r="B98" s="222" t="s">
        <v>288</v>
      </c>
      <c r="C98" s="166"/>
      <c r="D98" s="517" t="s">
        <v>235</v>
      </c>
      <c r="E98" s="519">
        <v>103</v>
      </c>
      <c r="F98" s="521">
        <v>5695</v>
      </c>
      <c r="G98" s="523">
        <v>586585</v>
      </c>
      <c r="H98" s="351" t="s">
        <v>289</v>
      </c>
      <c r="I98" s="525">
        <v>8.0999999999999996E-3</v>
      </c>
      <c r="J98" s="223"/>
      <c r="K98" s="69" t="s">
        <v>96</v>
      </c>
    </row>
    <row r="99" spans="1:11" ht="15.6" customHeight="1">
      <c r="A99" s="69"/>
      <c r="B99" s="224" t="s">
        <v>196</v>
      </c>
      <c r="C99" s="225"/>
      <c r="D99" s="518"/>
      <c r="E99" s="520"/>
      <c r="F99" s="522"/>
      <c r="G99" s="524"/>
      <c r="H99" s="352" t="s">
        <v>194</v>
      </c>
      <c r="I99" s="526"/>
      <c r="J99" s="226"/>
      <c r="K99" s="69" t="s">
        <v>96</v>
      </c>
    </row>
    <row r="100" spans="1:11" ht="15.6" customHeight="1">
      <c r="A100" s="69"/>
      <c r="B100" s="222" t="s">
        <v>290</v>
      </c>
      <c r="C100" s="166"/>
      <c r="D100" s="517" t="s">
        <v>173</v>
      </c>
      <c r="E100" s="519">
        <v>1</v>
      </c>
      <c r="F100" s="521">
        <v>45800</v>
      </c>
      <c r="G100" s="523">
        <v>45800</v>
      </c>
      <c r="H100" s="351" t="s">
        <v>291</v>
      </c>
      <c r="I100" s="525">
        <v>5.9999999999999995E-4</v>
      </c>
      <c r="J100" s="223"/>
      <c r="K100" s="69" t="s">
        <v>96</v>
      </c>
    </row>
    <row r="101" spans="1:11" ht="15.6" customHeight="1">
      <c r="A101" s="69"/>
      <c r="B101" s="224" t="s">
        <v>196</v>
      </c>
      <c r="C101" s="225"/>
      <c r="D101" s="518"/>
      <c r="E101" s="520"/>
      <c r="F101" s="522"/>
      <c r="G101" s="524"/>
      <c r="H101" s="352" t="s">
        <v>194</v>
      </c>
      <c r="I101" s="526"/>
      <c r="J101" s="226"/>
      <c r="K101" s="69" t="s">
        <v>96</v>
      </c>
    </row>
    <row r="102" spans="1:11" ht="15.6" customHeight="1">
      <c r="A102" s="69"/>
      <c r="B102" s="222" t="s">
        <v>292</v>
      </c>
      <c r="C102" s="166"/>
      <c r="D102" s="517" t="s">
        <v>171</v>
      </c>
      <c r="E102" s="519">
        <v>1058</v>
      </c>
      <c r="F102" s="521">
        <v>2408</v>
      </c>
      <c r="G102" s="523">
        <v>2547664</v>
      </c>
      <c r="H102" s="351" t="s">
        <v>293</v>
      </c>
      <c r="I102" s="525">
        <v>3.5299999999999998E-2</v>
      </c>
      <c r="J102" s="223"/>
      <c r="K102" s="69" t="s">
        <v>96</v>
      </c>
    </row>
    <row r="103" spans="1:11" ht="15.6" customHeight="1">
      <c r="A103" s="69"/>
      <c r="B103" s="224" t="s">
        <v>196</v>
      </c>
      <c r="C103" s="225"/>
      <c r="D103" s="518"/>
      <c r="E103" s="520"/>
      <c r="F103" s="522"/>
      <c r="G103" s="524"/>
      <c r="H103" s="352" t="s">
        <v>194</v>
      </c>
      <c r="I103" s="526"/>
      <c r="J103" s="226"/>
      <c r="K103" s="69" t="s">
        <v>96</v>
      </c>
    </row>
    <row r="104" spans="1:11" ht="15.6" customHeight="1">
      <c r="A104" s="69"/>
      <c r="B104" s="222" t="s">
        <v>292</v>
      </c>
      <c r="C104" s="166"/>
      <c r="D104" s="517" t="s">
        <v>173</v>
      </c>
      <c r="E104" s="519">
        <v>1</v>
      </c>
      <c r="F104" s="521">
        <v>200000</v>
      </c>
      <c r="G104" s="523">
        <v>200000</v>
      </c>
      <c r="H104" s="351" t="s">
        <v>295</v>
      </c>
      <c r="I104" s="525">
        <v>2.7000000000000001E-3</v>
      </c>
      <c r="J104" s="223"/>
      <c r="K104" s="69" t="s">
        <v>96</v>
      </c>
    </row>
    <row r="105" spans="1:11" ht="15.6" customHeight="1">
      <c r="A105" s="69"/>
      <c r="B105" s="224" t="s">
        <v>294</v>
      </c>
      <c r="C105" s="225"/>
      <c r="D105" s="518"/>
      <c r="E105" s="520"/>
      <c r="F105" s="522"/>
      <c r="G105" s="524"/>
      <c r="H105" s="352" t="s">
        <v>194</v>
      </c>
      <c r="I105" s="526"/>
      <c r="J105" s="226"/>
      <c r="K105" s="69" t="s">
        <v>96</v>
      </c>
    </row>
    <row r="106" spans="1:11" ht="15.6" customHeight="1">
      <c r="A106" s="69"/>
      <c r="B106" s="222" t="s">
        <v>296</v>
      </c>
      <c r="C106" s="166"/>
      <c r="D106" s="532" t="s">
        <v>173</v>
      </c>
      <c r="E106" s="519">
        <v>1</v>
      </c>
      <c r="F106" s="521">
        <v>766800</v>
      </c>
      <c r="G106" s="523">
        <v>766800</v>
      </c>
      <c r="H106" s="351"/>
      <c r="I106" s="525">
        <v>1.06E-2</v>
      </c>
      <c r="J106" s="223"/>
      <c r="K106" s="69" t="s">
        <v>96</v>
      </c>
    </row>
    <row r="107" spans="1:11" ht="15.6" customHeight="1">
      <c r="A107" s="69"/>
      <c r="B107" s="224" t="s">
        <v>297</v>
      </c>
      <c r="C107" s="225"/>
      <c r="D107" s="532"/>
      <c r="E107" s="520"/>
      <c r="F107" s="522"/>
      <c r="G107" s="524"/>
      <c r="H107" s="354" t="s">
        <v>298</v>
      </c>
      <c r="I107" s="526"/>
      <c r="J107" s="226"/>
      <c r="K107" s="69" t="s">
        <v>96</v>
      </c>
    </row>
    <row r="108" spans="1:11" ht="15.6" customHeight="1">
      <c r="A108" s="69"/>
      <c r="B108" s="222" t="s">
        <v>299</v>
      </c>
      <c r="C108" s="166"/>
      <c r="D108" s="517" t="s">
        <v>173</v>
      </c>
      <c r="E108" s="519">
        <v>1</v>
      </c>
      <c r="F108" s="521">
        <v>766800</v>
      </c>
      <c r="G108" s="523">
        <v>766800</v>
      </c>
      <c r="H108" s="351" t="s">
        <v>301</v>
      </c>
      <c r="I108" s="525">
        <v>1.06E-2</v>
      </c>
      <c r="J108" s="223"/>
      <c r="K108" s="69" t="s">
        <v>96</v>
      </c>
    </row>
    <row r="109" spans="1:11" ht="15.6" customHeight="1">
      <c r="A109" s="69"/>
      <c r="B109" s="224" t="s">
        <v>300</v>
      </c>
      <c r="C109" s="225"/>
      <c r="D109" s="518"/>
      <c r="E109" s="520"/>
      <c r="F109" s="522"/>
      <c r="G109" s="524"/>
      <c r="H109" s="352" t="s">
        <v>194</v>
      </c>
      <c r="I109" s="526"/>
      <c r="J109" s="226"/>
      <c r="K109" s="69" t="s">
        <v>96</v>
      </c>
    </row>
    <row r="110" spans="1:11" ht="15.6" customHeight="1">
      <c r="A110" s="69"/>
      <c r="B110" s="301" t="s">
        <v>302</v>
      </c>
      <c r="C110" s="302"/>
      <c r="D110" s="517"/>
      <c r="E110" s="519"/>
      <c r="F110" s="521"/>
      <c r="G110" s="523">
        <v>41816203</v>
      </c>
      <c r="H110" s="351"/>
      <c r="I110" s="525">
        <v>0.58099999999999996</v>
      </c>
      <c r="J110" s="223"/>
      <c r="K110" s="69" t="s">
        <v>96</v>
      </c>
    </row>
    <row r="111" spans="1:11" ht="15.6" customHeight="1" thickBot="1">
      <c r="A111" s="69"/>
      <c r="B111" s="228"/>
      <c r="C111" s="229"/>
      <c r="D111" s="527"/>
      <c r="E111" s="528"/>
      <c r="F111" s="529"/>
      <c r="G111" s="530"/>
      <c r="H111" s="353"/>
      <c r="I111" s="531"/>
      <c r="J111" s="230"/>
      <c r="K111" s="69" t="s">
        <v>96</v>
      </c>
    </row>
    <row r="112" spans="1:11" ht="30" customHeight="1" thickBot="1">
      <c r="A112" s="69"/>
      <c r="B112" s="142"/>
      <c r="C112" s="142"/>
      <c r="D112" s="533" t="s">
        <v>144</v>
      </c>
      <c r="E112" s="533"/>
      <c r="F112" s="533"/>
      <c r="G112" s="533"/>
      <c r="H112" s="69"/>
      <c r="I112" s="69"/>
      <c r="J112" s="69"/>
      <c r="K112" s="69"/>
    </row>
    <row r="113" spans="1:11" ht="15.95" customHeight="1">
      <c r="A113" s="143"/>
      <c r="B113" s="143"/>
      <c r="C113" s="143"/>
      <c r="D113" s="143"/>
      <c r="E113" s="143"/>
      <c r="F113" s="143"/>
      <c r="G113" s="143"/>
      <c r="H113" s="143"/>
      <c r="I113" s="143"/>
      <c r="J113" s="143"/>
      <c r="K113" s="143"/>
    </row>
    <row r="114" spans="1:11" ht="30.95" customHeight="1">
      <c r="A114" s="144"/>
      <c r="B114" s="298" t="s">
        <v>89</v>
      </c>
      <c r="C114" s="219" t="s">
        <v>149</v>
      </c>
      <c r="D114" s="285"/>
      <c r="E114" s="299"/>
      <c r="F114" s="167"/>
      <c r="G114" s="167"/>
      <c r="H114" s="167"/>
      <c r="I114" s="167"/>
      <c r="J114" s="300"/>
      <c r="K114" s="144"/>
    </row>
    <row r="115" spans="1:11" ht="14.1" customHeight="1" thickBot="1">
      <c r="A115" s="69"/>
      <c r="B115" s="69"/>
      <c r="C115" s="69"/>
      <c r="D115" s="69"/>
      <c r="E115" s="69"/>
      <c r="F115" s="69"/>
      <c r="G115" s="69"/>
      <c r="H115" s="69"/>
      <c r="I115" s="69"/>
      <c r="J115" s="72"/>
      <c r="K115" s="69"/>
    </row>
    <row r="116" spans="1:11" ht="17.45" customHeight="1">
      <c r="A116" s="69"/>
      <c r="B116" s="534" t="s">
        <v>90</v>
      </c>
      <c r="C116" s="535"/>
      <c r="D116" s="220" t="s">
        <v>77</v>
      </c>
      <c r="E116" s="220" t="s">
        <v>91</v>
      </c>
      <c r="F116" s="220" t="s">
        <v>92</v>
      </c>
      <c r="G116" s="220" t="s">
        <v>73</v>
      </c>
      <c r="H116" s="221" t="s">
        <v>93</v>
      </c>
      <c r="I116" s="220" t="s">
        <v>55</v>
      </c>
      <c r="J116" s="117" t="s">
        <v>95</v>
      </c>
      <c r="K116" s="69"/>
    </row>
    <row r="117" spans="1:11" ht="15.6" customHeight="1">
      <c r="A117" s="69"/>
      <c r="B117" s="222"/>
      <c r="C117" s="166"/>
      <c r="D117" s="517"/>
      <c r="E117" s="519"/>
      <c r="F117" s="521"/>
      <c r="G117" s="523"/>
      <c r="H117" s="351"/>
      <c r="I117" s="525"/>
      <c r="J117" s="223"/>
      <c r="K117" s="69" t="s">
        <v>96</v>
      </c>
    </row>
    <row r="118" spans="1:11" ht="15.6" customHeight="1">
      <c r="A118" s="69"/>
      <c r="B118" s="224"/>
      <c r="C118" s="225"/>
      <c r="D118" s="518"/>
      <c r="E118" s="520"/>
      <c r="F118" s="522"/>
      <c r="G118" s="524"/>
      <c r="H118" s="352"/>
      <c r="I118" s="526"/>
      <c r="J118" s="226"/>
      <c r="K118" s="69" t="s">
        <v>96</v>
      </c>
    </row>
    <row r="119" spans="1:11" ht="15.6" customHeight="1">
      <c r="A119" s="69"/>
      <c r="B119" s="222" t="s">
        <v>303</v>
      </c>
      <c r="C119" s="166"/>
      <c r="D119" s="517"/>
      <c r="E119" s="519"/>
      <c r="F119" s="521"/>
      <c r="G119" s="523"/>
      <c r="H119" s="351"/>
      <c r="I119" s="525"/>
      <c r="J119" s="227"/>
      <c r="K119" s="69" t="s">
        <v>96</v>
      </c>
    </row>
    <row r="120" spans="1:11" ht="15.6" customHeight="1">
      <c r="A120" s="69"/>
      <c r="B120" s="224"/>
      <c r="C120" s="225"/>
      <c r="D120" s="518"/>
      <c r="E120" s="520"/>
      <c r="F120" s="522"/>
      <c r="G120" s="524"/>
      <c r="H120" s="352"/>
      <c r="I120" s="526"/>
      <c r="J120" s="227"/>
      <c r="K120" s="69" t="s">
        <v>96</v>
      </c>
    </row>
    <row r="121" spans="1:11" ht="15.6" customHeight="1">
      <c r="A121" s="69"/>
      <c r="B121" s="222" t="s">
        <v>304</v>
      </c>
      <c r="C121" s="166"/>
      <c r="D121" s="517" t="s">
        <v>173</v>
      </c>
      <c r="E121" s="519">
        <v>1</v>
      </c>
      <c r="F121" s="521">
        <v>5194800</v>
      </c>
      <c r="G121" s="523">
        <v>5194800</v>
      </c>
      <c r="H121" s="351"/>
      <c r="I121" s="525">
        <v>7.22E-2</v>
      </c>
      <c r="J121" s="223"/>
      <c r="K121" s="69" t="s">
        <v>96</v>
      </c>
    </row>
    <row r="122" spans="1:11" ht="15.6" customHeight="1">
      <c r="A122" s="69"/>
      <c r="B122" s="224" t="s">
        <v>196</v>
      </c>
      <c r="C122" s="225"/>
      <c r="D122" s="518"/>
      <c r="E122" s="520"/>
      <c r="F122" s="522"/>
      <c r="G122" s="524"/>
      <c r="H122" s="352"/>
      <c r="I122" s="526"/>
      <c r="J122" s="226"/>
      <c r="K122" s="69" t="s">
        <v>96</v>
      </c>
    </row>
    <row r="123" spans="1:11" ht="15.6" customHeight="1">
      <c r="A123" s="69"/>
      <c r="B123" s="222" t="s">
        <v>305</v>
      </c>
      <c r="C123" s="166"/>
      <c r="D123" s="517" t="s">
        <v>173</v>
      </c>
      <c r="E123" s="519">
        <v>1</v>
      </c>
      <c r="F123" s="521">
        <v>6695000</v>
      </c>
      <c r="G123" s="523">
        <v>6695000</v>
      </c>
      <c r="H123" s="351"/>
      <c r="I123" s="525">
        <v>9.2999999999999999E-2</v>
      </c>
      <c r="J123" s="223"/>
      <c r="K123" s="69" t="s">
        <v>96</v>
      </c>
    </row>
    <row r="124" spans="1:11" ht="15.6" customHeight="1">
      <c r="A124" s="69"/>
      <c r="B124" s="224" t="s">
        <v>196</v>
      </c>
      <c r="C124" s="225"/>
      <c r="D124" s="518"/>
      <c r="E124" s="520"/>
      <c r="F124" s="522"/>
      <c r="G124" s="524"/>
      <c r="H124" s="352"/>
      <c r="I124" s="526"/>
      <c r="J124" s="226"/>
      <c r="K124" s="69" t="s">
        <v>96</v>
      </c>
    </row>
    <row r="125" spans="1:11" ht="15.6" customHeight="1">
      <c r="A125" s="69"/>
      <c r="B125" s="222" t="s">
        <v>306</v>
      </c>
      <c r="C125" s="166"/>
      <c r="D125" s="517"/>
      <c r="E125" s="519"/>
      <c r="F125" s="521"/>
      <c r="G125" s="523">
        <v>11889800</v>
      </c>
      <c r="H125" s="351"/>
      <c r="I125" s="525">
        <v>0.16520000000000001</v>
      </c>
      <c r="J125" s="223"/>
      <c r="K125" s="69" t="s">
        <v>96</v>
      </c>
    </row>
    <row r="126" spans="1:11" ht="15.6" customHeight="1">
      <c r="A126" s="69"/>
      <c r="B126" s="224"/>
      <c r="C126" s="225"/>
      <c r="D126" s="518"/>
      <c r="E126" s="520"/>
      <c r="F126" s="522"/>
      <c r="G126" s="524"/>
      <c r="H126" s="352"/>
      <c r="I126" s="526"/>
      <c r="J126" s="226"/>
      <c r="K126" s="69" t="s">
        <v>96</v>
      </c>
    </row>
    <row r="127" spans="1:11" ht="15.6" customHeight="1">
      <c r="A127" s="69"/>
      <c r="B127" s="222"/>
      <c r="C127" s="166"/>
      <c r="D127" s="517"/>
      <c r="E127" s="519"/>
      <c r="F127" s="521"/>
      <c r="G127" s="523"/>
      <c r="H127" s="351"/>
      <c r="I127" s="525"/>
      <c r="J127" s="223"/>
      <c r="K127" s="69" t="s">
        <v>96</v>
      </c>
    </row>
    <row r="128" spans="1:11" ht="15.6" customHeight="1">
      <c r="A128" s="69"/>
      <c r="B128" s="224"/>
      <c r="C128" s="225"/>
      <c r="D128" s="518"/>
      <c r="E128" s="520"/>
      <c r="F128" s="522"/>
      <c r="G128" s="524"/>
      <c r="H128" s="352"/>
      <c r="I128" s="526"/>
      <c r="J128" s="226"/>
      <c r="K128" s="69" t="s">
        <v>96</v>
      </c>
    </row>
    <row r="129" spans="1:11" ht="15.6" customHeight="1">
      <c r="A129" s="69"/>
      <c r="B129" s="222" t="s">
        <v>307</v>
      </c>
      <c r="C129" s="166"/>
      <c r="D129" s="517"/>
      <c r="E129" s="519"/>
      <c r="F129" s="521"/>
      <c r="G129" s="523">
        <v>53706003</v>
      </c>
      <c r="H129" s="351"/>
      <c r="I129" s="525">
        <v>0.74619999999999997</v>
      </c>
      <c r="J129" s="223"/>
      <c r="K129" s="69" t="s">
        <v>96</v>
      </c>
    </row>
    <row r="130" spans="1:11" ht="15.6" customHeight="1">
      <c r="A130" s="69"/>
      <c r="B130" s="224"/>
      <c r="C130" s="225"/>
      <c r="D130" s="518"/>
      <c r="E130" s="520"/>
      <c r="F130" s="522"/>
      <c r="G130" s="524"/>
      <c r="H130" s="352"/>
      <c r="I130" s="526"/>
      <c r="J130" s="226"/>
      <c r="K130" s="69" t="s">
        <v>96</v>
      </c>
    </row>
    <row r="131" spans="1:11" ht="15.6" customHeight="1">
      <c r="A131" s="69"/>
      <c r="B131" s="222"/>
      <c r="C131" s="166"/>
      <c r="D131" s="517"/>
      <c r="E131" s="519"/>
      <c r="F131" s="521"/>
      <c r="G131" s="523"/>
      <c r="H131" s="351"/>
      <c r="I131" s="525"/>
      <c r="J131" s="223"/>
      <c r="K131" s="69" t="s">
        <v>96</v>
      </c>
    </row>
    <row r="132" spans="1:11" ht="15.6" customHeight="1">
      <c r="A132" s="69"/>
      <c r="B132" s="224"/>
      <c r="C132" s="225"/>
      <c r="D132" s="518"/>
      <c r="E132" s="520"/>
      <c r="F132" s="522"/>
      <c r="G132" s="524"/>
      <c r="H132" s="352"/>
      <c r="I132" s="526"/>
      <c r="J132" s="226"/>
      <c r="K132" s="69" t="s">
        <v>96</v>
      </c>
    </row>
    <row r="133" spans="1:11" ht="15.6" customHeight="1">
      <c r="A133" s="69"/>
      <c r="B133" s="222" t="s">
        <v>308</v>
      </c>
      <c r="C133" s="166"/>
      <c r="D133" s="517"/>
      <c r="E133" s="519"/>
      <c r="F133" s="521"/>
      <c r="G133" s="523">
        <v>18263997</v>
      </c>
      <c r="H133" s="351"/>
      <c r="I133" s="525">
        <v>0.25380000000000003</v>
      </c>
      <c r="J133" s="223"/>
      <c r="K133" s="69" t="s">
        <v>96</v>
      </c>
    </row>
    <row r="134" spans="1:11" ht="15.6" customHeight="1">
      <c r="A134" s="69"/>
      <c r="B134" s="224"/>
      <c r="C134" s="225"/>
      <c r="D134" s="518"/>
      <c r="E134" s="520"/>
      <c r="F134" s="522"/>
      <c r="G134" s="524"/>
      <c r="H134" s="352"/>
      <c r="I134" s="526"/>
      <c r="J134" s="226"/>
      <c r="K134" s="69" t="s">
        <v>96</v>
      </c>
    </row>
    <row r="135" spans="1:11" ht="15.6" customHeight="1">
      <c r="A135" s="69"/>
      <c r="B135" s="222"/>
      <c r="C135" s="166"/>
      <c r="D135" s="517"/>
      <c r="E135" s="519"/>
      <c r="F135" s="521"/>
      <c r="G135" s="523"/>
      <c r="H135" s="351"/>
      <c r="I135" s="525"/>
      <c r="J135" s="223"/>
      <c r="K135" s="69" t="s">
        <v>96</v>
      </c>
    </row>
    <row r="136" spans="1:11" ht="15.6" customHeight="1">
      <c r="A136" s="69"/>
      <c r="B136" s="224"/>
      <c r="C136" s="225"/>
      <c r="D136" s="518"/>
      <c r="E136" s="520"/>
      <c r="F136" s="522"/>
      <c r="G136" s="524"/>
      <c r="H136" s="352"/>
      <c r="I136" s="526"/>
      <c r="J136" s="226"/>
      <c r="K136" s="69" t="s">
        <v>96</v>
      </c>
    </row>
    <row r="137" spans="1:11" ht="15.6" customHeight="1">
      <c r="A137" s="69"/>
      <c r="B137" s="222" t="s">
        <v>131</v>
      </c>
      <c r="C137" s="166"/>
      <c r="D137" s="517"/>
      <c r="E137" s="519"/>
      <c r="F137" s="521"/>
      <c r="G137" s="523">
        <v>71970000</v>
      </c>
      <c r="H137" s="351"/>
      <c r="I137" s="525">
        <v>1</v>
      </c>
      <c r="J137" s="223"/>
      <c r="K137" s="69" t="s">
        <v>96</v>
      </c>
    </row>
    <row r="138" spans="1:11" ht="15.6" customHeight="1">
      <c r="A138" s="69"/>
      <c r="B138" s="224"/>
      <c r="C138" s="225"/>
      <c r="D138" s="518"/>
      <c r="E138" s="520"/>
      <c r="F138" s="522"/>
      <c r="G138" s="524"/>
      <c r="H138" s="352"/>
      <c r="I138" s="526"/>
      <c r="J138" s="226"/>
      <c r="K138" s="69" t="s">
        <v>96</v>
      </c>
    </row>
    <row r="139" spans="1:11" ht="15.6" customHeight="1">
      <c r="A139" s="69"/>
      <c r="B139" s="222"/>
      <c r="C139" s="166"/>
      <c r="D139" s="517"/>
      <c r="E139" s="519"/>
      <c r="F139" s="521"/>
      <c r="G139" s="523"/>
      <c r="H139" s="351"/>
      <c r="I139" s="525"/>
      <c r="J139" s="223"/>
      <c r="K139" s="69" t="s">
        <v>96</v>
      </c>
    </row>
    <row r="140" spans="1:11" ht="15.6" customHeight="1">
      <c r="A140" s="69"/>
      <c r="B140" s="224"/>
      <c r="C140" s="225"/>
      <c r="D140" s="518"/>
      <c r="E140" s="520"/>
      <c r="F140" s="522"/>
      <c r="G140" s="524"/>
      <c r="H140" s="352"/>
      <c r="I140" s="526"/>
      <c r="J140" s="226"/>
      <c r="K140" s="69" t="s">
        <v>96</v>
      </c>
    </row>
    <row r="141" spans="1:11" ht="15.6" customHeight="1">
      <c r="A141" s="69"/>
      <c r="B141" s="222"/>
      <c r="C141" s="166"/>
      <c r="D141" s="517"/>
      <c r="E141" s="519"/>
      <c r="F141" s="521"/>
      <c r="G141" s="523"/>
      <c r="H141" s="351"/>
      <c r="I141" s="525"/>
      <c r="J141" s="223"/>
      <c r="K141" s="69" t="s">
        <v>96</v>
      </c>
    </row>
    <row r="142" spans="1:11" ht="15.6" customHeight="1">
      <c r="A142" s="69"/>
      <c r="B142" s="224"/>
      <c r="C142" s="225"/>
      <c r="D142" s="518"/>
      <c r="E142" s="520"/>
      <c r="F142" s="522"/>
      <c r="G142" s="524"/>
      <c r="H142" s="352"/>
      <c r="I142" s="526"/>
      <c r="J142" s="226"/>
      <c r="K142" s="69" t="s">
        <v>96</v>
      </c>
    </row>
    <row r="143" spans="1:11" ht="15.6" customHeight="1">
      <c r="A143" s="69"/>
      <c r="B143" s="222"/>
      <c r="C143" s="166"/>
      <c r="D143" s="532"/>
      <c r="E143" s="519"/>
      <c r="F143" s="521"/>
      <c r="G143" s="523"/>
      <c r="H143" s="351"/>
      <c r="I143" s="525"/>
      <c r="J143" s="223"/>
      <c r="K143" s="69" t="s">
        <v>96</v>
      </c>
    </row>
    <row r="144" spans="1:11" ht="15.6" customHeight="1">
      <c r="A144" s="69"/>
      <c r="B144" s="224"/>
      <c r="C144" s="225"/>
      <c r="D144" s="532"/>
      <c r="E144" s="520"/>
      <c r="F144" s="522"/>
      <c r="G144" s="524"/>
      <c r="H144" s="354"/>
      <c r="I144" s="526"/>
      <c r="J144" s="226"/>
      <c r="K144" s="69" t="s">
        <v>96</v>
      </c>
    </row>
    <row r="145" spans="1:11" ht="15.6" customHeight="1">
      <c r="A145" s="69"/>
      <c r="B145" s="222"/>
      <c r="C145" s="166"/>
      <c r="D145" s="517"/>
      <c r="E145" s="519"/>
      <c r="F145" s="521"/>
      <c r="G145" s="523"/>
      <c r="H145" s="351"/>
      <c r="I145" s="525"/>
      <c r="J145" s="223"/>
      <c r="K145" s="69" t="s">
        <v>96</v>
      </c>
    </row>
    <row r="146" spans="1:11" ht="15.6" customHeight="1">
      <c r="A146" s="69"/>
      <c r="B146" s="224"/>
      <c r="C146" s="225"/>
      <c r="D146" s="518"/>
      <c r="E146" s="520"/>
      <c r="F146" s="522"/>
      <c r="G146" s="524"/>
      <c r="H146" s="352"/>
      <c r="I146" s="526"/>
      <c r="J146" s="226"/>
      <c r="K146" s="69" t="s">
        <v>96</v>
      </c>
    </row>
    <row r="147" spans="1:11" ht="15.6" customHeight="1">
      <c r="A147" s="69"/>
      <c r="B147" s="301"/>
      <c r="C147" s="302"/>
      <c r="D147" s="517"/>
      <c r="E147" s="519"/>
      <c r="F147" s="521"/>
      <c r="G147" s="523"/>
      <c r="H147" s="351"/>
      <c r="I147" s="525"/>
      <c r="J147" s="223"/>
      <c r="K147" s="69" t="s">
        <v>96</v>
      </c>
    </row>
    <row r="148" spans="1:11" ht="15.6" customHeight="1" thickBot="1">
      <c r="A148" s="69"/>
      <c r="B148" s="228"/>
      <c r="C148" s="229"/>
      <c r="D148" s="527"/>
      <c r="E148" s="528"/>
      <c r="F148" s="529"/>
      <c r="G148" s="530"/>
      <c r="H148" s="353"/>
      <c r="I148" s="531"/>
      <c r="J148" s="230"/>
      <c r="K148" s="69" t="s">
        <v>96</v>
      </c>
    </row>
  </sheetData>
  <mergeCells count="328">
    <mergeCell ref="D147:D148"/>
    <mergeCell ref="E147:E148"/>
    <mergeCell ref="F147:F148"/>
    <mergeCell ref="G147:G148"/>
    <mergeCell ref="I147:I148"/>
    <mergeCell ref="D145:D146"/>
    <mergeCell ref="E145:E146"/>
    <mergeCell ref="F145:F146"/>
    <mergeCell ref="G145:G146"/>
    <mergeCell ref="I145:I146"/>
    <mergeCell ref="D143:D144"/>
    <mergeCell ref="E143:E144"/>
    <mergeCell ref="F143:F144"/>
    <mergeCell ref="G143:G144"/>
    <mergeCell ref="I143:I144"/>
    <mergeCell ref="D141:D142"/>
    <mergeCell ref="E141:E142"/>
    <mergeCell ref="F141:F142"/>
    <mergeCell ref="G141:G142"/>
    <mergeCell ref="I141:I142"/>
    <mergeCell ref="D139:D140"/>
    <mergeCell ref="E139:E140"/>
    <mergeCell ref="F139:F140"/>
    <mergeCell ref="G139:G140"/>
    <mergeCell ref="I139:I140"/>
    <mergeCell ref="D137:D138"/>
    <mergeCell ref="E137:E138"/>
    <mergeCell ref="F137:F138"/>
    <mergeCell ref="G137:G138"/>
    <mergeCell ref="I137:I138"/>
    <mergeCell ref="D135:D136"/>
    <mergeCell ref="E135:E136"/>
    <mergeCell ref="F135:F136"/>
    <mergeCell ref="G135:G136"/>
    <mergeCell ref="I135:I136"/>
    <mergeCell ref="D133:D134"/>
    <mergeCell ref="E133:E134"/>
    <mergeCell ref="F133:F134"/>
    <mergeCell ref="G133:G134"/>
    <mergeCell ref="I133:I134"/>
    <mergeCell ref="D131:D132"/>
    <mergeCell ref="E131:E132"/>
    <mergeCell ref="F131:F132"/>
    <mergeCell ref="G131:G132"/>
    <mergeCell ref="I131:I132"/>
    <mergeCell ref="D129:D130"/>
    <mergeCell ref="E129:E130"/>
    <mergeCell ref="F129:F130"/>
    <mergeCell ref="G129:G130"/>
    <mergeCell ref="I129:I130"/>
    <mergeCell ref="D127:D128"/>
    <mergeCell ref="E127:E128"/>
    <mergeCell ref="F127:F128"/>
    <mergeCell ref="G127:G128"/>
    <mergeCell ref="I127:I128"/>
    <mergeCell ref="D125:D126"/>
    <mergeCell ref="E125:E126"/>
    <mergeCell ref="F125:F126"/>
    <mergeCell ref="G125:G126"/>
    <mergeCell ref="I125:I126"/>
    <mergeCell ref="D123:D124"/>
    <mergeCell ref="E123:E124"/>
    <mergeCell ref="F123:F124"/>
    <mergeCell ref="G123:G124"/>
    <mergeCell ref="I123:I124"/>
    <mergeCell ref="D121:D122"/>
    <mergeCell ref="E121:E122"/>
    <mergeCell ref="F121:F122"/>
    <mergeCell ref="G121:G122"/>
    <mergeCell ref="I121:I122"/>
    <mergeCell ref="I117:I118"/>
    <mergeCell ref="D119:D120"/>
    <mergeCell ref="E119:E120"/>
    <mergeCell ref="F119:F120"/>
    <mergeCell ref="G119:G120"/>
    <mergeCell ref="I119:I120"/>
    <mergeCell ref="D112:G112"/>
    <mergeCell ref="B116:C116"/>
    <mergeCell ref="D117:D118"/>
    <mergeCell ref="E117:E118"/>
    <mergeCell ref="F117:F118"/>
    <mergeCell ref="G117:G118"/>
    <mergeCell ref="D110:D111"/>
    <mergeCell ref="E110:E111"/>
    <mergeCell ref="F110:F111"/>
    <mergeCell ref="G110:G111"/>
    <mergeCell ref="I110:I111"/>
    <mergeCell ref="D108:D109"/>
    <mergeCell ref="E108:E109"/>
    <mergeCell ref="F108:F109"/>
    <mergeCell ref="G108:G109"/>
    <mergeCell ref="I108:I109"/>
    <mergeCell ref="D106:D107"/>
    <mergeCell ref="E106:E107"/>
    <mergeCell ref="F106:F107"/>
    <mergeCell ref="G106:G107"/>
    <mergeCell ref="I106:I107"/>
    <mergeCell ref="D104:D105"/>
    <mergeCell ref="E104:E105"/>
    <mergeCell ref="F104:F105"/>
    <mergeCell ref="G104:G105"/>
    <mergeCell ref="I104:I105"/>
    <mergeCell ref="D102:D103"/>
    <mergeCell ref="E102:E103"/>
    <mergeCell ref="F102:F103"/>
    <mergeCell ref="G102:G103"/>
    <mergeCell ref="I102:I103"/>
    <mergeCell ref="D100:D101"/>
    <mergeCell ref="E100:E101"/>
    <mergeCell ref="F100:F101"/>
    <mergeCell ref="G100:G101"/>
    <mergeCell ref="I100:I101"/>
    <mergeCell ref="D98:D99"/>
    <mergeCell ref="E98:E99"/>
    <mergeCell ref="F98:F99"/>
    <mergeCell ref="G98:G99"/>
    <mergeCell ref="I98:I99"/>
    <mergeCell ref="D96:D97"/>
    <mergeCell ref="E96:E97"/>
    <mergeCell ref="F96:F97"/>
    <mergeCell ref="G96:G97"/>
    <mergeCell ref="I96:I97"/>
    <mergeCell ref="D94:D95"/>
    <mergeCell ref="E94:E95"/>
    <mergeCell ref="F94:F95"/>
    <mergeCell ref="G94:G95"/>
    <mergeCell ref="I94:I95"/>
    <mergeCell ref="D92:D93"/>
    <mergeCell ref="E92:E93"/>
    <mergeCell ref="F92:F93"/>
    <mergeCell ref="G92:G93"/>
    <mergeCell ref="I92:I93"/>
    <mergeCell ref="D90:D91"/>
    <mergeCell ref="E90:E91"/>
    <mergeCell ref="F90:F91"/>
    <mergeCell ref="G90:G91"/>
    <mergeCell ref="I90:I91"/>
    <mergeCell ref="D88:D89"/>
    <mergeCell ref="E88:E89"/>
    <mergeCell ref="F88:F89"/>
    <mergeCell ref="G88:G89"/>
    <mergeCell ref="I88:I89"/>
    <mergeCell ref="D86:D87"/>
    <mergeCell ref="E86:E87"/>
    <mergeCell ref="F86:F87"/>
    <mergeCell ref="G86:G87"/>
    <mergeCell ref="I86:I87"/>
    <mergeCell ref="D84:D85"/>
    <mergeCell ref="E84:E85"/>
    <mergeCell ref="F84:F85"/>
    <mergeCell ref="G84:G85"/>
    <mergeCell ref="I84:I85"/>
    <mergeCell ref="I80:I81"/>
    <mergeCell ref="D82:D83"/>
    <mergeCell ref="E82:E83"/>
    <mergeCell ref="F82:F83"/>
    <mergeCell ref="G82:G83"/>
    <mergeCell ref="I82:I83"/>
    <mergeCell ref="D75:G75"/>
    <mergeCell ref="B79:C79"/>
    <mergeCell ref="D80:D81"/>
    <mergeCell ref="E80:E81"/>
    <mergeCell ref="F80:F81"/>
    <mergeCell ref="G80:G81"/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E0D35-DCD1-4C93-885D-F27513B99979}">
  <sheetPr codeName="Sheet4">
    <pageSetUpPr fitToPage="1"/>
  </sheetPr>
  <dimension ref="A1:K111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351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155</v>
      </c>
      <c r="C6" s="166"/>
      <c r="D6" s="517" t="s">
        <v>171</v>
      </c>
      <c r="E6" s="519">
        <v>323.7</v>
      </c>
      <c r="F6" s="521">
        <v>907</v>
      </c>
      <c r="G6" s="523">
        <v>293595</v>
      </c>
      <c r="H6" s="351" t="s">
        <v>193</v>
      </c>
      <c r="I6" s="351"/>
      <c r="J6" s="223"/>
      <c r="K6" s="69" t="s">
        <v>96</v>
      </c>
    </row>
    <row r="7" spans="1:11" ht="15.6" customHeight="1">
      <c r="A7" s="69"/>
      <c r="B7" s="224" t="s">
        <v>170</v>
      </c>
      <c r="C7" s="225"/>
      <c r="D7" s="518"/>
      <c r="E7" s="520"/>
      <c r="F7" s="522"/>
      <c r="G7" s="524"/>
      <c r="H7" s="352" t="s">
        <v>194</v>
      </c>
      <c r="I7" s="352"/>
      <c r="J7" s="226"/>
      <c r="K7" s="69" t="s">
        <v>96</v>
      </c>
    </row>
    <row r="8" spans="1:11" ht="15.6" customHeight="1">
      <c r="A8" s="69"/>
      <c r="B8" s="222" t="s">
        <v>156</v>
      </c>
      <c r="C8" s="166"/>
      <c r="D8" s="517" t="s">
        <v>171</v>
      </c>
      <c r="E8" s="519">
        <v>323.7</v>
      </c>
      <c r="F8" s="521">
        <v>1500</v>
      </c>
      <c r="G8" s="523">
        <v>485550</v>
      </c>
      <c r="H8" s="351" t="s">
        <v>197</v>
      </c>
      <c r="I8" s="351"/>
      <c r="J8" s="227"/>
      <c r="K8" s="69" t="s">
        <v>96</v>
      </c>
    </row>
    <row r="9" spans="1:11" ht="15.6" customHeight="1">
      <c r="A9" s="69"/>
      <c r="B9" s="224"/>
      <c r="C9" s="225"/>
      <c r="D9" s="518"/>
      <c r="E9" s="520"/>
      <c r="F9" s="522"/>
      <c r="G9" s="524"/>
      <c r="H9" s="352" t="s">
        <v>194</v>
      </c>
      <c r="I9" s="352"/>
      <c r="J9" s="227"/>
      <c r="K9" s="69" t="s">
        <v>96</v>
      </c>
    </row>
    <row r="10" spans="1:11" ht="15.6" customHeight="1">
      <c r="A10" s="69"/>
      <c r="B10" s="222" t="s">
        <v>157</v>
      </c>
      <c r="C10" s="166"/>
      <c r="D10" s="517" t="s">
        <v>171</v>
      </c>
      <c r="E10" s="519">
        <v>410</v>
      </c>
      <c r="F10" s="521">
        <v>2173</v>
      </c>
      <c r="G10" s="523">
        <v>890930</v>
      </c>
      <c r="H10" s="351" t="s">
        <v>199</v>
      </c>
      <c r="I10" s="351"/>
      <c r="J10" s="223"/>
      <c r="K10" s="69" t="s">
        <v>96</v>
      </c>
    </row>
    <row r="11" spans="1:11" ht="15.6" customHeight="1">
      <c r="A11" s="69"/>
      <c r="B11" s="224"/>
      <c r="C11" s="225"/>
      <c r="D11" s="518"/>
      <c r="E11" s="520"/>
      <c r="F11" s="522"/>
      <c r="G11" s="524"/>
      <c r="H11" s="352" t="s">
        <v>194</v>
      </c>
      <c r="I11" s="352"/>
      <c r="J11" s="226"/>
      <c r="K11" s="69" t="s">
        <v>96</v>
      </c>
    </row>
    <row r="12" spans="1:11" ht="15.6" customHeight="1">
      <c r="A12" s="69"/>
      <c r="B12" s="222" t="s">
        <v>158</v>
      </c>
      <c r="C12" s="166"/>
      <c r="D12" s="517" t="s">
        <v>171</v>
      </c>
      <c r="E12" s="519">
        <v>25</v>
      </c>
      <c r="F12" s="521">
        <v>5593</v>
      </c>
      <c r="G12" s="523">
        <v>139825</v>
      </c>
      <c r="H12" s="351" t="s">
        <v>201</v>
      </c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 t="s">
        <v>194</v>
      </c>
      <c r="I13" s="352"/>
      <c r="J13" s="226"/>
      <c r="K13" s="69" t="s">
        <v>96</v>
      </c>
    </row>
    <row r="14" spans="1:11" ht="15.6" customHeight="1">
      <c r="A14" s="69"/>
      <c r="B14" s="222" t="s">
        <v>159</v>
      </c>
      <c r="C14" s="166"/>
      <c r="D14" s="517" t="s">
        <v>172</v>
      </c>
      <c r="E14" s="519">
        <v>10</v>
      </c>
      <c r="F14" s="521">
        <v>54328</v>
      </c>
      <c r="G14" s="523">
        <v>543280</v>
      </c>
      <c r="H14" s="351" t="s">
        <v>203</v>
      </c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 t="s">
        <v>194</v>
      </c>
      <c r="I15" s="352"/>
      <c r="J15" s="226"/>
      <c r="K15" s="69" t="s">
        <v>96</v>
      </c>
    </row>
    <row r="16" spans="1:11" ht="15.6" customHeight="1">
      <c r="A16" s="69"/>
      <c r="B16" s="222" t="s">
        <v>160</v>
      </c>
      <c r="C16" s="166"/>
      <c r="D16" s="517" t="s">
        <v>173</v>
      </c>
      <c r="E16" s="519">
        <v>1</v>
      </c>
      <c r="F16" s="521">
        <v>1250000</v>
      </c>
      <c r="G16" s="523">
        <v>1250000</v>
      </c>
      <c r="H16" s="351" t="s">
        <v>205</v>
      </c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 t="s">
        <v>194</v>
      </c>
      <c r="I17" s="352"/>
      <c r="J17" s="226"/>
      <c r="K17" s="69" t="s">
        <v>96</v>
      </c>
    </row>
    <row r="18" spans="1:11" ht="15.6" customHeight="1">
      <c r="A18" s="69"/>
      <c r="B18" s="222" t="s">
        <v>161</v>
      </c>
      <c r="C18" s="166"/>
      <c r="D18" s="517" t="s">
        <v>173</v>
      </c>
      <c r="E18" s="519">
        <v>1</v>
      </c>
      <c r="F18" s="521">
        <v>1750000</v>
      </c>
      <c r="G18" s="523">
        <v>1750000</v>
      </c>
      <c r="H18" s="351" t="s">
        <v>207</v>
      </c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 t="s">
        <v>194</v>
      </c>
      <c r="I19" s="352"/>
      <c r="J19" s="226"/>
      <c r="K19" s="69" t="s">
        <v>96</v>
      </c>
    </row>
    <row r="20" spans="1:11" ht="15.6" customHeight="1">
      <c r="A20" s="69"/>
      <c r="B20" s="222" t="s">
        <v>162</v>
      </c>
      <c r="C20" s="166"/>
      <c r="D20" s="517" t="s">
        <v>172</v>
      </c>
      <c r="E20" s="519">
        <v>16</v>
      </c>
      <c r="F20" s="521">
        <v>77129</v>
      </c>
      <c r="G20" s="523">
        <v>1234064</v>
      </c>
      <c r="H20" s="351" t="s">
        <v>209</v>
      </c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 t="s">
        <v>194</v>
      </c>
      <c r="I21" s="352"/>
      <c r="J21" s="226"/>
      <c r="K21" s="69" t="s">
        <v>96</v>
      </c>
    </row>
    <row r="22" spans="1:11" ht="15.6" customHeight="1">
      <c r="A22" s="69"/>
      <c r="B22" s="222" t="s">
        <v>163</v>
      </c>
      <c r="C22" s="166"/>
      <c r="D22" s="517" t="s">
        <v>173</v>
      </c>
      <c r="E22" s="519">
        <v>1</v>
      </c>
      <c r="F22" s="521">
        <v>600000</v>
      </c>
      <c r="G22" s="523">
        <v>600000</v>
      </c>
      <c r="H22" s="351" t="s">
        <v>211</v>
      </c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 t="s">
        <v>194</v>
      </c>
      <c r="I23" s="352"/>
      <c r="J23" s="226"/>
      <c r="K23" s="69" t="s">
        <v>96</v>
      </c>
    </row>
    <row r="24" spans="1:11" ht="15.6" customHeight="1">
      <c r="A24" s="69"/>
      <c r="B24" s="222" t="s">
        <v>164</v>
      </c>
      <c r="C24" s="166"/>
      <c r="D24" s="517" t="s">
        <v>173</v>
      </c>
      <c r="E24" s="519">
        <v>1</v>
      </c>
      <c r="F24" s="521">
        <v>300000</v>
      </c>
      <c r="G24" s="523">
        <v>300000</v>
      </c>
      <c r="H24" s="351" t="s">
        <v>213</v>
      </c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 t="s">
        <v>194</v>
      </c>
      <c r="I25" s="352"/>
      <c r="J25" s="226"/>
      <c r="K25" s="69" t="s">
        <v>96</v>
      </c>
    </row>
    <row r="26" spans="1:11" ht="15.6" customHeight="1">
      <c r="A26" s="69"/>
      <c r="B26" s="222" t="s">
        <v>165</v>
      </c>
      <c r="C26" s="166"/>
      <c r="D26" s="517" t="s">
        <v>172</v>
      </c>
      <c r="E26" s="519">
        <v>30</v>
      </c>
      <c r="F26" s="521">
        <v>51919</v>
      </c>
      <c r="G26" s="523">
        <v>1557570</v>
      </c>
      <c r="H26" s="351" t="s">
        <v>215</v>
      </c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 t="s">
        <v>194</v>
      </c>
      <c r="I27" s="352"/>
      <c r="J27" s="226"/>
      <c r="K27" s="69" t="s">
        <v>96</v>
      </c>
    </row>
    <row r="28" spans="1:11" ht="15.6" customHeight="1">
      <c r="A28" s="69"/>
      <c r="B28" s="222" t="s">
        <v>166</v>
      </c>
      <c r="C28" s="166"/>
      <c r="D28" s="517" t="s">
        <v>174</v>
      </c>
      <c r="E28" s="519">
        <v>20</v>
      </c>
      <c r="F28" s="521">
        <v>32700</v>
      </c>
      <c r="G28" s="523">
        <v>654000</v>
      </c>
      <c r="H28" s="351" t="s">
        <v>217</v>
      </c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 t="s">
        <v>194</v>
      </c>
      <c r="I29" s="352"/>
      <c r="J29" s="226"/>
      <c r="K29" s="69" t="s">
        <v>96</v>
      </c>
    </row>
    <row r="30" spans="1:11" ht="15.6" customHeight="1">
      <c r="A30" s="69"/>
      <c r="B30" s="222" t="s">
        <v>167</v>
      </c>
      <c r="C30" s="166"/>
      <c r="D30" s="517" t="s">
        <v>173</v>
      </c>
      <c r="E30" s="519">
        <v>1</v>
      </c>
      <c r="F30" s="521">
        <v>151200</v>
      </c>
      <c r="G30" s="523">
        <v>151200</v>
      </c>
      <c r="H30" s="351" t="s">
        <v>219</v>
      </c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 t="s">
        <v>194</v>
      </c>
      <c r="I31" s="352"/>
      <c r="J31" s="226"/>
      <c r="K31" s="69" t="s">
        <v>96</v>
      </c>
    </row>
    <row r="32" spans="1:11" ht="15.6" customHeight="1">
      <c r="A32" s="69"/>
      <c r="B32" s="222" t="s">
        <v>168</v>
      </c>
      <c r="C32" s="166"/>
      <c r="D32" s="532" t="s">
        <v>173</v>
      </c>
      <c r="E32" s="519">
        <v>1</v>
      </c>
      <c r="F32" s="521">
        <v>2001440</v>
      </c>
      <c r="G32" s="523">
        <v>2001440</v>
      </c>
      <c r="H32" s="351" t="s">
        <v>221</v>
      </c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 t="s">
        <v>194</v>
      </c>
      <c r="I33" s="352"/>
      <c r="J33" s="226"/>
      <c r="K33" s="69" t="s">
        <v>96</v>
      </c>
    </row>
    <row r="34" spans="1:11" ht="15.6" customHeight="1">
      <c r="A34" s="69"/>
      <c r="B34" s="222" t="s">
        <v>169</v>
      </c>
      <c r="C34" s="166"/>
      <c r="D34" s="517" t="s">
        <v>171</v>
      </c>
      <c r="E34" s="519"/>
      <c r="F34" s="521">
        <v>2057</v>
      </c>
      <c r="G34" s="523"/>
      <c r="H34" s="351" t="s">
        <v>224</v>
      </c>
      <c r="I34" s="351"/>
      <c r="J34" s="223"/>
      <c r="K34" s="69" t="s">
        <v>96</v>
      </c>
    </row>
    <row r="35" spans="1:11" ht="15.6" customHeight="1">
      <c r="A35" s="69"/>
      <c r="B35" s="224" t="s">
        <v>175</v>
      </c>
      <c r="C35" s="225"/>
      <c r="D35" s="518"/>
      <c r="E35" s="520"/>
      <c r="F35" s="522"/>
      <c r="G35" s="524"/>
      <c r="H35" s="352" t="s">
        <v>194</v>
      </c>
      <c r="I35" s="352"/>
      <c r="J35" s="226"/>
      <c r="K35" s="69" t="s">
        <v>96</v>
      </c>
    </row>
    <row r="36" spans="1:11" ht="15.6" customHeight="1">
      <c r="A36" s="69"/>
      <c r="B36" s="301" t="s">
        <v>309</v>
      </c>
      <c r="C36" s="302"/>
      <c r="D36" s="517" t="s">
        <v>171</v>
      </c>
      <c r="E36" s="519"/>
      <c r="F36" s="521">
        <v>8996</v>
      </c>
      <c r="G36" s="523"/>
      <c r="H36" s="351" t="s">
        <v>227</v>
      </c>
      <c r="I36" s="351"/>
      <c r="J36" s="223"/>
      <c r="K36" s="69" t="s">
        <v>96</v>
      </c>
    </row>
    <row r="37" spans="1:11" ht="15.6" customHeight="1" thickBot="1">
      <c r="A37" s="69"/>
      <c r="B37" s="228" t="s">
        <v>310</v>
      </c>
      <c r="C37" s="229"/>
      <c r="D37" s="527"/>
      <c r="E37" s="528"/>
      <c r="F37" s="529"/>
      <c r="G37" s="530"/>
      <c r="H37" s="353" t="s">
        <v>194</v>
      </c>
      <c r="I37" s="353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60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149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94</v>
      </c>
      <c r="J42" s="117" t="s">
        <v>95</v>
      </c>
      <c r="K42" s="69"/>
    </row>
    <row r="43" spans="1:11" ht="15.6" customHeight="1">
      <c r="A43" s="69"/>
      <c r="B43" s="222" t="s">
        <v>311</v>
      </c>
      <c r="C43" s="166"/>
      <c r="D43" s="517" t="s">
        <v>171</v>
      </c>
      <c r="E43" s="519"/>
      <c r="F43" s="521">
        <v>10232</v>
      </c>
      <c r="G43" s="523"/>
      <c r="H43" s="351" t="s">
        <v>230</v>
      </c>
      <c r="I43" s="351"/>
      <c r="J43" s="223"/>
      <c r="K43" s="69" t="s">
        <v>96</v>
      </c>
    </row>
    <row r="44" spans="1:11" ht="15.6" customHeight="1">
      <c r="A44" s="69"/>
      <c r="B44" s="224" t="s">
        <v>312</v>
      </c>
      <c r="C44" s="225"/>
      <c r="D44" s="518"/>
      <c r="E44" s="520"/>
      <c r="F44" s="522"/>
      <c r="G44" s="524"/>
      <c r="H44" s="352" t="s">
        <v>194</v>
      </c>
      <c r="I44" s="352"/>
      <c r="J44" s="226"/>
      <c r="K44" s="69" t="s">
        <v>96</v>
      </c>
    </row>
    <row r="45" spans="1:11" ht="15.6" customHeight="1">
      <c r="A45" s="69"/>
      <c r="B45" s="222" t="s">
        <v>313</v>
      </c>
      <c r="C45" s="166"/>
      <c r="D45" s="517" t="s">
        <v>171</v>
      </c>
      <c r="E45" s="519"/>
      <c r="F45" s="521">
        <v>16210</v>
      </c>
      <c r="G45" s="523"/>
      <c r="H45" s="351" t="s">
        <v>232</v>
      </c>
      <c r="I45" s="351"/>
      <c r="J45" s="227"/>
      <c r="K45" s="69" t="s">
        <v>96</v>
      </c>
    </row>
    <row r="46" spans="1:11" ht="15.6" customHeight="1">
      <c r="A46" s="69"/>
      <c r="B46" s="224" t="s">
        <v>312</v>
      </c>
      <c r="C46" s="225"/>
      <c r="D46" s="518"/>
      <c r="E46" s="520"/>
      <c r="F46" s="522"/>
      <c r="G46" s="524"/>
      <c r="H46" s="352" t="s">
        <v>194</v>
      </c>
      <c r="I46" s="352"/>
      <c r="J46" s="227"/>
      <c r="K46" s="69" t="s">
        <v>96</v>
      </c>
    </row>
    <row r="47" spans="1:11" ht="15.6" customHeight="1">
      <c r="A47" s="69"/>
      <c r="B47" s="222" t="s">
        <v>314</v>
      </c>
      <c r="C47" s="166"/>
      <c r="D47" s="517" t="s">
        <v>235</v>
      </c>
      <c r="E47" s="519"/>
      <c r="F47" s="521">
        <v>14135</v>
      </c>
      <c r="G47" s="523"/>
      <c r="H47" s="351" t="s">
        <v>236</v>
      </c>
      <c r="I47" s="351"/>
      <c r="J47" s="223"/>
      <c r="K47" s="69" t="s">
        <v>96</v>
      </c>
    </row>
    <row r="48" spans="1:11" ht="15.6" customHeight="1">
      <c r="A48" s="69"/>
      <c r="B48" s="224" t="s">
        <v>315</v>
      </c>
      <c r="C48" s="225"/>
      <c r="D48" s="518"/>
      <c r="E48" s="520"/>
      <c r="F48" s="522"/>
      <c r="G48" s="524"/>
      <c r="H48" s="352" t="s">
        <v>194</v>
      </c>
      <c r="I48" s="352"/>
      <c r="J48" s="226"/>
      <c r="K48" s="69" t="s">
        <v>96</v>
      </c>
    </row>
    <row r="49" spans="1:11" ht="15.6" customHeight="1">
      <c r="A49" s="69"/>
      <c r="B49" s="222" t="s">
        <v>316</v>
      </c>
      <c r="C49" s="166"/>
      <c r="D49" s="517" t="s">
        <v>239</v>
      </c>
      <c r="E49" s="519"/>
      <c r="F49" s="521">
        <v>252197</v>
      </c>
      <c r="G49" s="523"/>
      <c r="H49" s="351" t="s">
        <v>240</v>
      </c>
      <c r="I49" s="351"/>
      <c r="J49" s="223"/>
      <c r="K49" s="69" t="s">
        <v>96</v>
      </c>
    </row>
    <row r="50" spans="1:11" ht="15.6" customHeight="1">
      <c r="A50" s="69"/>
      <c r="B50" s="224" t="s">
        <v>317</v>
      </c>
      <c r="C50" s="225"/>
      <c r="D50" s="518"/>
      <c r="E50" s="520"/>
      <c r="F50" s="522"/>
      <c r="G50" s="524"/>
      <c r="H50" s="352" t="s">
        <v>194</v>
      </c>
      <c r="I50" s="352"/>
      <c r="J50" s="226"/>
      <c r="K50" s="69" t="s">
        <v>96</v>
      </c>
    </row>
    <row r="51" spans="1:11" ht="15.6" customHeight="1">
      <c r="A51" s="69"/>
      <c r="B51" s="222" t="s">
        <v>318</v>
      </c>
      <c r="C51" s="166"/>
      <c r="D51" s="517" t="s">
        <v>235</v>
      </c>
      <c r="E51" s="519"/>
      <c r="F51" s="521">
        <v>110606</v>
      </c>
      <c r="G51" s="523"/>
      <c r="H51" s="351" t="s">
        <v>243</v>
      </c>
      <c r="I51" s="351"/>
      <c r="J51" s="223"/>
      <c r="K51" s="69" t="s">
        <v>96</v>
      </c>
    </row>
    <row r="52" spans="1:11" ht="15.6" customHeight="1">
      <c r="A52" s="69"/>
      <c r="B52" s="224" t="s">
        <v>319</v>
      </c>
      <c r="C52" s="225"/>
      <c r="D52" s="518"/>
      <c r="E52" s="520"/>
      <c r="F52" s="522"/>
      <c r="G52" s="524"/>
      <c r="H52" s="352" t="s">
        <v>194</v>
      </c>
      <c r="I52" s="352"/>
      <c r="J52" s="226"/>
      <c r="K52" s="69" t="s">
        <v>96</v>
      </c>
    </row>
    <row r="53" spans="1:11" ht="15.6" customHeight="1">
      <c r="A53" s="69"/>
      <c r="B53" s="222" t="s">
        <v>320</v>
      </c>
      <c r="C53" s="166"/>
      <c r="D53" s="517" t="s">
        <v>239</v>
      </c>
      <c r="E53" s="519"/>
      <c r="F53" s="521">
        <v>376400</v>
      </c>
      <c r="G53" s="523"/>
      <c r="H53" s="351" t="s">
        <v>246</v>
      </c>
      <c r="I53" s="351"/>
      <c r="J53" s="223"/>
      <c r="K53" s="69" t="s">
        <v>96</v>
      </c>
    </row>
    <row r="54" spans="1:11" ht="15.6" customHeight="1">
      <c r="A54" s="69"/>
      <c r="B54" s="224" t="s">
        <v>321</v>
      </c>
      <c r="C54" s="225"/>
      <c r="D54" s="518"/>
      <c r="E54" s="520"/>
      <c r="F54" s="522"/>
      <c r="G54" s="524"/>
      <c r="H54" s="352" t="s">
        <v>194</v>
      </c>
      <c r="I54" s="352"/>
      <c r="J54" s="226"/>
      <c r="K54" s="69" t="s">
        <v>96</v>
      </c>
    </row>
    <row r="55" spans="1:11" ht="15.6" customHeight="1">
      <c r="A55" s="69"/>
      <c r="B55" s="222" t="s">
        <v>322</v>
      </c>
      <c r="C55" s="166"/>
      <c r="D55" s="517" t="s">
        <v>173</v>
      </c>
      <c r="E55" s="519">
        <v>1</v>
      </c>
      <c r="F55" s="521">
        <v>5800000</v>
      </c>
      <c r="G55" s="523">
        <v>5800000</v>
      </c>
      <c r="H55" s="351" t="s">
        <v>249</v>
      </c>
      <c r="I55" s="351"/>
      <c r="J55" s="223"/>
      <c r="K55" s="69" t="s">
        <v>96</v>
      </c>
    </row>
    <row r="56" spans="1:11" ht="15.6" customHeight="1">
      <c r="A56" s="69"/>
      <c r="B56" s="224" t="s">
        <v>323</v>
      </c>
      <c r="C56" s="225"/>
      <c r="D56" s="518"/>
      <c r="E56" s="520"/>
      <c r="F56" s="522"/>
      <c r="G56" s="524"/>
      <c r="H56" s="352" t="s">
        <v>194</v>
      </c>
      <c r="I56" s="352"/>
      <c r="J56" s="226"/>
      <c r="K56" s="69" t="s">
        <v>96</v>
      </c>
    </row>
    <row r="57" spans="1:11" ht="15.6" customHeight="1">
      <c r="A57" s="69"/>
      <c r="B57" s="222" t="s">
        <v>324</v>
      </c>
      <c r="C57" s="166"/>
      <c r="D57" s="517" t="s">
        <v>173</v>
      </c>
      <c r="E57" s="519">
        <v>1</v>
      </c>
      <c r="F57" s="521">
        <v>4700000</v>
      </c>
      <c r="G57" s="523">
        <v>4700000</v>
      </c>
      <c r="H57" s="351" t="s">
        <v>252</v>
      </c>
      <c r="I57" s="351"/>
      <c r="J57" s="223"/>
      <c r="K57" s="69" t="s">
        <v>96</v>
      </c>
    </row>
    <row r="58" spans="1:11" ht="15.6" customHeight="1">
      <c r="A58" s="69"/>
      <c r="B58" s="224" t="s">
        <v>325</v>
      </c>
      <c r="C58" s="225"/>
      <c r="D58" s="518"/>
      <c r="E58" s="520"/>
      <c r="F58" s="522"/>
      <c r="G58" s="524"/>
      <c r="H58" s="352" t="s">
        <v>194</v>
      </c>
      <c r="I58" s="352"/>
      <c r="J58" s="226"/>
      <c r="K58" s="69" t="s">
        <v>96</v>
      </c>
    </row>
    <row r="59" spans="1:11" ht="15.6" customHeight="1">
      <c r="A59" s="69"/>
      <c r="B59" s="222" t="s">
        <v>326</v>
      </c>
      <c r="C59" s="166"/>
      <c r="D59" s="517" t="s">
        <v>254</v>
      </c>
      <c r="E59" s="519">
        <v>20</v>
      </c>
      <c r="F59" s="521">
        <v>15307</v>
      </c>
      <c r="G59" s="523">
        <v>306140</v>
      </c>
      <c r="H59" s="351" t="s">
        <v>255</v>
      </c>
      <c r="I59" s="351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 t="s">
        <v>194</v>
      </c>
      <c r="I60" s="352"/>
      <c r="J60" s="226"/>
      <c r="K60" s="69" t="s">
        <v>96</v>
      </c>
    </row>
    <row r="61" spans="1:11" ht="15.6" customHeight="1">
      <c r="A61" s="69"/>
      <c r="B61" s="222" t="s">
        <v>327</v>
      </c>
      <c r="C61" s="166"/>
      <c r="D61" s="517" t="s">
        <v>173</v>
      </c>
      <c r="E61" s="519">
        <v>1</v>
      </c>
      <c r="F61" s="521">
        <v>140000</v>
      </c>
      <c r="G61" s="523">
        <v>140000</v>
      </c>
      <c r="H61" s="351" t="s">
        <v>257</v>
      </c>
      <c r="I61" s="351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 t="s">
        <v>194</v>
      </c>
      <c r="I62" s="352"/>
      <c r="J62" s="226"/>
      <c r="K62" s="69" t="s">
        <v>96</v>
      </c>
    </row>
    <row r="63" spans="1:11" ht="15.6" customHeight="1">
      <c r="A63" s="69"/>
      <c r="B63" s="222" t="s">
        <v>328</v>
      </c>
      <c r="C63" s="166"/>
      <c r="D63" s="517" t="s">
        <v>173</v>
      </c>
      <c r="E63" s="519">
        <v>1</v>
      </c>
      <c r="F63" s="521">
        <v>4735000</v>
      </c>
      <c r="G63" s="523">
        <v>4735000</v>
      </c>
      <c r="H63" s="351" t="s">
        <v>259</v>
      </c>
      <c r="I63" s="351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 t="s">
        <v>194</v>
      </c>
      <c r="I64" s="352"/>
      <c r="J64" s="226"/>
      <c r="K64" s="69" t="s">
        <v>96</v>
      </c>
    </row>
    <row r="65" spans="1:11" ht="15.6" customHeight="1">
      <c r="A65" s="69"/>
      <c r="B65" s="222" t="s">
        <v>329</v>
      </c>
      <c r="C65" s="166"/>
      <c r="D65" s="517" t="s">
        <v>174</v>
      </c>
      <c r="E65" s="519">
        <v>1</v>
      </c>
      <c r="F65" s="521">
        <v>45000</v>
      </c>
      <c r="G65" s="523">
        <v>45000</v>
      </c>
      <c r="H65" s="351" t="s">
        <v>261</v>
      </c>
      <c r="I65" s="351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 t="s">
        <v>194</v>
      </c>
      <c r="I66" s="352"/>
      <c r="J66" s="226"/>
      <c r="K66" s="69" t="s">
        <v>96</v>
      </c>
    </row>
    <row r="67" spans="1:11" ht="15.6" customHeight="1">
      <c r="A67" s="69"/>
      <c r="B67" s="222" t="s">
        <v>330</v>
      </c>
      <c r="C67" s="166"/>
      <c r="D67" s="517" t="s">
        <v>171</v>
      </c>
      <c r="E67" s="519">
        <v>246.4</v>
      </c>
      <c r="F67" s="521">
        <v>4378</v>
      </c>
      <c r="G67" s="523">
        <v>1078739</v>
      </c>
      <c r="H67" s="351" t="s">
        <v>263</v>
      </c>
      <c r="I67" s="351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 t="s">
        <v>194</v>
      </c>
      <c r="I68" s="352"/>
      <c r="J68" s="226"/>
      <c r="K68" s="69" t="s">
        <v>96</v>
      </c>
    </row>
    <row r="69" spans="1:11" ht="15.6" customHeight="1">
      <c r="A69" s="69"/>
      <c r="B69" s="222" t="s">
        <v>331</v>
      </c>
      <c r="C69" s="166"/>
      <c r="D69" s="532" t="s">
        <v>171</v>
      </c>
      <c r="E69" s="519">
        <v>248.6</v>
      </c>
      <c r="F69" s="521">
        <v>8536</v>
      </c>
      <c r="G69" s="523">
        <v>2122049</v>
      </c>
      <c r="H69" s="351" t="s">
        <v>265</v>
      </c>
      <c r="I69" s="351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 t="s">
        <v>194</v>
      </c>
      <c r="I70" s="352"/>
      <c r="J70" s="226"/>
      <c r="K70" s="69" t="s">
        <v>96</v>
      </c>
    </row>
    <row r="71" spans="1:11" ht="15.6" customHeight="1">
      <c r="A71" s="69"/>
      <c r="B71" s="222" t="s">
        <v>332</v>
      </c>
      <c r="C71" s="166"/>
      <c r="D71" s="517" t="s">
        <v>171</v>
      </c>
      <c r="E71" s="519">
        <v>87.75</v>
      </c>
      <c r="F71" s="521">
        <v>12607</v>
      </c>
      <c r="G71" s="523">
        <v>1106264</v>
      </c>
      <c r="H71" s="351" t="s">
        <v>268</v>
      </c>
      <c r="I71" s="351"/>
      <c r="J71" s="223"/>
      <c r="K71" s="69" t="s">
        <v>96</v>
      </c>
    </row>
    <row r="72" spans="1:11" ht="15.6" customHeight="1">
      <c r="A72" s="69"/>
      <c r="B72" s="224" t="s">
        <v>333</v>
      </c>
      <c r="C72" s="225"/>
      <c r="D72" s="518"/>
      <c r="E72" s="520"/>
      <c r="F72" s="522"/>
      <c r="G72" s="524"/>
      <c r="H72" s="352" t="s">
        <v>194</v>
      </c>
      <c r="I72" s="352"/>
      <c r="J72" s="226"/>
      <c r="K72" s="69" t="s">
        <v>96</v>
      </c>
    </row>
    <row r="73" spans="1:11" ht="15.6" customHeight="1">
      <c r="A73" s="69"/>
      <c r="B73" s="301" t="s">
        <v>334</v>
      </c>
      <c r="C73" s="302"/>
      <c r="D73" s="517" t="s">
        <v>235</v>
      </c>
      <c r="E73" s="519">
        <v>46.8</v>
      </c>
      <c r="F73" s="521">
        <v>10815</v>
      </c>
      <c r="G73" s="523">
        <v>506142</v>
      </c>
      <c r="H73" s="351" t="s">
        <v>270</v>
      </c>
      <c r="I73" s="351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 t="s">
        <v>194</v>
      </c>
      <c r="I74" s="353"/>
      <c r="J74" s="230"/>
      <c r="K74" s="69" t="s">
        <v>96</v>
      </c>
    </row>
    <row r="75" spans="1:11" ht="30" customHeight="1" thickBot="1">
      <c r="A75" s="69"/>
      <c r="B75" s="142"/>
      <c r="C75" s="142"/>
      <c r="D75" s="533" t="s">
        <v>60</v>
      </c>
      <c r="E75" s="533"/>
      <c r="F75" s="533"/>
      <c r="G75" s="533"/>
      <c r="H75" s="69"/>
      <c r="I75" s="69"/>
      <c r="J75" s="69"/>
      <c r="K75" s="69"/>
    </row>
    <row r="76" spans="1:11" ht="15.95" customHeight="1">
      <c r="A76" s="143"/>
      <c r="B76" s="143"/>
      <c r="C76" s="143"/>
      <c r="D76" s="143"/>
      <c r="E76" s="143"/>
      <c r="F76" s="143"/>
      <c r="G76" s="143"/>
      <c r="H76" s="143"/>
      <c r="I76" s="143"/>
      <c r="J76" s="143"/>
      <c r="K76" s="143"/>
    </row>
    <row r="77" spans="1:11" ht="30.95" customHeight="1">
      <c r="A77" s="144"/>
      <c r="B77" s="298" t="s">
        <v>89</v>
      </c>
      <c r="C77" s="219" t="s">
        <v>149</v>
      </c>
      <c r="D77" s="285"/>
      <c r="E77" s="299"/>
      <c r="F77" s="167"/>
      <c r="G77" s="167"/>
      <c r="H77" s="167"/>
      <c r="I77" s="167"/>
      <c r="J77" s="300"/>
      <c r="K77" s="144"/>
    </row>
    <row r="78" spans="1:11" ht="14.1" customHeight="1" thickBot="1">
      <c r="A78" s="69"/>
      <c r="B78" s="69"/>
      <c r="C78" s="69"/>
      <c r="D78" s="69"/>
      <c r="E78" s="69"/>
      <c r="F78" s="69"/>
      <c r="G78" s="69"/>
      <c r="H78" s="69"/>
      <c r="I78" s="69"/>
      <c r="J78" s="72"/>
      <c r="K78" s="69"/>
    </row>
    <row r="79" spans="1:11" ht="17.45" customHeight="1">
      <c r="A79" s="69"/>
      <c r="B79" s="534" t="s">
        <v>90</v>
      </c>
      <c r="C79" s="535"/>
      <c r="D79" s="220" t="s">
        <v>77</v>
      </c>
      <c r="E79" s="220" t="s">
        <v>91</v>
      </c>
      <c r="F79" s="220" t="s">
        <v>92</v>
      </c>
      <c r="G79" s="220" t="s">
        <v>73</v>
      </c>
      <c r="H79" s="221" t="s">
        <v>93</v>
      </c>
      <c r="I79" s="220" t="s">
        <v>94</v>
      </c>
      <c r="J79" s="117" t="s">
        <v>95</v>
      </c>
      <c r="K79" s="69"/>
    </row>
    <row r="80" spans="1:11" ht="15.6" customHeight="1">
      <c r="A80" s="69"/>
      <c r="B80" s="222" t="s">
        <v>335</v>
      </c>
      <c r="C80" s="166"/>
      <c r="D80" s="517" t="s">
        <v>235</v>
      </c>
      <c r="E80" s="519">
        <v>60.5</v>
      </c>
      <c r="F80" s="521">
        <v>4768</v>
      </c>
      <c r="G80" s="523">
        <v>288464</v>
      </c>
      <c r="H80" s="351" t="s">
        <v>272</v>
      </c>
      <c r="I80" s="351"/>
      <c r="J80" s="223"/>
      <c r="K80" s="69" t="s">
        <v>96</v>
      </c>
    </row>
    <row r="81" spans="1:11" ht="15.6" customHeight="1">
      <c r="A81" s="69"/>
      <c r="B81" s="224"/>
      <c r="C81" s="225"/>
      <c r="D81" s="518"/>
      <c r="E81" s="520"/>
      <c r="F81" s="522"/>
      <c r="G81" s="524"/>
      <c r="H81" s="352" t="s">
        <v>194</v>
      </c>
      <c r="I81" s="352"/>
      <c r="J81" s="226"/>
      <c r="K81" s="69" t="s">
        <v>96</v>
      </c>
    </row>
    <row r="82" spans="1:11" ht="15.6" customHeight="1">
      <c r="A82" s="69"/>
      <c r="B82" s="222" t="s">
        <v>336</v>
      </c>
      <c r="C82" s="166"/>
      <c r="D82" s="517" t="s">
        <v>173</v>
      </c>
      <c r="E82" s="519">
        <v>1</v>
      </c>
      <c r="F82" s="521">
        <v>450000</v>
      </c>
      <c r="G82" s="523">
        <v>450000</v>
      </c>
      <c r="H82" s="351" t="s">
        <v>274</v>
      </c>
      <c r="I82" s="351"/>
      <c r="J82" s="227"/>
      <c r="K82" s="69" t="s">
        <v>96</v>
      </c>
    </row>
    <row r="83" spans="1:11" ht="15.6" customHeight="1">
      <c r="A83" s="69"/>
      <c r="B83" s="224"/>
      <c r="C83" s="225"/>
      <c r="D83" s="518"/>
      <c r="E83" s="520"/>
      <c r="F83" s="522"/>
      <c r="G83" s="524"/>
      <c r="H83" s="352" t="s">
        <v>194</v>
      </c>
      <c r="I83" s="352"/>
      <c r="J83" s="227"/>
      <c r="K83" s="69" t="s">
        <v>96</v>
      </c>
    </row>
    <row r="84" spans="1:11" ht="15.6" customHeight="1">
      <c r="A84" s="69"/>
      <c r="B84" s="222" t="s">
        <v>337</v>
      </c>
      <c r="C84" s="166"/>
      <c r="D84" s="517" t="s">
        <v>239</v>
      </c>
      <c r="E84" s="519">
        <v>3</v>
      </c>
      <c r="F84" s="521">
        <v>139350</v>
      </c>
      <c r="G84" s="523">
        <v>418050</v>
      </c>
      <c r="H84" s="351" t="s">
        <v>277</v>
      </c>
      <c r="I84" s="351"/>
      <c r="J84" s="223"/>
      <c r="K84" s="69" t="s">
        <v>96</v>
      </c>
    </row>
    <row r="85" spans="1:11" ht="15.6" customHeight="1">
      <c r="A85" s="69"/>
      <c r="B85" s="224" t="s">
        <v>338</v>
      </c>
      <c r="C85" s="225"/>
      <c r="D85" s="518"/>
      <c r="E85" s="520"/>
      <c r="F85" s="522"/>
      <c r="G85" s="524"/>
      <c r="H85" s="352" t="s">
        <v>194</v>
      </c>
      <c r="I85" s="352"/>
      <c r="J85" s="226"/>
      <c r="K85" s="69" t="s">
        <v>96</v>
      </c>
    </row>
    <row r="86" spans="1:11" ht="15.6" customHeight="1">
      <c r="A86" s="69"/>
      <c r="B86" s="222" t="s">
        <v>339</v>
      </c>
      <c r="C86" s="166"/>
      <c r="D86" s="517" t="s">
        <v>173</v>
      </c>
      <c r="E86" s="519">
        <v>1</v>
      </c>
      <c r="F86" s="521">
        <v>20000</v>
      </c>
      <c r="G86" s="523">
        <v>20000</v>
      </c>
      <c r="H86" s="351" t="s">
        <v>279</v>
      </c>
      <c r="I86" s="351"/>
      <c r="J86" s="223"/>
      <c r="K86" s="69" t="s">
        <v>96</v>
      </c>
    </row>
    <row r="87" spans="1:11" ht="15.6" customHeight="1">
      <c r="A87" s="69"/>
      <c r="B87" s="224"/>
      <c r="C87" s="225"/>
      <c r="D87" s="518"/>
      <c r="E87" s="520"/>
      <c r="F87" s="522"/>
      <c r="G87" s="524"/>
      <c r="H87" s="352" t="s">
        <v>194</v>
      </c>
      <c r="I87" s="352"/>
      <c r="J87" s="226"/>
      <c r="K87" s="69" t="s">
        <v>96</v>
      </c>
    </row>
    <row r="88" spans="1:11" ht="15.6" customHeight="1">
      <c r="A88" s="69"/>
      <c r="B88" s="222" t="s">
        <v>340</v>
      </c>
      <c r="C88" s="166"/>
      <c r="D88" s="517" t="s">
        <v>235</v>
      </c>
      <c r="E88" s="519">
        <v>54</v>
      </c>
      <c r="F88" s="521">
        <v>25799</v>
      </c>
      <c r="G88" s="523">
        <v>1393146</v>
      </c>
      <c r="H88" s="351" t="s">
        <v>281</v>
      </c>
      <c r="I88" s="351"/>
      <c r="J88" s="223"/>
      <c r="K88" s="69" t="s">
        <v>96</v>
      </c>
    </row>
    <row r="89" spans="1:11" ht="15.6" customHeight="1">
      <c r="A89" s="69"/>
      <c r="B89" s="224"/>
      <c r="C89" s="225"/>
      <c r="D89" s="518"/>
      <c r="E89" s="520"/>
      <c r="F89" s="522"/>
      <c r="G89" s="524"/>
      <c r="H89" s="352" t="s">
        <v>194</v>
      </c>
      <c r="I89" s="352"/>
      <c r="J89" s="226"/>
      <c r="K89" s="69" t="s">
        <v>96</v>
      </c>
    </row>
    <row r="90" spans="1:11" ht="15.6" customHeight="1">
      <c r="A90" s="69"/>
      <c r="B90" s="222" t="s">
        <v>341</v>
      </c>
      <c r="C90" s="166"/>
      <c r="D90" s="517" t="s">
        <v>235</v>
      </c>
      <c r="E90" s="519">
        <v>30</v>
      </c>
      <c r="F90" s="521">
        <v>7228</v>
      </c>
      <c r="G90" s="523">
        <v>216840</v>
      </c>
      <c r="H90" s="351" t="s">
        <v>284</v>
      </c>
      <c r="I90" s="351"/>
      <c r="J90" s="223"/>
      <c r="K90" s="69" t="s">
        <v>96</v>
      </c>
    </row>
    <row r="91" spans="1:11" ht="15.6" customHeight="1">
      <c r="A91" s="69"/>
      <c r="B91" s="224" t="s">
        <v>342</v>
      </c>
      <c r="C91" s="225"/>
      <c r="D91" s="518"/>
      <c r="E91" s="520"/>
      <c r="F91" s="522"/>
      <c r="G91" s="524"/>
      <c r="H91" s="352" t="s">
        <v>194</v>
      </c>
      <c r="I91" s="352"/>
      <c r="J91" s="226"/>
      <c r="K91" s="69" t="s">
        <v>96</v>
      </c>
    </row>
    <row r="92" spans="1:11" ht="15.6" customHeight="1">
      <c r="A92" s="69"/>
      <c r="B92" s="222" t="s">
        <v>155</v>
      </c>
      <c r="C92" s="166"/>
      <c r="D92" s="517" t="s">
        <v>171</v>
      </c>
      <c r="E92" s="519">
        <v>880.9</v>
      </c>
      <c r="F92" s="521">
        <v>649</v>
      </c>
      <c r="G92" s="523">
        <v>571704</v>
      </c>
      <c r="H92" s="351" t="s">
        <v>285</v>
      </c>
      <c r="I92" s="351"/>
      <c r="J92" s="223"/>
      <c r="K92" s="69" t="s">
        <v>96</v>
      </c>
    </row>
    <row r="93" spans="1:11" ht="15.6" customHeight="1">
      <c r="A93" s="69"/>
      <c r="B93" s="224"/>
      <c r="C93" s="225"/>
      <c r="D93" s="518"/>
      <c r="E93" s="520"/>
      <c r="F93" s="522"/>
      <c r="G93" s="524"/>
      <c r="H93" s="352" t="s">
        <v>194</v>
      </c>
      <c r="I93" s="352"/>
      <c r="J93" s="226"/>
      <c r="K93" s="69" t="s">
        <v>96</v>
      </c>
    </row>
    <row r="94" spans="1:11" ht="15.6" customHeight="1">
      <c r="A94" s="69"/>
      <c r="B94" s="222" t="s">
        <v>343</v>
      </c>
      <c r="C94" s="166"/>
      <c r="D94" s="517" t="s">
        <v>171</v>
      </c>
      <c r="E94" s="519">
        <v>880.9</v>
      </c>
      <c r="F94" s="521">
        <v>2180</v>
      </c>
      <c r="G94" s="523">
        <v>1920362</v>
      </c>
      <c r="H94" s="351" t="s">
        <v>287</v>
      </c>
      <c r="I94" s="351"/>
      <c r="J94" s="223"/>
      <c r="K94" s="69" t="s">
        <v>96</v>
      </c>
    </row>
    <row r="95" spans="1:11" ht="15.6" customHeight="1">
      <c r="A95" s="69"/>
      <c r="B95" s="224"/>
      <c r="C95" s="225"/>
      <c r="D95" s="518"/>
      <c r="E95" s="520"/>
      <c r="F95" s="522"/>
      <c r="G95" s="524"/>
      <c r="H95" s="352" t="s">
        <v>194</v>
      </c>
      <c r="I95" s="352"/>
      <c r="J95" s="226"/>
      <c r="K95" s="69" t="s">
        <v>96</v>
      </c>
    </row>
    <row r="96" spans="1:11" ht="15.6" customHeight="1">
      <c r="A96" s="69"/>
      <c r="B96" s="222" t="s">
        <v>344</v>
      </c>
      <c r="C96" s="166"/>
      <c r="D96" s="517" t="s">
        <v>235</v>
      </c>
      <c r="E96" s="519">
        <v>103</v>
      </c>
      <c r="F96" s="521">
        <v>5695</v>
      </c>
      <c r="G96" s="523">
        <v>586585</v>
      </c>
      <c r="H96" s="351" t="s">
        <v>289</v>
      </c>
      <c r="I96" s="351"/>
      <c r="J96" s="223"/>
      <c r="K96" s="69" t="s">
        <v>96</v>
      </c>
    </row>
    <row r="97" spans="1:11" ht="15.6" customHeight="1">
      <c r="A97" s="69"/>
      <c r="B97" s="224"/>
      <c r="C97" s="225"/>
      <c r="D97" s="518"/>
      <c r="E97" s="520"/>
      <c r="F97" s="522"/>
      <c r="G97" s="524"/>
      <c r="H97" s="352" t="s">
        <v>194</v>
      </c>
      <c r="I97" s="352"/>
      <c r="J97" s="226"/>
      <c r="K97" s="69" t="s">
        <v>96</v>
      </c>
    </row>
    <row r="98" spans="1:11" ht="15.6" customHeight="1">
      <c r="A98" s="69"/>
      <c r="B98" s="222" t="s">
        <v>345</v>
      </c>
      <c r="C98" s="166"/>
      <c r="D98" s="517" t="s">
        <v>173</v>
      </c>
      <c r="E98" s="519">
        <v>1</v>
      </c>
      <c r="F98" s="521">
        <v>45800</v>
      </c>
      <c r="G98" s="523">
        <v>45800</v>
      </c>
      <c r="H98" s="351" t="s">
        <v>291</v>
      </c>
      <c r="I98" s="351"/>
      <c r="J98" s="223"/>
      <c r="K98" s="69" t="s">
        <v>96</v>
      </c>
    </row>
    <row r="99" spans="1:11" ht="15.6" customHeight="1">
      <c r="A99" s="69"/>
      <c r="B99" s="224"/>
      <c r="C99" s="225"/>
      <c r="D99" s="518"/>
      <c r="E99" s="520"/>
      <c r="F99" s="522"/>
      <c r="G99" s="524"/>
      <c r="H99" s="352" t="s">
        <v>194</v>
      </c>
      <c r="I99" s="352"/>
      <c r="J99" s="226"/>
      <c r="K99" s="69" t="s">
        <v>96</v>
      </c>
    </row>
    <row r="100" spans="1:11" ht="15.6" customHeight="1">
      <c r="A100" s="69"/>
      <c r="B100" s="222" t="s">
        <v>346</v>
      </c>
      <c r="C100" s="166"/>
      <c r="D100" s="517" t="s">
        <v>171</v>
      </c>
      <c r="E100" s="519">
        <v>1058</v>
      </c>
      <c r="F100" s="521">
        <v>2408</v>
      </c>
      <c r="G100" s="523">
        <v>2547664</v>
      </c>
      <c r="H100" s="351" t="s">
        <v>293</v>
      </c>
      <c r="I100" s="351"/>
      <c r="J100" s="223"/>
      <c r="K100" s="69" t="s">
        <v>96</v>
      </c>
    </row>
    <row r="101" spans="1:11" ht="15.6" customHeight="1">
      <c r="A101" s="69"/>
      <c r="B101" s="224"/>
      <c r="C101" s="225"/>
      <c r="D101" s="518"/>
      <c r="E101" s="520"/>
      <c r="F101" s="522"/>
      <c r="G101" s="524"/>
      <c r="H101" s="352" t="s">
        <v>194</v>
      </c>
      <c r="I101" s="352"/>
      <c r="J101" s="226"/>
      <c r="K101" s="69" t="s">
        <v>96</v>
      </c>
    </row>
    <row r="102" spans="1:11" ht="15.6" customHeight="1">
      <c r="A102" s="69"/>
      <c r="B102" s="222" t="s">
        <v>346</v>
      </c>
      <c r="C102" s="166"/>
      <c r="D102" s="517" t="s">
        <v>173</v>
      </c>
      <c r="E102" s="519">
        <v>1</v>
      </c>
      <c r="F102" s="521">
        <v>200000</v>
      </c>
      <c r="G102" s="523">
        <v>200000</v>
      </c>
      <c r="H102" s="351" t="s">
        <v>295</v>
      </c>
      <c r="I102" s="351"/>
      <c r="J102" s="223"/>
      <c r="K102" s="69" t="s">
        <v>96</v>
      </c>
    </row>
    <row r="103" spans="1:11" ht="15.6" customHeight="1">
      <c r="A103" s="69"/>
      <c r="B103" s="224" t="s">
        <v>347</v>
      </c>
      <c r="C103" s="225"/>
      <c r="D103" s="518"/>
      <c r="E103" s="520"/>
      <c r="F103" s="522"/>
      <c r="G103" s="524"/>
      <c r="H103" s="352" t="s">
        <v>194</v>
      </c>
      <c r="I103" s="352"/>
      <c r="J103" s="226"/>
      <c r="K103" s="69" t="s">
        <v>96</v>
      </c>
    </row>
    <row r="104" spans="1:11" ht="15.6" customHeight="1">
      <c r="A104" s="69"/>
      <c r="B104" s="222" t="s">
        <v>348</v>
      </c>
      <c r="C104" s="166"/>
      <c r="D104" s="517" t="s">
        <v>173</v>
      </c>
      <c r="E104" s="519">
        <v>1</v>
      </c>
      <c r="F104" s="521">
        <v>766800</v>
      </c>
      <c r="G104" s="523">
        <v>766800</v>
      </c>
      <c r="H104" s="351"/>
      <c r="I104" s="351"/>
      <c r="J104" s="223"/>
      <c r="K104" s="69" t="s">
        <v>96</v>
      </c>
    </row>
    <row r="105" spans="1:11" ht="15.6" customHeight="1">
      <c r="A105" s="69"/>
      <c r="B105" s="224" t="s">
        <v>196</v>
      </c>
      <c r="C105" s="225"/>
      <c r="D105" s="518"/>
      <c r="E105" s="520"/>
      <c r="F105" s="522"/>
      <c r="G105" s="524"/>
      <c r="H105" s="352" t="s">
        <v>298</v>
      </c>
      <c r="I105" s="352"/>
      <c r="J105" s="226"/>
      <c r="K105" s="69" t="s">
        <v>96</v>
      </c>
    </row>
    <row r="106" spans="1:11" ht="15.6" customHeight="1">
      <c r="A106" s="69"/>
      <c r="B106" s="222" t="s">
        <v>349</v>
      </c>
      <c r="C106" s="166"/>
      <c r="D106" s="532" t="s">
        <v>173</v>
      </c>
      <c r="E106" s="519">
        <v>1</v>
      </c>
      <c r="F106" s="521">
        <v>766800</v>
      </c>
      <c r="G106" s="523">
        <v>766800</v>
      </c>
      <c r="H106" s="351" t="s">
        <v>301</v>
      </c>
      <c r="I106" s="351"/>
      <c r="J106" s="223"/>
      <c r="K106" s="69" t="s">
        <v>96</v>
      </c>
    </row>
    <row r="107" spans="1:11" ht="15.6" customHeight="1">
      <c r="A107" s="69"/>
      <c r="B107" s="224" t="s">
        <v>297</v>
      </c>
      <c r="C107" s="225"/>
      <c r="D107" s="532"/>
      <c r="E107" s="520"/>
      <c r="F107" s="522"/>
      <c r="G107" s="524"/>
      <c r="H107" s="354" t="s">
        <v>194</v>
      </c>
      <c r="I107" s="352"/>
      <c r="J107" s="226"/>
      <c r="K107" s="69" t="s">
        <v>96</v>
      </c>
    </row>
    <row r="108" spans="1:11" ht="15.6" customHeight="1">
      <c r="A108" s="69"/>
      <c r="B108" s="222"/>
      <c r="C108" s="166"/>
      <c r="D108" s="517"/>
      <c r="E108" s="519"/>
      <c r="F108" s="521"/>
      <c r="G108" s="523"/>
      <c r="H108" s="351"/>
      <c r="I108" s="351"/>
      <c r="J108" s="223"/>
      <c r="K108" s="69" t="s">
        <v>96</v>
      </c>
    </row>
    <row r="109" spans="1:11" ht="15.6" customHeight="1">
      <c r="A109" s="69"/>
      <c r="B109" s="224"/>
      <c r="C109" s="225"/>
      <c r="D109" s="518"/>
      <c r="E109" s="520"/>
      <c r="F109" s="522"/>
      <c r="G109" s="524"/>
      <c r="H109" s="352"/>
      <c r="I109" s="352"/>
      <c r="J109" s="226"/>
      <c r="K109" s="69" t="s">
        <v>96</v>
      </c>
    </row>
    <row r="110" spans="1:11" ht="15.6" customHeight="1">
      <c r="A110" s="69"/>
      <c r="B110" s="301" t="s">
        <v>350</v>
      </c>
      <c r="C110" s="302"/>
      <c r="D110" s="517"/>
      <c r="E110" s="519"/>
      <c r="F110" s="521"/>
      <c r="G110" s="523">
        <v>41816203</v>
      </c>
      <c r="H110" s="351"/>
      <c r="I110" s="351"/>
      <c r="J110" s="223"/>
      <c r="K110" s="69" t="s">
        <v>96</v>
      </c>
    </row>
    <row r="111" spans="1:11" ht="15.6" customHeight="1" thickBot="1">
      <c r="A111" s="69"/>
      <c r="B111" s="228"/>
      <c r="C111" s="229"/>
      <c r="D111" s="527"/>
      <c r="E111" s="528"/>
      <c r="F111" s="529"/>
      <c r="G111" s="530"/>
      <c r="H111" s="353"/>
      <c r="I111" s="353"/>
      <c r="J111" s="230"/>
      <c r="K111" s="69" t="s">
        <v>96</v>
      </c>
    </row>
  </sheetData>
  <mergeCells count="198">
    <mergeCell ref="D108:D109"/>
    <mergeCell ref="E108:E109"/>
    <mergeCell ref="F108:F109"/>
    <mergeCell ref="G108:G109"/>
    <mergeCell ref="D110:D111"/>
    <mergeCell ref="E110:E111"/>
    <mergeCell ref="F110:F111"/>
    <mergeCell ref="G110:G111"/>
    <mergeCell ref="D104:D105"/>
    <mergeCell ref="E104:E105"/>
    <mergeCell ref="F104:F105"/>
    <mergeCell ref="G104:G105"/>
    <mergeCell ref="D106:D107"/>
    <mergeCell ref="E106:E107"/>
    <mergeCell ref="F106:F107"/>
    <mergeCell ref="G106:G107"/>
    <mergeCell ref="D100:D101"/>
    <mergeCell ref="E100:E101"/>
    <mergeCell ref="F100:F101"/>
    <mergeCell ref="G100:G101"/>
    <mergeCell ref="D102:D103"/>
    <mergeCell ref="E102:E103"/>
    <mergeCell ref="F102:F103"/>
    <mergeCell ref="G102:G103"/>
    <mergeCell ref="D96:D97"/>
    <mergeCell ref="E96:E97"/>
    <mergeCell ref="F96:F97"/>
    <mergeCell ref="G96:G97"/>
    <mergeCell ref="D98:D99"/>
    <mergeCell ref="E98:E99"/>
    <mergeCell ref="F98:F99"/>
    <mergeCell ref="G98:G99"/>
    <mergeCell ref="D92:D93"/>
    <mergeCell ref="E92:E93"/>
    <mergeCell ref="F92:F93"/>
    <mergeCell ref="G92:G93"/>
    <mergeCell ref="D94:D95"/>
    <mergeCell ref="E94:E95"/>
    <mergeCell ref="F94:F95"/>
    <mergeCell ref="G94:G95"/>
    <mergeCell ref="D88:D89"/>
    <mergeCell ref="E88:E89"/>
    <mergeCell ref="F88:F89"/>
    <mergeCell ref="G88:G89"/>
    <mergeCell ref="D90:D91"/>
    <mergeCell ref="E90:E91"/>
    <mergeCell ref="F90:F91"/>
    <mergeCell ref="G90:G91"/>
    <mergeCell ref="D84:D85"/>
    <mergeCell ref="E84:E85"/>
    <mergeCell ref="F84:F85"/>
    <mergeCell ref="G84:G85"/>
    <mergeCell ref="D86:D87"/>
    <mergeCell ref="E86:E87"/>
    <mergeCell ref="F86:F87"/>
    <mergeCell ref="G86:G87"/>
    <mergeCell ref="D80:D81"/>
    <mergeCell ref="E80:E81"/>
    <mergeCell ref="F80:F81"/>
    <mergeCell ref="G80:G81"/>
    <mergeCell ref="D82:D83"/>
    <mergeCell ref="E82:E83"/>
    <mergeCell ref="F82:F83"/>
    <mergeCell ref="G82:G83"/>
    <mergeCell ref="D73:D74"/>
    <mergeCell ref="E73:E74"/>
    <mergeCell ref="F73:F74"/>
    <mergeCell ref="G73:G74"/>
    <mergeCell ref="D75:G75"/>
    <mergeCell ref="B79:C79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3:D54"/>
    <mergeCell ref="E53:E54"/>
    <mergeCell ref="F53:F54"/>
    <mergeCell ref="G53:G54"/>
    <mergeCell ref="D55:D56"/>
    <mergeCell ref="E55:E56"/>
    <mergeCell ref="F55:F56"/>
    <mergeCell ref="G55:G56"/>
    <mergeCell ref="D49:D50"/>
    <mergeCell ref="E49:E50"/>
    <mergeCell ref="F49:F50"/>
    <mergeCell ref="G49:G50"/>
    <mergeCell ref="D51:D52"/>
    <mergeCell ref="E51:E52"/>
    <mergeCell ref="F51:F52"/>
    <mergeCell ref="G51:G52"/>
    <mergeCell ref="D45:D46"/>
    <mergeCell ref="E45:E46"/>
    <mergeCell ref="F45:F46"/>
    <mergeCell ref="G45:G46"/>
    <mergeCell ref="D47:D48"/>
    <mergeCell ref="E47:E48"/>
    <mergeCell ref="F47:F48"/>
    <mergeCell ref="G47:G48"/>
    <mergeCell ref="D38:G38"/>
    <mergeCell ref="B42:C42"/>
    <mergeCell ref="D43:D44"/>
    <mergeCell ref="E43:E44"/>
    <mergeCell ref="F43:F44"/>
    <mergeCell ref="G43:G44"/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408"/>
  <sheetViews>
    <sheetView zoomScaleNormal="100" zoomScaleSheetLayoutView="85" workbookViewId="0">
      <pane xSplit="4" ySplit="4" topLeftCell="E6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仙台港駅構内トラックスケール設置に伴う基礎工事</v>
      </c>
      <c r="G1" s="306"/>
      <c r="H1" s="190" t="s">
        <v>140</v>
      </c>
      <c r="I1" s="333">
        <v>71970000</v>
      </c>
      <c r="J1" s="339">
        <f>I4/I$1</f>
        <v>0.74622763651521462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719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352</v>
      </c>
      <c r="D4" s="340" t="s">
        <v>184</v>
      </c>
      <c r="E4" s="342"/>
      <c r="F4" s="345" t="s">
        <v>173</v>
      </c>
      <c r="G4" s="308">
        <v>1</v>
      </c>
      <c r="H4" s="309">
        <v>53706003</v>
      </c>
      <c r="I4" s="309">
        <v>53706003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353</v>
      </c>
      <c r="D5" s="340" t="s">
        <v>354</v>
      </c>
      <c r="E5" s="342"/>
      <c r="F5" s="345" t="s">
        <v>173</v>
      </c>
      <c r="G5" s="308">
        <v>1</v>
      </c>
      <c r="H5" s="309">
        <v>41816203</v>
      </c>
      <c r="I5" s="309">
        <v>41816203</v>
      </c>
      <c r="J5" s="211"/>
      <c r="K5" s="212" t="str">
        <f>IF(OR(J5="",G5=J5),"","*")</f>
        <v/>
      </c>
      <c r="L5" s="338">
        <f>IF($A5&lt;=L$1,I5/I$4,"")</f>
        <v>0.77861320269914702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355</v>
      </c>
      <c r="D6" s="340" t="s">
        <v>356</v>
      </c>
      <c r="E6" s="342" t="s">
        <v>170</v>
      </c>
      <c r="F6" s="345" t="s">
        <v>171</v>
      </c>
      <c r="G6" s="308">
        <v>323.7</v>
      </c>
      <c r="H6" s="309">
        <v>907</v>
      </c>
      <c r="I6" s="309">
        <v>293595</v>
      </c>
      <c r="J6" s="211">
        <v>323.7</v>
      </c>
      <c r="K6" s="212" t="str">
        <f>IF(OR(J6="",G6=J6),"","*")</f>
        <v/>
      </c>
      <c r="L6" s="338">
        <f>IF($A6&lt;=L$1,I6/I$4,"")</f>
        <v>5.4667073250638295E-3</v>
      </c>
      <c r="M6" s="343"/>
      <c r="N6" s="344" t="s">
        <v>357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178</v>
      </c>
      <c r="D7" s="340" t="s">
        <v>358</v>
      </c>
      <c r="E7" s="342" t="s">
        <v>359</v>
      </c>
      <c r="F7" s="345" t="s">
        <v>360</v>
      </c>
      <c r="G7" s="308">
        <v>90.2</v>
      </c>
      <c r="H7" s="309">
        <v>800</v>
      </c>
      <c r="I7" s="309">
        <v>72160</v>
      </c>
      <c r="J7" s="211"/>
      <c r="K7" s="212" t="str">
        <f>IF(OR(J7="",G7=J7),"","*")</f>
        <v/>
      </c>
      <c r="L7" s="338">
        <f>IF($A7&lt;=L$1,I7/I$4,"")</f>
        <v>1.3436114394884311E-3</v>
      </c>
      <c r="M7" s="343"/>
      <c r="N7" s="344"/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 t="s">
        <v>361</v>
      </c>
      <c r="AF7" s="341"/>
    </row>
    <row r="8" spans="1:32">
      <c r="A8" s="307">
        <v>3</v>
      </c>
      <c r="B8" s="342"/>
      <c r="C8" s="342" t="s">
        <v>178</v>
      </c>
      <c r="D8" s="340" t="s">
        <v>362</v>
      </c>
      <c r="E8" s="342"/>
      <c r="F8" s="345" t="s">
        <v>173</v>
      </c>
      <c r="G8" s="308">
        <v>1</v>
      </c>
      <c r="H8" s="309">
        <v>20000</v>
      </c>
      <c r="I8" s="309">
        <v>20000</v>
      </c>
      <c r="J8" s="211"/>
      <c r="K8" s="212" t="str">
        <f>IF(OR(J8="",G8=J8),"","*")</f>
        <v/>
      </c>
      <c r="L8" s="338">
        <f>IF($A8&lt;=L$1,I8/I$4,"")</f>
        <v>3.7239784908215941E-4</v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361</v>
      </c>
      <c r="AF8" s="341"/>
    </row>
    <row r="9" spans="1:32">
      <c r="A9" s="307">
        <v>3</v>
      </c>
      <c r="B9" s="342"/>
      <c r="C9" s="342" t="s">
        <v>176</v>
      </c>
      <c r="D9" s="340" t="s">
        <v>363</v>
      </c>
      <c r="E9" s="342"/>
      <c r="F9" s="345" t="s">
        <v>364</v>
      </c>
      <c r="G9" s="308">
        <v>100</v>
      </c>
      <c r="H9" s="309">
        <v>145</v>
      </c>
      <c r="I9" s="309">
        <v>14500</v>
      </c>
      <c r="J9" s="211"/>
      <c r="K9" s="212" t="str">
        <f>IF(OR(J9="",G9=J9),"","*")</f>
        <v/>
      </c>
      <c r="L9" s="338">
        <f>IF($A9&lt;=L$1,I9/I$4,"")</f>
        <v>2.6998844058456555E-4</v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 t="s">
        <v>365</v>
      </c>
      <c r="AF9" s="341" t="s">
        <v>366</v>
      </c>
    </row>
    <row r="10" spans="1:32">
      <c r="A10" s="307">
        <v>3</v>
      </c>
      <c r="B10" s="342"/>
      <c r="C10" s="342" t="s">
        <v>177</v>
      </c>
      <c r="D10" s="340" t="s">
        <v>367</v>
      </c>
      <c r="E10" s="342" t="s">
        <v>368</v>
      </c>
      <c r="F10" s="345" t="s">
        <v>369</v>
      </c>
      <c r="G10" s="308">
        <v>3</v>
      </c>
      <c r="H10" s="309">
        <v>23000</v>
      </c>
      <c r="I10" s="309">
        <v>69000</v>
      </c>
      <c r="J10" s="211"/>
      <c r="K10" s="212" t="str">
        <f>IF(OR(J10="",G10=J10),"","*")</f>
        <v/>
      </c>
      <c r="L10" s="338">
        <f>IF($A10&lt;=L$1,I10/I$4,"")</f>
        <v>1.2847725793334499E-3</v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/>
      <c r="AF10" s="341" t="s">
        <v>370</v>
      </c>
    </row>
    <row r="11" spans="1:32">
      <c r="A11" s="307">
        <v>3</v>
      </c>
      <c r="B11" s="342"/>
      <c r="C11" s="342" t="s">
        <v>179</v>
      </c>
      <c r="D11" s="340" t="s">
        <v>371</v>
      </c>
      <c r="E11" s="342" t="s">
        <v>372</v>
      </c>
      <c r="F11" s="345" t="s">
        <v>373</v>
      </c>
      <c r="G11" s="308">
        <v>1</v>
      </c>
      <c r="H11" s="309">
        <v>10800</v>
      </c>
      <c r="I11" s="309">
        <v>10800</v>
      </c>
      <c r="J11" s="211"/>
      <c r="K11" s="212" t="str">
        <f>IF(OR(J11="",G11=J11),"","*")</f>
        <v/>
      </c>
      <c r="L11" s="338">
        <f>IF($A11&lt;=L$1,I11/I$4,"")</f>
        <v>2.0109483850436609E-4</v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/>
      <c r="AF11" s="341" t="s">
        <v>374</v>
      </c>
    </row>
    <row r="12" spans="1:32">
      <c r="A12" s="307">
        <v>3</v>
      </c>
      <c r="B12" s="342"/>
      <c r="C12" s="342" t="s">
        <v>178</v>
      </c>
      <c r="D12" s="340" t="s">
        <v>375</v>
      </c>
      <c r="E12" s="342" t="s">
        <v>376</v>
      </c>
      <c r="F12" s="345" t="s">
        <v>377</v>
      </c>
      <c r="G12" s="308">
        <v>78</v>
      </c>
      <c r="H12" s="309">
        <v>300</v>
      </c>
      <c r="I12" s="309">
        <v>23400</v>
      </c>
      <c r="J12" s="211"/>
      <c r="K12" s="212" t="str">
        <f>IF(OR(J12="",G12=J12),"","*")</f>
        <v/>
      </c>
      <c r="L12" s="338">
        <f>IF($A12&lt;=L$1,I12/I$4,"")</f>
        <v>4.3570548342612648E-4</v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 t="s">
        <v>378</v>
      </c>
      <c r="AF12" s="341" t="s">
        <v>379</v>
      </c>
    </row>
    <row r="13" spans="1:32">
      <c r="A13" s="307">
        <v>3</v>
      </c>
      <c r="B13" s="342"/>
      <c r="C13" s="342" t="s">
        <v>180</v>
      </c>
      <c r="D13" s="340" t="s">
        <v>380</v>
      </c>
      <c r="E13" s="342" t="s">
        <v>381</v>
      </c>
      <c r="F13" s="345" t="s">
        <v>373</v>
      </c>
      <c r="G13" s="308">
        <v>2</v>
      </c>
      <c r="H13" s="309">
        <v>40000</v>
      </c>
      <c r="I13" s="309">
        <v>80000</v>
      </c>
      <c r="J13" s="211"/>
      <c r="K13" s="212" t="str">
        <f>IF(OR(J13="",G13=J13),"","*")</f>
        <v/>
      </c>
      <c r="L13" s="338">
        <f>IF($A13&lt;=L$1,I13/I$4,"")</f>
        <v>1.4895913963286376E-3</v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/>
      <c r="AF13" s="341" t="s">
        <v>382</v>
      </c>
    </row>
    <row r="14" spans="1:32">
      <c r="A14" s="307">
        <v>3</v>
      </c>
      <c r="B14" s="342"/>
      <c r="C14" s="342" t="s">
        <v>180</v>
      </c>
      <c r="D14" s="340" t="s">
        <v>383</v>
      </c>
      <c r="E14" s="342" t="s">
        <v>384</v>
      </c>
      <c r="F14" s="345" t="s">
        <v>373</v>
      </c>
      <c r="G14" s="308">
        <v>1</v>
      </c>
      <c r="H14" s="309">
        <v>4000</v>
      </c>
      <c r="I14" s="309">
        <v>4000</v>
      </c>
      <c r="J14" s="211"/>
      <c r="K14" s="212" t="str">
        <f>IF(OR(J14="",G14=J14),"","*")</f>
        <v/>
      </c>
      <c r="L14" s="338">
        <f>IF($A14&lt;=L$1,I14/I$4,"")</f>
        <v>7.4479569816431876E-5</v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/>
      <c r="AF14" s="341" t="s">
        <v>374</v>
      </c>
    </row>
    <row r="15" spans="1:32">
      <c r="A15" s="307">
        <v>2</v>
      </c>
      <c r="B15" s="342"/>
      <c r="C15" s="342" t="s">
        <v>355</v>
      </c>
      <c r="D15" s="340" t="s">
        <v>385</v>
      </c>
      <c r="E15" s="342"/>
      <c r="F15" s="345" t="s">
        <v>171</v>
      </c>
      <c r="G15" s="308">
        <v>323.7</v>
      </c>
      <c r="H15" s="309">
        <v>1500</v>
      </c>
      <c r="I15" s="309">
        <v>485550</v>
      </c>
      <c r="J15" s="211">
        <v>323.7</v>
      </c>
      <c r="K15" s="212" t="str">
        <f>IF(OR(J15="",G15=J15),"","*")</f>
        <v/>
      </c>
      <c r="L15" s="338">
        <f>IF($A15&lt;=L$1,I15/I$4,"")</f>
        <v>9.0408887810921254E-3</v>
      </c>
      <c r="M15" s="343"/>
      <c r="N15" s="344" t="s">
        <v>386</v>
      </c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/>
      <c r="AF15" s="341"/>
    </row>
    <row r="16" spans="1:32">
      <c r="A16" s="307">
        <v>3</v>
      </c>
      <c r="B16" s="342"/>
      <c r="C16" s="342"/>
      <c r="D16" s="340" t="s">
        <v>387</v>
      </c>
      <c r="E16" s="342"/>
      <c r="F16" s="345" t="s">
        <v>173</v>
      </c>
      <c r="G16" s="308">
        <v>1</v>
      </c>
      <c r="H16" s="309">
        <v>485550</v>
      </c>
      <c r="I16" s="309">
        <v>485550</v>
      </c>
      <c r="J16" s="211"/>
      <c r="K16" s="212" t="str">
        <f>IF(OR(J16="",G16=J16),"","*")</f>
        <v/>
      </c>
      <c r="L16" s="338">
        <f>IF($A16&lt;=L$1,I16/I$4,"")</f>
        <v>9.0408887810921254E-3</v>
      </c>
      <c r="M16" s="343"/>
      <c r="N16" s="344" t="s">
        <v>388</v>
      </c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/>
      <c r="AF16" s="341"/>
    </row>
    <row r="17" spans="1:32">
      <c r="A17" s="307">
        <v>2</v>
      </c>
      <c r="B17" s="342"/>
      <c r="C17" s="342" t="s">
        <v>355</v>
      </c>
      <c r="D17" s="340" t="s">
        <v>389</v>
      </c>
      <c r="E17" s="342"/>
      <c r="F17" s="345" t="s">
        <v>171</v>
      </c>
      <c r="G17" s="308">
        <v>410</v>
      </c>
      <c r="H17" s="309">
        <v>2173</v>
      </c>
      <c r="I17" s="309">
        <v>890930</v>
      </c>
      <c r="J17" s="211">
        <v>410</v>
      </c>
      <c r="K17" s="212" t="str">
        <f>IF(OR(J17="",G17=J17),"","*")</f>
        <v/>
      </c>
      <c r="L17" s="338">
        <f>IF($A17&lt;=L$1,I17/I$4,"")</f>
        <v>1.6589020784138413E-2</v>
      </c>
      <c r="M17" s="343"/>
      <c r="N17" s="344" t="s">
        <v>390</v>
      </c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/>
      <c r="AF17" s="341"/>
    </row>
    <row r="18" spans="1:32">
      <c r="A18" s="307">
        <v>3</v>
      </c>
      <c r="B18" s="342"/>
      <c r="C18" s="342" t="s">
        <v>176</v>
      </c>
      <c r="D18" s="340" t="s">
        <v>363</v>
      </c>
      <c r="E18" s="342"/>
      <c r="F18" s="345" t="s">
        <v>364</v>
      </c>
      <c r="G18" s="308">
        <v>500</v>
      </c>
      <c r="H18" s="309">
        <v>145</v>
      </c>
      <c r="I18" s="309">
        <v>72500</v>
      </c>
      <c r="J18" s="211"/>
      <c r="K18" s="212" t="str">
        <f>IF(OR(J18="",G18=J18),"","*")</f>
        <v/>
      </c>
      <c r="L18" s="338">
        <f>IF($A18&lt;=L$1,I18/I$4,"")</f>
        <v>1.3499422029228279E-3</v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365</v>
      </c>
      <c r="AF18" s="341" t="s">
        <v>391</v>
      </c>
    </row>
    <row r="19" spans="1:32">
      <c r="A19" s="307">
        <v>3</v>
      </c>
      <c r="B19" s="342"/>
      <c r="C19" s="342" t="s">
        <v>177</v>
      </c>
      <c r="D19" s="340" t="s">
        <v>367</v>
      </c>
      <c r="E19" s="342" t="s">
        <v>368</v>
      </c>
      <c r="F19" s="345" t="s">
        <v>369</v>
      </c>
      <c r="G19" s="308">
        <v>30</v>
      </c>
      <c r="H19" s="309">
        <v>23000</v>
      </c>
      <c r="I19" s="309">
        <v>690000</v>
      </c>
      <c r="J19" s="211"/>
      <c r="K19" s="212" t="str">
        <f>IF(OR(J19="",G19=J19),"","*")</f>
        <v/>
      </c>
      <c r="L19" s="338">
        <f>IF($A19&lt;=L$1,I19/I$4,"")</f>
        <v>1.28477257933345E-2</v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/>
      <c r="AF19" s="341" t="s">
        <v>392</v>
      </c>
    </row>
    <row r="20" spans="1:32">
      <c r="A20" s="307">
        <v>3</v>
      </c>
      <c r="B20" s="342"/>
      <c r="C20" s="342" t="s">
        <v>179</v>
      </c>
      <c r="D20" s="340" t="s">
        <v>371</v>
      </c>
      <c r="E20" s="342" t="s">
        <v>372</v>
      </c>
      <c r="F20" s="345" t="s">
        <v>373</v>
      </c>
      <c r="G20" s="308">
        <v>5</v>
      </c>
      <c r="H20" s="309">
        <v>10800</v>
      </c>
      <c r="I20" s="309">
        <v>54000</v>
      </c>
      <c r="J20" s="211"/>
      <c r="K20" s="212" t="str">
        <f>IF(OR(J20="",G20=J20),"","*")</f>
        <v/>
      </c>
      <c r="L20" s="338">
        <f>IF($A20&lt;=L$1,I20/I$4,"")</f>
        <v>1.0054741925218304E-3</v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/>
      <c r="AF20" s="341" t="s">
        <v>393</v>
      </c>
    </row>
    <row r="21" spans="1:32">
      <c r="A21" s="307">
        <v>3</v>
      </c>
      <c r="B21" s="342"/>
      <c r="C21" s="342" t="s">
        <v>179</v>
      </c>
      <c r="D21" s="340" t="s">
        <v>371</v>
      </c>
      <c r="E21" s="342" t="s">
        <v>394</v>
      </c>
      <c r="F21" s="345" t="s">
        <v>373</v>
      </c>
      <c r="G21" s="308">
        <v>5</v>
      </c>
      <c r="H21" s="309">
        <v>8000</v>
      </c>
      <c r="I21" s="309">
        <v>40000</v>
      </c>
      <c r="J21" s="211"/>
      <c r="K21" s="212" t="str">
        <f>IF(OR(J21="",G21=J21),"","*")</f>
        <v/>
      </c>
      <c r="L21" s="338">
        <f>IF($A21&lt;=L$1,I21/I$4,"")</f>
        <v>7.4479569816431881E-4</v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/>
      <c r="AF21" s="341" t="s">
        <v>393</v>
      </c>
    </row>
    <row r="22" spans="1:32">
      <c r="A22" s="307">
        <v>3</v>
      </c>
      <c r="B22" s="342"/>
      <c r="C22" s="342" t="s">
        <v>179</v>
      </c>
      <c r="D22" s="340" t="s">
        <v>395</v>
      </c>
      <c r="E22" s="342"/>
      <c r="F22" s="345" t="s">
        <v>373</v>
      </c>
      <c r="G22" s="308">
        <v>5</v>
      </c>
      <c r="H22" s="309">
        <v>1500</v>
      </c>
      <c r="I22" s="309">
        <v>7500</v>
      </c>
      <c r="J22" s="211"/>
      <c r="K22" s="212" t="str">
        <f>IF(OR(J22="",G22=J22),"","*")</f>
        <v/>
      </c>
      <c r="L22" s="338">
        <f>IF($A22&lt;=L$1,I22/I$4,"")</f>
        <v>1.3964919340580978E-4</v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/>
      <c r="AF22" s="341"/>
    </row>
    <row r="23" spans="1:32">
      <c r="A23" s="307">
        <v>3</v>
      </c>
      <c r="B23" s="342"/>
      <c r="C23" s="342" t="s">
        <v>179</v>
      </c>
      <c r="D23" s="340" t="s">
        <v>396</v>
      </c>
      <c r="E23" s="342"/>
      <c r="F23" s="345" t="s">
        <v>373</v>
      </c>
      <c r="G23" s="308">
        <v>5</v>
      </c>
      <c r="H23" s="309">
        <v>700</v>
      </c>
      <c r="I23" s="309">
        <v>3500</v>
      </c>
      <c r="J23" s="211"/>
      <c r="K23" s="212" t="str">
        <f>IF(OR(J23="",G23=J23),"","*")</f>
        <v/>
      </c>
      <c r="L23" s="338">
        <f>IF($A23&lt;=L$1,I23/I$4,"")</f>
        <v>6.5169623589377901E-5</v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/>
      <c r="AF23" s="341"/>
    </row>
    <row r="24" spans="1:32">
      <c r="A24" s="307">
        <v>3</v>
      </c>
      <c r="B24" s="342"/>
      <c r="C24" s="342" t="s">
        <v>179</v>
      </c>
      <c r="D24" s="340" t="s">
        <v>397</v>
      </c>
      <c r="E24" s="342"/>
      <c r="F24" s="345" t="s">
        <v>373</v>
      </c>
      <c r="G24" s="308">
        <v>5</v>
      </c>
      <c r="H24" s="309">
        <v>700</v>
      </c>
      <c r="I24" s="309">
        <v>3500</v>
      </c>
      <c r="J24" s="211"/>
      <c r="K24" s="212" t="str">
        <f>IF(OR(J24="",G24=J24),"","*")</f>
        <v/>
      </c>
      <c r="L24" s="338">
        <f>IF($A24&lt;=L$1,I24/I$4,"")</f>
        <v>6.5169623589377901E-5</v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/>
      <c r="AF24" s="341"/>
    </row>
    <row r="25" spans="1:32">
      <c r="A25" s="307">
        <v>3</v>
      </c>
      <c r="B25" s="342"/>
      <c r="C25" s="342" t="s">
        <v>180</v>
      </c>
      <c r="D25" s="340" t="s">
        <v>383</v>
      </c>
      <c r="E25" s="342" t="s">
        <v>384</v>
      </c>
      <c r="F25" s="345" t="s">
        <v>373</v>
      </c>
      <c r="G25" s="308">
        <v>5</v>
      </c>
      <c r="H25" s="309">
        <v>4000</v>
      </c>
      <c r="I25" s="309">
        <v>20000</v>
      </c>
      <c r="J25" s="211"/>
      <c r="K25" s="212" t="str">
        <f>IF(OR(J25="",G25=J25),"","*")</f>
        <v/>
      </c>
      <c r="L25" s="338">
        <f>IF($A25&lt;=L$1,I25/I$4,"")</f>
        <v>3.7239784908215941E-4</v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/>
      <c r="AF25" s="341" t="s">
        <v>393</v>
      </c>
    </row>
    <row r="26" spans="1:32">
      <c r="A26" s="307">
        <v>2</v>
      </c>
      <c r="B26" s="342"/>
      <c r="C26" s="342" t="s">
        <v>355</v>
      </c>
      <c r="D26" s="340" t="s">
        <v>398</v>
      </c>
      <c r="E26" s="342"/>
      <c r="F26" s="345" t="s">
        <v>171</v>
      </c>
      <c r="G26" s="308">
        <v>25</v>
      </c>
      <c r="H26" s="309">
        <v>5593</v>
      </c>
      <c r="I26" s="309">
        <v>139825</v>
      </c>
      <c r="J26" s="211">
        <v>25</v>
      </c>
      <c r="K26" s="212" t="str">
        <f>IF(OR(J26="",G26=J26),"","*")</f>
        <v/>
      </c>
      <c r="L26" s="338">
        <f>IF($A26&lt;=L$1,I26/I$4,"")</f>
        <v>2.603526462395647E-3</v>
      </c>
      <c r="M26" s="343"/>
      <c r="N26" s="344" t="s">
        <v>399</v>
      </c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/>
      <c r="AF26" s="341"/>
    </row>
    <row r="27" spans="1:32">
      <c r="A27" s="307">
        <v>3</v>
      </c>
      <c r="B27" s="342"/>
      <c r="C27" s="342" t="s">
        <v>176</v>
      </c>
      <c r="D27" s="340" t="s">
        <v>400</v>
      </c>
      <c r="E27" s="342" t="s">
        <v>401</v>
      </c>
      <c r="F27" s="345" t="s">
        <v>172</v>
      </c>
      <c r="G27" s="308">
        <v>11.586</v>
      </c>
      <c r="H27" s="309">
        <v>2300</v>
      </c>
      <c r="I27" s="309">
        <v>26647</v>
      </c>
      <c r="J27" s="211"/>
      <c r="K27" s="212" t="str">
        <f>IF(OR(J27="",G27=J27),"","*")</f>
        <v/>
      </c>
      <c r="L27" s="338">
        <f>IF($A27&lt;=L$1,I27/I$4,"")</f>
        <v>4.9616427422461513E-4</v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 t="s">
        <v>402</v>
      </c>
      <c r="AF27" s="341" t="s">
        <v>403</v>
      </c>
    </row>
    <row r="28" spans="1:32">
      <c r="A28" s="307">
        <v>3</v>
      </c>
      <c r="B28" s="342"/>
      <c r="C28" s="342" t="s">
        <v>176</v>
      </c>
      <c r="D28" s="340" t="s">
        <v>363</v>
      </c>
      <c r="E28" s="342"/>
      <c r="F28" s="345" t="s">
        <v>364</v>
      </c>
      <c r="G28" s="308">
        <v>100</v>
      </c>
      <c r="H28" s="309">
        <v>145</v>
      </c>
      <c r="I28" s="309">
        <v>14500</v>
      </c>
      <c r="J28" s="211"/>
      <c r="K28" s="212" t="str">
        <f>IF(OR(J28="",G28=J28),"","*")</f>
        <v/>
      </c>
      <c r="L28" s="338">
        <f>IF($A28&lt;=L$1,I28/I$4,"")</f>
        <v>2.6998844058456555E-4</v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 t="s">
        <v>365</v>
      </c>
      <c r="AF28" s="341" t="s">
        <v>404</v>
      </c>
    </row>
    <row r="29" spans="1:32">
      <c r="A29" s="307">
        <v>3</v>
      </c>
      <c r="B29" s="342"/>
      <c r="C29" s="342" t="s">
        <v>177</v>
      </c>
      <c r="D29" s="340" t="s">
        <v>367</v>
      </c>
      <c r="E29" s="342" t="s">
        <v>368</v>
      </c>
      <c r="F29" s="345" t="s">
        <v>369</v>
      </c>
      <c r="G29" s="308">
        <v>3</v>
      </c>
      <c r="H29" s="309">
        <v>23000</v>
      </c>
      <c r="I29" s="309">
        <v>69000</v>
      </c>
      <c r="J29" s="211"/>
      <c r="K29" s="212" t="str">
        <f>IF(OR(J29="",G29=J29),"","*")</f>
        <v/>
      </c>
      <c r="L29" s="338">
        <f>IF($A29&lt;=L$1,I29/I$4,"")</f>
        <v>1.2847725793334499E-3</v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/>
      <c r="AF29" s="341" t="s">
        <v>370</v>
      </c>
    </row>
    <row r="30" spans="1:32">
      <c r="A30" s="307">
        <v>3</v>
      </c>
      <c r="B30" s="342"/>
      <c r="C30" s="342" t="s">
        <v>179</v>
      </c>
      <c r="D30" s="340" t="s">
        <v>371</v>
      </c>
      <c r="E30" s="342" t="s">
        <v>372</v>
      </c>
      <c r="F30" s="345" t="s">
        <v>373</v>
      </c>
      <c r="G30" s="308">
        <v>1</v>
      </c>
      <c r="H30" s="309">
        <v>10800</v>
      </c>
      <c r="I30" s="309">
        <v>10800</v>
      </c>
      <c r="J30" s="211"/>
      <c r="K30" s="212" t="str">
        <f>IF(OR(J30="",G30=J30),"","*")</f>
        <v/>
      </c>
      <c r="L30" s="338">
        <f>IF($A30&lt;=L$1,I30/I$4,"")</f>
        <v>2.0109483850436609E-4</v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/>
      <c r="AF30" s="341" t="s">
        <v>374</v>
      </c>
    </row>
    <row r="31" spans="1:32">
      <c r="A31" s="307">
        <v>3</v>
      </c>
      <c r="B31" s="342"/>
      <c r="C31" s="342" t="s">
        <v>179</v>
      </c>
      <c r="D31" s="340" t="s">
        <v>371</v>
      </c>
      <c r="E31" s="342" t="s">
        <v>394</v>
      </c>
      <c r="F31" s="345" t="s">
        <v>373</v>
      </c>
      <c r="G31" s="308">
        <v>1</v>
      </c>
      <c r="H31" s="309">
        <v>8000</v>
      </c>
      <c r="I31" s="309">
        <v>8000</v>
      </c>
      <c r="J31" s="211"/>
      <c r="K31" s="212" t="str">
        <f>IF(OR(J31="",G31=J31),"","*")</f>
        <v/>
      </c>
      <c r="L31" s="338">
        <f>IF($A31&lt;=L$1,I31/I$4,"")</f>
        <v>1.4895913963286375E-4</v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/>
      <c r="AF31" s="341" t="s">
        <v>374</v>
      </c>
    </row>
    <row r="32" spans="1:32">
      <c r="A32" s="307">
        <v>3</v>
      </c>
      <c r="B32" s="342"/>
      <c r="C32" s="342" t="s">
        <v>179</v>
      </c>
      <c r="D32" s="340" t="s">
        <v>395</v>
      </c>
      <c r="E32" s="342"/>
      <c r="F32" s="345" t="s">
        <v>373</v>
      </c>
      <c r="G32" s="308">
        <v>1</v>
      </c>
      <c r="H32" s="309">
        <v>1500</v>
      </c>
      <c r="I32" s="309">
        <v>1500</v>
      </c>
      <c r="J32" s="211"/>
      <c r="K32" s="212" t="str">
        <f>IF(OR(J32="",G32=J32),"","*")</f>
        <v/>
      </c>
      <c r="L32" s="338">
        <f>IF($A32&lt;=L$1,I32/I$4,"")</f>
        <v>2.7929838681161953E-5</v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/>
      <c r="AF32" s="341" t="s">
        <v>374</v>
      </c>
    </row>
    <row r="33" spans="1:32">
      <c r="A33" s="307">
        <v>3</v>
      </c>
      <c r="B33" s="342"/>
      <c r="C33" s="342" t="s">
        <v>179</v>
      </c>
      <c r="D33" s="340" t="s">
        <v>396</v>
      </c>
      <c r="E33" s="342"/>
      <c r="F33" s="345" t="s">
        <v>373</v>
      </c>
      <c r="G33" s="308">
        <v>1</v>
      </c>
      <c r="H33" s="309">
        <v>700</v>
      </c>
      <c r="I33" s="309">
        <v>700</v>
      </c>
      <c r="J33" s="211"/>
      <c r="K33" s="212" t="str">
        <f>IF(OR(J33="",G33=J33),"","*")</f>
        <v/>
      </c>
      <c r="L33" s="338">
        <f>IF($A33&lt;=L$1,I33/I$4,"")</f>
        <v>1.3033924717875579E-5</v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/>
      <c r="AF33" s="341" t="s">
        <v>374</v>
      </c>
    </row>
    <row r="34" spans="1:32">
      <c r="A34" s="307">
        <v>3</v>
      </c>
      <c r="B34" s="342"/>
      <c r="C34" s="342" t="s">
        <v>179</v>
      </c>
      <c r="D34" s="340" t="s">
        <v>397</v>
      </c>
      <c r="E34" s="342"/>
      <c r="F34" s="345" t="s">
        <v>373</v>
      </c>
      <c r="G34" s="308">
        <v>1</v>
      </c>
      <c r="H34" s="309">
        <v>700</v>
      </c>
      <c r="I34" s="309">
        <v>700</v>
      </c>
      <c r="J34" s="211"/>
      <c r="K34" s="212" t="str">
        <f>IF(OR(J34="",G34=J34),"","*")</f>
        <v/>
      </c>
      <c r="L34" s="338">
        <f>IF($A34&lt;=L$1,I34/I$4,"")</f>
        <v>1.3033924717875579E-5</v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/>
      <c r="AF34" s="341" t="s">
        <v>374</v>
      </c>
    </row>
    <row r="35" spans="1:32">
      <c r="A35" s="307">
        <v>3</v>
      </c>
      <c r="B35" s="342"/>
      <c r="C35" s="342" t="s">
        <v>180</v>
      </c>
      <c r="D35" s="340" t="s">
        <v>383</v>
      </c>
      <c r="E35" s="342" t="s">
        <v>384</v>
      </c>
      <c r="F35" s="345" t="s">
        <v>373</v>
      </c>
      <c r="G35" s="308">
        <v>2</v>
      </c>
      <c r="H35" s="309">
        <v>4000</v>
      </c>
      <c r="I35" s="309">
        <v>8000</v>
      </c>
      <c r="J35" s="211"/>
      <c r="K35" s="212" t="str">
        <f>IF(OR(J35="",G35=J35),"","*")</f>
        <v/>
      </c>
      <c r="L35" s="338">
        <f>IF($A35&lt;=L$1,I35/I$4,"")</f>
        <v>1.4895913963286375E-4</v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/>
      <c r="AF35" s="341" t="s">
        <v>382</v>
      </c>
    </row>
    <row r="36" spans="1:32">
      <c r="A36" s="307">
        <v>2</v>
      </c>
      <c r="B36" s="342"/>
      <c r="C36" s="342" t="s">
        <v>355</v>
      </c>
      <c r="D36" s="340" t="s">
        <v>405</v>
      </c>
      <c r="E36" s="342"/>
      <c r="F36" s="345" t="s">
        <v>172</v>
      </c>
      <c r="G36" s="308">
        <v>10</v>
      </c>
      <c r="H36" s="309">
        <v>54328</v>
      </c>
      <c r="I36" s="309">
        <v>543280</v>
      </c>
      <c r="J36" s="211">
        <v>10</v>
      </c>
      <c r="K36" s="212" t="str">
        <f>IF(OR(J36="",G36=J36),"","*")</f>
        <v/>
      </c>
      <c r="L36" s="338">
        <f>IF($A36&lt;=L$1,I36/I$4,"")</f>
        <v>1.0115815172467778E-2</v>
      </c>
      <c r="M36" s="343"/>
      <c r="N36" s="344" t="s">
        <v>406</v>
      </c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/>
      <c r="AF36" s="341"/>
    </row>
    <row r="37" spans="1:32">
      <c r="A37" s="307">
        <v>3</v>
      </c>
      <c r="B37" s="342"/>
      <c r="C37" s="342" t="s">
        <v>176</v>
      </c>
      <c r="D37" s="340" t="s">
        <v>407</v>
      </c>
      <c r="E37" s="342" t="s">
        <v>408</v>
      </c>
      <c r="F37" s="345" t="s">
        <v>409</v>
      </c>
      <c r="G37" s="308">
        <v>9.44</v>
      </c>
      <c r="H37" s="309">
        <v>22000</v>
      </c>
      <c r="I37" s="309">
        <v>207680</v>
      </c>
      <c r="J37" s="211"/>
      <c r="K37" s="212" t="str">
        <f>IF(OR(J37="",G37=J37),"","*")</f>
        <v/>
      </c>
      <c r="L37" s="338">
        <f>IF($A37&lt;=L$1,I37/I$4,"")</f>
        <v>3.8669792648691431E-3</v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 t="s">
        <v>410</v>
      </c>
      <c r="AF37" s="341" t="s">
        <v>411</v>
      </c>
    </row>
    <row r="38" spans="1:32">
      <c r="A38" s="307">
        <v>3</v>
      </c>
      <c r="B38" s="342"/>
      <c r="C38" s="342" t="s">
        <v>176</v>
      </c>
      <c r="D38" s="340" t="s">
        <v>363</v>
      </c>
      <c r="E38" s="342"/>
      <c r="F38" s="345" t="s">
        <v>364</v>
      </c>
      <c r="G38" s="308">
        <v>100</v>
      </c>
      <c r="H38" s="309">
        <v>145</v>
      </c>
      <c r="I38" s="309">
        <v>14500</v>
      </c>
      <c r="J38" s="211"/>
      <c r="K38" s="212" t="str">
        <f>IF(OR(J38="",G38=J38),"","*")</f>
        <v/>
      </c>
      <c r="L38" s="338">
        <f>IF($A38&lt;=L$1,I38/I$4,"")</f>
        <v>2.6998844058456555E-4</v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 t="s">
        <v>365</v>
      </c>
      <c r="AF38" s="341" t="s">
        <v>404</v>
      </c>
    </row>
    <row r="39" spans="1:32">
      <c r="A39" s="307">
        <v>3</v>
      </c>
      <c r="B39" s="342"/>
      <c r="C39" s="342" t="s">
        <v>176</v>
      </c>
      <c r="D39" s="340" t="s">
        <v>412</v>
      </c>
      <c r="E39" s="342"/>
      <c r="F39" s="345" t="s">
        <v>173</v>
      </c>
      <c r="G39" s="308">
        <v>1</v>
      </c>
      <c r="H39" s="309">
        <v>30000</v>
      </c>
      <c r="I39" s="309">
        <v>30000</v>
      </c>
      <c r="J39" s="211"/>
      <c r="K39" s="212" t="str">
        <f>IF(OR(J39="",G39=J39),"","*")</f>
        <v/>
      </c>
      <c r="L39" s="338">
        <f>IF($A39&lt;=L$1,I39/I$4,"")</f>
        <v>5.5859677362323911E-4</v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365</v>
      </c>
      <c r="AF39" s="341" t="s">
        <v>404</v>
      </c>
    </row>
    <row r="40" spans="1:32">
      <c r="A40" s="307">
        <v>3</v>
      </c>
      <c r="B40" s="342"/>
      <c r="C40" s="342" t="s">
        <v>177</v>
      </c>
      <c r="D40" s="340" t="s">
        <v>367</v>
      </c>
      <c r="E40" s="342" t="s">
        <v>368</v>
      </c>
      <c r="F40" s="345" t="s">
        <v>369</v>
      </c>
      <c r="G40" s="308">
        <v>10</v>
      </c>
      <c r="H40" s="309">
        <v>23000</v>
      </c>
      <c r="I40" s="309">
        <v>230000</v>
      </c>
      <c r="J40" s="211"/>
      <c r="K40" s="212" t="str">
        <f>IF(OR(J40="",G40=J40),"","*")</f>
        <v/>
      </c>
      <c r="L40" s="338">
        <f>IF($A40&lt;=L$1,I40/I$4,"")</f>
        <v>4.2825752644448335E-3</v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/>
      <c r="AF40" s="341" t="s">
        <v>413</v>
      </c>
    </row>
    <row r="41" spans="1:32">
      <c r="A41" s="307">
        <v>3</v>
      </c>
      <c r="B41" s="342"/>
      <c r="C41" s="342" t="s">
        <v>179</v>
      </c>
      <c r="D41" s="340" t="s">
        <v>371</v>
      </c>
      <c r="E41" s="342" t="s">
        <v>372</v>
      </c>
      <c r="F41" s="345" t="s">
        <v>373</v>
      </c>
      <c r="G41" s="308">
        <v>1</v>
      </c>
      <c r="H41" s="309">
        <v>10800</v>
      </c>
      <c r="I41" s="309">
        <v>10800</v>
      </c>
      <c r="J41" s="211"/>
      <c r="K41" s="212" t="str">
        <f>IF(OR(J41="",G41=J41),"","*")</f>
        <v/>
      </c>
      <c r="L41" s="338">
        <f>IF($A41&lt;=L$1,I41/I$4,"")</f>
        <v>2.0109483850436609E-4</v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/>
      <c r="AF41" s="341" t="s">
        <v>374</v>
      </c>
    </row>
    <row r="42" spans="1:32">
      <c r="A42" s="307">
        <v>3</v>
      </c>
      <c r="B42" s="342"/>
      <c r="C42" s="342" t="s">
        <v>179</v>
      </c>
      <c r="D42" s="340" t="s">
        <v>414</v>
      </c>
      <c r="E42" s="342"/>
      <c r="F42" s="345" t="s">
        <v>415</v>
      </c>
      <c r="G42" s="308">
        <v>1</v>
      </c>
      <c r="H42" s="309">
        <v>40000</v>
      </c>
      <c r="I42" s="309">
        <v>40000</v>
      </c>
      <c r="J42" s="211"/>
      <c r="K42" s="212" t="str">
        <f>IF(OR(J42="",G42=J42),"","*")</f>
        <v/>
      </c>
      <c r="L42" s="338">
        <f>IF($A42&lt;=L$1,I42/I$4,"")</f>
        <v>7.4479569816431881E-4</v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 t="s">
        <v>416</v>
      </c>
      <c r="AF42" s="341" t="s">
        <v>417</v>
      </c>
    </row>
    <row r="43" spans="1:32">
      <c r="A43" s="307">
        <v>3</v>
      </c>
      <c r="B43" s="342"/>
      <c r="C43" s="342" t="s">
        <v>179</v>
      </c>
      <c r="D43" s="340" t="s">
        <v>418</v>
      </c>
      <c r="E43" s="342" t="s">
        <v>419</v>
      </c>
      <c r="F43" s="345" t="s">
        <v>373</v>
      </c>
      <c r="G43" s="308">
        <v>1</v>
      </c>
      <c r="H43" s="309">
        <v>1050</v>
      </c>
      <c r="I43" s="309">
        <v>1050</v>
      </c>
      <c r="J43" s="211"/>
      <c r="K43" s="212" t="str">
        <f>IF(OR(J43="",G43=J43),"","*")</f>
        <v/>
      </c>
      <c r="L43" s="338">
        <f>IF($A43&lt;=L$1,I43/I$4,"")</f>
        <v>1.955088707681337E-5</v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 t="s">
        <v>420</v>
      </c>
      <c r="AF43" s="341"/>
    </row>
    <row r="44" spans="1:32">
      <c r="A44" s="307">
        <v>3</v>
      </c>
      <c r="B44" s="342"/>
      <c r="C44" s="342" t="s">
        <v>179</v>
      </c>
      <c r="D44" s="340" t="s">
        <v>421</v>
      </c>
      <c r="E44" s="342"/>
      <c r="F44" s="345" t="s">
        <v>373</v>
      </c>
      <c r="G44" s="308">
        <v>1</v>
      </c>
      <c r="H44" s="309">
        <v>1250</v>
      </c>
      <c r="I44" s="309">
        <v>1250</v>
      </c>
      <c r="J44" s="211"/>
      <c r="K44" s="212" t="str">
        <f>IF(OR(J44="",G44=J44),"","*")</f>
        <v/>
      </c>
      <c r="L44" s="338">
        <f>IF($A44&lt;=L$1,I44/I$4,"")</f>
        <v>2.3274865567634963E-5</v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 t="s">
        <v>422</v>
      </c>
      <c r="AF44" s="341"/>
    </row>
    <row r="45" spans="1:32">
      <c r="A45" s="307">
        <v>3</v>
      </c>
      <c r="B45" s="342"/>
      <c r="C45" s="342" t="s">
        <v>180</v>
      </c>
      <c r="D45" s="340" t="s">
        <v>383</v>
      </c>
      <c r="E45" s="342" t="s">
        <v>384</v>
      </c>
      <c r="F45" s="345" t="s">
        <v>373</v>
      </c>
      <c r="G45" s="308">
        <v>2</v>
      </c>
      <c r="H45" s="309">
        <v>4000</v>
      </c>
      <c r="I45" s="309">
        <v>8000</v>
      </c>
      <c r="J45" s="211"/>
      <c r="K45" s="212" t="str">
        <f>IF(OR(J45="",G45=J45),"","*")</f>
        <v/>
      </c>
      <c r="L45" s="338">
        <f>IF($A45&lt;=L$1,I45/I$4,"")</f>
        <v>1.4895913963286375E-4</v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/>
      <c r="AF45" s="341" t="s">
        <v>382</v>
      </c>
    </row>
    <row r="46" spans="1:32">
      <c r="A46" s="307">
        <v>2</v>
      </c>
      <c r="B46" s="342"/>
      <c r="C46" s="342" t="s">
        <v>355</v>
      </c>
      <c r="D46" s="340" t="s">
        <v>423</v>
      </c>
      <c r="E46" s="342"/>
      <c r="F46" s="345" t="s">
        <v>173</v>
      </c>
      <c r="G46" s="308">
        <v>1</v>
      </c>
      <c r="H46" s="309">
        <v>1250000</v>
      </c>
      <c r="I46" s="309">
        <v>1250000</v>
      </c>
      <c r="J46" s="211">
        <v>1</v>
      </c>
      <c r="K46" s="212" t="str">
        <f>IF(OR(J46="",G46=J46),"","*")</f>
        <v/>
      </c>
      <c r="L46" s="338">
        <f>IF($A46&lt;=L$1,I46/I$4,"")</f>
        <v>2.3274865567634962E-2</v>
      </c>
      <c r="M46" s="343"/>
      <c r="N46" s="344" t="s">
        <v>424</v>
      </c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/>
      <c r="AF46" s="341"/>
    </row>
    <row r="47" spans="1:32">
      <c r="A47" s="307">
        <v>3</v>
      </c>
      <c r="B47" s="342"/>
      <c r="C47" s="342" t="s">
        <v>178</v>
      </c>
      <c r="D47" s="340" t="s">
        <v>425</v>
      </c>
      <c r="E47" s="342" t="s">
        <v>426</v>
      </c>
      <c r="F47" s="345" t="s">
        <v>173</v>
      </c>
      <c r="G47" s="308">
        <v>1</v>
      </c>
      <c r="H47" s="309">
        <v>1250000</v>
      </c>
      <c r="I47" s="309">
        <v>1250000</v>
      </c>
      <c r="J47" s="211"/>
      <c r="K47" s="212" t="str">
        <f>IF(OR(J47="",G47=J47),"","*")</f>
        <v/>
      </c>
      <c r="L47" s="338">
        <f>IF($A47&lt;=L$1,I47/I$4,"")</f>
        <v>2.3274865567634962E-2</v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 t="s">
        <v>427</v>
      </c>
      <c r="AF47" s="341"/>
    </row>
    <row r="48" spans="1:32">
      <c r="A48" s="307">
        <v>2</v>
      </c>
      <c r="B48" s="342"/>
      <c r="C48" s="342" t="s">
        <v>355</v>
      </c>
      <c r="D48" s="340" t="s">
        <v>428</v>
      </c>
      <c r="E48" s="342"/>
      <c r="F48" s="345" t="s">
        <v>173</v>
      </c>
      <c r="G48" s="308">
        <v>1</v>
      </c>
      <c r="H48" s="309">
        <v>1750000</v>
      </c>
      <c r="I48" s="309">
        <v>1750000</v>
      </c>
      <c r="J48" s="211">
        <v>1</v>
      </c>
      <c r="K48" s="212" t="str">
        <f>IF(OR(J48="",G48=J48),"","*")</f>
        <v/>
      </c>
      <c r="L48" s="338">
        <f>IF($A48&lt;=L$1,I48/I$4,"")</f>
        <v>3.2584811794688945E-2</v>
      </c>
      <c r="M48" s="343"/>
      <c r="N48" s="344" t="s">
        <v>429</v>
      </c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/>
      <c r="AF48" s="341"/>
    </row>
    <row r="49" spans="1:32">
      <c r="A49" s="307">
        <v>3</v>
      </c>
      <c r="B49" s="342"/>
      <c r="C49" s="342" t="s">
        <v>178</v>
      </c>
      <c r="D49" s="340" t="s">
        <v>430</v>
      </c>
      <c r="E49" s="342" t="s">
        <v>426</v>
      </c>
      <c r="F49" s="345" t="s">
        <v>173</v>
      </c>
      <c r="G49" s="308">
        <v>1</v>
      </c>
      <c r="H49" s="309">
        <v>1750000</v>
      </c>
      <c r="I49" s="309">
        <v>1750000</v>
      </c>
      <c r="J49" s="211"/>
      <c r="K49" s="212" t="str">
        <f>IF(OR(J49="",G49=J49),"","*")</f>
        <v/>
      </c>
      <c r="L49" s="338">
        <f>IF($A49&lt;=L$1,I49/I$4,"")</f>
        <v>3.2584811794688945E-2</v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 t="s">
        <v>427</v>
      </c>
      <c r="AF49" s="341"/>
    </row>
    <row r="50" spans="1:32">
      <c r="A50" s="307">
        <v>2</v>
      </c>
      <c r="B50" s="342"/>
      <c r="C50" s="342" t="s">
        <v>355</v>
      </c>
      <c r="D50" s="340" t="s">
        <v>431</v>
      </c>
      <c r="E50" s="342"/>
      <c r="F50" s="345" t="s">
        <v>172</v>
      </c>
      <c r="G50" s="308">
        <v>16</v>
      </c>
      <c r="H50" s="309">
        <v>77129</v>
      </c>
      <c r="I50" s="309">
        <v>1234064</v>
      </c>
      <c r="J50" s="211">
        <v>16</v>
      </c>
      <c r="K50" s="212" t="str">
        <f>IF(OR(J50="",G50=J50),"","*")</f>
        <v/>
      </c>
      <c r="L50" s="338">
        <f>IF($A50&lt;=L$1,I50/I$4,"")</f>
        <v>2.2978138961486299E-2</v>
      </c>
      <c r="M50" s="343"/>
      <c r="N50" s="344" t="s">
        <v>432</v>
      </c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/>
      <c r="AF50" s="341"/>
    </row>
    <row r="51" spans="1:32">
      <c r="A51" s="307">
        <v>3</v>
      </c>
      <c r="B51" s="342"/>
      <c r="C51" s="342" t="s">
        <v>176</v>
      </c>
      <c r="D51" s="340" t="s">
        <v>407</v>
      </c>
      <c r="E51" s="342" t="s">
        <v>433</v>
      </c>
      <c r="F51" s="345" t="s">
        <v>172</v>
      </c>
      <c r="G51" s="308">
        <v>15.259</v>
      </c>
      <c r="H51" s="309">
        <v>24000</v>
      </c>
      <c r="I51" s="309">
        <v>366216</v>
      </c>
      <c r="J51" s="211"/>
      <c r="K51" s="212" t="str">
        <f>IF(OR(J51="",G51=J51),"","*")</f>
        <v/>
      </c>
      <c r="L51" s="338">
        <f>IF($A51&lt;=L$1,I51/I$4,"")</f>
        <v>6.8189025349736044E-3</v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 t="s">
        <v>410</v>
      </c>
      <c r="AF51" s="341" t="s">
        <v>434</v>
      </c>
    </row>
    <row r="52" spans="1:32">
      <c r="A52" s="307">
        <v>3</v>
      </c>
      <c r="B52" s="342"/>
      <c r="C52" s="342" t="s">
        <v>176</v>
      </c>
      <c r="D52" s="340" t="s">
        <v>363</v>
      </c>
      <c r="E52" s="342"/>
      <c r="F52" s="345" t="s">
        <v>364</v>
      </c>
      <c r="G52" s="308">
        <v>50</v>
      </c>
      <c r="H52" s="309">
        <v>145</v>
      </c>
      <c r="I52" s="309">
        <v>7250</v>
      </c>
      <c r="J52" s="211"/>
      <c r="K52" s="212" t="str">
        <f>IF(OR(J52="",G52=J52),"","*")</f>
        <v/>
      </c>
      <c r="L52" s="338">
        <f>IF($A52&lt;=L$1,I52/I$4,"")</f>
        <v>1.3499422029228278E-4</v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 t="s">
        <v>365</v>
      </c>
      <c r="AF52" s="341" t="s">
        <v>435</v>
      </c>
    </row>
    <row r="53" spans="1:32">
      <c r="A53" s="307">
        <v>3</v>
      </c>
      <c r="B53" s="342"/>
      <c r="C53" s="342" t="s">
        <v>176</v>
      </c>
      <c r="D53" s="340" t="s">
        <v>436</v>
      </c>
      <c r="E53" s="342"/>
      <c r="F53" s="345" t="s">
        <v>173</v>
      </c>
      <c r="G53" s="308">
        <v>1</v>
      </c>
      <c r="H53" s="309">
        <v>200000</v>
      </c>
      <c r="I53" s="309">
        <v>200000</v>
      </c>
      <c r="J53" s="211"/>
      <c r="K53" s="212" t="str">
        <f>IF(OR(J53="",G53=J53),"","*")</f>
        <v/>
      </c>
      <c r="L53" s="338">
        <f>IF($A53&lt;=L$1,I53/I$4,"")</f>
        <v>3.7239784908215941E-3</v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 t="s">
        <v>365</v>
      </c>
      <c r="AF53" s="341" t="s">
        <v>404</v>
      </c>
    </row>
    <row r="54" spans="1:32">
      <c r="A54" s="307">
        <v>3</v>
      </c>
      <c r="B54" s="342"/>
      <c r="C54" s="342" t="s">
        <v>177</v>
      </c>
      <c r="D54" s="340" t="s">
        <v>367</v>
      </c>
      <c r="E54" s="342" t="s">
        <v>368</v>
      </c>
      <c r="F54" s="345" t="s">
        <v>369</v>
      </c>
      <c r="G54" s="308">
        <v>20</v>
      </c>
      <c r="H54" s="309">
        <v>28000</v>
      </c>
      <c r="I54" s="309">
        <v>560000</v>
      </c>
      <c r="J54" s="211"/>
      <c r="K54" s="212" t="str">
        <f>IF(OR(J54="",G54=J54),"","*")</f>
        <v/>
      </c>
      <c r="L54" s="338">
        <f>IF($A54&lt;=L$1,I54/I$4,"")</f>
        <v>1.0427139774300462E-2</v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/>
      <c r="AF54" s="341" t="s">
        <v>437</v>
      </c>
    </row>
    <row r="55" spans="1:32">
      <c r="A55" s="307">
        <v>3</v>
      </c>
      <c r="B55" s="342"/>
      <c r="C55" s="342" t="s">
        <v>179</v>
      </c>
      <c r="D55" s="340" t="s">
        <v>414</v>
      </c>
      <c r="E55" s="342"/>
      <c r="F55" s="345" t="s">
        <v>415</v>
      </c>
      <c r="G55" s="308">
        <v>2</v>
      </c>
      <c r="H55" s="309">
        <v>40000</v>
      </c>
      <c r="I55" s="309">
        <v>80000</v>
      </c>
      <c r="J55" s="211"/>
      <c r="K55" s="212" t="str">
        <f>IF(OR(J55="",G55=J55),"","*")</f>
        <v/>
      </c>
      <c r="L55" s="338">
        <f>IF($A55&lt;=L$1,I55/I$4,"")</f>
        <v>1.4895913963286376E-3</v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 t="s">
        <v>416</v>
      </c>
      <c r="AF55" s="341" t="s">
        <v>438</v>
      </c>
    </row>
    <row r="56" spans="1:32">
      <c r="A56" s="307">
        <v>3</v>
      </c>
      <c r="B56" s="342"/>
      <c r="C56" s="342" t="s">
        <v>179</v>
      </c>
      <c r="D56" s="340" t="s">
        <v>418</v>
      </c>
      <c r="E56" s="342" t="s">
        <v>419</v>
      </c>
      <c r="F56" s="345" t="s">
        <v>373</v>
      </c>
      <c r="G56" s="308">
        <v>2</v>
      </c>
      <c r="H56" s="309">
        <v>1050</v>
      </c>
      <c r="I56" s="309">
        <v>2100</v>
      </c>
      <c r="J56" s="211"/>
      <c r="K56" s="212" t="str">
        <f>IF(OR(J56="",G56=J56),"","*")</f>
        <v/>
      </c>
      <c r="L56" s="338">
        <f>IF($A56&lt;=L$1,I56/I$4,"")</f>
        <v>3.9101774153626739E-5</v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 t="s">
        <v>420</v>
      </c>
      <c r="AF56" s="341" t="s">
        <v>439</v>
      </c>
    </row>
    <row r="57" spans="1:32">
      <c r="A57" s="307">
        <v>3</v>
      </c>
      <c r="B57" s="342"/>
      <c r="C57" s="342" t="s">
        <v>179</v>
      </c>
      <c r="D57" s="340" t="s">
        <v>421</v>
      </c>
      <c r="E57" s="342"/>
      <c r="F57" s="345" t="s">
        <v>373</v>
      </c>
      <c r="G57" s="308">
        <v>2</v>
      </c>
      <c r="H57" s="309">
        <v>1250</v>
      </c>
      <c r="I57" s="309">
        <v>2500</v>
      </c>
      <c r="J57" s="211"/>
      <c r="K57" s="212" t="str">
        <f>IF(OR(J57="",G57=J57),"","*")</f>
        <v/>
      </c>
      <c r="L57" s="338">
        <f>IF($A57&lt;=L$1,I57/I$4,"")</f>
        <v>4.6549731135269926E-5</v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 t="s">
        <v>422</v>
      </c>
      <c r="AF57" s="341" t="s">
        <v>439</v>
      </c>
    </row>
    <row r="58" spans="1:32">
      <c r="A58" s="307">
        <v>3</v>
      </c>
      <c r="B58" s="342"/>
      <c r="C58" s="342" t="s">
        <v>180</v>
      </c>
      <c r="D58" s="340" t="s">
        <v>383</v>
      </c>
      <c r="E58" s="342" t="s">
        <v>384</v>
      </c>
      <c r="F58" s="345" t="s">
        <v>373</v>
      </c>
      <c r="G58" s="308">
        <v>4</v>
      </c>
      <c r="H58" s="309">
        <v>4000</v>
      </c>
      <c r="I58" s="309">
        <v>16000</v>
      </c>
      <c r="J58" s="211"/>
      <c r="K58" s="212" t="str">
        <f>IF(OR(J58="",G58=J58),"","*")</f>
        <v/>
      </c>
      <c r="L58" s="338">
        <f>IF($A58&lt;=L$1,I58/I$4,"")</f>
        <v>2.979182792657275E-4</v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/>
      <c r="AF58" s="341" t="s">
        <v>440</v>
      </c>
    </row>
    <row r="59" spans="1:32">
      <c r="A59" s="307">
        <v>2</v>
      </c>
      <c r="B59" s="342"/>
      <c r="C59" s="342" t="s">
        <v>355</v>
      </c>
      <c r="D59" s="340" t="s">
        <v>441</v>
      </c>
      <c r="E59" s="342"/>
      <c r="F59" s="345" t="s">
        <v>173</v>
      </c>
      <c r="G59" s="308">
        <v>1</v>
      </c>
      <c r="H59" s="309">
        <v>600000</v>
      </c>
      <c r="I59" s="309">
        <v>600000</v>
      </c>
      <c r="J59" s="211">
        <v>1</v>
      </c>
      <c r="K59" s="212" t="str">
        <f>IF(OR(J59="",G59=J59),"","*")</f>
        <v/>
      </c>
      <c r="L59" s="338">
        <f>IF($A59&lt;=L$1,I59/I$4,"")</f>
        <v>1.1171935472464782E-2</v>
      </c>
      <c r="M59" s="343"/>
      <c r="N59" s="344" t="s">
        <v>442</v>
      </c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/>
      <c r="AF59" s="341"/>
    </row>
    <row r="60" spans="1:32">
      <c r="A60" s="307">
        <v>3</v>
      </c>
      <c r="B60" s="342"/>
      <c r="C60" s="342" t="s">
        <v>178</v>
      </c>
      <c r="D60" s="340" t="s">
        <v>443</v>
      </c>
      <c r="E60" s="342" t="s">
        <v>426</v>
      </c>
      <c r="F60" s="345" t="s">
        <v>173</v>
      </c>
      <c r="G60" s="308">
        <v>1</v>
      </c>
      <c r="H60" s="309">
        <v>600000</v>
      </c>
      <c r="I60" s="309">
        <v>600000</v>
      </c>
      <c r="J60" s="211"/>
      <c r="K60" s="212" t="str">
        <f>IF(OR(J60="",G60=J60),"","*")</f>
        <v/>
      </c>
      <c r="L60" s="338">
        <f>IF($A60&lt;=L$1,I60/I$4,"")</f>
        <v>1.1171935472464782E-2</v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 t="s">
        <v>427</v>
      </c>
      <c r="AF60" s="341"/>
    </row>
    <row r="61" spans="1:32">
      <c r="A61" s="307">
        <v>2</v>
      </c>
      <c r="B61" s="342"/>
      <c r="C61" s="342" t="s">
        <v>355</v>
      </c>
      <c r="D61" s="340" t="s">
        <v>444</v>
      </c>
      <c r="E61" s="342"/>
      <c r="F61" s="345" t="s">
        <v>173</v>
      </c>
      <c r="G61" s="308">
        <v>1</v>
      </c>
      <c r="H61" s="309">
        <v>300000</v>
      </c>
      <c r="I61" s="309">
        <v>300000</v>
      </c>
      <c r="J61" s="211">
        <v>1</v>
      </c>
      <c r="K61" s="212" t="str">
        <f>IF(OR(J61="",G61=J61),"","*")</f>
        <v/>
      </c>
      <c r="L61" s="338">
        <f>IF($A61&lt;=L$1,I61/I$4,"")</f>
        <v>5.5859677362323909E-3</v>
      </c>
      <c r="M61" s="343"/>
      <c r="N61" s="344" t="s">
        <v>445</v>
      </c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/>
      <c r="AF61" s="341"/>
    </row>
    <row r="62" spans="1:32">
      <c r="A62" s="307">
        <v>3</v>
      </c>
      <c r="B62" s="342"/>
      <c r="C62" s="342" t="s">
        <v>178</v>
      </c>
      <c r="D62" s="340" t="s">
        <v>446</v>
      </c>
      <c r="E62" s="342" t="s">
        <v>426</v>
      </c>
      <c r="F62" s="345" t="s">
        <v>173</v>
      </c>
      <c r="G62" s="308">
        <v>1</v>
      </c>
      <c r="H62" s="309">
        <v>300000</v>
      </c>
      <c r="I62" s="309">
        <v>300000</v>
      </c>
      <c r="J62" s="211"/>
      <c r="K62" s="212" t="str">
        <f>IF(OR(J62="",G62=J62),"","*")</f>
        <v/>
      </c>
      <c r="L62" s="338">
        <f>IF($A62&lt;=L$1,I62/I$4,"")</f>
        <v>5.5859677362323909E-3</v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 t="s">
        <v>427</v>
      </c>
      <c r="AF62" s="341"/>
    </row>
    <row r="63" spans="1:32">
      <c r="A63" s="307">
        <v>2</v>
      </c>
      <c r="B63" s="342"/>
      <c r="C63" s="342" t="s">
        <v>355</v>
      </c>
      <c r="D63" s="340" t="s">
        <v>447</v>
      </c>
      <c r="E63" s="342"/>
      <c r="F63" s="345" t="s">
        <v>172</v>
      </c>
      <c r="G63" s="308">
        <v>30</v>
      </c>
      <c r="H63" s="309">
        <v>51919</v>
      </c>
      <c r="I63" s="309">
        <v>1557570</v>
      </c>
      <c r="J63" s="211">
        <v>30</v>
      </c>
      <c r="K63" s="212" t="str">
        <f>IF(OR(J63="",G63=J63),"","*")</f>
        <v/>
      </c>
      <c r="L63" s="338">
        <f>IF($A63&lt;=L$1,I63/I$4,"")</f>
        <v>2.900178588974495E-2</v>
      </c>
      <c r="M63" s="343"/>
      <c r="N63" s="344" t="s">
        <v>448</v>
      </c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/>
      <c r="AF63" s="341"/>
    </row>
    <row r="64" spans="1:32">
      <c r="A64" s="307">
        <v>3</v>
      </c>
      <c r="B64" s="342"/>
      <c r="C64" s="342" t="s">
        <v>176</v>
      </c>
      <c r="D64" s="340" t="s">
        <v>407</v>
      </c>
      <c r="E64" s="342" t="s">
        <v>433</v>
      </c>
      <c r="F64" s="345" t="s">
        <v>172</v>
      </c>
      <c r="G64" s="308">
        <v>29.393000000000001</v>
      </c>
      <c r="H64" s="309">
        <v>24000</v>
      </c>
      <c r="I64" s="309">
        <v>705432</v>
      </c>
      <c r="J64" s="211"/>
      <c r="K64" s="212" t="str">
        <f>IF(OR(J64="",G64=J64),"","*")</f>
        <v/>
      </c>
      <c r="L64" s="338">
        <f>IF($A64&lt;=L$1,I64/I$4,"")</f>
        <v>1.3135067973686293E-2</v>
      </c>
      <c r="M64" s="343"/>
      <c r="N64" s="344"/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 t="s">
        <v>410</v>
      </c>
      <c r="AF64" s="341" t="s">
        <v>449</v>
      </c>
    </row>
    <row r="65" spans="1:32">
      <c r="A65" s="307">
        <v>3</v>
      </c>
      <c r="B65" s="342"/>
      <c r="C65" s="342" t="s">
        <v>176</v>
      </c>
      <c r="D65" s="340" t="s">
        <v>363</v>
      </c>
      <c r="E65" s="342"/>
      <c r="F65" s="345" t="s">
        <v>364</v>
      </c>
      <c r="G65" s="308">
        <v>50</v>
      </c>
      <c r="H65" s="309">
        <v>145</v>
      </c>
      <c r="I65" s="309">
        <v>7250</v>
      </c>
      <c r="J65" s="211"/>
      <c r="K65" s="212" t="str">
        <f>IF(OR(J65="",G65=J65),"","*")</f>
        <v/>
      </c>
      <c r="L65" s="338">
        <f>IF($A65&lt;=L$1,I65/I$4,"")</f>
        <v>1.3499422029228278E-4</v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 t="s">
        <v>365</v>
      </c>
      <c r="AF65" s="341" t="s">
        <v>435</v>
      </c>
    </row>
    <row r="66" spans="1:32">
      <c r="A66" s="307">
        <v>3</v>
      </c>
      <c r="B66" s="342"/>
      <c r="C66" s="342" t="s">
        <v>176</v>
      </c>
      <c r="D66" s="340" t="s">
        <v>436</v>
      </c>
      <c r="E66" s="342"/>
      <c r="F66" s="345" t="s">
        <v>173</v>
      </c>
      <c r="G66" s="308">
        <v>1</v>
      </c>
      <c r="H66" s="309">
        <v>50000</v>
      </c>
      <c r="I66" s="309">
        <v>50000</v>
      </c>
      <c r="J66" s="211"/>
      <c r="K66" s="212" t="str">
        <f>IF(OR(J66="",G66=J66),"","*")</f>
        <v/>
      </c>
      <c r="L66" s="338">
        <f>IF($A66&lt;=L$1,I66/I$4,"")</f>
        <v>9.3099462270539851E-4</v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 t="s">
        <v>365</v>
      </c>
      <c r="AF66" s="341" t="s">
        <v>404</v>
      </c>
    </row>
    <row r="67" spans="1:32">
      <c r="A67" s="307">
        <v>3</v>
      </c>
      <c r="B67" s="342"/>
      <c r="C67" s="342" t="s">
        <v>177</v>
      </c>
      <c r="D67" s="340" t="s">
        <v>367</v>
      </c>
      <c r="E67" s="342" t="s">
        <v>368</v>
      </c>
      <c r="F67" s="345" t="s">
        <v>369</v>
      </c>
      <c r="G67" s="308">
        <v>28</v>
      </c>
      <c r="H67" s="309">
        <v>23000</v>
      </c>
      <c r="I67" s="309">
        <v>644000</v>
      </c>
      <c r="J67" s="211"/>
      <c r="K67" s="212" t="str">
        <f>IF(OR(J67="",G67=J67),"","*")</f>
        <v/>
      </c>
      <c r="L67" s="338">
        <f>IF($A67&lt;=L$1,I67/I$4,"")</f>
        <v>1.1991210740445533E-2</v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/>
      <c r="AF67" s="341" t="s">
        <v>450</v>
      </c>
    </row>
    <row r="68" spans="1:32">
      <c r="A68" s="307">
        <v>3</v>
      </c>
      <c r="B68" s="342"/>
      <c r="C68" s="342" t="s">
        <v>179</v>
      </c>
      <c r="D68" s="340" t="s">
        <v>414</v>
      </c>
      <c r="E68" s="342"/>
      <c r="F68" s="345" t="s">
        <v>415</v>
      </c>
      <c r="G68" s="308">
        <v>3</v>
      </c>
      <c r="H68" s="309">
        <v>40000</v>
      </c>
      <c r="I68" s="309">
        <v>120000</v>
      </c>
      <c r="J68" s="211"/>
      <c r="K68" s="212" t="str">
        <f>IF(OR(J68="",G68=J68),"","*")</f>
        <v/>
      </c>
      <c r="L68" s="338">
        <f>IF($A68&lt;=L$1,I68/I$4,"")</f>
        <v>2.2343870944929564E-3</v>
      </c>
      <c r="M68" s="343"/>
      <c r="N68" s="344"/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 t="s">
        <v>416</v>
      </c>
      <c r="AF68" s="341" t="s">
        <v>451</v>
      </c>
    </row>
    <row r="69" spans="1:32">
      <c r="A69" s="307">
        <v>3</v>
      </c>
      <c r="B69" s="342"/>
      <c r="C69" s="342" t="s">
        <v>179</v>
      </c>
      <c r="D69" s="340" t="s">
        <v>418</v>
      </c>
      <c r="E69" s="342" t="s">
        <v>419</v>
      </c>
      <c r="F69" s="345" t="s">
        <v>373</v>
      </c>
      <c r="G69" s="308">
        <v>3</v>
      </c>
      <c r="H69" s="309">
        <v>1050</v>
      </c>
      <c r="I69" s="309">
        <v>3150</v>
      </c>
      <c r="J69" s="211"/>
      <c r="K69" s="212" t="str">
        <f>IF(OR(J69="",G69=J69),"","*")</f>
        <v/>
      </c>
      <c r="L69" s="338">
        <f>IF($A69&lt;=L$1,I69/I$4,"")</f>
        <v>5.8652661230440106E-5</v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 t="s">
        <v>420</v>
      </c>
      <c r="AF69" s="341" t="s">
        <v>452</v>
      </c>
    </row>
    <row r="70" spans="1:32">
      <c r="A70" s="307">
        <v>3</v>
      </c>
      <c r="B70" s="342"/>
      <c r="C70" s="342" t="s">
        <v>179</v>
      </c>
      <c r="D70" s="340" t="s">
        <v>421</v>
      </c>
      <c r="E70" s="342"/>
      <c r="F70" s="345" t="s">
        <v>373</v>
      </c>
      <c r="G70" s="308">
        <v>3</v>
      </c>
      <c r="H70" s="309">
        <v>1250</v>
      </c>
      <c r="I70" s="309">
        <v>3750</v>
      </c>
      <c r="J70" s="211"/>
      <c r="K70" s="212" t="str">
        <f>IF(OR(J70="",G70=J70),"","*")</f>
        <v/>
      </c>
      <c r="L70" s="338">
        <f>IF($A70&lt;=L$1,I70/I$4,"")</f>
        <v>6.9824596702904889E-5</v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/>
      <c r="T70" s="213" t="e">
        <v>#DIV/0!</v>
      </c>
      <c r="U70" s="214"/>
      <c r="V70" s="215"/>
      <c r="W70" s="310">
        <v>0</v>
      </c>
      <c r="X70" s="311">
        <v>0</v>
      </c>
      <c r="Y70" s="311">
        <v>0</v>
      </c>
      <c r="Z70" s="211">
        <v>0</v>
      </c>
      <c r="AA70" s="212"/>
      <c r="AB70" s="213" t="e">
        <v>#DIV/0!</v>
      </c>
      <c r="AC70" s="214"/>
      <c r="AD70" s="215"/>
      <c r="AE70" s="342" t="s">
        <v>422</v>
      </c>
      <c r="AF70" s="341" t="s">
        <v>452</v>
      </c>
    </row>
    <row r="71" spans="1:32">
      <c r="A71" s="307">
        <v>3</v>
      </c>
      <c r="B71" s="342"/>
      <c r="C71" s="342" t="s">
        <v>180</v>
      </c>
      <c r="D71" s="340" t="s">
        <v>383</v>
      </c>
      <c r="E71" s="342" t="s">
        <v>384</v>
      </c>
      <c r="F71" s="345" t="s">
        <v>373</v>
      </c>
      <c r="G71" s="308">
        <v>6</v>
      </c>
      <c r="H71" s="309">
        <v>4000</v>
      </c>
      <c r="I71" s="309">
        <v>24000</v>
      </c>
      <c r="J71" s="211"/>
      <c r="K71" s="212" t="str">
        <f>IF(OR(J71="",G71=J71),"","*")</f>
        <v/>
      </c>
      <c r="L71" s="338">
        <f>IF($A71&lt;=L$1,I71/I$4,"")</f>
        <v>4.4687741889859125E-4</v>
      </c>
      <c r="M71" s="343"/>
      <c r="N71" s="344"/>
      <c r="O71" s="310">
        <v>0</v>
      </c>
      <c r="P71" s="311">
        <v>0</v>
      </c>
      <c r="Q71" s="311">
        <v>0</v>
      </c>
      <c r="R71" s="211">
        <v>0</v>
      </c>
      <c r="S71" s="212"/>
      <c r="T71" s="213" t="e">
        <v>#DIV/0!</v>
      </c>
      <c r="U71" s="214"/>
      <c r="V71" s="215"/>
      <c r="W71" s="310">
        <v>0</v>
      </c>
      <c r="X71" s="311">
        <v>0</v>
      </c>
      <c r="Y71" s="311">
        <v>0</v>
      </c>
      <c r="Z71" s="211">
        <v>0</v>
      </c>
      <c r="AA71" s="212"/>
      <c r="AB71" s="213" t="e">
        <v>#DIV/0!</v>
      </c>
      <c r="AC71" s="214"/>
      <c r="AD71" s="215"/>
      <c r="AE71" s="342"/>
      <c r="AF71" s="341" t="s">
        <v>453</v>
      </c>
    </row>
    <row r="72" spans="1:32">
      <c r="A72" s="307">
        <v>2</v>
      </c>
      <c r="B72" s="342"/>
      <c r="C72" s="342" t="s">
        <v>355</v>
      </c>
      <c r="D72" s="340" t="s">
        <v>454</v>
      </c>
      <c r="E72" s="342"/>
      <c r="F72" s="345" t="s">
        <v>174</v>
      </c>
      <c r="G72" s="308">
        <v>20</v>
      </c>
      <c r="H72" s="309">
        <v>32700</v>
      </c>
      <c r="I72" s="309">
        <v>654000</v>
      </c>
      <c r="J72" s="211">
        <v>20</v>
      </c>
      <c r="K72" s="212" t="str">
        <f>IF(OR(J72="",G72=J72),"","*")</f>
        <v/>
      </c>
      <c r="L72" s="338">
        <f>IF($A72&lt;=L$1,I72/I$4,"")</f>
        <v>1.2177409664986613E-2</v>
      </c>
      <c r="M72" s="343"/>
      <c r="N72" s="344" t="s">
        <v>455</v>
      </c>
      <c r="O72" s="310">
        <v>0</v>
      </c>
      <c r="P72" s="311">
        <v>0</v>
      </c>
      <c r="Q72" s="311">
        <v>0</v>
      </c>
      <c r="R72" s="211">
        <v>0</v>
      </c>
      <c r="S72" s="212"/>
      <c r="T72" s="213" t="e">
        <v>#DIV/0!</v>
      </c>
      <c r="U72" s="214"/>
      <c r="V72" s="215"/>
      <c r="W72" s="310">
        <v>0</v>
      </c>
      <c r="X72" s="311">
        <v>0</v>
      </c>
      <c r="Y72" s="311">
        <v>0</v>
      </c>
      <c r="Z72" s="211">
        <v>0</v>
      </c>
      <c r="AA72" s="212"/>
      <c r="AB72" s="213" t="e">
        <v>#DIV/0!</v>
      </c>
      <c r="AC72" s="214"/>
      <c r="AD72" s="215"/>
      <c r="AE72" s="342"/>
      <c r="AF72" s="341"/>
    </row>
    <row r="73" spans="1:32">
      <c r="A73" s="307">
        <v>3</v>
      </c>
      <c r="B73" s="342"/>
      <c r="C73" s="342" t="s">
        <v>176</v>
      </c>
      <c r="D73" s="340" t="s">
        <v>456</v>
      </c>
      <c r="E73" s="342"/>
      <c r="F73" s="345" t="s">
        <v>457</v>
      </c>
      <c r="G73" s="308">
        <v>8</v>
      </c>
      <c r="H73" s="309">
        <v>18700</v>
      </c>
      <c r="I73" s="309">
        <v>149600</v>
      </c>
      <c r="J73" s="211"/>
      <c r="K73" s="212" t="str">
        <f>IF(OR(J73="",G73=J73),"","*")</f>
        <v/>
      </c>
      <c r="L73" s="338">
        <f>IF($A73&lt;=L$1,I73/I$4,"")</f>
        <v>2.7855359111345524E-3</v>
      </c>
      <c r="M73" s="343"/>
      <c r="N73" s="344"/>
      <c r="O73" s="310">
        <v>0</v>
      </c>
      <c r="P73" s="311">
        <v>0</v>
      </c>
      <c r="Q73" s="311">
        <v>0</v>
      </c>
      <c r="R73" s="211">
        <v>0</v>
      </c>
      <c r="S73" s="212"/>
      <c r="T73" s="213" t="e">
        <v>#DIV/0!</v>
      </c>
      <c r="U73" s="214"/>
      <c r="V73" s="215"/>
      <c r="W73" s="310">
        <v>0</v>
      </c>
      <c r="X73" s="311">
        <v>0</v>
      </c>
      <c r="Y73" s="311">
        <v>0</v>
      </c>
      <c r="Z73" s="211">
        <v>0</v>
      </c>
      <c r="AA73" s="212"/>
      <c r="AB73" s="213" t="e">
        <v>#DIV/0!</v>
      </c>
      <c r="AC73" s="214"/>
      <c r="AD73" s="215"/>
      <c r="AE73" s="342"/>
      <c r="AF73" s="341"/>
    </row>
    <row r="74" spans="1:32">
      <c r="A74" s="307">
        <v>3</v>
      </c>
      <c r="B74" s="342"/>
      <c r="C74" s="342" t="s">
        <v>176</v>
      </c>
      <c r="D74" s="340" t="s">
        <v>458</v>
      </c>
      <c r="E74" s="342"/>
      <c r="F74" s="345" t="s">
        <v>254</v>
      </c>
      <c r="G74" s="308">
        <v>8</v>
      </c>
      <c r="H74" s="309">
        <v>19300</v>
      </c>
      <c r="I74" s="309">
        <v>154400</v>
      </c>
      <c r="J74" s="211"/>
      <c r="K74" s="212" t="str">
        <f>IF(OR(J74="",G74=J74),"","*")</f>
        <v/>
      </c>
      <c r="L74" s="338">
        <f>IF($A74&lt;=L$1,I74/I$4,"")</f>
        <v>2.8749113949142705E-3</v>
      </c>
      <c r="M74" s="343"/>
      <c r="N74" s="344"/>
      <c r="O74" s="310">
        <v>0</v>
      </c>
      <c r="P74" s="311">
        <v>0</v>
      </c>
      <c r="Q74" s="311">
        <v>0</v>
      </c>
      <c r="R74" s="211">
        <v>0</v>
      </c>
      <c r="S74" s="212"/>
      <c r="T74" s="213" t="e">
        <v>#DIV/0!</v>
      </c>
      <c r="U74" s="214"/>
      <c r="V74" s="215"/>
      <c r="W74" s="310">
        <v>0</v>
      </c>
      <c r="X74" s="311">
        <v>0</v>
      </c>
      <c r="Y74" s="311">
        <v>0</v>
      </c>
      <c r="Z74" s="211">
        <v>0</v>
      </c>
      <c r="AA74" s="212"/>
      <c r="AB74" s="213" t="e">
        <v>#DIV/0!</v>
      </c>
      <c r="AC74" s="214"/>
      <c r="AD74" s="215"/>
      <c r="AE74" s="342"/>
      <c r="AF74" s="341"/>
    </row>
    <row r="75" spans="1:32">
      <c r="A75" s="307">
        <v>3</v>
      </c>
      <c r="B75" s="342"/>
      <c r="C75" s="342" t="s">
        <v>176</v>
      </c>
      <c r="D75" s="340" t="s">
        <v>459</v>
      </c>
      <c r="E75" s="342"/>
      <c r="F75" s="345" t="s">
        <v>457</v>
      </c>
      <c r="G75" s="308">
        <v>20</v>
      </c>
      <c r="H75" s="309">
        <v>6000</v>
      </c>
      <c r="I75" s="309">
        <v>120000</v>
      </c>
      <c r="J75" s="211"/>
      <c r="K75" s="212" t="str">
        <f>IF(OR(J75="",G75=J75),"","*")</f>
        <v/>
      </c>
      <c r="L75" s="338">
        <f>IF($A75&lt;=L$1,I75/I$4,"")</f>
        <v>2.2343870944929564E-3</v>
      </c>
      <c r="M75" s="343"/>
      <c r="N75" s="344"/>
      <c r="O75" s="310">
        <v>0</v>
      </c>
      <c r="P75" s="311">
        <v>0</v>
      </c>
      <c r="Q75" s="311">
        <v>0</v>
      </c>
      <c r="R75" s="211">
        <v>0</v>
      </c>
      <c r="S75" s="212"/>
      <c r="T75" s="213" t="e">
        <v>#DIV/0!</v>
      </c>
      <c r="U75" s="214"/>
      <c r="V75" s="215"/>
      <c r="W75" s="310">
        <v>0</v>
      </c>
      <c r="X75" s="311">
        <v>0</v>
      </c>
      <c r="Y75" s="311">
        <v>0</v>
      </c>
      <c r="Z75" s="211">
        <v>0</v>
      </c>
      <c r="AA75" s="212"/>
      <c r="AB75" s="213" t="e">
        <v>#DIV/0!</v>
      </c>
      <c r="AC75" s="214"/>
      <c r="AD75" s="215"/>
      <c r="AE75" s="342"/>
      <c r="AF75" s="341"/>
    </row>
    <row r="76" spans="1:32">
      <c r="A76" s="307">
        <v>3</v>
      </c>
      <c r="B76" s="342"/>
      <c r="C76" s="342" t="s">
        <v>180</v>
      </c>
      <c r="D76" s="340" t="s">
        <v>460</v>
      </c>
      <c r="E76" s="342"/>
      <c r="F76" s="345" t="s">
        <v>173</v>
      </c>
      <c r="G76" s="308">
        <v>1</v>
      </c>
      <c r="H76" s="309">
        <v>30000</v>
      </c>
      <c r="I76" s="309">
        <v>30000</v>
      </c>
      <c r="J76" s="211"/>
      <c r="K76" s="212" t="str">
        <f>IF(OR(J76="",G76=J76),"","*")</f>
        <v/>
      </c>
      <c r="L76" s="338">
        <f>IF($A76&lt;=L$1,I76/I$4,"")</f>
        <v>5.5859677362323911E-4</v>
      </c>
      <c r="M76" s="343"/>
      <c r="N76" s="344"/>
      <c r="O76" s="310">
        <v>0</v>
      </c>
      <c r="P76" s="311">
        <v>0</v>
      </c>
      <c r="Q76" s="311">
        <v>0</v>
      </c>
      <c r="R76" s="211">
        <v>0</v>
      </c>
      <c r="S76" s="212"/>
      <c r="T76" s="213" t="e">
        <v>#DIV/0!</v>
      </c>
      <c r="U76" s="214"/>
      <c r="V76" s="215"/>
      <c r="W76" s="310">
        <v>0</v>
      </c>
      <c r="X76" s="311">
        <v>0</v>
      </c>
      <c r="Y76" s="311">
        <v>0</v>
      </c>
      <c r="Z76" s="211">
        <v>0</v>
      </c>
      <c r="AA76" s="212"/>
      <c r="AB76" s="213" t="e">
        <v>#DIV/0!</v>
      </c>
      <c r="AC76" s="214"/>
      <c r="AD76" s="215"/>
      <c r="AE76" s="342"/>
      <c r="AF76" s="341"/>
    </row>
    <row r="77" spans="1:32">
      <c r="A77" s="307">
        <v>3</v>
      </c>
      <c r="B77" s="342"/>
      <c r="C77" s="342" t="s">
        <v>178</v>
      </c>
      <c r="D77" s="340" t="s">
        <v>461</v>
      </c>
      <c r="E77" s="342"/>
      <c r="F77" s="345" t="s">
        <v>369</v>
      </c>
      <c r="G77" s="308">
        <v>10</v>
      </c>
      <c r="H77" s="309">
        <v>20000</v>
      </c>
      <c r="I77" s="309">
        <v>200000</v>
      </c>
      <c r="J77" s="211"/>
      <c r="K77" s="212" t="str">
        <f>IF(OR(J77="",G77=J77),"","*")</f>
        <v/>
      </c>
      <c r="L77" s="338">
        <f>IF($A77&lt;=L$1,I77/I$4,"")</f>
        <v>3.7239784908215941E-3</v>
      </c>
      <c r="M77" s="343"/>
      <c r="N77" s="344"/>
      <c r="O77" s="310">
        <v>0</v>
      </c>
      <c r="P77" s="311">
        <v>0</v>
      </c>
      <c r="Q77" s="311">
        <v>0</v>
      </c>
      <c r="R77" s="211">
        <v>0</v>
      </c>
      <c r="S77" s="212"/>
      <c r="T77" s="213" t="e">
        <v>#DIV/0!</v>
      </c>
      <c r="U77" s="214"/>
      <c r="V77" s="215"/>
      <c r="W77" s="310">
        <v>0</v>
      </c>
      <c r="X77" s="311">
        <v>0</v>
      </c>
      <c r="Y77" s="311">
        <v>0</v>
      </c>
      <c r="Z77" s="211">
        <v>0</v>
      </c>
      <c r="AA77" s="212"/>
      <c r="AB77" s="213" t="e">
        <v>#DIV/0!</v>
      </c>
      <c r="AC77" s="214"/>
      <c r="AD77" s="215"/>
      <c r="AE77" s="342"/>
      <c r="AF77" s="341"/>
    </row>
    <row r="78" spans="1:32">
      <c r="A78" s="307">
        <v>2</v>
      </c>
      <c r="B78" s="342"/>
      <c r="C78" s="342" t="s">
        <v>355</v>
      </c>
      <c r="D78" s="340" t="s">
        <v>462</v>
      </c>
      <c r="E78" s="342"/>
      <c r="F78" s="345" t="s">
        <v>173</v>
      </c>
      <c r="G78" s="308">
        <v>1</v>
      </c>
      <c r="H78" s="309">
        <v>151200</v>
      </c>
      <c r="I78" s="309">
        <v>151200</v>
      </c>
      <c r="J78" s="211">
        <v>1</v>
      </c>
      <c r="K78" s="212" t="str">
        <f>IF(OR(J78="",G78=J78),"","*")</f>
        <v/>
      </c>
      <c r="L78" s="338">
        <f>IF($A78&lt;=L$1,I78/I$4,"")</f>
        <v>2.8153277390611251E-3</v>
      </c>
      <c r="M78" s="343"/>
      <c r="N78" s="344" t="s">
        <v>463</v>
      </c>
      <c r="O78" s="310">
        <v>0</v>
      </c>
      <c r="P78" s="311">
        <v>0</v>
      </c>
      <c r="Q78" s="311">
        <v>0</v>
      </c>
      <c r="R78" s="211">
        <v>0</v>
      </c>
      <c r="S78" s="212"/>
      <c r="T78" s="213" t="e">
        <v>#DIV/0!</v>
      </c>
      <c r="U78" s="214"/>
      <c r="V78" s="215"/>
      <c r="W78" s="310">
        <v>0</v>
      </c>
      <c r="X78" s="311">
        <v>0</v>
      </c>
      <c r="Y78" s="311">
        <v>0</v>
      </c>
      <c r="Z78" s="211">
        <v>0</v>
      </c>
      <c r="AA78" s="212"/>
      <c r="AB78" s="213" t="e">
        <v>#DIV/0!</v>
      </c>
      <c r="AC78" s="214"/>
      <c r="AD78" s="215"/>
      <c r="AE78" s="342"/>
      <c r="AF78" s="341"/>
    </row>
    <row r="79" spans="1:32">
      <c r="A79" s="307">
        <v>3</v>
      </c>
      <c r="B79" s="342"/>
      <c r="C79" s="342" t="s">
        <v>176</v>
      </c>
      <c r="D79" s="340" t="s">
        <v>363</v>
      </c>
      <c r="E79" s="342"/>
      <c r="F79" s="345" t="s">
        <v>364</v>
      </c>
      <c r="G79" s="308">
        <v>100</v>
      </c>
      <c r="H79" s="309">
        <v>145</v>
      </c>
      <c r="I79" s="309">
        <v>14500</v>
      </c>
      <c r="J79" s="211"/>
      <c r="K79" s="212" t="str">
        <f>IF(OR(J79="",G79=J79),"","*")</f>
        <v/>
      </c>
      <c r="L79" s="338">
        <f>IF($A79&lt;=L$1,I79/I$4,"")</f>
        <v>2.6998844058456555E-4</v>
      </c>
      <c r="M79" s="343"/>
      <c r="N79" s="344"/>
      <c r="O79" s="310">
        <v>0</v>
      </c>
      <c r="P79" s="311">
        <v>0</v>
      </c>
      <c r="Q79" s="311">
        <v>0</v>
      </c>
      <c r="R79" s="211">
        <v>0</v>
      </c>
      <c r="S79" s="212"/>
      <c r="T79" s="213" t="e">
        <v>#DIV/0!</v>
      </c>
      <c r="U79" s="214"/>
      <c r="V79" s="215"/>
      <c r="W79" s="310">
        <v>0</v>
      </c>
      <c r="X79" s="311">
        <v>0</v>
      </c>
      <c r="Y79" s="311">
        <v>0</v>
      </c>
      <c r="Z79" s="211">
        <v>0</v>
      </c>
      <c r="AA79" s="212"/>
      <c r="AB79" s="213" t="e">
        <v>#DIV/0!</v>
      </c>
      <c r="AC79" s="214"/>
      <c r="AD79" s="215"/>
      <c r="AE79" s="342" t="s">
        <v>365</v>
      </c>
      <c r="AF79" s="341" t="s">
        <v>404</v>
      </c>
    </row>
    <row r="80" spans="1:32">
      <c r="A80" s="307">
        <v>3</v>
      </c>
      <c r="B80" s="342"/>
      <c r="C80" s="342" t="s">
        <v>177</v>
      </c>
      <c r="D80" s="340" t="s">
        <v>367</v>
      </c>
      <c r="E80" s="342" t="s">
        <v>368</v>
      </c>
      <c r="F80" s="345" t="s">
        <v>369</v>
      </c>
      <c r="G80" s="308">
        <v>5</v>
      </c>
      <c r="H80" s="309">
        <v>23000</v>
      </c>
      <c r="I80" s="309">
        <v>115000</v>
      </c>
      <c r="J80" s="211"/>
      <c r="K80" s="212" t="str">
        <f>IF(OR(J80="",G80=J80),"","*")</f>
        <v/>
      </c>
      <c r="L80" s="338">
        <f>IF($A80&lt;=L$1,I80/I$4,"")</f>
        <v>2.1412876322224167E-3</v>
      </c>
      <c r="M80" s="343"/>
      <c r="N80" s="344"/>
      <c r="O80" s="310">
        <v>0</v>
      </c>
      <c r="P80" s="311">
        <v>0</v>
      </c>
      <c r="Q80" s="311">
        <v>0</v>
      </c>
      <c r="R80" s="211">
        <v>0</v>
      </c>
      <c r="S80" s="212"/>
      <c r="T80" s="213" t="e">
        <v>#DIV/0!</v>
      </c>
      <c r="U80" s="214"/>
      <c r="V80" s="215"/>
      <c r="W80" s="310">
        <v>0</v>
      </c>
      <c r="X80" s="311">
        <v>0</v>
      </c>
      <c r="Y80" s="311">
        <v>0</v>
      </c>
      <c r="Z80" s="211">
        <v>0</v>
      </c>
      <c r="AA80" s="212"/>
      <c r="AB80" s="213" t="e">
        <v>#DIV/0!</v>
      </c>
      <c r="AC80" s="214"/>
      <c r="AD80" s="215"/>
      <c r="AE80" s="342"/>
      <c r="AF80" s="341" t="s">
        <v>464</v>
      </c>
    </row>
    <row r="81" spans="1:32">
      <c r="A81" s="307">
        <v>3</v>
      </c>
      <c r="B81" s="342"/>
      <c r="C81" s="342" t="s">
        <v>179</v>
      </c>
      <c r="D81" s="340" t="s">
        <v>371</v>
      </c>
      <c r="E81" s="342" t="s">
        <v>372</v>
      </c>
      <c r="F81" s="345" t="s">
        <v>373</v>
      </c>
      <c r="G81" s="308">
        <v>1</v>
      </c>
      <c r="H81" s="309">
        <v>10800</v>
      </c>
      <c r="I81" s="309">
        <v>10800</v>
      </c>
      <c r="J81" s="211"/>
      <c r="K81" s="212" t="str">
        <f>IF(OR(J81="",G81=J81),"","*")</f>
        <v/>
      </c>
      <c r="L81" s="338">
        <f>IF($A81&lt;=L$1,I81/I$4,"")</f>
        <v>2.0109483850436609E-4</v>
      </c>
      <c r="M81" s="343"/>
      <c r="N81" s="344"/>
      <c r="O81" s="310">
        <v>0</v>
      </c>
      <c r="P81" s="311">
        <v>0</v>
      </c>
      <c r="Q81" s="311">
        <v>0</v>
      </c>
      <c r="R81" s="211">
        <v>0</v>
      </c>
      <c r="S81" s="212"/>
      <c r="T81" s="213" t="e">
        <v>#DIV/0!</v>
      </c>
      <c r="U81" s="214"/>
      <c r="V81" s="215"/>
      <c r="W81" s="310">
        <v>0</v>
      </c>
      <c r="X81" s="311">
        <v>0</v>
      </c>
      <c r="Y81" s="311">
        <v>0</v>
      </c>
      <c r="Z81" s="211">
        <v>0</v>
      </c>
      <c r="AA81" s="212"/>
      <c r="AB81" s="213" t="e">
        <v>#DIV/0!</v>
      </c>
      <c r="AC81" s="214"/>
      <c r="AD81" s="215"/>
      <c r="AE81" s="342"/>
      <c r="AF81" s="341" t="s">
        <v>374</v>
      </c>
    </row>
    <row r="82" spans="1:32">
      <c r="A82" s="307">
        <v>3</v>
      </c>
      <c r="B82" s="342"/>
      <c r="C82" s="342" t="s">
        <v>179</v>
      </c>
      <c r="D82" s="340" t="s">
        <v>395</v>
      </c>
      <c r="E82" s="342"/>
      <c r="F82" s="345" t="s">
        <v>373</v>
      </c>
      <c r="G82" s="308">
        <v>1</v>
      </c>
      <c r="H82" s="309">
        <v>1500</v>
      </c>
      <c r="I82" s="309">
        <v>1500</v>
      </c>
      <c r="J82" s="211"/>
      <c r="K82" s="212" t="str">
        <f>IF(OR(J82="",G82=J82),"","*")</f>
        <v/>
      </c>
      <c r="L82" s="338">
        <f>IF($A82&lt;=L$1,I82/I$4,"")</f>
        <v>2.7929838681161953E-5</v>
      </c>
      <c r="M82" s="343"/>
      <c r="N82" s="344"/>
      <c r="O82" s="310">
        <v>0</v>
      </c>
      <c r="P82" s="311">
        <v>0</v>
      </c>
      <c r="Q82" s="311">
        <v>0</v>
      </c>
      <c r="R82" s="211">
        <v>0</v>
      </c>
      <c r="S82" s="212"/>
      <c r="T82" s="213" t="e">
        <v>#DIV/0!</v>
      </c>
      <c r="U82" s="214"/>
      <c r="V82" s="215"/>
      <c r="W82" s="310">
        <v>0</v>
      </c>
      <c r="X82" s="311">
        <v>0</v>
      </c>
      <c r="Y82" s="311">
        <v>0</v>
      </c>
      <c r="Z82" s="211">
        <v>0</v>
      </c>
      <c r="AA82" s="212"/>
      <c r="AB82" s="213" t="e">
        <v>#DIV/0!</v>
      </c>
      <c r="AC82" s="214"/>
      <c r="AD82" s="215"/>
      <c r="AE82" s="342"/>
      <c r="AF82" s="341" t="s">
        <v>374</v>
      </c>
    </row>
    <row r="83" spans="1:32">
      <c r="A83" s="307">
        <v>3</v>
      </c>
      <c r="B83" s="342"/>
      <c r="C83" s="342" t="s">
        <v>179</v>
      </c>
      <c r="D83" s="340" t="s">
        <v>396</v>
      </c>
      <c r="E83" s="342"/>
      <c r="F83" s="345" t="s">
        <v>373</v>
      </c>
      <c r="G83" s="308">
        <v>1</v>
      </c>
      <c r="H83" s="309">
        <v>700</v>
      </c>
      <c r="I83" s="309">
        <v>700</v>
      </c>
      <c r="J83" s="211"/>
      <c r="K83" s="212" t="str">
        <f>IF(OR(J83="",G83=J83),"","*")</f>
        <v/>
      </c>
      <c r="L83" s="338">
        <f>IF($A83&lt;=L$1,I83/I$4,"")</f>
        <v>1.3033924717875579E-5</v>
      </c>
      <c r="M83" s="343"/>
      <c r="N83" s="344"/>
      <c r="O83" s="310">
        <v>0</v>
      </c>
      <c r="P83" s="311">
        <v>0</v>
      </c>
      <c r="Q83" s="311">
        <v>0</v>
      </c>
      <c r="R83" s="211">
        <v>0</v>
      </c>
      <c r="S83" s="212"/>
      <c r="T83" s="213" t="e">
        <v>#DIV/0!</v>
      </c>
      <c r="U83" s="214"/>
      <c r="V83" s="215"/>
      <c r="W83" s="310">
        <v>0</v>
      </c>
      <c r="X83" s="311">
        <v>0</v>
      </c>
      <c r="Y83" s="311">
        <v>0</v>
      </c>
      <c r="Z83" s="211">
        <v>0</v>
      </c>
      <c r="AA83" s="212"/>
      <c r="AB83" s="213" t="e">
        <v>#DIV/0!</v>
      </c>
      <c r="AC83" s="214"/>
      <c r="AD83" s="215"/>
      <c r="AE83" s="342"/>
      <c r="AF83" s="341" t="s">
        <v>374</v>
      </c>
    </row>
    <row r="84" spans="1:32">
      <c r="A84" s="307">
        <v>3</v>
      </c>
      <c r="B84" s="342"/>
      <c r="C84" s="342" t="s">
        <v>179</v>
      </c>
      <c r="D84" s="340" t="s">
        <v>397</v>
      </c>
      <c r="E84" s="342"/>
      <c r="F84" s="345" t="s">
        <v>373</v>
      </c>
      <c r="G84" s="308">
        <v>1</v>
      </c>
      <c r="H84" s="309">
        <v>700</v>
      </c>
      <c r="I84" s="309">
        <v>700</v>
      </c>
      <c r="J84" s="211"/>
      <c r="K84" s="212" t="str">
        <f>IF(OR(J84="",G84=J84),"","*")</f>
        <v/>
      </c>
      <c r="L84" s="338">
        <f>IF($A84&lt;=L$1,I84/I$4,"")</f>
        <v>1.3033924717875579E-5</v>
      </c>
      <c r="M84" s="343"/>
      <c r="N84" s="344"/>
      <c r="O84" s="310">
        <v>0</v>
      </c>
      <c r="P84" s="311">
        <v>0</v>
      </c>
      <c r="Q84" s="311">
        <v>0</v>
      </c>
      <c r="R84" s="211">
        <v>0</v>
      </c>
      <c r="S84" s="212"/>
      <c r="T84" s="213" t="e">
        <v>#DIV/0!</v>
      </c>
      <c r="U84" s="214"/>
      <c r="V84" s="215"/>
      <c r="W84" s="310">
        <v>0</v>
      </c>
      <c r="X84" s="311">
        <v>0</v>
      </c>
      <c r="Y84" s="311">
        <v>0</v>
      </c>
      <c r="Z84" s="211">
        <v>0</v>
      </c>
      <c r="AA84" s="212"/>
      <c r="AB84" s="213" t="e">
        <v>#DIV/0!</v>
      </c>
      <c r="AC84" s="214"/>
      <c r="AD84" s="215"/>
      <c r="AE84" s="342"/>
      <c r="AF84" s="341" t="s">
        <v>374</v>
      </c>
    </row>
    <row r="85" spans="1:32">
      <c r="A85" s="307">
        <v>3</v>
      </c>
      <c r="B85" s="342"/>
      <c r="C85" s="342" t="s">
        <v>180</v>
      </c>
      <c r="D85" s="340" t="s">
        <v>383</v>
      </c>
      <c r="E85" s="342" t="s">
        <v>384</v>
      </c>
      <c r="F85" s="345" t="s">
        <v>373</v>
      </c>
      <c r="G85" s="308">
        <v>2</v>
      </c>
      <c r="H85" s="309">
        <v>4000</v>
      </c>
      <c r="I85" s="309">
        <v>8000</v>
      </c>
      <c r="J85" s="211"/>
      <c r="K85" s="212" t="str">
        <f>IF(OR(J85="",G85=J85),"","*")</f>
        <v/>
      </c>
      <c r="L85" s="338">
        <f>IF($A85&lt;=L$1,I85/I$4,"")</f>
        <v>1.4895913963286375E-4</v>
      </c>
      <c r="M85" s="343"/>
      <c r="N85" s="344"/>
      <c r="O85" s="310">
        <v>0</v>
      </c>
      <c r="P85" s="311">
        <v>0</v>
      </c>
      <c r="Q85" s="311">
        <v>0</v>
      </c>
      <c r="R85" s="211">
        <v>0</v>
      </c>
      <c r="S85" s="212"/>
      <c r="T85" s="213" t="e">
        <v>#DIV/0!</v>
      </c>
      <c r="U85" s="214"/>
      <c r="V85" s="215"/>
      <c r="W85" s="310">
        <v>0</v>
      </c>
      <c r="X85" s="311">
        <v>0</v>
      </c>
      <c r="Y85" s="311">
        <v>0</v>
      </c>
      <c r="Z85" s="211">
        <v>0</v>
      </c>
      <c r="AA85" s="212"/>
      <c r="AB85" s="213" t="e">
        <v>#DIV/0!</v>
      </c>
      <c r="AC85" s="214"/>
      <c r="AD85" s="215"/>
      <c r="AE85" s="342"/>
      <c r="AF85" s="341" t="s">
        <v>382</v>
      </c>
    </row>
    <row r="86" spans="1:32">
      <c r="A86" s="307">
        <v>2</v>
      </c>
      <c r="B86" s="342"/>
      <c r="C86" s="342" t="s">
        <v>355</v>
      </c>
      <c r="D86" s="340" t="s">
        <v>465</v>
      </c>
      <c r="E86" s="342"/>
      <c r="F86" s="345" t="s">
        <v>173</v>
      </c>
      <c r="G86" s="308">
        <v>1</v>
      </c>
      <c r="H86" s="309">
        <v>2001440</v>
      </c>
      <c r="I86" s="309">
        <v>2001440</v>
      </c>
      <c r="J86" s="211">
        <v>1</v>
      </c>
      <c r="K86" s="212" t="str">
        <f>IF(OR(J86="",G86=J86),"","*")</f>
        <v/>
      </c>
      <c r="L86" s="338">
        <f>IF($A86&lt;=L$1,I86/I$4,"")</f>
        <v>3.7266597553349858E-2</v>
      </c>
      <c r="M86" s="343"/>
      <c r="N86" s="344" t="s">
        <v>466</v>
      </c>
      <c r="O86" s="310">
        <v>0</v>
      </c>
      <c r="P86" s="311">
        <v>0</v>
      </c>
      <c r="Q86" s="311">
        <v>0</v>
      </c>
      <c r="R86" s="211">
        <v>0</v>
      </c>
      <c r="S86" s="212"/>
      <c r="T86" s="213" t="e">
        <v>#DIV/0!</v>
      </c>
      <c r="U86" s="214"/>
      <c r="V86" s="215"/>
      <c r="W86" s="310">
        <v>0</v>
      </c>
      <c r="X86" s="311">
        <v>0</v>
      </c>
      <c r="Y86" s="311">
        <v>0</v>
      </c>
      <c r="Z86" s="211">
        <v>0</v>
      </c>
      <c r="AA86" s="212"/>
      <c r="AB86" s="213" t="e">
        <v>#DIV/0!</v>
      </c>
      <c r="AC86" s="214"/>
      <c r="AD86" s="215"/>
      <c r="AE86" s="342"/>
      <c r="AF86" s="341"/>
    </row>
    <row r="87" spans="1:32">
      <c r="A87" s="307">
        <v>3</v>
      </c>
      <c r="B87" s="342"/>
      <c r="C87" s="342" t="s">
        <v>180</v>
      </c>
      <c r="D87" s="340" t="s">
        <v>380</v>
      </c>
      <c r="E87" s="342" t="s">
        <v>381</v>
      </c>
      <c r="F87" s="345" t="s">
        <v>373</v>
      </c>
      <c r="G87" s="308">
        <v>15</v>
      </c>
      <c r="H87" s="309">
        <v>40000</v>
      </c>
      <c r="I87" s="309">
        <v>600000</v>
      </c>
      <c r="J87" s="211"/>
      <c r="K87" s="212" t="str">
        <f>IF(OR(J87="",G87=J87),"","*")</f>
        <v/>
      </c>
      <c r="L87" s="338">
        <f>IF($A87&lt;=L$1,I87/I$4,"")</f>
        <v>1.1171935472464782E-2</v>
      </c>
      <c r="M87" s="343"/>
      <c r="N87" s="344"/>
      <c r="O87" s="310">
        <v>0</v>
      </c>
      <c r="P87" s="311">
        <v>0</v>
      </c>
      <c r="Q87" s="311">
        <v>0</v>
      </c>
      <c r="R87" s="211">
        <v>0</v>
      </c>
      <c r="S87" s="212"/>
      <c r="T87" s="213" t="e">
        <v>#DIV/0!</v>
      </c>
      <c r="U87" s="214"/>
      <c r="V87" s="215"/>
      <c r="W87" s="310">
        <v>0</v>
      </c>
      <c r="X87" s="311">
        <v>0</v>
      </c>
      <c r="Y87" s="311">
        <v>0</v>
      </c>
      <c r="Z87" s="211">
        <v>0</v>
      </c>
      <c r="AA87" s="212"/>
      <c r="AB87" s="213" t="e">
        <v>#DIV/0!</v>
      </c>
      <c r="AC87" s="214"/>
      <c r="AD87" s="215"/>
      <c r="AE87" s="342"/>
      <c r="AF87" s="341" t="s">
        <v>467</v>
      </c>
    </row>
    <row r="88" spans="1:32">
      <c r="A88" s="307">
        <v>3</v>
      </c>
      <c r="B88" s="342"/>
      <c r="C88" s="342" t="s">
        <v>180</v>
      </c>
      <c r="D88" s="340" t="s">
        <v>468</v>
      </c>
      <c r="E88" s="342" t="s">
        <v>469</v>
      </c>
      <c r="F88" s="345" t="s">
        <v>373</v>
      </c>
      <c r="G88" s="308">
        <v>43</v>
      </c>
      <c r="H88" s="309">
        <v>7000</v>
      </c>
      <c r="I88" s="309">
        <v>301000</v>
      </c>
      <c r="J88" s="211"/>
      <c r="K88" s="212" t="str">
        <f>IF(OR(J88="",G88=J88),"","*")</f>
        <v/>
      </c>
      <c r="L88" s="338">
        <f>IF($A88&lt;=L$1,I88/I$4,"")</f>
        <v>5.604587628686499E-3</v>
      </c>
      <c r="M88" s="343"/>
      <c r="N88" s="344"/>
      <c r="O88" s="310">
        <v>0</v>
      </c>
      <c r="P88" s="311">
        <v>0</v>
      </c>
      <c r="Q88" s="311">
        <v>0</v>
      </c>
      <c r="R88" s="211">
        <v>0</v>
      </c>
      <c r="S88" s="212"/>
      <c r="T88" s="213" t="e">
        <v>#DIV/0!</v>
      </c>
      <c r="U88" s="214"/>
      <c r="V88" s="215"/>
      <c r="W88" s="310">
        <v>0</v>
      </c>
      <c r="X88" s="311">
        <v>0</v>
      </c>
      <c r="Y88" s="311">
        <v>0</v>
      </c>
      <c r="Z88" s="211">
        <v>0</v>
      </c>
      <c r="AA88" s="212"/>
      <c r="AB88" s="213" t="e">
        <v>#DIV/0!</v>
      </c>
      <c r="AC88" s="214"/>
      <c r="AD88" s="215"/>
      <c r="AE88" s="342" t="s">
        <v>470</v>
      </c>
      <c r="AF88" s="341" t="s">
        <v>471</v>
      </c>
    </row>
    <row r="89" spans="1:32">
      <c r="A89" s="307">
        <v>3</v>
      </c>
      <c r="B89" s="342"/>
      <c r="C89" s="342"/>
      <c r="D89" s="340" t="s">
        <v>387</v>
      </c>
      <c r="E89" s="342"/>
      <c r="F89" s="345" t="s">
        <v>173</v>
      </c>
      <c r="G89" s="308">
        <v>1</v>
      </c>
      <c r="H89" s="309">
        <v>1100440</v>
      </c>
      <c r="I89" s="309">
        <v>1100440</v>
      </c>
      <c r="J89" s="211"/>
      <c r="K89" s="212" t="str">
        <f>IF(OR(J89="",G89=J89),"","*")</f>
        <v/>
      </c>
      <c r="L89" s="338">
        <f>IF($A89&lt;=L$1,I89/I$4,"")</f>
        <v>2.0490074452198574E-2</v>
      </c>
      <c r="M89" s="343"/>
      <c r="N89" s="344" t="s">
        <v>388</v>
      </c>
      <c r="O89" s="310">
        <v>0</v>
      </c>
      <c r="P89" s="311">
        <v>0</v>
      </c>
      <c r="Q89" s="311">
        <v>0</v>
      </c>
      <c r="R89" s="211">
        <v>0</v>
      </c>
      <c r="S89" s="212"/>
      <c r="T89" s="213" t="e">
        <v>#DIV/0!</v>
      </c>
      <c r="U89" s="214"/>
      <c r="V89" s="215"/>
      <c r="W89" s="310">
        <v>0</v>
      </c>
      <c r="X89" s="311">
        <v>0</v>
      </c>
      <c r="Y89" s="311">
        <v>0</v>
      </c>
      <c r="Z89" s="211">
        <v>0</v>
      </c>
      <c r="AA89" s="212"/>
      <c r="AB89" s="213" t="e">
        <v>#DIV/0!</v>
      </c>
      <c r="AC89" s="214"/>
      <c r="AD89" s="215"/>
      <c r="AE89" s="342"/>
      <c r="AF89" s="341"/>
    </row>
    <row r="90" spans="1:32">
      <c r="A90" s="307">
        <v>2</v>
      </c>
      <c r="B90" s="342"/>
      <c r="C90" s="342" t="s">
        <v>355</v>
      </c>
      <c r="D90" s="340" t="s">
        <v>472</v>
      </c>
      <c r="E90" s="342" t="s">
        <v>175</v>
      </c>
      <c r="F90" s="345" t="s">
        <v>171</v>
      </c>
      <c r="G90" s="308">
        <v>0</v>
      </c>
      <c r="H90" s="309">
        <v>2057</v>
      </c>
      <c r="I90" s="309">
        <v>0</v>
      </c>
      <c r="J90" s="211">
        <v>338</v>
      </c>
      <c r="K90" s="212" t="str">
        <f>IF(OR(J90="",G90=J90),"","*")</f>
        <v>*</v>
      </c>
      <c r="L90" s="338">
        <f>IF($A90&lt;=L$1,I90/I$4,"")</f>
        <v>0</v>
      </c>
      <c r="M90" s="343"/>
      <c r="N90" s="344" t="s">
        <v>473</v>
      </c>
      <c r="O90" s="310">
        <v>0</v>
      </c>
      <c r="P90" s="311">
        <v>0</v>
      </c>
      <c r="Q90" s="311">
        <v>0</v>
      </c>
      <c r="R90" s="211">
        <v>0</v>
      </c>
      <c r="S90" s="212"/>
      <c r="T90" s="213" t="e">
        <v>#DIV/0!</v>
      </c>
      <c r="U90" s="214"/>
      <c r="V90" s="215"/>
      <c r="W90" s="310">
        <v>0</v>
      </c>
      <c r="X90" s="311">
        <v>0</v>
      </c>
      <c r="Y90" s="311">
        <v>0</v>
      </c>
      <c r="Z90" s="211">
        <v>0</v>
      </c>
      <c r="AA90" s="212"/>
      <c r="AB90" s="213" t="e">
        <v>#DIV/0!</v>
      </c>
      <c r="AC90" s="214"/>
      <c r="AD90" s="215"/>
      <c r="AE90" s="342"/>
      <c r="AF90" s="341"/>
    </row>
    <row r="91" spans="1:32">
      <c r="A91" s="307">
        <v>3</v>
      </c>
      <c r="B91" s="342"/>
      <c r="C91" s="342" t="s">
        <v>176</v>
      </c>
      <c r="D91" s="340" t="s">
        <v>474</v>
      </c>
      <c r="E91" s="342" t="s">
        <v>475</v>
      </c>
      <c r="F91" s="345" t="s">
        <v>377</v>
      </c>
      <c r="G91" s="308">
        <v>17</v>
      </c>
      <c r="H91" s="309">
        <v>20000</v>
      </c>
      <c r="I91" s="309">
        <v>340000</v>
      </c>
      <c r="J91" s="211"/>
      <c r="K91" s="212" t="str">
        <f>IF(OR(J91="",G91=J91),"","*")</f>
        <v/>
      </c>
      <c r="L91" s="338">
        <f>IF($A91&lt;=L$1,I91/I$4,"")</f>
        <v>6.3307634343967101E-3</v>
      </c>
      <c r="M91" s="343"/>
      <c r="N91" s="344"/>
      <c r="O91" s="310">
        <v>0</v>
      </c>
      <c r="P91" s="311">
        <v>0</v>
      </c>
      <c r="Q91" s="311">
        <v>0</v>
      </c>
      <c r="R91" s="211">
        <v>0</v>
      </c>
      <c r="S91" s="212"/>
      <c r="T91" s="213" t="e">
        <v>#DIV/0!</v>
      </c>
      <c r="U91" s="214"/>
      <c r="V91" s="215"/>
      <c r="W91" s="310">
        <v>0</v>
      </c>
      <c r="X91" s="311">
        <v>0</v>
      </c>
      <c r="Y91" s="311">
        <v>0</v>
      </c>
      <c r="Z91" s="211">
        <v>0</v>
      </c>
      <c r="AA91" s="212"/>
      <c r="AB91" s="213" t="e">
        <v>#DIV/0!</v>
      </c>
      <c r="AC91" s="214"/>
      <c r="AD91" s="215"/>
      <c r="AE91" s="342" t="s">
        <v>476</v>
      </c>
      <c r="AF91" s="341" t="s">
        <v>477</v>
      </c>
    </row>
    <row r="92" spans="1:32">
      <c r="A92" s="307">
        <v>3</v>
      </c>
      <c r="B92" s="342"/>
      <c r="C92" s="342" t="s">
        <v>176</v>
      </c>
      <c r="D92" s="340" t="s">
        <v>363</v>
      </c>
      <c r="E92" s="342"/>
      <c r="F92" s="345" t="s">
        <v>364</v>
      </c>
      <c r="G92" s="308">
        <v>200</v>
      </c>
      <c r="H92" s="309">
        <v>145</v>
      </c>
      <c r="I92" s="309">
        <v>29000</v>
      </c>
      <c r="J92" s="211"/>
      <c r="K92" s="212" t="str">
        <f>IF(OR(J92="",G92=J92),"","*")</f>
        <v/>
      </c>
      <c r="L92" s="338">
        <f>IF($A92&lt;=L$1,I92/I$4,"")</f>
        <v>5.3997688116913111E-4</v>
      </c>
      <c r="M92" s="343"/>
      <c r="N92" s="344"/>
      <c r="O92" s="310">
        <v>0</v>
      </c>
      <c r="P92" s="311">
        <v>0</v>
      </c>
      <c r="Q92" s="311">
        <v>0</v>
      </c>
      <c r="R92" s="211">
        <v>0</v>
      </c>
      <c r="S92" s="212"/>
      <c r="T92" s="213" t="e">
        <v>#DIV/0!</v>
      </c>
      <c r="U92" s="214"/>
      <c r="V92" s="215"/>
      <c r="W92" s="310">
        <v>0</v>
      </c>
      <c r="X92" s="311">
        <v>0</v>
      </c>
      <c r="Y92" s="311">
        <v>0</v>
      </c>
      <c r="Z92" s="211">
        <v>0</v>
      </c>
      <c r="AA92" s="212"/>
      <c r="AB92" s="213" t="e">
        <v>#DIV/0!</v>
      </c>
      <c r="AC92" s="214"/>
      <c r="AD92" s="215"/>
      <c r="AE92" s="342" t="s">
        <v>365</v>
      </c>
      <c r="AF92" s="341" t="s">
        <v>478</v>
      </c>
    </row>
    <row r="93" spans="1:32">
      <c r="A93" s="307">
        <v>3</v>
      </c>
      <c r="B93" s="342"/>
      <c r="C93" s="342" t="s">
        <v>177</v>
      </c>
      <c r="D93" s="340" t="s">
        <v>367</v>
      </c>
      <c r="E93" s="342" t="s">
        <v>368</v>
      </c>
      <c r="F93" s="345" t="s">
        <v>369</v>
      </c>
      <c r="G93" s="308">
        <v>10</v>
      </c>
      <c r="H93" s="309">
        <v>23000</v>
      </c>
      <c r="I93" s="309">
        <v>230000</v>
      </c>
      <c r="J93" s="211"/>
      <c r="K93" s="212" t="str">
        <f>IF(OR(J93="",G93=J93),"","*")</f>
        <v/>
      </c>
      <c r="L93" s="338">
        <f>IF($A93&lt;=L$1,I93/I$4,"")</f>
        <v>4.2825752644448335E-3</v>
      </c>
      <c r="M93" s="343"/>
      <c r="N93" s="344"/>
      <c r="O93" s="310">
        <v>0</v>
      </c>
      <c r="P93" s="311">
        <v>0</v>
      </c>
      <c r="Q93" s="311">
        <v>0</v>
      </c>
      <c r="R93" s="211">
        <v>0</v>
      </c>
      <c r="S93" s="212"/>
      <c r="T93" s="213" t="e">
        <v>#DIV/0!</v>
      </c>
      <c r="U93" s="214"/>
      <c r="V93" s="215"/>
      <c r="W93" s="310">
        <v>0</v>
      </c>
      <c r="X93" s="311">
        <v>0</v>
      </c>
      <c r="Y93" s="311">
        <v>0</v>
      </c>
      <c r="Z93" s="211">
        <v>0</v>
      </c>
      <c r="AA93" s="212"/>
      <c r="AB93" s="213" t="e">
        <v>#DIV/0!</v>
      </c>
      <c r="AC93" s="214"/>
      <c r="AD93" s="215"/>
      <c r="AE93" s="342"/>
      <c r="AF93" s="341" t="s">
        <v>479</v>
      </c>
    </row>
    <row r="94" spans="1:32">
      <c r="A94" s="307">
        <v>3</v>
      </c>
      <c r="B94" s="342"/>
      <c r="C94" s="342" t="s">
        <v>179</v>
      </c>
      <c r="D94" s="340" t="s">
        <v>371</v>
      </c>
      <c r="E94" s="342" t="s">
        <v>372</v>
      </c>
      <c r="F94" s="345" t="s">
        <v>373</v>
      </c>
      <c r="G94" s="308">
        <v>2</v>
      </c>
      <c r="H94" s="309">
        <v>10800</v>
      </c>
      <c r="I94" s="309">
        <v>21600</v>
      </c>
      <c r="J94" s="211"/>
      <c r="K94" s="212" t="str">
        <f>IF(OR(J94="",G94=J94),"","*")</f>
        <v/>
      </c>
      <c r="L94" s="338">
        <f>IF($A94&lt;=L$1,I94/I$4,"")</f>
        <v>4.0218967700873218E-4</v>
      </c>
      <c r="M94" s="343"/>
      <c r="N94" s="344"/>
      <c r="O94" s="310">
        <v>0</v>
      </c>
      <c r="P94" s="311">
        <v>0</v>
      </c>
      <c r="Q94" s="311">
        <v>0</v>
      </c>
      <c r="R94" s="211">
        <v>0</v>
      </c>
      <c r="S94" s="212"/>
      <c r="T94" s="213" t="e">
        <v>#DIV/0!</v>
      </c>
      <c r="U94" s="214"/>
      <c r="V94" s="215"/>
      <c r="W94" s="310">
        <v>0</v>
      </c>
      <c r="X94" s="311">
        <v>0</v>
      </c>
      <c r="Y94" s="311">
        <v>0</v>
      </c>
      <c r="Z94" s="211">
        <v>0</v>
      </c>
      <c r="AA94" s="212"/>
      <c r="AB94" s="213" t="e">
        <v>#DIV/0!</v>
      </c>
      <c r="AC94" s="214"/>
      <c r="AD94" s="215"/>
      <c r="AE94" s="342"/>
      <c r="AF94" s="341" t="s">
        <v>439</v>
      </c>
    </row>
    <row r="95" spans="1:32">
      <c r="A95" s="307">
        <v>3</v>
      </c>
      <c r="B95" s="342"/>
      <c r="C95" s="342" t="s">
        <v>179</v>
      </c>
      <c r="D95" s="340" t="s">
        <v>371</v>
      </c>
      <c r="E95" s="342" t="s">
        <v>394</v>
      </c>
      <c r="F95" s="345" t="s">
        <v>373</v>
      </c>
      <c r="G95" s="308">
        <v>2</v>
      </c>
      <c r="H95" s="309">
        <v>8000</v>
      </c>
      <c r="I95" s="309">
        <v>16000</v>
      </c>
      <c r="J95" s="211"/>
      <c r="K95" s="212" t="str">
        <f>IF(OR(J95="",G95=J95),"","*")</f>
        <v/>
      </c>
      <c r="L95" s="338">
        <f>IF($A95&lt;=L$1,I95/I$4,"")</f>
        <v>2.979182792657275E-4</v>
      </c>
      <c r="M95" s="343"/>
      <c r="N95" s="344"/>
      <c r="O95" s="310">
        <v>0</v>
      </c>
      <c r="P95" s="311">
        <v>0</v>
      </c>
      <c r="Q95" s="311">
        <v>0</v>
      </c>
      <c r="R95" s="211">
        <v>0</v>
      </c>
      <c r="S95" s="212"/>
      <c r="T95" s="213" t="e">
        <v>#DIV/0!</v>
      </c>
      <c r="U95" s="214"/>
      <c r="V95" s="215"/>
      <c r="W95" s="310">
        <v>0</v>
      </c>
      <c r="X95" s="311">
        <v>0</v>
      </c>
      <c r="Y95" s="311">
        <v>0</v>
      </c>
      <c r="Z95" s="211">
        <v>0</v>
      </c>
      <c r="AA95" s="212"/>
      <c r="AB95" s="213" t="e">
        <v>#DIV/0!</v>
      </c>
      <c r="AC95" s="214"/>
      <c r="AD95" s="215"/>
      <c r="AE95" s="342"/>
      <c r="AF95" s="341" t="s">
        <v>439</v>
      </c>
    </row>
    <row r="96" spans="1:32">
      <c r="A96" s="307">
        <v>3</v>
      </c>
      <c r="B96" s="342"/>
      <c r="C96" s="342" t="s">
        <v>179</v>
      </c>
      <c r="D96" s="340" t="s">
        <v>480</v>
      </c>
      <c r="E96" s="342" t="s">
        <v>481</v>
      </c>
      <c r="F96" s="345" t="s">
        <v>373</v>
      </c>
      <c r="G96" s="308">
        <v>2</v>
      </c>
      <c r="H96" s="309">
        <v>6800</v>
      </c>
      <c r="I96" s="309">
        <v>13600</v>
      </c>
      <c r="J96" s="211"/>
      <c r="K96" s="212" t="str">
        <f>IF(OR(J96="",G96=J96),"","*")</f>
        <v/>
      </c>
      <c r="L96" s="338">
        <f>IF($A96&lt;=L$1,I96/I$4,"")</f>
        <v>2.5323053737586837E-4</v>
      </c>
      <c r="M96" s="343"/>
      <c r="N96" s="344"/>
      <c r="O96" s="310">
        <v>0</v>
      </c>
      <c r="P96" s="311">
        <v>0</v>
      </c>
      <c r="Q96" s="311">
        <v>0</v>
      </c>
      <c r="R96" s="211">
        <v>0</v>
      </c>
      <c r="S96" s="212"/>
      <c r="T96" s="213" t="e">
        <v>#DIV/0!</v>
      </c>
      <c r="U96" s="214"/>
      <c r="V96" s="215"/>
      <c r="W96" s="310">
        <v>0</v>
      </c>
      <c r="X96" s="311">
        <v>0</v>
      </c>
      <c r="Y96" s="311">
        <v>0</v>
      </c>
      <c r="Z96" s="211">
        <v>0</v>
      </c>
      <c r="AA96" s="212"/>
      <c r="AB96" s="213" t="e">
        <v>#DIV/0!</v>
      </c>
      <c r="AC96" s="214"/>
      <c r="AD96" s="215"/>
      <c r="AE96" s="342"/>
      <c r="AF96" s="341" t="s">
        <v>439</v>
      </c>
    </row>
    <row r="97" spans="1:32">
      <c r="A97" s="307">
        <v>3</v>
      </c>
      <c r="B97" s="342"/>
      <c r="C97" s="342" t="s">
        <v>179</v>
      </c>
      <c r="D97" s="340" t="s">
        <v>395</v>
      </c>
      <c r="E97" s="342"/>
      <c r="F97" s="345" t="s">
        <v>373</v>
      </c>
      <c r="G97" s="308">
        <v>2</v>
      </c>
      <c r="H97" s="309">
        <v>1500</v>
      </c>
      <c r="I97" s="309">
        <v>3000</v>
      </c>
      <c r="J97" s="211"/>
      <c r="K97" s="212" t="str">
        <f>IF(OR(J97="",G97=J97),"","*")</f>
        <v/>
      </c>
      <c r="L97" s="338">
        <f>IF($A97&lt;=L$1,I97/I$4,"")</f>
        <v>5.5859677362323907E-5</v>
      </c>
      <c r="M97" s="343"/>
      <c r="N97" s="344"/>
      <c r="O97" s="310">
        <v>0</v>
      </c>
      <c r="P97" s="311">
        <v>0</v>
      </c>
      <c r="Q97" s="311">
        <v>0</v>
      </c>
      <c r="R97" s="211">
        <v>0</v>
      </c>
      <c r="S97" s="212"/>
      <c r="T97" s="213" t="e">
        <v>#DIV/0!</v>
      </c>
      <c r="U97" s="214"/>
      <c r="V97" s="215"/>
      <c r="W97" s="310">
        <v>0</v>
      </c>
      <c r="X97" s="311">
        <v>0</v>
      </c>
      <c r="Y97" s="311">
        <v>0</v>
      </c>
      <c r="Z97" s="211">
        <v>0</v>
      </c>
      <c r="AA97" s="212"/>
      <c r="AB97" s="213" t="e">
        <v>#DIV/0!</v>
      </c>
      <c r="AC97" s="214"/>
      <c r="AD97" s="215"/>
      <c r="AE97" s="342"/>
      <c r="AF97" s="341" t="s">
        <v>439</v>
      </c>
    </row>
    <row r="98" spans="1:32">
      <c r="A98" s="307">
        <v>3</v>
      </c>
      <c r="B98" s="342"/>
      <c r="C98" s="342" t="s">
        <v>179</v>
      </c>
      <c r="D98" s="340" t="s">
        <v>396</v>
      </c>
      <c r="E98" s="342"/>
      <c r="F98" s="345" t="s">
        <v>373</v>
      </c>
      <c r="G98" s="308">
        <v>2</v>
      </c>
      <c r="H98" s="309">
        <v>700</v>
      </c>
      <c r="I98" s="309">
        <v>1400</v>
      </c>
      <c r="J98" s="211"/>
      <c r="K98" s="212" t="str">
        <f>IF(OR(J98="",G98=J98),"","*")</f>
        <v/>
      </c>
      <c r="L98" s="338">
        <f>IF($A98&lt;=L$1,I98/I$4,"")</f>
        <v>2.6067849435751159E-5</v>
      </c>
      <c r="M98" s="343"/>
      <c r="N98" s="344"/>
      <c r="O98" s="310">
        <v>0</v>
      </c>
      <c r="P98" s="311">
        <v>0</v>
      </c>
      <c r="Q98" s="311">
        <v>0</v>
      </c>
      <c r="R98" s="211">
        <v>0</v>
      </c>
      <c r="S98" s="212"/>
      <c r="T98" s="213" t="e">
        <v>#DIV/0!</v>
      </c>
      <c r="U98" s="214"/>
      <c r="V98" s="215"/>
      <c r="W98" s="310">
        <v>0</v>
      </c>
      <c r="X98" s="311">
        <v>0</v>
      </c>
      <c r="Y98" s="311">
        <v>0</v>
      </c>
      <c r="Z98" s="211">
        <v>0</v>
      </c>
      <c r="AA98" s="212"/>
      <c r="AB98" s="213" t="e">
        <v>#DIV/0!</v>
      </c>
      <c r="AC98" s="214"/>
      <c r="AD98" s="215"/>
      <c r="AE98" s="342"/>
      <c r="AF98" s="341" t="s">
        <v>439</v>
      </c>
    </row>
    <row r="99" spans="1:32">
      <c r="A99" s="307">
        <v>3</v>
      </c>
      <c r="B99" s="342"/>
      <c r="C99" s="342" t="s">
        <v>179</v>
      </c>
      <c r="D99" s="340" t="s">
        <v>397</v>
      </c>
      <c r="E99" s="342"/>
      <c r="F99" s="345" t="s">
        <v>373</v>
      </c>
      <c r="G99" s="308">
        <v>2</v>
      </c>
      <c r="H99" s="309">
        <v>700</v>
      </c>
      <c r="I99" s="309">
        <v>1400</v>
      </c>
      <c r="J99" s="211"/>
      <c r="K99" s="212" t="str">
        <f>IF(OR(J99="",G99=J99),"","*")</f>
        <v/>
      </c>
      <c r="L99" s="338">
        <f>IF($A99&lt;=L$1,I99/I$4,"")</f>
        <v>2.6067849435751159E-5</v>
      </c>
      <c r="M99" s="343"/>
      <c r="N99" s="344"/>
      <c r="O99" s="310">
        <v>0</v>
      </c>
      <c r="P99" s="311">
        <v>0</v>
      </c>
      <c r="Q99" s="311">
        <v>0</v>
      </c>
      <c r="R99" s="211">
        <v>0</v>
      </c>
      <c r="S99" s="212"/>
      <c r="T99" s="213" t="e">
        <v>#DIV/0!</v>
      </c>
      <c r="U99" s="214"/>
      <c r="V99" s="215"/>
      <c r="W99" s="310">
        <v>0</v>
      </c>
      <c r="X99" s="311">
        <v>0</v>
      </c>
      <c r="Y99" s="311">
        <v>0</v>
      </c>
      <c r="Z99" s="211">
        <v>0</v>
      </c>
      <c r="AA99" s="212"/>
      <c r="AB99" s="213" t="e">
        <v>#DIV/0!</v>
      </c>
      <c r="AC99" s="214"/>
      <c r="AD99" s="215"/>
      <c r="AE99" s="342"/>
      <c r="AF99" s="341" t="s">
        <v>439</v>
      </c>
    </row>
    <row r="100" spans="1:32">
      <c r="A100" s="307">
        <v>3</v>
      </c>
      <c r="B100" s="342"/>
      <c r="C100" s="342" t="s">
        <v>180</v>
      </c>
      <c r="D100" s="340" t="s">
        <v>482</v>
      </c>
      <c r="E100" s="342"/>
      <c r="F100" s="345" t="s">
        <v>373</v>
      </c>
      <c r="G100" s="308">
        <v>2</v>
      </c>
      <c r="H100" s="309">
        <v>9800</v>
      </c>
      <c r="I100" s="309">
        <v>19600</v>
      </c>
      <c r="J100" s="211"/>
      <c r="K100" s="212" t="str">
        <f>IF(OR(J100="",G100=J100),"","*")</f>
        <v/>
      </c>
      <c r="L100" s="338">
        <f>IF($A100&lt;=L$1,I100/I$4,"")</f>
        <v>3.6494989210051623E-4</v>
      </c>
      <c r="M100" s="343"/>
      <c r="N100" s="344"/>
      <c r="O100" s="310">
        <v>0</v>
      </c>
      <c r="P100" s="311">
        <v>0</v>
      </c>
      <c r="Q100" s="311">
        <v>0</v>
      </c>
      <c r="R100" s="211">
        <v>0</v>
      </c>
      <c r="S100" s="212"/>
      <c r="T100" s="213" t="e">
        <v>#DIV/0!</v>
      </c>
      <c r="U100" s="214"/>
      <c r="V100" s="215"/>
      <c r="W100" s="310">
        <v>0</v>
      </c>
      <c r="X100" s="311">
        <v>0</v>
      </c>
      <c r="Y100" s="311">
        <v>0</v>
      </c>
      <c r="Z100" s="211">
        <v>0</v>
      </c>
      <c r="AA100" s="212"/>
      <c r="AB100" s="213" t="e">
        <v>#DIV/0!</v>
      </c>
      <c r="AC100" s="214"/>
      <c r="AD100" s="215"/>
      <c r="AE100" s="342"/>
      <c r="AF100" s="341" t="s">
        <v>439</v>
      </c>
    </row>
    <row r="101" spans="1:32">
      <c r="A101" s="307">
        <v>3</v>
      </c>
      <c r="B101" s="342"/>
      <c r="C101" s="342" t="s">
        <v>180</v>
      </c>
      <c r="D101" s="340" t="s">
        <v>383</v>
      </c>
      <c r="E101" s="342" t="s">
        <v>384</v>
      </c>
      <c r="F101" s="345" t="s">
        <v>373</v>
      </c>
      <c r="G101" s="308">
        <v>5</v>
      </c>
      <c r="H101" s="309">
        <v>4000</v>
      </c>
      <c r="I101" s="309">
        <v>20000</v>
      </c>
      <c r="J101" s="211"/>
      <c r="K101" s="212" t="str">
        <f>IF(OR(J101="",G101=J101),"","*")</f>
        <v/>
      </c>
      <c r="L101" s="338">
        <f>IF($A101&lt;=L$1,I101/I$4,"")</f>
        <v>3.7239784908215941E-4</v>
      </c>
      <c r="M101" s="343"/>
      <c r="N101" s="344"/>
      <c r="O101" s="310">
        <v>0</v>
      </c>
      <c r="P101" s="311">
        <v>0</v>
      </c>
      <c r="Q101" s="311">
        <v>0</v>
      </c>
      <c r="R101" s="211">
        <v>0</v>
      </c>
      <c r="S101" s="212"/>
      <c r="T101" s="213" t="e">
        <v>#DIV/0!</v>
      </c>
      <c r="U101" s="214"/>
      <c r="V101" s="215"/>
      <c r="W101" s="310">
        <v>0</v>
      </c>
      <c r="X101" s="311">
        <v>0</v>
      </c>
      <c r="Y101" s="311">
        <v>0</v>
      </c>
      <c r="Z101" s="211">
        <v>0</v>
      </c>
      <c r="AA101" s="212"/>
      <c r="AB101" s="213" t="e">
        <v>#DIV/0!</v>
      </c>
      <c r="AC101" s="214"/>
      <c r="AD101" s="215"/>
      <c r="AE101" s="342"/>
      <c r="AF101" s="341" t="s">
        <v>393</v>
      </c>
    </row>
    <row r="102" spans="1:32">
      <c r="A102" s="307">
        <v>2</v>
      </c>
      <c r="B102" s="342"/>
      <c r="C102" s="342" t="s">
        <v>355</v>
      </c>
      <c r="D102" s="340" t="s">
        <v>483</v>
      </c>
      <c r="E102" s="342" t="s">
        <v>310</v>
      </c>
      <c r="F102" s="345" t="s">
        <v>171</v>
      </c>
      <c r="G102" s="308">
        <v>0</v>
      </c>
      <c r="H102" s="309">
        <v>8996</v>
      </c>
      <c r="I102" s="309">
        <v>0</v>
      </c>
      <c r="J102" s="211">
        <v>264</v>
      </c>
      <c r="K102" s="212" t="str">
        <f>IF(OR(J102="",G102=J102),"","*")</f>
        <v>*</v>
      </c>
      <c r="L102" s="338">
        <f>IF($A102&lt;=L$1,I102/I$4,"")</f>
        <v>0</v>
      </c>
      <c r="M102" s="343"/>
      <c r="N102" s="344" t="s">
        <v>484</v>
      </c>
      <c r="O102" s="310">
        <v>0</v>
      </c>
      <c r="P102" s="311">
        <v>0</v>
      </c>
      <c r="Q102" s="311">
        <v>0</v>
      </c>
      <c r="R102" s="211">
        <v>0</v>
      </c>
      <c r="S102" s="212"/>
      <c r="T102" s="213" t="e">
        <v>#DIV/0!</v>
      </c>
      <c r="U102" s="214"/>
      <c r="V102" s="215"/>
      <c r="W102" s="310">
        <v>0</v>
      </c>
      <c r="X102" s="311">
        <v>0</v>
      </c>
      <c r="Y102" s="311">
        <v>0</v>
      </c>
      <c r="Z102" s="211">
        <v>0</v>
      </c>
      <c r="AA102" s="212"/>
      <c r="AB102" s="213" t="e">
        <v>#DIV/0!</v>
      </c>
      <c r="AC102" s="214"/>
      <c r="AD102" s="215"/>
      <c r="AE102" s="342"/>
      <c r="AF102" s="341"/>
    </row>
    <row r="103" spans="1:32">
      <c r="A103" s="307">
        <v>3</v>
      </c>
      <c r="B103" s="342"/>
      <c r="C103" s="342" t="s">
        <v>176</v>
      </c>
      <c r="D103" s="340" t="s">
        <v>400</v>
      </c>
      <c r="E103" s="342" t="s">
        <v>401</v>
      </c>
      <c r="F103" s="345" t="s">
        <v>172</v>
      </c>
      <c r="G103" s="308">
        <v>0</v>
      </c>
      <c r="H103" s="309">
        <v>2300</v>
      </c>
      <c r="I103" s="309">
        <v>0</v>
      </c>
      <c r="J103" s="211"/>
      <c r="K103" s="212" t="str">
        <f>IF(OR(J103="",G103=J103),"","*")</f>
        <v/>
      </c>
      <c r="L103" s="338">
        <f>IF($A103&lt;=L$1,I103/I$4,"")</f>
        <v>0</v>
      </c>
      <c r="M103" s="343"/>
      <c r="N103" s="344"/>
      <c r="O103" s="310">
        <v>0</v>
      </c>
      <c r="P103" s="311">
        <v>0</v>
      </c>
      <c r="Q103" s="311">
        <v>0</v>
      </c>
      <c r="R103" s="211">
        <v>0</v>
      </c>
      <c r="S103" s="212"/>
      <c r="T103" s="213" t="e">
        <v>#DIV/0!</v>
      </c>
      <c r="U103" s="214"/>
      <c r="V103" s="215"/>
      <c r="W103" s="310">
        <v>0</v>
      </c>
      <c r="X103" s="311">
        <v>0</v>
      </c>
      <c r="Y103" s="311">
        <v>0</v>
      </c>
      <c r="Z103" s="211">
        <v>0</v>
      </c>
      <c r="AA103" s="212"/>
      <c r="AB103" s="213" t="e">
        <v>#DIV/0!</v>
      </c>
      <c r="AC103" s="214"/>
      <c r="AD103" s="215"/>
      <c r="AE103" s="342" t="s">
        <v>402</v>
      </c>
      <c r="AF103" s="341" t="s">
        <v>485</v>
      </c>
    </row>
    <row r="104" spans="1:32">
      <c r="A104" s="307">
        <v>3</v>
      </c>
      <c r="B104" s="342"/>
      <c r="C104" s="342" t="s">
        <v>176</v>
      </c>
      <c r="D104" s="340" t="s">
        <v>486</v>
      </c>
      <c r="E104" s="342" t="s">
        <v>401</v>
      </c>
      <c r="F104" s="345" t="s">
        <v>487</v>
      </c>
      <c r="G104" s="308">
        <v>0</v>
      </c>
      <c r="H104" s="309">
        <v>9200</v>
      </c>
      <c r="I104" s="309">
        <v>0</v>
      </c>
      <c r="J104" s="211"/>
      <c r="K104" s="212" t="str">
        <f>IF(OR(J104="",G104=J104),"","*")</f>
        <v/>
      </c>
      <c r="L104" s="338">
        <f>IF($A104&lt;=L$1,I104/I$4,"")</f>
        <v>0</v>
      </c>
      <c r="M104" s="343"/>
      <c r="N104" s="344"/>
      <c r="O104" s="310">
        <v>0</v>
      </c>
      <c r="P104" s="311">
        <v>0</v>
      </c>
      <c r="Q104" s="311">
        <v>0</v>
      </c>
      <c r="R104" s="211">
        <v>0</v>
      </c>
      <c r="S104" s="212"/>
      <c r="T104" s="213" t="e">
        <v>#DIV/0!</v>
      </c>
      <c r="U104" s="214"/>
      <c r="V104" s="215"/>
      <c r="W104" s="310">
        <v>0</v>
      </c>
      <c r="X104" s="311">
        <v>0</v>
      </c>
      <c r="Y104" s="311">
        <v>0</v>
      </c>
      <c r="Z104" s="211">
        <v>0</v>
      </c>
      <c r="AA104" s="212"/>
      <c r="AB104" s="213" t="e">
        <v>#DIV/0!</v>
      </c>
      <c r="AC104" s="214"/>
      <c r="AD104" s="215"/>
      <c r="AE104" s="342" t="s">
        <v>488</v>
      </c>
      <c r="AF104" s="341" t="s">
        <v>489</v>
      </c>
    </row>
    <row r="105" spans="1:32">
      <c r="A105" s="307">
        <v>3</v>
      </c>
      <c r="B105" s="342"/>
      <c r="C105" s="342" t="s">
        <v>176</v>
      </c>
      <c r="D105" s="340" t="s">
        <v>490</v>
      </c>
      <c r="E105" s="342" t="s">
        <v>401</v>
      </c>
      <c r="F105" s="345" t="s">
        <v>487</v>
      </c>
      <c r="G105" s="308">
        <v>0</v>
      </c>
      <c r="H105" s="309">
        <v>9700</v>
      </c>
      <c r="I105" s="309">
        <v>0</v>
      </c>
      <c r="J105" s="211"/>
      <c r="K105" s="212" t="str">
        <f>IF(OR(J105="",G105=J105),"","*")</f>
        <v/>
      </c>
      <c r="L105" s="338">
        <f>IF($A105&lt;=L$1,I105/I$4,"")</f>
        <v>0</v>
      </c>
      <c r="M105" s="343"/>
      <c r="N105" s="344"/>
      <c r="O105" s="310">
        <v>0</v>
      </c>
      <c r="P105" s="311">
        <v>0</v>
      </c>
      <c r="Q105" s="311">
        <v>0</v>
      </c>
      <c r="R105" s="211">
        <v>0</v>
      </c>
      <c r="S105" s="212"/>
      <c r="T105" s="213" t="e">
        <v>#DIV/0!</v>
      </c>
      <c r="U105" s="214"/>
      <c r="V105" s="215"/>
      <c r="W105" s="310">
        <v>0</v>
      </c>
      <c r="X105" s="311">
        <v>0</v>
      </c>
      <c r="Y105" s="311">
        <v>0</v>
      </c>
      <c r="Z105" s="211">
        <v>0</v>
      </c>
      <c r="AA105" s="212"/>
      <c r="AB105" s="213" t="e">
        <v>#DIV/0!</v>
      </c>
      <c r="AC105" s="214"/>
      <c r="AD105" s="215"/>
      <c r="AE105" s="342" t="s">
        <v>491</v>
      </c>
      <c r="AF105" s="341" t="s">
        <v>489</v>
      </c>
    </row>
    <row r="106" spans="1:32">
      <c r="A106" s="307">
        <v>3</v>
      </c>
      <c r="B106" s="342"/>
      <c r="C106" s="342" t="s">
        <v>176</v>
      </c>
      <c r="D106" s="340" t="s">
        <v>492</v>
      </c>
      <c r="E106" s="342" t="s">
        <v>401</v>
      </c>
      <c r="F106" s="345" t="s">
        <v>487</v>
      </c>
      <c r="G106" s="308">
        <v>0</v>
      </c>
      <c r="H106" s="309">
        <v>10800</v>
      </c>
      <c r="I106" s="309">
        <v>0</v>
      </c>
      <c r="J106" s="211"/>
      <c r="K106" s="212" t="str">
        <f>IF(OR(J106="",G106=J106),"","*")</f>
        <v/>
      </c>
      <c r="L106" s="338">
        <f>IF($A106&lt;=L$1,I106/I$4,"")</f>
        <v>0</v>
      </c>
      <c r="M106" s="343"/>
      <c r="N106" s="344"/>
      <c r="O106" s="310">
        <v>0</v>
      </c>
      <c r="P106" s="311">
        <v>0</v>
      </c>
      <c r="Q106" s="311">
        <v>0</v>
      </c>
      <c r="R106" s="211">
        <v>0</v>
      </c>
      <c r="S106" s="212"/>
      <c r="T106" s="213" t="e">
        <v>#DIV/0!</v>
      </c>
      <c r="U106" s="214"/>
      <c r="V106" s="215"/>
      <c r="W106" s="310">
        <v>0</v>
      </c>
      <c r="X106" s="311">
        <v>0</v>
      </c>
      <c r="Y106" s="311">
        <v>0</v>
      </c>
      <c r="Z106" s="211">
        <v>0</v>
      </c>
      <c r="AA106" s="212"/>
      <c r="AB106" s="213" t="e">
        <v>#DIV/0!</v>
      </c>
      <c r="AC106" s="214"/>
      <c r="AD106" s="215"/>
      <c r="AE106" s="342" t="s">
        <v>493</v>
      </c>
      <c r="AF106" s="341" t="s">
        <v>489</v>
      </c>
    </row>
    <row r="107" spans="1:32">
      <c r="A107" s="307">
        <v>3</v>
      </c>
      <c r="B107" s="342"/>
      <c r="C107" s="342" t="s">
        <v>176</v>
      </c>
      <c r="D107" s="340" t="s">
        <v>494</v>
      </c>
      <c r="E107" s="342"/>
      <c r="F107" s="345" t="s">
        <v>364</v>
      </c>
      <c r="G107" s="308">
        <v>264</v>
      </c>
      <c r="H107" s="309">
        <v>103</v>
      </c>
      <c r="I107" s="309">
        <v>27192</v>
      </c>
      <c r="J107" s="211"/>
      <c r="K107" s="212" t="str">
        <f>IF(OR(J107="",G107=J107),"","*")</f>
        <v/>
      </c>
      <c r="L107" s="338">
        <f>IF($A107&lt;=L$1,I107/I$4,"")</f>
        <v>5.0631211561210396E-4</v>
      </c>
      <c r="M107" s="343"/>
      <c r="N107" s="344"/>
      <c r="O107" s="310">
        <v>0</v>
      </c>
      <c r="P107" s="311">
        <v>0</v>
      </c>
      <c r="Q107" s="311">
        <v>0</v>
      </c>
      <c r="R107" s="211">
        <v>0</v>
      </c>
      <c r="S107" s="212"/>
      <c r="T107" s="213" t="e">
        <v>#DIV/0!</v>
      </c>
      <c r="U107" s="214"/>
      <c r="V107" s="215"/>
      <c r="W107" s="310">
        <v>0</v>
      </c>
      <c r="X107" s="311">
        <v>0</v>
      </c>
      <c r="Y107" s="311">
        <v>0</v>
      </c>
      <c r="Z107" s="211">
        <v>0</v>
      </c>
      <c r="AA107" s="212"/>
      <c r="AB107" s="213" t="e">
        <v>#DIV/0!</v>
      </c>
      <c r="AC107" s="214"/>
      <c r="AD107" s="215"/>
      <c r="AE107" s="342" t="s">
        <v>495</v>
      </c>
      <c r="AF107" s="341" t="s">
        <v>496</v>
      </c>
    </row>
    <row r="108" spans="1:32">
      <c r="A108" s="307">
        <v>3</v>
      </c>
      <c r="B108" s="342"/>
      <c r="C108" s="342" t="s">
        <v>176</v>
      </c>
      <c r="D108" s="340" t="s">
        <v>497</v>
      </c>
      <c r="E108" s="342"/>
      <c r="F108" s="345" t="s">
        <v>364</v>
      </c>
      <c r="G108" s="308">
        <v>211.2</v>
      </c>
      <c r="H108" s="309">
        <v>210</v>
      </c>
      <c r="I108" s="309">
        <v>44352</v>
      </c>
      <c r="J108" s="211"/>
      <c r="K108" s="212" t="str">
        <f>IF(OR(J108="",G108=J108),"","*")</f>
        <v/>
      </c>
      <c r="L108" s="338">
        <f>IF($A108&lt;=L$1,I108/I$4,"")</f>
        <v>8.2582947012459673E-4</v>
      </c>
      <c r="M108" s="343"/>
      <c r="N108" s="344"/>
      <c r="O108" s="310">
        <v>0</v>
      </c>
      <c r="P108" s="311">
        <v>0</v>
      </c>
      <c r="Q108" s="311">
        <v>0</v>
      </c>
      <c r="R108" s="211">
        <v>0</v>
      </c>
      <c r="S108" s="212"/>
      <c r="T108" s="213" t="e">
        <v>#DIV/0!</v>
      </c>
      <c r="U108" s="214"/>
      <c r="V108" s="215"/>
      <c r="W108" s="310">
        <v>0</v>
      </c>
      <c r="X108" s="311">
        <v>0</v>
      </c>
      <c r="Y108" s="311">
        <v>0</v>
      </c>
      <c r="Z108" s="211">
        <v>0</v>
      </c>
      <c r="AA108" s="212"/>
      <c r="AB108" s="213" t="e">
        <v>#DIV/0!</v>
      </c>
      <c r="AC108" s="214"/>
      <c r="AD108" s="215"/>
      <c r="AE108" s="342" t="s">
        <v>498</v>
      </c>
      <c r="AF108" s="341" t="s">
        <v>499</v>
      </c>
    </row>
    <row r="109" spans="1:32">
      <c r="A109" s="307">
        <v>3</v>
      </c>
      <c r="B109" s="342"/>
      <c r="C109" s="342" t="s">
        <v>176</v>
      </c>
      <c r="D109" s="340" t="s">
        <v>500</v>
      </c>
      <c r="E109" s="342"/>
      <c r="F109" s="345" t="s">
        <v>172</v>
      </c>
      <c r="G109" s="308">
        <v>0.52800000000000002</v>
      </c>
      <c r="H109" s="309">
        <v>4000</v>
      </c>
      <c r="I109" s="309">
        <v>2112</v>
      </c>
      <c r="J109" s="211"/>
      <c r="K109" s="212" t="str">
        <f>IF(OR(J109="",G109=J109),"","*")</f>
        <v/>
      </c>
      <c r="L109" s="338">
        <f>IF($A109&lt;=L$1,I109/I$4,"")</f>
        <v>3.9325212863076029E-5</v>
      </c>
      <c r="M109" s="343"/>
      <c r="N109" s="344"/>
      <c r="O109" s="310">
        <v>0</v>
      </c>
      <c r="P109" s="311">
        <v>0</v>
      </c>
      <c r="Q109" s="311">
        <v>0</v>
      </c>
      <c r="R109" s="211">
        <v>0</v>
      </c>
      <c r="S109" s="212"/>
      <c r="T109" s="213" t="e">
        <v>#DIV/0!</v>
      </c>
      <c r="U109" s="214"/>
      <c r="V109" s="215"/>
      <c r="W109" s="310">
        <v>0</v>
      </c>
      <c r="X109" s="311">
        <v>0</v>
      </c>
      <c r="Y109" s="311">
        <v>0</v>
      </c>
      <c r="Z109" s="211">
        <v>0</v>
      </c>
      <c r="AA109" s="212"/>
      <c r="AB109" s="213" t="e">
        <v>#DIV/0!</v>
      </c>
      <c r="AC109" s="214"/>
      <c r="AD109" s="215"/>
      <c r="AE109" s="342" t="s">
        <v>501</v>
      </c>
      <c r="AF109" s="341" t="s">
        <v>502</v>
      </c>
    </row>
    <row r="110" spans="1:32">
      <c r="A110" s="307">
        <v>3</v>
      </c>
      <c r="B110" s="342"/>
      <c r="C110" s="342" t="s">
        <v>176</v>
      </c>
      <c r="D110" s="340" t="s">
        <v>363</v>
      </c>
      <c r="E110" s="342"/>
      <c r="F110" s="345" t="s">
        <v>503</v>
      </c>
      <c r="G110" s="308">
        <v>300</v>
      </c>
      <c r="H110" s="309">
        <v>145</v>
      </c>
      <c r="I110" s="309">
        <v>43500</v>
      </c>
      <c r="J110" s="211"/>
      <c r="K110" s="212" t="str">
        <f>IF(OR(J110="",G110=J110),"","*")</f>
        <v/>
      </c>
      <c r="L110" s="338">
        <f>IF($A110&lt;=L$1,I110/I$4,"")</f>
        <v>8.0996532175369666E-4</v>
      </c>
      <c r="M110" s="343"/>
      <c r="N110" s="344"/>
      <c r="O110" s="310">
        <v>0</v>
      </c>
      <c r="P110" s="311">
        <v>0</v>
      </c>
      <c r="Q110" s="311">
        <v>0</v>
      </c>
      <c r="R110" s="211">
        <v>0</v>
      </c>
      <c r="S110" s="212"/>
      <c r="T110" s="213" t="e">
        <v>#DIV/0!</v>
      </c>
      <c r="U110" s="214"/>
      <c r="V110" s="215"/>
      <c r="W110" s="310">
        <v>0</v>
      </c>
      <c r="X110" s="311">
        <v>0</v>
      </c>
      <c r="Y110" s="311">
        <v>0</v>
      </c>
      <c r="Z110" s="211">
        <v>0</v>
      </c>
      <c r="AA110" s="212"/>
      <c r="AB110" s="213" t="e">
        <v>#DIV/0!</v>
      </c>
      <c r="AC110" s="214"/>
      <c r="AD110" s="215"/>
      <c r="AE110" s="342" t="s">
        <v>365</v>
      </c>
      <c r="AF110" s="341" t="s">
        <v>504</v>
      </c>
    </row>
    <row r="111" spans="1:32">
      <c r="A111" s="307">
        <v>3</v>
      </c>
      <c r="B111" s="342"/>
      <c r="C111" s="342" t="s">
        <v>176</v>
      </c>
      <c r="D111" s="340" t="s">
        <v>505</v>
      </c>
      <c r="E111" s="342"/>
      <c r="F111" s="345" t="s">
        <v>503</v>
      </c>
      <c r="G111" s="308">
        <v>60</v>
      </c>
      <c r="H111" s="309">
        <v>165</v>
      </c>
      <c r="I111" s="309">
        <v>9900</v>
      </c>
      <c r="J111" s="211"/>
      <c r="K111" s="212" t="str">
        <f>IF(OR(J111="",G111=J111),"","*")</f>
        <v/>
      </c>
      <c r="L111" s="338">
        <f>IF($A111&lt;=L$1,I111/I$4,"")</f>
        <v>1.8433693529566891E-4</v>
      </c>
      <c r="M111" s="343"/>
      <c r="N111" s="344"/>
      <c r="O111" s="310">
        <v>0</v>
      </c>
      <c r="P111" s="311">
        <v>0</v>
      </c>
      <c r="Q111" s="311">
        <v>0</v>
      </c>
      <c r="R111" s="211">
        <v>0</v>
      </c>
      <c r="S111" s="212"/>
      <c r="T111" s="213" t="e">
        <v>#DIV/0!</v>
      </c>
      <c r="U111" s="214"/>
      <c r="V111" s="215"/>
      <c r="W111" s="310">
        <v>0</v>
      </c>
      <c r="X111" s="311">
        <v>0</v>
      </c>
      <c r="Y111" s="311">
        <v>0</v>
      </c>
      <c r="Z111" s="211">
        <v>0</v>
      </c>
      <c r="AA111" s="212"/>
      <c r="AB111" s="213" t="e">
        <v>#DIV/0!</v>
      </c>
      <c r="AC111" s="214"/>
      <c r="AD111" s="215"/>
      <c r="AE111" s="342" t="s">
        <v>506</v>
      </c>
      <c r="AF111" s="341" t="s">
        <v>507</v>
      </c>
    </row>
    <row r="112" spans="1:32">
      <c r="A112" s="307">
        <v>3</v>
      </c>
      <c r="B112" s="342"/>
      <c r="C112" s="342" t="s">
        <v>177</v>
      </c>
      <c r="D112" s="340" t="s">
        <v>367</v>
      </c>
      <c r="E112" s="342" t="s">
        <v>368</v>
      </c>
      <c r="F112" s="345" t="s">
        <v>369</v>
      </c>
      <c r="G112" s="308">
        <v>30</v>
      </c>
      <c r="H112" s="309">
        <v>23000</v>
      </c>
      <c r="I112" s="309">
        <v>690000</v>
      </c>
      <c r="J112" s="211"/>
      <c r="K112" s="212" t="str">
        <f>IF(OR(J112="",G112=J112),"","*")</f>
        <v/>
      </c>
      <c r="L112" s="338">
        <f>IF($A112&lt;=L$1,I112/I$4,"")</f>
        <v>1.28477257933345E-2</v>
      </c>
      <c r="M112" s="343"/>
      <c r="N112" s="344"/>
      <c r="O112" s="310">
        <v>0</v>
      </c>
      <c r="P112" s="311">
        <v>0</v>
      </c>
      <c r="Q112" s="311">
        <v>0</v>
      </c>
      <c r="R112" s="211">
        <v>0</v>
      </c>
      <c r="S112" s="212"/>
      <c r="T112" s="213" t="e">
        <v>#DIV/0!</v>
      </c>
      <c r="U112" s="214"/>
      <c r="V112" s="215"/>
      <c r="W112" s="310">
        <v>0</v>
      </c>
      <c r="X112" s="311">
        <v>0</v>
      </c>
      <c r="Y112" s="311">
        <v>0</v>
      </c>
      <c r="Z112" s="211">
        <v>0</v>
      </c>
      <c r="AA112" s="212"/>
      <c r="AB112" s="213" t="e">
        <v>#DIV/0!</v>
      </c>
      <c r="AC112" s="214"/>
      <c r="AD112" s="215"/>
      <c r="AE112" s="342"/>
      <c r="AF112" s="341" t="s">
        <v>508</v>
      </c>
    </row>
    <row r="113" spans="1:32">
      <c r="A113" s="307">
        <v>3</v>
      </c>
      <c r="B113" s="342"/>
      <c r="C113" s="342" t="s">
        <v>179</v>
      </c>
      <c r="D113" s="340" t="s">
        <v>509</v>
      </c>
      <c r="E113" s="342" t="s">
        <v>381</v>
      </c>
      <c r="F113" s="345" t="s">
        <v>373</v>
      </c>
      <c r="G113" s="308">
        <v>1</v>
      </c>
      <c r="H113" s="309">
        <v>40000</v>
      </c>
      <c r="I113" s="309">
        <v>40000</v>
      </c>
      <c r="J113" s="211"/>
      <c r="K113" s="212" t="str">
        <f>IF(OR(J113="",G113=J113),"","*")</f>
        <v/>
      </c>
      <c r="L113" s="338">
        <f>IF($A113&lt;=L$1,I113/I$4,"")</f>
        <v>7.4479569816431881E-4</v>
      </c>
      <c r="M113" s="343"/>
      <c r="N113" s="344"/>
      <c r="O113" s="310">
        <v>0</v>
      </c>
      <c r="P113" s="311">
        <v>0</v>
      </c>
      <c r="Q113" s="311">
        <v>0</v>
      </c>
      <c r="R113" s="211">
        <v>0</v>
      </c>
      <c r="S113" s="212"/>
      <c r="T113" s="213" t="e">
        <v>#DIV/0!</v>
      </c>
      <c r="U113" s="214"/>
      <c r="V113" s="215"/>
      <c r="W113" s="310">
        <v>0</v>
      </c>
      <c r="X113" s="311">
        <v>0</v>
      </c>
      <c r="Y113" s="311">
        <v>0</v>
      </c>
      <c r="Z113" s="211">
        <v>0</v>
      </c>
      <c r="AA113" s="212"/>
      <c r="AB113" s="213" t="e">
        <v>#DIV/0!</v>
      </c>
      <c r="AC113" s="214"/>
      <c r="AD113" s="215"/>
      <c r="AE113" s="342" t="s">
        <v>510</v>
      </c>
      <c r="AF113" s="341"/>
    </row>
    <row r="114" spans="1:32">
      <c r="A114" s="307">
        <v>3</v>
      </c>
      <c r="B114" s="342"/>
      <c r="C114" s="342" t="s">
        <v>179</v>
      </c>
      <c r="D114" s="340" t="s">
        <v>511</v>
      </c>
      <c r="E114" s="342" t="s">
        <v>381</v>
      </c>
      <c r="F114" s="345" t="s">
        <v>373</v>
      </c>
      <c r="G114" s="308">
        <v>1</v>
      </c>
      <c r="H114" s="309">
        <v>55000</v>
      </c>
      <c r="I114" s="309">
        <v>55000</v>
      </c>
      <c r="J114" s="211"/>
      <c r="K114" s="212" t="str">
        <f>IF(OR(J114="",G114=J114),"","*")</f>
        <v/>
      </c>
      <c r="L114" s="338">
        <f>IF($A114&lt;=L$1,I114/I$4,"")</f>
        <v>1.0240940849759383E-3</v>
      </c>
      <c r="M114" s="343"/>
      <c r="N114" s="344"/>
      <c r="O114" s="310">
        <v>0</v>
      </c>
      <c r="P114" s="311">
        <v>0</v>
      </c>
      <c r="Q114" s="311">
        <v>0</v>
      </c>
      <c r="R114" s="211">
        <v>0</v>
      </c>
      <c r="S114" s="212"/>
      <c r="T114" s="213" t="e">
        <v>#DIV/0!</v>
      </c>
      <c r="U114" s="214"/>
      <c r="V114" s="215"/>
      <c r="W114" s="310">
        <v>0</v>
      </c>
      <c r="X114" s="311">
        <v>0</v>
      </c>
      <c r="Y114" s="311">
        <v>0</v>
      </c>
      <c r="Z114" s="211">
        <v>0</v>
      </c>
      <c r="AA114" s="212"/>
      <c r="AB114" s="213" t="e">
        <v>#DIV/0!</v>
      </c>
      <c r="AC114" s="214"/>
      <c r="AD114" s="215"/>
      <c r="AE114" s="342" t="s">
        <v>512</v>
      </c>
      <c r="AF114" s="341"/>
    </row>
    <row r="115" spans="1:32">
      <c r="A115" s="307">
        <v>3</v>
      </c>
      <c r="B115" s="342"/>
      <c r="C115" s="342" t="s">
        <v>179</v>
      </c>
      <c r="D115" s="340" t="s">
        <v>513</v>
      </c>
      <c r="E115" s="342" t="s">
        <v>514</v>
      </c>
      <c r="F115" s="345" t="s">
        <v>373</v>
      </c>
      <c r="G115" s="308">
        <v>3</v>
      </c>
      <c r="H115" s="309">
        <v>45800</v>
      </c>
      <c r="I115" s="309">
        <v>137400</v>
      </c>
      <c r="J115" s="211"/>
      <c r="K115" s="212" t="str">
        <f>IF(OR(J115="",G115=J115),"","*")</f>
        <v/>
      </c>
      <c r="L115" s="338">
        <f>IF($A115&lt;=L$1,I115/I$4,"")</f>
        <v>2.5583732231944352E-3</v>
      </c>
      <c r="M115" s="343"/>
      <c r="N115" s="344"/>
      <c r="O115" s="310">
        <v>0</v>
      </c>
      <c r="P115" s="311">
        <v>0</v>
      </c>
      <c r="Q115" s="311">
        <v>0</v>
      </c>
      <c r="R115" s="211">
        <v>0</v>
      </c>
      <c r="S115" s="212"/>
      <c r="T115" s="213" t="e">
        <v>#DIV/0!</v>
      </c>
      <c r="U115" s="214"/>
      <c r="V115" s="215"/>
      <c r="W115" s="310">
        <v>0</v>
      </c>
      <c r="X115" s="311">
        <v>0</v>
      </c>
      <c r="Y115" s="311">
        <v>0</v>
      </c>
      <c r="Z115" s="211">
        <v>0</v>
      </c>
      <c r="AA115" s="212"/>
      <c r="AB115" s="213" t="e">
        <v>#DIV/0!</v>
      </c>
      <c r="AC115" s="214"/>
      <c r="AD115" s="215"/>
      <c r="AE115" s="342"/>
      <c r="AF115" s="341" t="s">
        <v>452</v>
      </c>
    </row>
    <row r="116" spans="1:32">
      <c r="A116" s="307">
        <v>3</v>
      </c>
      <c r="B116" s="342"/>
      <c r="C116" s="342" t="s">
        <v>179</v>
      </c>
      <c r="D116" s="340" t="s">
        <v>515</v>
      </c>
      <c r="E116" s="342" t="s">
        <v>516</v>
      </c>
      <c r="F116" s="345" t="s">
        <v>373</v>
      </c>
      <c r="G116" s="308">
        <v>3</v>
      </c>
      <c r="H116" s="309">
        <v>4600</v>
      </c>
      <c r="I116" s="309">
        <v>13800</v>
      </c>
      <c r="J116" s="211"/>
      <c r="K116" s="212" t="str">
        <f>IF(OR(J116="",G116=J116),"","*")</f>
        <v/>
      </c>
      <c r="L116" s="338">
        <f>IF($A116&lt;=L$1,I116/I$4,"")</f>
        <v>2.5695451586668996E-4</v>
      </c>
      <c r="M116" s="343"/>
      <c r="N116" s="344"/>
      <c r="O116" s="310">
        <v>0</v>
      </c>
      <c r="P116" s="311">
        <v>0</v>
      </c>
      <c r="Q116" s="311">
        <v>0</v>
      </c>
      <c r="R116" s="211">
        <v>0</v>
      </c>
      <c r="S116" s="212"/>
      <c r="T116" s="213" t="e">
        <v>#DIV/0!</v>
      </c>
      <c r="U116" s="214"/>
      <c r="V116" s="215"/>
      <c r="W116" s="310">
        <v>0</v>
      </c>
      <c r="X116" s="311">
        <v>0</v>
      </c>
      <c r="Y116" s="311">
        <v>0</v>
      </c>
      <c r="Z116" s="211">
        <v>0</v>
      </c>
      <c r="AA116" s="212"/>
      <c r="AB116" s="213" t="e">
        <v>#DIV/0!</v>
      </c>
      <c r="AC116" s="214"/>
      <c r="AD116" s="215"/>
      <c r="AE116" s="342"/>
      <c r="AF116" s="341" t="s">
        <v>452</v>
      </c>
    </row>
    <row r="117" spans="1:32">
      <c r="A117" s="307">
        <v>3</v>
      </c>
      <c r="B117" s="342"/>
      <c r="C117" s="342" t="s">
        <v>179</v>
      </c>
      <c r="D117" s="340" t="s">
        <v>480</v>
      </c>
      <c r="E117" s="342" t="s">
        <v>481</v>
      </c>
      <c r="F117" s="345" t="s">
        <v>373</v>
      </c>
      <c r="G117" s="308">
        <v>3</v>
      </c>
      <c r="H117" s="309">
        <v>6800</v>
      </c>
      <c r="I117" s="309">
        <v>20400</v>
      </c>
      <c r="J117" s="211"/>
      <c r="K117" s="212" t="str">
        <f>IF(OR(J117="",G117=J117),"","*")</f>
        <v/>
      </c>
      <c r="L117" s="338">
        <f>IF($A117&lt;=L$1,I117/I$4,"")</f>
        <v>3.7984580606380258E-4</v>
      </c>
      <c r="M117" s="343"/>
      <c r="N117" s="344"/>
      <c r="O117" s="310">
        <v>0</v>
      </c>
      <c r="P117" s="311">
        <v>0</v>
      </c>
      <c r="Q117" s="311">
        <v>0</v>
      </c>
      <c r="R117" s="211">
        <v>0</v>
      </c>
      <c r="S117" s="212"/>
      <c r="T117" s="213" t="e">
        <v>#DIV/0!</v>
      </c>
      <c r="U117" s="214"/>
      <c r="V117" s="215"/>
      <c r="W117" s="310">
        <v>0</v>
      </c>
      <c r="X117" s="311">
        <v>0</v>
      </c>
      <c r="Y117" s="311">
        <v>0</v>
      </c>
      <c r="Z117" s="211">
        <v>0</v>
      </c>
      <c r="AA117" s="212"/>
      <c r="AB117" s="213" t="e">
        <v>#DIV/0!</v>
      </c>
      <c r="AC117" s="214"/>
      <c r="AD117" s="215"/>
      <c r="AE117" s="342"/>
      <c r="AF117" s="341" t="s">
        <v>452</v>
      </c>
    </row>
    <row r="118" spans="1:32">
      <c r="A118" s="307">
        <v>3</v>
      </c>
      <c r="B118" s="342"/>
      <c r="C118" s="342" t="s">
        <v>179</v>
      </c>
      <c r="D118" s="340" t="s">
        <v>517</v>
      </c>
      <c r="E118" s="342" t="s">
        <v>372</v>
      </c>
      <c r="F118" s="345" t="s">
        <v>373</v>
      </c>
      <c r="G118" s="308">
        <v>3</v>
      </c>
      <c r="H118" s="309">
        <v>6600</v>
      </c>
      <c r="I118" s="309">
        <v>19800</v>
      </c>
      <c r="J118" s="211"/>
      <c r="K118" s="212" t="str">
        <f>IF(OR(J118="",G118=J118),"","*")</f>
        <v/>
      </c>
      <c r="L118" s="338">
        <f>IF($A118&lt;=L$1,I118/I$4,"")</f>
        <v>3.6867387059133782E-4</v>
      </c>
      <c r="M118" s="343"/>
      <c r="N118" s="344"/>
      <c r="O118" s="310">
        <v>0</v>
      </c>
      <c r="P118" s="311">
        <v>0</v>
      </c>
      <c r="Q118" s="311">
        <v>0</v>
      </c>
      <c r="R118" s="211">
        <v>0</v>
      </c>
      <c r="S118" s="212"/>
      <c r="T118" s="213" t="e">
        <v>#DIV/0!</v>
      </c>
      <c r="U118" s="214"/>
      <c r="V118" s="215"/>
      <c r="W118" s="310">
        <v>0</v>
      </c>
      <c r="X118" s="311">
        <v>0</v>
      </c>
      <c r="Y118" s="311">
        <v>0</v>
      </c>
      <c r="Z118" s="211">
        <v>0</v>
      </c>
      <c r="AA118" s="212"/>
      <c r="AB118" s="213" t="e">
        <v>#DIV/0!</v>
      </c>
      <c r="AC118" s="214"/>
      <c r="AD118" s="215"/>
      <c r="AE118" s="342"/>
      <c r="AF118" s="341" t="s">
        <v>452</v>
      </c>
    </row>
    <row r="119" spans="1:32">
      <c r="A119" s="307">
        <v>3</v>
      </c>
      <c r="B119" s="342"/>
      <c r="C119" s="342" t="s">
        <v>179</v>
      </c>
      <c r="D119" s="340" t="s">
        <v>395</v>
      </c>
      <c r="E119" s="342"/>
      <c r="F119" s="345" t="s">
        <v>373</v>
      </c>
      <c r="G119" s="308">
        <v>3</v>
      </c>
      <c r="H119" s="309">
        <v>1500</v>
      </c>
      <c r="I119" s="309">
        <v>4500</v>
      </c>
      <c r="J119" s="211"/>
      <c r="K119" s="212" t="str">
        <f>IF(OR(J119="",G119=J119),"","*")</f>
        <v/>
      </c>
      <c r="L119" s="338">
        <f>IF($A119&lt;=L$1,I119/I$4,"")</f>
        <v>8.3789516043485864E-5</v>
      </c>
      <c r="M119" s="343"/>
      <c r="N119" s="344"/>
      <c r="O119" s="310">
        <v>0</v>
      </c>
      <c r="P119" s="311">
        <v>0</v>
      </c>
      <c r="Q119" s="311">
        <v>0</v>
      </c>
      <c r="R119" s="211">
        <v>0</v>
      </c>
      <c r="S119" s="212"/>
      <c r="T119" s="213" t="e">
        <v>#DIV/0!</v>
      </c>
      <c r="U119" s="214"/>
      <c r="V119" s="215"/>
      <c r="W119" s="310">
        <v>0</v>
      </c>
      <c r="X119" s="311">
        <v>0</v>
      </c>
      <c r="Y119" s="311">
        <v>0</v>
      </c>
      <c r="Z119" s="211">
        <v>0</v>
      </c>
      <c r="AA119" s="212"/>
      <c r="AB119" s="213" t="e">
        <v>#DIV/0!</v>
      </c>
      <c r="AC119" s="214"/>
      <c r="AD119" s="215"/>
      <c r="AE119" s="342"/>
      <c r="AF119" s="341" t="s">
        <v>452</v>
      </c>
    </row>
    <row r="120" spans="1:32">
      <c r="A120" s="307">
        <v>3</v>
      </c>
      <c r="B120" s="342"/>
      <c r="C120" s="342" t="s">
        <v>179</v>
      </c>
      <c r="D120" s="340" t="s">
        <v>396</v>
      </c>
      <c r="E120" s="342"/>
      <c r="F120" s="345" t="s">
        <v>373</v>
      </c>
      <c r="G120" s="308">
        <v>3</v>
      </c>
      <c r="H120" s="309">
        <v>700</v>
      </c>
      <c r="I120" s="309">
        <v>2100</v>
      </c>
      <c r="J120" s="211"/>
      <c r="K120" s="212" t="str">
        <f>IF(OR(J120="",G120=J120),"","*")</f>
        <v/>
      </c>
      <c r="L120" s="338">
        <f>IF($A120&lt;=L$1,I120/I$4,"")</f>
        <v>3.9101774153626739E-5</v>
      </c>
      <c r="M120" s="343"/>
      <c r="N120" s="344"/>
      <c r="O120" s="310">
        <v>0</v>
      </c>
      <c r="P120" s="311">
        <v>0</v>
      </c>
      <c r="Q120" s="311">
        <v>0</v>
      </c>
      <c r="R120" s="211">
        <v>0</v>
      </c>
      <c r="S120" s="212"/>
      <c r="T120" s="213" t="e">
        <v>#DIV/0!</v>
      </c>
      <c r="U120" s="214"/>
      <c r="V120" s="215"/>
      <c r="W120" s="310">
        <v>0</v>
      </c>
      <c r="X120" s="311">
        <v>0</v>
      </c>
      <c r="Y120" s="311">
        <v>0</v>
      </c>
      <c r="Z120" s="211">
        <v>0</v>
      </c>
      <c r="AA120" s="212"/>
      <c r="AB120" s="213" t="e">
        <v>#DIV/0!</v>
      </c>
      <c r="AC120" s="214"/>
      <c r="AD120" s="215"/>
      <c r="AE120" s="342"/>
      <c r="AF120" s="341" t="s">
        <v>452</v>
      </c>
    </row>
    <row r="121" spans="1:32">
      <c r="A121" s="307">
        <v>3</v>
      </c>
      <c r="B121" s="342"/>
      <c r="C121" s="342" t="s">
        <v>179</v>
      </c>
      <c r="D121" s="340" t="s">
        <v>397</v>
      </c>
      <c r="E121" s="342"/>
      <c r="F121" s="345" t="s">
        <v>373</v>
      </c>
      <c r="G121" s="308">
        <v>3</v>
      </c>
      <c r="H121" s="309">
        <v>700</v>
      </c>
      <c r="I121" s="309">
        <v>2100</v>
      </c>
      <c r="J121" s="211"/>
      <c r="K121" s="212" t="str">
        <f>IF(OR(J121="",G121=J121),"","*")</f>
        <v/>
      </c>
      <c r="L121" s="338">
        <f>IF($A121&lt;=L$1,I121/I$4,"")</f>
        <v>3.9101774153626739E-5</v>
      </c>
      <c r="M121" s="343"/>
      <c r="N121" s="344"/>
      <c r="O121" s="310">
        <v>0</v>
      </c>
      <c r="P121" s="311">
        <v>0</v>
      </c>
      <c r="Q121" s="311">
        <v>0</v>
      </c>
      <c r="R121" s="211">
        <v>0</v>
      </c>
      <c r="S121" s="212"/>
      <c r="T121" s="213" t="e">
        <v>#DIV/0!</v>
      </c>
      <c r="U121" s="214"/>
      <c r="V121" s="215"/>
      <c r="W121" s="310">
        <v>0</v>
      </c>
      <c r="X121" s="311">
        <v>0</v>
      </c>
      <c r="Y121" s="311">
        <v>0</v>
      </c>
      <c r="Z121" s="211">
        <v>0</v>
      </c>
      <c r="AA121" s="212"/>
      <c r="AB121" s="213" t="e">
        <v>#DIV/0!</v>
      </c>
      <c r="AC121" s="214"/>
      <c r="AD121" s="215"/>
      <c r="AE121" s="342"/>
      <c r="AF121" s="341" t="s">
        <v>452</v>
      </c>
    </row>
    <row r="122" spans="1:32">
      <c r="A122" s="307">
        <v>3</v>
      </c>
      <c r="B122" s="342"/>
      <c r="C122" s="342" t="s">
        <v>179</v>
      </c>
      <c r="D122" s="340" t="s">
        <v>518</v>
      </c>
      <c r="E122" s="342" t="s">
        <v>516</v>
      </c>
      <c r="F122" s="345" t="s">
        <v>373</v>
      </c>
      <c r="G122" s="308">
        <v>3</v>
      </c>
      <c r="H122" s="309">
        <v>12800</v>
      </c>
      <c r="I122" s="309">
        <v>38400</v>
      </c>
      <c r="J122" s="211"/>
      <c r="K122" s="212" t="str">
        <f>IF(OR(J122="",G122=J122),"","*")</f>
        <v/>
      </c>
      <c r="L122" s="338">
        <f>IF($A122&lt;=L$1,I122/I$4,"")</f>
        <v>7.1500387023774609E-4</v>
      </c>
      <c r="M122" s="343"/>
      <c r="N122" s="344"/>
      <c r="O122" s="310">
        <v>0</v>
      </c>
      <c r="P122" s="311">
        <v>0</v>
      </c>
      <c r="Q122" s="311">
        <v>0</v>
      </c>
      <c r="R122" s="211">
        <v>0</v>
      </c>
      <c r="S122" s="212"/>
      <c r="T122" s="213" t="e">
        <v>#DIV/0!</v>
      </c>
      <c r="U122" s="214"/>
      <c r="V122" s="215"/>
      <c r="W122" s="310">
        <v>0</v>
      </c>
      <c r="X122" s="311">
        <v>0</v>
      </c>
      <c r="Y122" s="311">
        <v>0</v>
      </c>
      <c r="Z122" s="211">
        <v>0</v>
      </c>
      <c r="AA122" s="212"/>
      <c r="AB122" s="213" t="e">
        <v>#DIV/0!</v>
      </c>
      <c r="AC122" s="214"/>
      <c r="AD122" s="215"/>
      <c r="AE122" s="342"/>
      <c r="AF122" s="341" t="s">
        <v>452</v>
      </c>
    </row>
    <row r="123" spans="1:32">
      <c r="A123" s="307">
        <v>3</v>
      </c>
      <c r="B123" s="342"/>
      <c r="C123" s="342" t="s">
        <v>180</v>
      </c>
      <c r="D123" s="340" t="s">
        <v>482</v>
      </c>
      <c r="E123" s="342"/>
      <c r="F123" s="345" t="s">
        <v>373</v>
      </c>
      <c r="G123" s="308">
        <v>6</v>
      </c>
      <c r="H123" s="309">
        <v>9800</v>
      </c>
      <c r="I123" s="309">
        <v>58800</v>
      </c>
      <c r="J123" s="211"/>
      <c r="K123" s="212" t="str">
        <f>IF(OR(J123="",G123=J123),"","*")</f>
        <v/>
      </c>
      <c r="L123" s="338">
        <f>IF($A123&lt;=L$1,I123/I$4,"")</f>
        <v>1.0948496763015486E-3</v>
      </c>
      <c r="M123" s="343"/>
      <c r="N123" s="344"/>
      <c r="O123" s="310">
        <v>0</v>
      </c>
      <c r="P123" s="311">
        <v>0</v>
      </c>
      <c r="Q123" s="311">
        <v>0</v>
      </c>
      <c r="R123" s="211">
        <v>0</v>
      </c>
      <c r="S123" s="212"/>
      <c r="T123" s="213" t="e">
        <v>#DIV/0!</v>
      </c>
      <c r="U123" s="214"/>
      <c r="V123" s="215"/>
      <c r="W123" s="310">
        <v>0</v>
      </c>
      <c r="X123" s="311">
        <v>0</v>
      </c>
      <c r="Y123" s="311">
        <v>0</v>
      </c>
      <c r="Z123" s="211">
        <v>0</v>
      </c>
      <c r="AA123" s="212"/>
      <c r="AB123" s="213" t="e">
        <v>#DIV/0!</v>
      </c>
      <c r="AC123" s="214"/>
      <c r="AD123" s="215"/>
      <c r="AE123" s="342"/>
      <c r="AF123" s="341" t="s">
        <v>453</v>
      </c>
    </row>
    <row r="124" spans="1:32">
      <c r="A124" s="307">
        <v>3</v>
      </c>
      <c r="B124" s="342"/>
      <c r="C124" s="342" t="s">
        <v>180</v>
      </c>
      <c r="D124" s="340" t="s">
        <v>383</v>
      </c>
      <c r="E124" s="342" t="s">
        <v>384</v>
      </c>
      <c r="F124" s="345" t="s">
        <v>373</v>
      </c>
      <c r="G124" s="308">
        <v>9</v>
      </c>
      <c r="H124" s="309">
        <v>4000</v>
      </c>
      <c r="I124" s="309">
        <v>36000</v>
      </c>
      <c r="J124" s="211"/>
      <c r="K124" s="212" t="str">
        <f>IF(OR(J124="",G124=J124),"","*")</f>
        <v/>
      </c>
      <c r="L124" s="338">
        <f>IF($A124&lt;=L$1,I124/I$4,"")</f>
        <v>6.7031612834788691E-4</v>
      </c>
      <c r="M124" s="343"/>
      <c r="N124" s="344"/>
      <c r="O124" s="310">
        <v>0</v>
      </c>
      <c r="P124" s="311">
        <v>0</v>
      </c>
      <c r="Q124" s="311">
        <v>0</v>
      </c>
      <c r="R124" s="211">
        <v>0</v>
      </c>
      <c r="S124" s="212"/>
      <c r="T124" s="213" t="e">
        <v>#DIV/0!</v>
      </c>
      <c r="U124" s="214"/>
      <c r="V124" s="215"/>
      <c r="W124" s="310">
        <v>0</v>
      </c>
      <c r="X124" s="311">
        <v>0</v>
      </c>
      <c r="Y124" s="311">
        <v>0</v>
      </c>
      <c r="Z124" s="211">
        <v>0</v>
      </c>
      <c r="AA124" s="212"/>
      <c r="AB124" s="213" t="e">
        <v>#DIV/0!</v>
      </c>
      <c r="AC124" s="214"/>
      <c r="AD124" s="215"/>
      <c r="AE124" s="342"/>
      <c r="AF124" s="341" t="s">
        <v>519</v>
      </c>
    </row>
    <row r="125" spans="1:32">
      <c r="A125" s="307">
        <v>3</v>
      </c>
      <c r="B125" s="342"/>
      <c r="C125" s="342"/>
      <c r="D125" s="340" t="s">
        <v>387</v>
      </c>
      <c r="E125" s="342"/>
      <c r="F125" s="345" t="s">
        <v>173</v>
      </c>
      <c r="G125" s="308">
        <v>1</v>
      </c>
      <c r="H125" s="309">
        <v>1129588</v>
      </c>
      <c r="I125" s="309">
        <v>1129588</v>
      </c>
      <c r="J125" s="211"/>
      <c r="K125" s="212" t="str">
        <f>IF(OR(J125="",G125=J125),"","*")</f>
        <v/>
      </c>
      <c r="L125" s="338">
        <f>IF($A125&lt;=L$1,I125/I$4,"")</f>
        <v>2.1032807077450914E-2</v>
      </c>
      <c r="M125" s="343"/>
      <c r="N125" s="344" t="s">
        <v>388</v>
      </c>
      <c r="O125" s="310">
        <v>0</v>
      </c>
      <c r="P125" s="311">
        <v>0</v>
      </c>
      <c r="Q125" s="311">
        <v>0</v>
      </c>
      <c r="R125" s="211">
        <v>0</v>
      </c>
      <c r="S125" s="212"/>
      <c r="T125" s="213" t="e">
        <v>#DIV/0!</v>
      </c>
      <c r="U125" s="214"/>
      <c r="V125" s="215"/>
      <c r="W125" s="310">
        <v>0</v>
      </c>
      <c r="X125" s="311">
        <v>0</v>
      </c>
      <c r="Y125" s="311">
        <v>0</v>
      </c>
      <c r="Z125" s="211">
        <v>0</v>
      </c>
      <c r="AA125" s="212"/>
      <c r="AB125" s="213" t="e">
        <v>#DIV/0!</v>
      </c>
      <c r="AC125" s="214"/>
      <c r="AD125" s="215"/>
      <c r="AE125" s="342"/>
      <c r="AF125" s="341"/>
    </row>
    <row r="126" spans="1:32">
      <c r="A126" s="307">
        <v>2</v>
      </c>
      <c r="B126" s="342"/>
      <c r="C126" s="342" t="s">
        <v>355</v>
      </c>
      <c r="D126" s="340" t="s">
        <v>520</v>
      </c>
      <c r="E126" s="342" t="s">
        <v>312</v>
      </c>
      <c r="F126" s="345" t="s">
        <v>171</v>
      </c>
      <c r="G126" s="308">
        <v>0</v>
      </c>
      <c r="H126" s="309">
        <v>10232</v>
      </c>
      <c r="I126" s="309">
        <v>0</v>
      </c>
      <c r="J126" s="211">
        <v>75</v>
      </c>
      <c r="K126" s="212" t="str">
        <f>IF(OR(J126="",G126=J126),"","*")</f>
        <v>*</v>
      </c>
      <c r="L126" s="338">
        <f>IF($A126&lt;=L$1,I126/I$4,"")</f>
        <v>0</v>
      </c>
      <c r="M126" s="343"/>
      <c r="N126" s="344" t="s">
        <v>521</v>
      </c>
      <c r="O126" s="310">
        <v>0</v>
      </c>
      <c r="P126" s="311">
        <v>0</v>
      </c>
      <c r="Q126" s="311">
        <v>0</v>
      </c>
      <c r="R126" s="211">
        <v>0</v>
      </c>
      <c r="S126" s="212"/>
      <c r="T126" s="213" t="e">
        <v>#DIV/0!</v>
      </c>
      <c r="U126" s="214"/>
      <c r="V126" s="215"/>
      <c r="W126" s="310">
        <v>0</v>
      </c>
      <c r="X126" s="311">
        <v>0</v>
      </c>
      <c r="Y126" s="311">
        <v>0</v>
      </c>
      <c r="Z126" s="211">
        <v>0</v>
      </c>
      <c r="AA126" s="212"/>
      <c r="AB126" s="213" t="e">
        <v>#DIV/0!</v>
      </c>
      <c r="AC126" s="214"/>
      <c r="AD126" s="215"/>
      <c r="AE126" s="342"/>
      <c r="AF126" s="341"/>
    </row>
    <row r="127" spans="1:32">
      <c r="A127" s="307">
        <v>3</v>
      </c>
      <c r="B127" s="342"/>
      <c r="C127" s="342" t="s">
        <v>176</v>
      </c>
      <c r="D127" s="340" t="s">
        <v>400</v>
      </c>
      <c r="E127" s="342" t="s">
        <v>401</v>
      </c>
      <c r="F127" s="345" t="s">
        <v>172</v>
      </c>
      <c r="G127" s="308">
        <v>20.25</v>
      </c>
      <c r="H127" s="309">
        <v>2300</v>
      </c>
      <c r="I127" s="309">
        <v>46575</v>
      </c>
      <c r="J127" s="211"/>
      <c r="K127" s="212" t="str">
        <f>IF(OR(J127="",G127=J127),"","*")</f>
        <v/>
      </c>
      <c r="L127" s="338">
        <f>IF($A127&lt;=L$1,I127/I$4,"")</f>
        <v>8.6722149105007869E-4</v>
      </c>
      <c r="M127" s="343"/>
      <c r="N127" s="344"/>
      <c r="O127" s="310">
        <v>0</v>
      </c>
      <c r="P127" s="311">
        <v>0</v>
      </c>
      <c r="Q127" s="311">
        <v>0</v>
      </c>
      <c r="R127" s="211">
        <v>0</v>
      </c>
      <c r="S127" s="212"/>
      <c r="T127" s="213" t="e">
        <v>#DIV/0!</v>
      </c>
      <c r="U127" s="214"/>
      <c r="V127" s="215"/>
      <c r="W127" s="310">
        <v>0</v>
      </c>
      <c r="X127" s="311">
        <v>0</v>
      </c>
      <c r="Y127" s="311">
        <v>0</v>
      </c>
      <c r="Z127" s="211">
        <v>0</v>
      </c>
      <c r="AA127" s="212"/>
      <c r="AB127" s="213" t="e">
        <v>#DIV/0!</v>
      </c>
      <c r="AC127" s="214"/>
      <c r="AD127" s="215"/>
      <c r="AE127" s="342" t="s">
        <v>402</v>
      </c>
      <c r="AF127" s="341" t="s">
        <v>522</v>
      </c>
    </row>
    <row r="128" spans="1:32">
      <c r="A128" s="307">
        <v>3</v>
      </c>
      <c r="B128" s="342"/>
      <c r="C128" s="342" t="s">
        <v>176</v>
      </c>
      <c r="D128" s="340" t="s">
        <v>486</v>
      </c>
      <c r="E128" s="342" t="s">
        <v>401</v>
      </c>
      <c r="F128" s="345" t="s">
        <v>487</v>
      </c>
      <c r="G128" s="308">
        <v>9.6300000000000008</v>
      </c>
      <c r="H128" s="309">
        <v>9200</v>
      </c>
      <c r="I128" s="309">
        <v>88596</v>
      </c>
      <c r="J128" s="211"/>
      <c r="K128" s="212" t="str">
        <f>IF(OR(J128="",G128=J128),"","*")</f>
        <v/>
      </c>
      <c r="L128" s="338">
        <f>IF($A128&lt;=L$1,I128/I$4,"")</f>
        <v>1.6496479918641498E-3</v>
      </c>
      <c r="M128" s="343"/>
      <c r="N128" s="344"/>
      <c r="O128" s="310">
        <v>0</v>
      </c>
      <c r="P128" s="311">
        <v>0</v>
      </c>
      <c r="Q128" s="311">
        <v>0</v>
      </c>
      <c r="R128" s="211">
        <v>0</v>
      </c>
      <c r="S128" s="212"/>
      <c r="T128" s="213" t="e">
        <v>#DIV/0!</v>
      </c>
      <c r="U128" s="214"/>
      <c r="V128" s="215"/>
      <c r="W128" s="310">
        <v>0</v>
      </c>
      <c r="X128" s="311">
        <v>0</v>
      </c>
      <c r="Y128" s="311">
        <v>0</v>
      </c>
      <c r="Z128" s="211">
        <v>0</v>
      </c>
      <c r="AA128" s="212"/>
      <c r="AB128" s="213" t="e">
        <v>#DIV/0!</v>
      </c>
      <c r="AC128" s="214"/>
      <c r="AD128" s="215"/>
      <c r="AE128" s="342" t="s">
        <v>488</v>
      </c>
      <c r="AF128" s="341" t="s">
        <v>523</v>
      </c>
    </row>
    <row r="129" spans="1:32">
      <c r="A129" s="307">
        <v>3</v>
      </c>
      <c r="B129" s="342"/>
      <c r="C129" s="342" t="s">
        <v>176</v>
      </c>
      <c r="D129" s="340" t="s">
        <v>490</v>
      </c>
      <c r="E129" s="342" t="s">
        <v>401</v>
      </c>
      <c r="F129" s="345" t="s">
        <v>487</v>
      </c>
      <c r="G129" s="308">
        <v>9.6300000000000008</v>
      </c>
      <c r="H129" s="309">
        <v>9700</v>
      </c>
      <c r="I129" s="309">
        <v>93411</v>
      </c>
      <c r="J129" s="211"/>
      <c r="K129" s="212" t="str">
        <f>IF(OR(J129="",G129=J129),"","*")</f>
        <v/>
      </c>
      <c r="L129" s="338">
        <f>IF($A129&lt;=L$1,I129/I$4,"")</f>
        <v>1.7393027740306797E-3</v>
      </c>
      <c r="M129" s="343"/>
      <c r="N129" s="344"/>
      <c r="O129" s="310">
        <v>0</v>
      </c>
      <c r="P129" s="311">
        <v>0</v>
      </c>
      <c r="Q129" s="311">
        <v>0</v>
      </c>
      <c r="R129" s="211">
        <v>0</v>
      </c>
      <c r="S129" s="212"/>
      <c r="T129" s="213" t="e">
        <v>#DIV/0!</v>
      </c>
      <c r="U129" s="214"/>
      <c r="V129" s="215"/>
      <c r="W129" s="310">
        <v>0</v>
      </c>
      <c r="X129" s="311">
        <v>0</v>
      </c>
      <c r="Y129" s="311">
        <v>0</v>
      </c>
      <c r="Z129" s="211">
        <v>0</v>
      </c>
      <c r="AA129" s="212"/>
      <c r="AB129" s="213" t="e">
        <v>#DIV/0!</v>
      </c>
      <c r="AC129" s="214"/>
      <c r="AD129" s="215"/>
      <c r="AE129" s="342" t="s">
        <v>491</v>
      </c>
      <c r="AF129" s="341" t="s">
        <v>523</v>
      </c>
    </row>
    <row r="130" spans="1:32">
      <c r="A130" s="307">
        <v>3</v>
      </c>
      <c r="B130" s="342"/>
      <c r="C130" s="342" t="s">
        <v>176</v>
      </c>
      <c r="D130" s="340" t="s">
        <v>492</v>
      </c>
      <c r="E130" s="342" t="s">
        <v>401</v>
      </c>
      <c r="F130" s="345" t="s">
        <v>487</v>
      </c>
      <c r="G130" s="308">
        <v>9.6300000000000008</v>
      </c>
      <c r="H130" s="309">
        <v>10800</v>
      </c>
      <c r="I130" s="309">
        <v>104004</v>
      </c>
      <c r="J130" s="211"/>
      <c r="K130" s="212" t="str">
        <f>IF(OR(J130="",G130=J130),"","*")</f>
        <v/>
      </c>
      <c r="L130" s="338">
        <f>IF($A130&lt;=L$1,I130/I$4,"")</f>
        <v>1.9365432947970453E-3</v>
      </c>
      <c r="M130" s="343"/>
      <c r="N130" s="344"/>
      <c r="O130" s="310">
        <v>0</v>
      </c>
      <c r="P130" s="311">
        <v>0</v>
      </c>
      <c r="Q130" s="311">
        <v>0</v>
      </c>
      <c r="R130" s="211">
        <v>0</v>
      </c>
      <c r="S130" s="212"/>
      <c r="T130" s="213" t="e">
        <v>#DIV/0!</v>
      </c>
      <c r="U130" s="214"/>
      <c r="V130" s="215"/>
      <c r="W130" s="310">
        <v>0</v>
      </c>
      <c r="X130" s="311">
        <v>0</v>
      </c>
      <c r="Y130" s="311">
        <v>0</v>
      </c>
      <c r="Z130" s="211">
        <v>0</v>
      </c>
      <c r="AA130" s="212"/>
      <c r="AB130" s="213" t="e">
        <v>#DIV/0!</v>
      </c>
      <c r="AC130" s="214"/>
      <c r="AD130" s="215"/>
      <c r="AE130" s="342" t="s">
        <v>493</v>
      </c>
      <c r="AF130" s="341" t="s">
        <v>523</v>
      </c>
    </row>
    <row r="131" spans="1:32">
      <c r="A131" s="307">
        <v>3</v>
      </c>
      <c r="B131" s="342"/>
      <c r="C131" s="342" t="s">
        <v>176</v>
      </c>
      <c r="D131" s="340" t="s">
        <v>494</v>
      </c>
      <c r="E131" s="342"/>
      <c r="F131" s="345" t="s">
        <v>364</v>
      </c>
      <c r="G131" s="308">
        <v>75</v>
      </c>
      <c r="H131" s="309">
        <v>103</v>
      </c>
      <c r="I131" s="309">
        <v>7725</v>
      </c>
      <c r="J131" s="211"/>
      <c r="K131" s="212" t="str">
        <f>IF(OR(J131="",G131=J131),"","*")</f>
        <v/>
      </c>
      <c r="L131" s="338">
        <f>IF($A131&lt;=L$1,I131/I$4,"")</f>
        <v>1.4383866920798406E-4</v>
      </c>
      <c r="M131" s="343"/>
      <c r="N131" s="344"/>
      <c r="O131" s="310">
        <v>0</v>
      </c>
      <c r="P131" s="311">
        <v>0</v>
      </c>
      <c r="Q131" s="311">
        <v>0</v>
      </c>
      <c r="R131" s="211">
        <v>0</v>
      </c>
      <c r="S131" s="212"/>
      <c r="T131" s="213" t="e">
        <v>#DIV/0!</v>
      </c>
      <c r="U131" s="214"/>
      <c r="V131" s="215"/>
      <c r="W131" s="310">
        <v>0</v>
      </c>
      <c r="X131" s="311">
        <v>0</v>
      </c>
      <c r="Y131" s="311">
        <v>0</v>
      </c>
      <c r="Z131" s="211">
        <v>0</v>
      </c>
      <c r="AA131" s="212"/>
      <c r="AB131" s="213" t="e">
        <v>#DIV/0!</v>
      </c>
      <c r="AC131" s="214"/>
      <c r="AD131" s="215"/>
      <c r="AE131" s="342" t="s">
        <v>495</v>
      </c>
      <c r="AF131" s="341" t="s">
        <v>524</v>
      </c>
    </row>
    <row r="132" spans="1:32">
      <c r="A132" s="307">
        <v>3</v>
      </c>
      <c r="B132" s="342"/>
      <c r="C132" s="342" t="s">
        <v>176</v>
      </c>
      <c r="D132" s="340" t="s">
        <v>497</v>
      </c>
      <c r="E132" s="342"/>
      <c r="F132" s="345" t="s">
        <v>364</v>
      </c>
      <c r="G132" s="308">
        <v>60</v>
      </c>
      <c r="H132" s="309">
        <v>210</v>
      </c>
      <c r="I132" s="309">
        <v>12600</v>
      </c>
      <c r="J132" s="211"/>
      <c r="K132" s="212" t="str">
        <f>IF(OR(J132="",G132=J132),"","*")</f>
        <v/>
      </c>
      <c r="L132" s="338">
        <f>IF($A132&lt;=L$1,I132/I$4,"")</f>
        <v>2.3461064492176042E-4</v>
      </c>
      <c r="M132" s="343"/>
      <c r="N132" s="344"/>
      <c r="O132" s="310">
        <v>0</v>
      </c>
      <c r="P132" s="311">
        <v>0</v>
      </c>
      <c r="Q132" s="311">
        <v>0</v>
      </c>
      <c r="R132" s="211">
        <v>0</v>
      </c>
      <c r="S132" s="212"/>
      <c r="T132" s="213" t="e">
        <v>#DIV/0!</v>
      </c>
      <c r="U132" s="214"/>
      <c r="V132" s="215"/>
      <c r="W132" s="310">
        <v>0</v>
      </c>
      <c r="X132" s="311">
        <v>0</v>
      </c>
      <c r="Y132" s="311">
        <v>0</v>
      </c>
      <c r="Z132" s="211">
        <v>0</v>
      </c>
      <c r="AA132" s="212"/>
      <c r="AB132" s="213" t="e">
        <v>#DIV/0!</v>
      </c>
      <c r="AC132" s="214"/>
      <c r="AD132" s="215"/>
      <c r="AE132" s="342" t="s">
        <v>498</v>
      </c>
      <c r="AF132" s="341" t="s">
        <v>525</v>
      </c>
    </row>
    <row r="133" spans="1:32">
      <c r="A133" s="307">
        <v>3</v>
      </c>
      <c r="B133" s="342"/>
      <c r="C133" s="342" t="s">
        <v>176</v>
      </c>
      <c r="D133" s="340" t="s">
        <v>500</v>
      </c>
      <c r="E133" s="342"/>
      <c r="F133" s="345" t="s">
        <v>172</v>
      </c>
      <c r="G133" s="308">
        <v>0.15</v>
      </c>
      <c r="H133" s="309">
        <v>4000</v>
      </c>
      <c r="I133" s="309">
        <v>600</v>
      </c>
      <c r="J133" s="211"/>
      <c r="K133" s="212" t="str">
        <f>IF(OR(J133="",G133=J133),"","*")</f>
        <v/>
      </c>
      <c r="L133" s="338">
        <f>IF($A133&lt;=L$1,I133/I$4,"")</f>
        <v>1.1171935472464783E-5</v>
      </c>
      <c r="M133" s="343"/>
      <c r="N133" s="344"/>
      <c r="O133" s="310">
        <v>0</v>
      </c>
      <c r="P133" s="311">
        <v>0</v>
      </c>
      <c r="Q133" s="311">
        <v>0</v>
      </c>
      <c r="R133" s="211">
        <v>0</v>
      </c>
      <c r="S133" s="212"/>
      <c r="T133" s="213" t="e">
        <v>#DIV/0!</v>
      </c>
      <c r="U133" s="214"/>
      <c r="V133" s="215"/>
      <c r="W133" s="310">
        <v>0</v>
      </c>
      <c r="X133" s="311">
        <v>0</v>
      </c>
      <c r="Y133" s="311">
        <v>0</v>
      </c>
      <c r="Z133" s="211">
        <v>0</v>
      </c>
      <c r="AA133" s="212"/>
      <c r="AB133" s="213" t="e">
        <v>#DIV/0!</v>
      </c>
      <c r="AC133" s="214"/>
      <c r="AD133" s="215"/>
      <c r="AE133" s="342" t="s">
        <v>501</v>
      </c>
      <c r="AF133" s="341" t="s">
        <v>526</v>
      </c>
    </row>
    <row r="134" spans="1:32">
      <c r="A134" s="307">
        <v>3</v>
      </c>
      <c r="B134" s="342"/>
      <c r="C134" s="342" t="s">
        <v>176</v>
      </c>
      <c r="D134" s="340" t="s">
        <v>363</v>
      </c>
      <c r="E134" s="342"/>
      <c r="F134" s="345" t="s">
        <v>503</v>
      </c>
      <c r="G134" s="308">
        <v>100</v>
      </c>
      <c r="H134" s="309">
        <v>145</v>
      </c>
      <c r="I134" s="309">
        <v>14500</v>
      </c>
      <c r="J134" s="211"/>
      <c r="K134" s="212" t="str">
        <f>IF(OR(J134="",G134=J134),"","*")</f>
        <v/>
      </c>
      <c r="L134" s="338">
        <f>IF($A134&lt;=L$1,I134/I$4,"")</f>
        <v>2.6998844058456555E-4</v>
      </c>
      <c r="M134" s="343"/>
      <c r="N134" s="344"/>
      <c r="O134" s="310">
        <v>0</v>
      </c>
      <c r="P134" s="311">
        <v>0</v>
      </c>
      <c r="Q134" s="311">
        <v>0</v>
      </c>
      <c r="R134" s="211">
        <v>0</v>
      </c>
      <c r="S134" s="212"/>
      <c r="T134" s="213" t="e">
        <v>#DIV/0!</v>
      </c>
      <c r="U134" s="214"/>
      <c r="V134" s="215"/>
      <c r="W134" s="310">
        <v>0</v>
      </c>
      <c r="X134" s="311">
        <v>0</v>
      </c>
      <c r="Y134" s="311">
        <v>0</v>
      </c>
      <c r="Z134" s="211">
        <v>0</v>
      </c>
      <c r="AA134" s="212"/>
      <c r="AB134" s="213" t="e">
        <v>#DIV/0!</v>
      </c>
      <c r="AC134" s="214"/>
      <c r="AD134" s="215"/>
      <c r="AE134" s="342" t="s">
        <v>365</v>
      </c>
      <c r="AF134" s="341" t="s">
        <v>404</v>
      </c>
    </row>
    <row r="135" spans="1:32">
      <c r="A135" s="307">
        <v>3</v>
      </c>
      <c r="B135" s="342"/>
      <c r="C135" s="342" t="s">
        <v>176</v>
      </c>
      <c r="D135" s="340" t="s">
        <v>505</v>
      </c>
      <c r="E135" s="342"/>
      <c r="F135" s="345" t="s">
        <v>503</v>
      </c>
      <c r="G135" s="308">
        <v>20</v>
      </c>
      <c r="H135" s="309">
        <v>165</v>
      </c>
      <c r="I135" s="309">
        <v>3300</v>
      </c>
      <c r="J135" s="211"/>
      <c r="K135" s="212" t="str">
        <f>IF(OR(J135="",G135=J135),"","*")</f>
        <v/>
      </c>
      <c r="L135" s="338">
        <f>IF($A135&lt;=L$1,I135/I$4,"")</f>
        <v>6.1445645098556298E-5</v>
      </c>
      <c r="M135" s="343"/>
      <c r="N135" s="344"/>
      <c r="O135" s="310">
        <v>0</v>
      </c>
      <c r="P135" s="311">
        <v>0</v>
      </c>
      <c r="Q135" s="311">
        <v>0</v>
      </c>
      <c r="R135" s="211">
        <v>0</v>
      </c>
      <c r="S135" s="212"/>
      <c r="T135" s="213" t="e">
        <v>#DIV/0!</v>
      </c>
      <c r="U135" s="214"/>
      <c r="V135" s="215"/>
      <c r="W135" s="310">
        <v>0</v>
      </c>
      <c r="X135" s="311">
        <v>0</v>
      </c>
      <c r="Y135" s="311">
        <v>0</v>
      </c>
      <c r="Z135" s="211">
        <v>0</v>
      </c>
      <c r="AA135" s="212"/>
      <c r="AB135" s="213" t="e">
        <v>#DIV/0!</v>
      </c>
      <c r="AC135" s="214"/>
      <c r="AD135" s="215"/>
      <c r="AE135" s="342" t="s">
        <v>506</v>
      </c>
      <c r="AF135" s="341" t="s">
        <v>527</v>
      </c>
    </row>
    <row r="136" spans="1:32">
      <c r="A136" s="307">
        <v>3</v>
      </c>
      <c r="B136" s="342"/>
      <c r="C136" s="342" t="s">
        <v>177</v>
      </c>
      <c r="D136" s="340" t="s">
        <v>367</v>
      </c>
      <c r="E136" s="342" t="s">
        <v>368</v>
      </c>
      <c r="F136" s="345" t="s">
        <v>369</v>
      </c>
      <c r="G136" s="308">
        <v>10</v>
      </c>
      <c r="H136" s="309">
        <v>23000</v>
      </c>
      <c r="I136" s="309">
        <v>230000</v>
      </c>
      <c r="J136" s="211"/>
      <c r="K136" s="212" t="str">
        <f>IF(OR(J136="",G136=J136),"","*")</f>
        <v/>
      </c>
      <c r="L136" s="338">
        <f>IF($A136&lt;=L$1,I136/I$4,"")</f>
        <v>4.2825752644448335E-3</v>
      </c>
      <c r="M136" s="343"/>
      <c r="N136" s="344"/>
      <c r="O136" s="310">
        <v>0</v>
      </c>
      <c r="P136" s="311">
        <v>0</v>
      </c>
      <c r="Q136" s="311">
        <v>0</v>
      </c>
      <c r="R136" s="211">
        <v>0</v>
      </c>
      <c r="S136" s="212"/>
      <c r="T136" s="213" t="e">
        <v>#DIV/0!</v>
      </c>
      <c r="U136" s="214"/>
      <c r="V136" s="215"/>
      <c r="W136" s="310">
        <v>0</v>
      </c>
      <c r="X136" s="311">
        <v>0</v>
      </c>
      <c r="Y136" s="311">
        <v>0</v>
      </c>
      <c r="Z136" s="211">
        <v>0</v>
      </c>
      <c r="AA136" s="212"/>
      <c r="AB136" s="213" t="e">
        <v>#DIV/0!</v>
      </c>
      <c r="AC136" s="214"/>
      <c r="AD136" s="215"/>
      <c r="AE136" s="342"/>
      <c r="AF136" s="341" t="s">
        <v>528</v>
      </c>
    </row>
    <row r="137" spans="1:32">
      <c r="A137" s="307">
        <v>3</v>
      </c>
      <c r="B137" s="342"/>
      <c r="C137" s="342" t="s">
        <v>179</v>
      </c>
      <c r="D137" s="340" t="s">
        <v>511</v>
      </c>
      <c r="E137" s="342" t="s">
        <v>381</v>
      </c>
      <c r="F137" s="345" t="s">
        <v>373</v>
      </c>
      <c r="G137" s="308">
        <v>1</v>
      </c>
      <c r="H137" s="309">
        <v>55000</v>
      </c>
      <c r="I137" s="309">
        <v>55000</v>
      </c>
      <c r="J137" s="211"/>
      <c r="K137" s="212" t="str">
        <f>IF(OR(J137="",G137=J137),"","*")</f>
        <v/>
      </c>
      <c r="L137" s="338">
        <f>IF($A137&lt;=L$1,I137/I$4,"")</f>
        <v>1.0240940849759383E-3</v>
      </c>
      <c r="M137" s="343"/>
      <c r="N137" s="344"/>
      <c r="O137" s="310">
        <v>0</v>
      </c>
      <c r="P137" s="311">
        <v>0</v>
      </c>
      <c r="Q137" s="311">
        <v>0</v>
      </c>
      <c r="R137" s="211">
        <v>0</v>
      </c>
      <c r="S137" s="212"/>
      <c r="T137" s="213" t="e">
        <v>#DIV/0!</v>
      </c>
      <c r="U137" s="214"/>
      <c r="V137" s="215"/>
      <c r="W137" s="310">
        <v>0</v>
      </c>
      <c r="X137" s="311">
        <v>0</v>
      </c>
      <c r="Y137" s="311">
        <v>0</v>
      </c>
      <c r="Z137" s="211">
        <v>0</v>
      </c>
      <c r="AA137" s="212"/>
      <c r="AB137" s="213" t="e">
        <v>#DIV/0!</v>
      </c>
      <c r="AC137" s="214"/>
      <c r="AD137" s="215"/>
      <c r="AE137" s="342" t="s">
        <v>512</v>
      </c>
      <c r="AF137" s="341"/>
    </row>
    <row r="138" spans="1:32">
      <c r="A138" s="307">
        <v>3</v>
      </c>
      <c r="B138" s="342"/>
      <c r="C138" s="342" t="s">
        <v>179</v>
      </c>
      <c r="D138" s="340" t="s">
        <v>513</v>
      </c>
      <c r="E138" s="342" t="s">
        <v>514</v>
      </c>
      <c r="F138" s="345" t="s">
        <v>373</v>
      </c>
      <c r="G138" s="308">
        <v>1</v>
      </c>
      <c r="H138" s="309">
        <v>45800</v>
      </c>
      <c r="I138" s="309">
        <v>45800</v>
      </c>
      <c r="J138" s="211"/>
      <c r="K138" s="212" t="str">
        <f>IF(OR(J138="",G138=J138),"","*")</f>
        <v/>
      </c>
      <c r="L138" s="338">
        <f>IF($A138&lt;=L$1,I138/I$4,"")</f>
        <v>8.5279107439814508E-4</v>
      </c>
      <c r="M138" s="343"/>
      <c r="N138" s="344"/>
      <c r="O138" s="310">
        <v>0</v>
      </c>
      <c r="P138" s="311">
        <v>0</v>
      </c>
      <c r="Q138" s="311">
        <v>0</v>
      </c>
      <c r="R138" s="211">
        <v>0</v>
      </c>
      <c r="S138" s="212"/>
      <c r="T138" s="213" t="e">
        <v>#DIV/0!</v>
      </c>
      <c r="U138" s="214"/>
      <c r="V138" s="215"/>
      <c r="W138" s="310">
        <v>0</v>
      </c>
      <c r="X138" s="311">
        <v>0</v>
      </c>
      <c r="Y138" s="311">
        <v>0</v>
      </c>
      <c r="Z138" s="211">
        <v>0</v>
      </c>
      <c r="AA138" s="212"/>
      <c r="AB138" s="213" t="e">
        <v>#DIV/0!</v>
      </c>
      <c r="AC138" s="214"/>
      <c r="AD138" s="215"/>
      <c r="AE138" s="342"/>
      <c r="AF138" s="341" t="s">
        <v>374</v>
      </c>
    </row>
    <row r="139" spans="1:32">
      <c r="A139" s="307">
        <v>3</v>
      </c>
      <c r="B139" s="342"/>
      <c r="C139" s="342" t="s">
        <v>179</v>
      </c>
      <c r="D139" s="340" t="s">
        <v>515</v>
      </c>
      <c r="E139" s="342" t="s">
        <v>516</v>
      </c>
      <c r="F139" s="345" t="s">
        <v>373</v>
      </c>
      <c r="G139" s="308">
        <v>1</v>
      </c>
      <c r="H139" s="309">
        <v>4600</v>
      </c>
      <c r="I139" s="309">
        <v>4600</v>
      </c>
      <c r="J139" s="211"/>
      <c r="K139" s="212" t="str">
        <f>IF(OR(J139="",G139=J139),"","*")</f>
        <v/>
      </c>
      <c r="L139" s="338">
        <f>IF($A139&lt;=L$1,I139/I$4,"")</f>
        <v>8.5651505288896658E-5</v>
      </c>
      <c r="M139" s="343"/>
      <c r="N139" s="344"/>
      <c r="O139" s="310">
        <v>0</v>
      </c>
      <c r="P139" s="311">
        <v>0</v>
      </c>
      <c r="Q139" s="311">
        <v>0</v>
      </c>
      <c r="R139" s="211">
        <v>0</v>
      </c>
      <c r="S139" s="212"/>
      <c r="T139" s="213" t="e">
        <v>#DIV/0!</v>
      </c>
      <c r="U139" s="214"/>
      <c r="V139" s="215"/>
      <c r="W139" s="310">
        <v>0</v>
      </c>
      <c r="X139" s="311">
        <v>0</v>
      </c>
      <c r="Y139" s="311">
        <v>0</v>
      </c>
      <c r="Z139" s="211">
        <v>0</v>
      </c>
      <c r="AA139" s="212"/>
      <c r="AB139" s="213" t="e">
        <v>#DIV/0!</v>
      </c>
      <c r="AC139" s="214"/>
      <c r="AD139" s="215"/>
      <c r="AE139" s="342"/>
      <c r="AF139" s="341" t="s">
        <v>374</v>
      </c>
    </row>
    <row r="140" spans="1:32">
      <c r="A140" s="307">
        <v>3</v>
      </c>
      <c r="B140" s="342"/>
      <c r="C140" s="342" t="s">
        <v>179</v>
      </c>
      <c r="D140" s="340" t="s">
        <v>480</v>
      </c>
      <c r="E140" s="342" t="s">
        <v>481</v>
      </c>
      <c r="F140" s="345" t="s">
        <v>373</v>
      </c>
      <c r="G140" s="308">
        <v>1</v>
      </c>
      <c r="H140" s="309">
        <v>6800</v>
      </c>
      <c r="I140" s="309">
        <v>6800</v>
      </c>
      <c r="J140" s="211"/>
      <c r="K140" s="212" t="str">
        <f>IF(OR(J140="",G140=J140),"","*")</f>
        <v/>
      </c>
      <c r="L140" s="338">
        <f>IF($A140&lt;=L$1,I140/I$4,"")</f>
        <v>1.2661526868793419E-4</v>
      </c>
      <c r="M140" s="343"/>
      <c r="N140" s="344"/>
      <c r="O140" s="310">
        <v>0</v>
      </c>
      <c r="P140" s="311">
        <v>0</v>
      </c>
      <c r="Q140" s="311">
        <v>0</v>
      </c>
      <c r="R140" s="211">
        <v>0</v>
      </c>
      <c r="S140" s="212"/>
      <c r="T140" s="213" t="e">
        <v>#DIV/0!</v>
      </c>
      <c r="U140" s="214"/>
      <c r="V140" s="215"/>
      <c r="W140" s="310">
        <v>0</v>
      </c>
      <c r="X140" s="311">
        <v>0</v>
      </c>
      <c r="Y140" s="311">
        <v>0</v>
      </c>
      <c r="Z140" s="211">
        <v>0</v>
      </c>
      <c r="AA140" s="212"/>
      <c r="AB140" s="213" t="e">
        <v>#DIV/0!</v>
      </c>
      <c r="AC140" s="214"/>
      <c r="AD140" s="215"/>
      <c r="AE140" s="342"/>
      <c r="AF140" s="341" t="s">
        <v>374</v>
      </c>
    </row>
    <row r="141" spans="1:32">
      <c r="A141" s="307">
        <v>3</v>
      </c>
      <c r="B141" s="342"/>
      <c r="C141" s="342" t="s">
        <v>179</v>
      </c>
      <c r="D141" s="340" t="s">
        <v>517</v>
      </c>
      <c r="E141" s="342" t="s">
        <v>372</v>
      </c>
      <c r="F141" s="345" t="s">
        <v>373</v>
      </c>
      <c r="G141" s="308">
        <v>1</v>
      </c>
      <c r="H141" s="309">
        <v>6600</v>
      </c>
      <c r="I141" s="309">
        <v>6600</v>
      </c>
      <c r="J141" s="211"/>
      <c r="K141" s="212" t="str">
        <f>IF(OR(J141="",G141=J141),"","*")</f>
        <v/>
      </c>
      <c r="L141" s="338">
        <f>IF($A141&lt;=L$1,I141/I$4,"")</f>
        <v>1.228912901971126E-4</v>
      </c>
      <c r="M141" s="343"/>
      <c r="N141" s="344"/>
      <c r="O141" s="310">
        <v>0</v>
      </c>
      <c r="P141" s="311">
        <v>0</v>
      </c>
      <c r="Q141" s="311">
        <v>0</v>
      </c>
      <c r="R141" s="211">
        <v>0</v>
      </c>
      <c r="S141" s="212"/>
      <c r="T141" s="213" t="e">
        <v>#DIV/0!</v>
      </c>
      <c r="U141" s="214"/>
      <c r="V141" s="215"/>
      <c r="W141" s="310">
        <v>0</v>
      </c>
      <c r="X141" s="311">
        <v>0</v>
      </c>
      <c r="Y141" s="311">
        <v>0</v>
      </c>
      <c r="Z141" s="211">
        <v>0</v>
      </c>
      <c r="AA141" s="212"/>
      <c r="AB141" s="213" t="e">
        <v>#DIV/0!</v>
      </c>
      <c r="AC141" s="214"/>
      <c r="AD141" s="215"/>
      <c r="AE141" s="342"/>
      <c r="AF141" s="341" t="s">
        <v>374</v>
      </c>
    </row>
    <row r="142" spans="1:32">
      <c r="A142" s="307">
        <v>3</v>
      </c>
      <c r="B142" s="342"/>
      <c r="C142" s="342" t="s">
        <v>179</v>
      </c>
      <c r="D142" s="340" t="s">
        <v>395</v>
      </c>
      <c r="E142" s="342"/>
      <c r="F142" s="345" t="s">
        <v>373</v>
      </c>
      <c r="G142" s="308">
        <v>1</v>
      </c>
      <c r="H142" s="309">
        <v>1500</v>
      </c>
      <c r="I142" s="309">
        <v>1500</v>
      </c>
      <c r="J142" s="211"/>
      <c r="K142" s="212" t="str">
        <f>IF(OR(J142="",G142=J142),"","*")</f>
        <v/>
      </c>
      <c r="L142" s="338">
        <f>IF($A142&lt;=L$1,I142/I$4,"")</f>
        <v>2.7929838681161953E-5</v>
      </c>
      <c r="M142" s="343"/>
      <c r="N142" s="344"/>
      <c r="O142" s="310">
        <v>0</v>
      </c>
      <c r="P142" s="311">
        <v>0</v>
      </c>
      <c r="Q142" s="311">
        <v>0</v>
      </c>
      <c r="R142" s="211">
        <v>0</v>
      </c>
      <c r="S142" s="212"/>
      <c r="T142" s="213" t="e">
        <v>#DIV/0!</v>
      </c>
      <c r="U142" s="214"/>
      <c r="V142" s="215"/>
      <c r="W142" s="310">
        <v>0</v>
      </c>
      <c r="X142" s="311">
        <v>0</v>
      </c>
      <c r="Y142" s="311">
        <v>0</v>
      </c>
      <c r="Z142" s="211">
        <v>0</v>
      </c>
      <c r="AA142" s="212"/>
      <c r="AB142" s="213" t="e">
        <v>#DIV/0!</v>
      </c>
      <c r="AC142" s="214"/>
      <c r="AD142" s="215"/>
      <c r="AE142" s="342"/>
      <c r="AF142" s="341" t="s">
        <v>374</v>
      </c>
    </row>
    <row r="143" spans="1:32">
      <c r="A143" s="307">
        <v>3</v>
      </c>
      <c r="B143" s="342"/>
      <c r="C143" s="342" t="s">
        <v>179</v>
      </c>
      <c r="D143" s="340" t="s">
        <v>396</v>
      </c>
      <c r="E143" s="342"/>
      <c r="F143" s="345" t="s">
        <v>373</v>
      </c>
      <c r="G143" s="308">
        <v>1</v>
      </c>
      <c r="H143" s="309">
        <v>700</v>
      </c>
      <c r="I143" s="309">
        <v>700</v>
      </c>
      <c r="J143" s="211"/>
      <c r="K143" s="212" t="str">
        <f>IF(OR(J143="",G143=J143),"","*")</f>
        <v/>
      </c>
      <c r="L143" s="338">
        <f>IF($A143&lt;=L$1,I143/I$4,"")</f>
        <v>1.3033924717875579E-5</v>
      </c>
      <c r="M143" s="343"/>
      <c r="N143" s="344"/>
      <c r="O143" s="310">
        <v>0</v>
      </c>
      <c r="P143" s="311">
        <v>0</v>
      </c>
      <c r="Q143" s="311">
        <v>0</v>
      </c>
      <c r="R143" s="211">
        <v>0</v>
      </c>
      <c r="S143" s="212"/>
      <c r="T143" s="213" t="e">
        <v>#DIV/0!</v>
      </c>
      <c r="U143" s="214"/>
      <c r="V143" s="215"/>
      <c r="W143" s="310">
        <v>0</v>
      </c>
      <c r="X143" s="311">
        <v>0</v>
      </c>
      <c r="Y143" s="311">
        <v>0</v>
      </c>
      <c r="Z143" s="211">
        <v>0</v>
      </c>
      <c r="AA143" s="212"/>
      <c r="AB143" s="213" t="e">
        <v>#DIV/0!</v>
      </c>
      <c r="AC143" s="214"/>
      <c r="AD143" s="215"/>
      <c r="AE143" s="342"/>
      <c r="AF143" s="341" t="s">
        <v>374</v>
      </c>
    </row>
    <row r="144" spans="1:32">
      <c r="A144" s="307">
        <v>3</v>
      </c>
      <c r="B144" s="342"/>
      <c r="C144" s="342" t="s">
        <v>179</v>
      </c>
      <c r="D144" s="340" t="s">
        <v>397</v>
      </c>
      <c r="E144" s="342"/>
      <c r="F144" s="345" t="s">
        <v>373</v>
      </c>
      <c r="G144" s="308">
        <v>1</v>
      </c>
      <c r="H144" s="309">
        <v>700</v>
      </c>
      <c r="I144" s="309">
        <v>700</v>
      </c>
      <c r="J144" s="211"/>
      <c r="K144" s="212" t="str">
        <f>IF(OR(J144="",G144=J144),"","*")</f>
        <v/>
      </c>
      <c r="L144" s="338">
        <f>IF($A144&lt;=L$1,I144/I$4,"")</f>
        <v>1.3033924717875579E-5</v>
      </c>
      <c r="M144" s="343"/>
      <c r="N144" s="344"/>
      <c r="O144" s="310">
        <v>0</v>
      </c>
      <c r="P144" s="311">
        <v>0</v>
      </c>
      <c r="Q144" s="311">
        <v>0</v>
      </c>
      <c r="R144" s="211">
        <v>0</v>
      </c>
      <c r="S144" s="212"/>
      <c r="T144" s="213" t="e">
        <v>#DIV/0!</v>
      </c>
      <c r="U144" s="214"/>
      <c r="V144" s="215"/>
      <c r="W144" s="310">
        <v>0</v>
      </c>
      <c r="X144" s="311">
        <v>0</v>
      </c>
      <c r="Y144" s="311">
        <v>0</v>
      </c>
      <c r="Z144" s="211">
        <v>0</v>
      </c>
      <c r="AA144" s="212"/>
      <c r="AB144" s="213" t="e">
        <v>#DIV/0!</v>
      </c>
      <c r="AC144" s="214"/>
      <c r="AD144" s="215"/>
      <c r="AE144" s="342"/>
      <c r="AF144" s="341" t="s">
        <v>374</v>
      </c>
    </row>
    <row r="145" spans="1:32">
      <c r="A145" s="307">
        <v>3</v>
      </c>
      <c r="B145" s="342"/>
      <c r="C145" s="342" t="s">
        <v>179</v>
      </c>
      <c r="D145" s="340" t="s">
        <v>518</v>
      </c>
      <c r="E145" s="342" t="s">
        <v>516</v>
      </c>
      <c r="F145" s="345" t="s">
        <v>373</v>
      </c>
      <c r="G145" s="308">
        <v>1</v>
      </c>
      <c r="H145" s="309">
        <v>12800</v>
      </c>
      <c r="I145" s="309">
        <v>12800</v>
      </c>
      <c r="J145" s="211"/>
      <c r="K145" s="212" t="str">
        <f>IF(OR(J145="",G145=J145),"","*")</f>
        <v/>
      </c>
      <c r="L145" s="338">
        <f>IF($A145&lt;=L$1,I145/I$4,"")</f>
        <v>2.3833462341258201E-4</v>
      </c>
      <c r="M145" s="343"/>
      <c r="N145" s="344"/>
      <c r="O145" s="310">
        <v>0</v>
      </c>
      <c r="P145" s="311">
        <v>0</v>
      </c>
      <c r="Q145" s="311">
        <v>0</v>
      </c>
      <c r="R145" s="211">
        <v>0</v>
      </c>
      <c r="S145" s="212"/>
      <c r="T145" s="213" t="e">
        <v>#DIV/0!</v>
      </c>
      <c r="U145" s="214"/>
      <c r="V145" s="215"/>
      <c r="W145" s="310">
        <v>0</v>
      </c>
      <c r="X145" s="311">
        <v>0</v>
      </c>
      <c r="Y145" s="311">
        <v>0</v>
      </c>
      <c r="Z145" s="211">
        <v>0</v>
      </c>
      <c r="AA145" s="212"/>
      <c r="AB145" s="213" t="e">
        <v>#DIV/0!</v>
      </c>
      <c r="AC145" s="214"/>
      <c r="AD145" s="215"/>
      <c r="AE145" s="342"/>
      <c r="AF145" s="341" t="s">
        <v>374</v>
      </c>
    </row>
    <row r="146" spans="1:32">
      <c r="A146" s="307">
        <v>3</v>
      </c>
      <c r="B146" s="342"/>
      <c r="C146" s="342" t="s">
        <v>180</v>
      </c>
      <c r="D146" s="340" t="s">
        <v>482</v>
      </c>
      <c r="E146" s="342"/>
      <c r="F146" s="345" t="s">
        <v>373</v>
      </c>
      <c r="G146" s="308">
        <v>2</v>
      </c>
      <c r="H146" s="309">
        <v>9800</v>
      </c>
      <c r="I146" s="309">
        <v>19600</v>
      </c>
      <c r="J146" s="211"/>
      <c r="K146" s="212" t="str">
        <f>IF(OR(J146="",G146=J146),"","*")</f>
        <v/>
      </c>
      <c r="L146" s="338">
        <f>IF($A146&lt;=L$1,I146/I$4,"")</f>
        <v>3.6494989210051623E-4</v>
      </c>
      <c r="M146" s="343"/>
      <c r="N146" s="344"/>
      <c r="O146" s="310">
        <v>0</v>
      </c>
      <c r="P146" s="311">
        <v>0</v>
      </c>
      <c r="Q146" s="311">
        <v>0</v>
      </c>
      <c r="R146" s="211">
        <v>0</v>
      </c>
      <c r="S146" s="212"/>
      <c r="T146" s="213" t="e">
        <v>#DIV/0!</v>
      </c>
      <c r="U146" s="214"/>
      <c r="V146" s="215"/>
      <c r="W146" s="310">
        <v>0</v>
      </c>
      <c r="X146" s="311">
        <v>0</v>
      </c>
      <c r="Y146" s="311">
        <v>0</v>
      </c>
      <c r="Z146" s="211">
        <v>0</v>
      </c>
      <c r="AA146" s="212"/>
      <c r="AB146" s="213" t="e">
        <v>#DIV/0!</v>
      </c>
      <c r="AC146" s="214"/>
      <c r="AD146" s="215"/>
      <c r="AE146" s="342"/>
      <c r="AF146" s="341" t="s">
        <v>382</v>
      </c>
    </row>
    <row r="147" spans="1:32">
      <c r="A147" s="307">
        <v>3</v>
      </c>
      <c r="B147" s="342"/>
      <c r="C147" s="342" t="s">
        <v>180</v>
      </c>
      <c r="D147" s="340" t="s">
        <v>383</v>
      </c>
      <c r="E147" s="342" t="s">
        <v>384</v>
      </c>
      <c r="F147" s="345" t="s">
        <v>373</v>
      </c>
      <c r="G147" s="308">
        <v>3</v>
      </c>
      <c r="H147" s="309">
        <v>4000</v>
      </c>
      <c r="I147" s="309">
        <v>12000</v>
      </c>
      <c r="J147" s="211"/>
      <c r="K147" s="212" t="str">
        <f>IF(OR(J147="",G147=J147),"","*")</f>
        <v/>
      </c>
      <c r="L147" s="338">
        <f>IF($A147&lt;=L$1,I147/I$4,"")</f>
        <v>2.2343870944929563E-4</v>
      </c>
      <c r="M147" s="343"/>
      <c r="N147" s="344"/>
      <c r="O147" s="310">
        <v>0</v>
      </c>
      <c r="P147" s="311">
        <v>0</v>
      </c>
      <c r="Q147" s="311">
        <v>0</v>
      </c>
      <c r="R147" s="211">
        <v>0</v>
      </c>
      <c r="S147" s="212"/>
      <c r="T147" s="213" t="e">
        <v>#DIV/0!</v>
      </c>
      <c r="U147" s="214"/>
      <c r="V147" s="215"/>
      <c r="W147" s="310">
        <v>0</v>
      </c>
      <c r="X147" s="311">
        <v>0</v>
      </c>
      <c r="Y147" s="311">
        <v>0</v>
      </c>
      <c r="Z147" s="211">
        <v>0</v>
      </c>
      <c r="AA147" s="212"/>
      <c r="AB147" s="213" t="e">
        <v>#DIV/0!</v>
      </c>
      <c r="AC147" s="214"/>
      <c r="AD147" s="215"/>
      <c r="AE147" s="342"/>
      <c r="AF147" s="341" t="s">
        <v>370</v>
      </c>
    </row>
    <row r="148" spans="1:32">
      <c r="A148" s="307">
        <v>2</v>
      </c>
      <c r="B148" s="342"/>
      <c r="C148" s="342" t="s">
        <v>355</v>
      </c>
      <c r="D148" s="340" t="s">
        <v>529</v>
      </c>
      <c r="E148" s="342" t="s">
        <v>312</v>
      </c>
      <c r="F148" s="345" t="s">
        <v>171</v>
      </c>
      <c r="G148" s="308">
        <v>0</v>
      </c>
      <c r="H148" s="309">
        <v>16210</v>
      </c>
      <c r="I148" s="309">
        <v>0</v>
      </c>
      <c r="J148" s="211">
        <v>36</v>
      </c>
      <c r="K148" s="212" t="str">
        <f>IF(OR(J148="",G148=J148),"","*")</f>
        <v>*</v>
      </c>
      <c r="L148" s="338">
        <f>IF($A148&lt;=L$1,I148/I$4,"")</f>
        <v>0</v>
      </c>
      <c r="M148" s="343"/>
      <c r="N148" s="344" t="s">
        <v>530</v>
      </c>
      <c r="O148" s="310">
        <v>0</v>
      </c>
      <c r="P148" s="311">
        <v>0</v>
      </c>
      <c r="Q148" s="311">
        <v>0</v>
      </c>
      <c r="R148" s="211">
        <v>0</v>
      </c>
      <c r="S148" s="212"/>
      <c r="T148" s="213" t="e">
        <v>#DIV/0!</v>
      </c>
      <c r="U148" s="214"/>
      <c r="V148" s="215"/>
      <c r="W148" s="310">
        <v>0</v>
      </c>
      <c r="X148" s="311">
        <v>0</v>
      </c>
      <c r="Y148" s="311">
        <v>0</v>
      </c>
      <c r="Z148" s="211">
        <v>0</v>
      </c>
      <c r="AA148" s="212"/>
      <c r="AB148" s="213" t="e">
        <v>#DIV/0!</v>
      </c>
      <c r="AC148" s="214"/>
      <c r="AD148" s="215"/>
      <c r="AE148" s="342"/>
      <c r="AF148" s="341"/>
    </row>
    <row r="149" spans="1:32">
      <c r="A149" s="307">
        <v>3</v>
      </c>
      <c r="B149" s="342"/>
      <c r="C149" s="342" t="s">
        <v>176</v>
      </c>
      <c r="D149" s="340" t="s">
        <v>400</v>
      </c>
      <c r="E149" s="342" t="s">
        <v>401</v>
      </c>
      <c r="F149" s="345" t="s">
        <v>172</v>
      </c>
      <c r="G149" s="308">
        <v>9.7200000000000006</v>
      </c>
      <c r="H149" s="309">
        <v>2300</v>
      </c>
      <c r="I149" s="309">
        <v>22356</v>
      </c>
      <c r="J149" s="211"/>
      <c r="K149" s="212" t="str">
        <f>IF(OR(J149="",G149=J149),"","*")</f>
        <v/>
      </c>
      <c r="L149" s="338">
        <f>IF($A149&lt;=L$1,I149/I$4,"")</f>
        <v>4.1626631570403777E-4</v>
      </c>
      <c r="M149" s="343"/>
      <c r="N149" s="344"/>
      <c r="O149" s="310">
        <v>0</v>
      </c>
      <c r="P149" s="311">
        <v>0</v>
      </c>
      <c r="Q149" s="311">
        <v>0</v>
      </c>
      <c r="R149" s="211">
        <v>0</v>
      </c>
      <c r="S149" s="212"/>
      <c r="T149" s="213" t="e">
        <v>#DIV/0!</v>
      </c>
      <c r="U149" s="214"/>
      <c r="V149" s="215"/>
      <c r="W149" s="310">
        <v>0</v>
      </c>
      <c r="X149" s="311">
        <v>0</v>
      </c>
      <c r="Y149" s="311">
        <v>0</v>
      </c>
      <c r="Z149" s="211">
        <v>0</v>
      </c>
      <c r="AA149" s="212"/>
      <c r="AB149" s="213" t="e">
        <v>#DIV/0!</v>
      </c>
      <c r="AC149" s="214"/>
      <c r="AD149" s="215"/>
      <c r="AE149" s="342" t="s">
        <v>402</v>
      </c>
      <c r="AF149" s="341" t="s">
        <v>531</v>
      </c>
    </row>
    <row r="150" spans="1:32">
      <c r="A150" s="307">
        <v>3</v>
      </c>
      <c r="B150" s="342"/>
      <c r="C150" s="342" t="s">
        <v>176</v>
      </c>
      <c r="D150" s="340" t="s">
        <v>486</v>
      </c>
      <c r="E150" s="342" t="s">
        <v>401</v>
      </c>
      <c r="F150" s="345" t="s">
        <v>487</v>
      </c>
      <c r="G150" s="308">
        <v>4.6219999999999999</v>
      </c>
      <c r="H150" s="309">
        <v>9200</v>
      </c>
      <c r="I150" s="309">
        <v>42522</v>
      </c>
      <c r="J150" s="211"/>
      <c r="K150" s="212" t="str">
        <f>IF(OR(J150="",G150=J150),"","*")</f>
        <v/>
      </c>
      <c r="L150" s="338">
        <f>IF($A150&lt;=L$1,I150/I$4,"")</f>
        <v>7.9175506693357912E-4</v>
      </c>
      <c r="M150" s="343"/>
      <c r="N150" s="344"/>
      <c r="O150" s="310">
        <v>0</v>
      </c>
      <c r="P150" s="311">
        <v>0</v>
      </c>
      <c r="Q150" s="311">
        <v>0</v>
      </c>
      <c r="R150" s="211">
        <v>0</v>
      </c>
      <c r="S150" s="212"/>
      <c r="T150" s="213" t="e">
        <v>#DIV/0!</v>
      </c>
      <c r="U150" s="214"/>
      <c r="V150" s="215"/>
      <c r="W150" s="310">
        <v>0</v>
      </c>
      <c r="X150" s="311">
        <v>0</v>
      </c>
      <c r="Y150" s="311">
        <v>0</v>
      </c>
      <c r="Z150" s="211">
        <v>0</v>
      </c>
      <c r="AA150" s="212"/>
      <c r="AB150" s="213" t="e">
        <v>#DIV/0!</v>
      </c>
      <c r="AC150" s="214"/>
      <c r="AD150" s="215"/>
      <c r="AE150" s="342" t="s">
        <v>488</v>
      </c>
      <c r="AF150" s="341" t="s">
        <v>532</v>
      </c>
    </row>
    <row r="151" spans="1:32">
      <c r="A151" s="307">
        <v>3</v>
      </c>
      <c r="B151" s="342"/>
      <c r="C151" s="342" t="s">
        <v>176</v>
      </c>
      <c r="D151" s="340" t="s">
        <v>490</v>
      </c>
      <c r="E151" s="342" t="s">
        <v>401</v>
      </c>
      <c r="F151" s="345" t="s">
        <v>487</v>
      </c>
      <c r="G151" s="308">
        <v>4.6219999999999999</v>
      </c>
      <c r="H151" s="309">
        <v>9700</v>
      </c>
      <c r="I151" s="309">
        <v>44833</v>
      </c>
      <c r="J151" s="211"/>
      <c r="K151" s="212" t="str">
        <f>IF(OR(J151="",G151=J151),"","*")</f>
        <v/>
      </c>
      <c r="L151" s="338">
        <f>IF($A151&lt;=L$1,I151/I$4,"")</f>
        <v>8.3478563839502261E-4</v>
      </c>
      <c r="M151" s="343"/>
      <c r="N151" s="344"/>
      <c r="O151" s="310">
        <v>0</v>
      </c>
      <c r="P151" s="311">
        <v>0</v>
      </c>
      <c r="Q151" s="311">
        <v>0</v>
      </c>
      <c r="R151" s="211">
        <v>0</v>
      </c>
      <c r="S151" s="212"/>
      <c r="T151" s="213" t="e">
        <v>#DIV/0!</v>
      </c>
      <c r="U151" s="214"/>
      <c r="V151" s="215"/>
      <c r="W151" s="310">
        <v>0</v>
      </c>
      <c r="X151" s="311">
        <v>0</v>
      </c>
      <c r="Y151" s="311">
        <v>0</v>
      </c>
      <c r="Z151" s="211">
        <v>0</v>
      </c>
      <c r="AA151" s="212"/>
      <c r="AB151" s="213" t="e">
        <v>#DIV/0!</v>
      </c>
      <c r="AC151" s="214"/>
      <c r="AD151" s="215"/>
      <c r="AE151" s="342" t="s">
        <v>491</v>
      </c>
      <c r="AF151" s="341" t="s">
        <v>532</v>
      </c>
    </row>
    <row r="152" spans="1:32">
      <c r="A152" s="307">
        <v>3</v>
      </c>
      <c r="B152" s="342"/>
      <c r="C152" s="342" t="s">
        <v>176</v>
      </c>
      <c r="D152" s="340" t="s">
        <v>492</v>
      </c>
      <c r="E152" s="342" t="s">
        <v>401</v>
      </c>
      <c r="F152" s="345" t="s">
        <v>487</v>
      </c>
      <c r="G152" s="308">
        <v>4.6219999999999999</v>
      </c>
      <c r="H152" s="309">
        <v>10800</v>
      </c>
      <c r="I152" s="309">
        <v>49917</v>
      </c>
      <c r="J152" s="211"/>
      <c r="K152" s="212" t="str">
        <f>IF(OR(J152="",G152=J152),"","*")</f>
        <v/>
      </c>
      <c r="L152" s="338">
        <f>IF($A152&lt;=L$1,I152/I$4,"")</f>
        <v>9.2944917163170749E-4</v>
      </c>
      <c r="M152" s="343"/>
      <c r="N152" s="344"/>
      <c r="O152" s="310">
        <v>0</v>
      </c>
      <c r="P152" s="311">
        <v>0</v>
      </c>
      <c r="Q152" s="311">
        <v>0</v>
      </c>
      <c r="R152" s="211">
        <v>0</v>
      </c>
      <c r="S152" s="212"/>
      <c r="T152" s="213" t="e">
        <v>#DIV/0!</v>
      </c>
      <c r="U152" s="214"/>
      <c r="V152" s="215"/>
      <c r="W152" s="310">
        <v>0</v>
      </c>
      <c r="X152" s="311">
        <v>0</v>
      </c>
      <c r="Y152" s="311">
        <v>0</v>
      </c>
      <c r="Z152" s="211">
        <v>0</v>
      </c>
      <c r="AA152" s="212"/>
      <c r="AB152" s="213" t="e">
        <v>#DIV/0!</v>
      </c>
      <c r="AC152" s="214"/>
      <c r="AD152" s="215"/>
      <c r="AE152" s="342" t="s">
        <v>493</v>
      </c>
      <c r="AF152" s="341" t="s">
        <v>532</v>
      </c>
    </row>
    <row r="153" spans="1:32">
      <c r="A153" s="307">
        <v>3</v>
      </c>
      <c r="B153" s="342"/>
      <c r="C153" s="342" t="s">
        <v>176</v>
      </c>
      <c r="D153" s="340" t="s">
        <v>494</v>
      </c>
      <c r="E153" s="342"/>
      <c r="F153" s="345" t="s">
        <v>364</v>
      </c>
      <c r="G153" s="308">
        <v>36</v>
      </c>
      <c r="H153" s="309">
        <v>103</v>
      </c>
      <c r="I153" s="309">
        <v>3708</v>
      </c>
      <c r="J153" s="211"/>
      <c r="K153" s="212" t="str">
        <f>IF(OR(J153="",G153=J153),"","*")</f>
        <v/>
      </c>
      <c r="L153" s="338">
        <f>IF($A153&lt;=L$1,I153/I$4,"")</f>
        <v>6.9042561219832347E-5</v>
      </c>
      <c r="M153" s="343"/>
      <c r="N153" s="344"/>
      <c r="O153" s="310">
        <v>0</v>
      </c>
      <c r="P153" s="311">
        <v>0</v>
      </c>
      <c r="Q153" s="311">
        <v>0</v>
      </c>
      <c r="R153" s="211">
        <v>0</v>
      </c>
      <c r="S153" s="212"/>
      <c r="T153" s="213" t="e">
        <v>#DIV/0!</v>
      </c>
      <c r="U153" s="214"/>
      <c r="V153" s="215"/>
      <c r="W153" s="310">
        <v>0</v>
      </c>
      <c r="X153" s="311">
        <v>0</v>
      </c>
      <c r="Y153" s="311">
        <v>0</v>
      </c>
      <c r="Z153" s="211">
        <v>0</v>
      </c>
      <c r="AA153" s="212"/>
      <c r="AB153" s="213" t="e">
        <v>#DIV/0!</v>
      </c>
      <c r="AC153" s="214"/>
      <c r="AD153" s="215"/>
      <c r="AE153" s="342" t="s">
        <v>495</v>
      </c>
      <c r="AF153" s="341" t="s">
        <v>533</v>
      </c>
    </row>
    <row r="154" spans="1:32">
      <c r="A154" s="307">
        <v>3</v>
      </c>
      <c r="B154" s="342"/>
      <c r="C154" s="342" t="s">
        <v>176</v>
      </c>
      <c r="D154" s="340" t="s">
        <v>497</v>
      </c>
      <c r="E154" s="342"/>
      <c r="F154" s="345" t="s">
        <v>364</v>
      </c>
      <c r="G154" s="308">
        <v>28.8</v>
      </c>
      <c r="H154" s="309">
        <v>210</v>
      </c>
      <c r="I154" s="309">
        <v>6048</v>
      </c>
      <c r="J154" s="211"/>
      <c r="K154" s="212" t="str">
        <f>IF(OR(J154="",G154=J154),"","*")</f>
        <v/>
      </c>
      <c r="L154" s="338">
        <f>IF($A154&lt;=L$1,I154/I$4,"")</f>
        <v>1.12613109562445E-4</v>
      </c>
      <c r="M154" s="343"/>
      <c r="N154" s="344"/>
      <c r="O154" s="310">
        <v>0</v>
      </c>
      <c r="P154" s="311">
        <v>0</v>
      </c>
      <c r="Q154" s="311">
        <v>0</v>
      </c>
      <c r="R154" s="211">
        <v>0</v>
      </c>
      <c r="S154" s="212"/>
      <c r="T154" s="213" t="e">
        <v>#DIV/0!</v>
      </c>
      <c r="U154" s="214"/>
      <c r="V154" s="215"/>
      <c r="W154" s="310">
        <v>0</v>
      </c>
      <c r="X154" s="311">
        <v>0</v>
      </c>
      <c r="Y154" s="311">
        <v>0</v>
      </c>
      <c r="Z154" s="211">
        <v>0</v>
      </c>
      <c r="AA154" s="212"/>
      <c r="AB154" s="213" t="e">
        <v>#DIV/0!</v>
      </c>
      <c r="AC154" s="214"/>
      <c r="AD154" s="215"/>
      <c r="AE154" s="342" t="s">
        <v>498</v>
      </c>
      <c r="AF154" s="341" t="s">
        <v>534</v>
      </c>
    </row>
    <row r="155" spans="1:32">
      <c r="A155" s="307">
        <v>3</v>
      </c>
      <c r="B155" s="342"/>
      <c r="C155" s="342" t="s">
        <v>176</v>
      </c>
      <c r="D155" s="340" t="s">
        <v>500</v>
      </c>
      <c r="E155" s="342"/>
      <c r="F155" s="345" t="s">
        <v>172</v>
      </c>
      <c r="G155" s="308">
        <v>7.1999999999999995E-2</v>
      </c>
      <c r="H155" s="309">
        <v>4000</v>
      </c>
      <c r="I155" s="309">
        <v>288</v>
      </c>
      <c r="J155" s="211"/>
      <c r="K155" s="212" t="str">
        <f>IF(OR(J155="",G155=J155),"","*")</f>
        <v/>
      </c>
      <c r="L155" s="338">
        <f>IF($A155&lt;=L$1,I155/I$4,"")</f>
        <v>5.3625290267830955E-6</v>
      </c>
      <c r="M155" s="343"/>
      <c r="N155" s="344"/>
      <c r="O155" s="310">
        <v>0</v>
      </c>
      <c r="P155" s="311">
        <v>0</v>
      </c>
      <c r="Q155" s="311">
        <v>0</v>
      </c>
      <c r="R155" s="211">
        <v>0</v>
      </c>
      <c r="S155" s="212"/>
      <c r="T155" s="213" t="e">
        <v>#DIV/0!</v>
      </c>
      <c r="U155" s="214"/>
      <c r="V155" s="215"/>
      <c r="W155" s="310">
        <v>0</v>
      </c>
      <c r="X155" s="311">
        <v>0</v>
      </c>
      <c r="Y155" s="311">
        <v>0</v>
      </c>
      <c r="Z155" s="211">
        <v>0</v>
      </c>
      <c r="AA155" s="212"/>
      <c r="AB155" s="213" t="e">
        <v>#DIV/0!</v>
      </c>
      <c r="AC155" s="214"/>
      <c r="AD155" s="215"/>
      <c r="AE155" s="342" t="s">
        <v>501</v>
      </c>
      <c r="AF155" s="341" t="s">
        <v>535</v>
      </c>
    </row>
    <row r="156" spans="1:32">
      <c r="A156" s="307">
        <v>3</v>
      </c>
      <c r="B156" s="342"/>
      <c r="C156" s="342" t="s">
        <v>176</v>
      </c>
      <c r="D156" s="340" t="s">
        <v>363</v>
      </c>
      <c r="E156" s="342"/>
      <c r="F156" s="345" t="s">
        <v>503</v>
      </c>
      <c r="G156" s="308">
        <v>100</v>
      </c>
      <c r="H156" s="309">
        <v>145</v>
      </c>
      <c r="I156" s="309">
        <v>14500</v>
      </c>
      <c r="J156" s="211"/>
      <c r="K156" s="212" t="str">
        <f>IF(OR(J156="",G156=J156),"","*")</f>
        <v/>
      </c>
      <c r="L156" s="338">
        <f>IF($A156&lt;=L$1,I156/I$4,"")</f>
        <v>2.6998844058456555E-4</v>
      </c>
      <c r="M156" s="343"/>
      <c r="N156" s="344"/>
      <c r="O156" s="310">
        <v>0</v>
      </c>
      <c r="P156" s="311">
        <v>0</v>
      </c>
      <c r="Q156" s="311">
        <v>0</v>
      </c>
      <c r="R156" s="211">
        <v>0</v>
      </c>
      <c r="S156" s="212"/>
      <c r="T156" s="213" t="e">
        <v>#DIV/0!</v>
      </c>
      <c r="U156" s="214"/>
      <c r="V156" s="215"/>
      <c r="W156" s="310">
        <v>0</v>
      </c>
      <c r="X156" s="311">
        <v>0</v>
      </c>
      <c r="Y156" s="311">
        <v>0</v>
      </c>
      <c r="Z156" s="211">
        <v>0</v>
      </c>
      <c r="AA156" s="212"/>
      <c r="AB156" s="213" t="e">
        <v>#DIV/0!</v>
      </c>
      <c r="AC156" s="214"/>
      <c r="AD156" s="215"/>
      <c r="AE156" s="342" t="s">
        <v>365</v>
      </c>
      <c r="AF156" s="341" t="s">
        <v>404</v>
      </c>
    </row>
    <row r="157" spans="1:32">
      <c r="A157" s="307">
        <v>3</v>
      </c>
      <c r="B157" s="342"/>
      <c r="C157" s="342" t="s">
        <v>176</v>
      </c>
      <c r="D157" s="340" t="s">
        <v>505</v>
      </c>
      <c r="E157" s="342"/>
      <c r="F157" s="345" t="s">
        <v>503</v>
      </c>
      <c r="G157" s="308">
        <v>20</v>
      </c>
      <c r="H157" s="309">
        <v>165</v>
      </c>
      <c r="I157" s="309">
        <v>3300</v>
      </c>
      <c r="J157" s="211"/>
      <c r="K157" s="212" t="str">
        <f>IF(OR(J157="",G157=J157),"","*")</f>
        <v/>
      </c>
      <c r="L157" s="338">
        <f>IF($A157&lt;=L$1,I157/I$4,"")</f>
        <v>6.1445645098556298E-5</v>
      </c>
      <c r="M157" s="343"/>
      <c r="N157" s="344"/>
      <c r="O157" s="310">
        <v>0</v>
      </c>
      <c r="P157" s="311">
        <v>0</v>
      </c>
      <c r="Q157" s="311">
        <v>0</v>
      </c>
      <c r="R157" s="211">
        <v>0</v>
      </c>
      <c r="S157" s="212"/>
      <c r="T157" s="213" t="e">
        <v>#DIV/0!</v>
      </c>
      <c r="U157" s="214"/>
      <c r="V157" s="215"/>
      <c r="W157" s="310">
        <v>0</v>
      </c>
      <c r="X157" s="311">
        <v>0</v>
      </c>
      <c r="Y157" s="311">
        <v>0</v>
      </c>
      <c r="Z157" s="211">
        <v>0</v>
      </c>
      <c r="AA157" s="212"/>
      <c r="AB157" s="213" t="e">
        <v>#DIV/0!</v>
      </c>
      <c r="AC157" s="214"/>
      <c r="AD157" s="215"/>
      <c r="AE157" s="342" t="s">
        <v>506</v>
      </c>
      <c r="AF157" s="341" t="s">
        <v>527</v>
      </c>
    </row>
    <row r="158" spans="1:32">
      <c r="A158" s="307">
        <v>3</v>
      </c>
      <c r="B158" s="342"/>
      <c r="C158" s="342" t="s">
        <v>177</v>
      </c>
      <c r="D158" s="340" t="s">
        <v>367</v>
      </c>
      <c r="E158" s="342" t="s">
        <v>368</v>
      </c>
      <c r="F158" s="345" t="s">
        <v>369</v>
      </c>
      <c r="G158" s="308">
        <v>10</v>
      </c>
      <c r="H158" s="309">
        <v>23000</v>
      </c>
      <c r="I158" s="309">
        <v>230000</v>
      </c>
      <c r="J158" s="211"/>
      <c r="K158" s="212" t="str">
        <f>IF(OR(J158="",G158=J158),"","*")</f>
        <v/>
      </c>
      <c r="L158" s="338">
        <f>IF($A158&lt;=L$1,I158/I$4,"")</f>
        <v>4.2825752644448335E-3</v>
      </c>
      <c r="M158" s="343"/>
      <c r="N158" s="344"/>
      <c r="O158" s="310">
        <v>0</v>
      </c>
      <c r="P158" s="311">
        <v>0</v>
      </c>
      <c r="Q158" s="311">
        <v>0</v>
      </c>
      <c r="R158" s="211">
        <v>0</v>
      </c>
      <c r="S158" s="212"/>
      <c r="T158" s="213" t="e">
        <v>#DIV/0!</v>
      </c>
      <c r="U158" s="214"/>
      <c r="V158" s="215"/>
      <c r="W158" s="310">
        <v>0</v>
      </c>
      <c r="X158" s="311">
        <v>0</v>
      </c>
      <c r="Y158" s="311">
        <v>0</v>
      </c>
      <c r="Z158" s="211">
        <v>0</v>
      </c>
      <c r="AA158" s="212"/>
      <c r="AB158" s="213" t="e">
        <v>#DIV/0!</v>
      </c>
      <c r="AC158" s="214"/>
      <c r="AD158" s="215"/>
      <c r="AE158" s="342"/>
      <c r="AF158" s="341" t="s">
        <v>528</v>
      </c>
    </row>
    <row r="159" spans="1:32">
      <c r="A159" s="307">
        <v>3</v>
      </c>
      <c r="B159" s="342"/>
      <c r="C159" s="342" t="s">
        <v>179</v>
      </c>
      <c r="D159" s="340" t="s">
        <v>511</v>
      </c>
      <c r="E159" s="342" t="s">
        <v>381</v>
      </c>
      <c r="F159" s="345" t="s">
        <v>373</v>
      </c>
      <c r="G159" s="308">
        <v>1</v>
      </c>
      <c r="H159" s="309">
        <v>55000</v>
      </c>
      <c r="I159" s="309">
        <v>55000</v>
      </c>
      <c r="J159" s="211"/>
      <c r="K159" s="212" t="str">
        <f>IF(OR(J159="",G159=J159),"","*")</f>
        <v/>
      </c>
      <c r="L159" s="338">
        <f>IF($A159&lt;=L$1,I159/I$4,"")</f>
        <v>1.0240940849759383E-3</v>
      </c>
      <c r="M159" s="343"/>
      <c r="N159" s="344"/>
      <c r="O159" s="310">
        <v>0</v>
      </c>
      <c r="P159" s="311">
        <v>0</v>
      </c>
      <c r="Q159" s="311">
        <v>0</v>
      </c>
      <c r="R159" s="211">
        <v>0</v>
      </c>
      <c r="S159" s="212"/>
      <c r="T159" s="213" t="e">
        <v>#DIV/0!</v>
      </c>
      <c r="U159" s="214"/>
      <c r="V159" s="215"/>
      <c r="W159" s="310">
        <v>0</v>
      </c>
      <c r="X159" s="311">
        <v>0</v>
      </c>
      <c r="Y159" s="311">
        <v>0</v>
      </c>
      <c r="Z159" s="211">
        <v>0</v>
      </c>
      <c r="AA159" s="212"/>
      <c r="AB159" s="213" t="e">
        <v>#DIV/0!</v>
      </c>
      <c r="AC159" s="214"/>
      <c r="AD159" s="215"/>
      <c r="AE159" s="342" t="s">
        <v>512</v>
      </c>
      <c r="AF159" s="341"/>
    </row>
    <row r="160" spans="1:32">
      <c r="A160" s="307">
        <v>3</v>
      </c>
      <c r="B160" s="342"/>
      <c r="C160" s="342" t="s">
        <v>179</v>
      </c>
      <c r="D160" s="340" t="s">
        <v>513</v>
      </c>
      <c r="E160" s="342" t="s">
        <v>514</v>
      </c>
      <c r="F160" s="345" t="s">
        <v>373</v>
      </c>
      <c r="G160" s="308">
        <v>1</v>
      </c>
      <c r="H160" s="309">
        <v>45800</v>
      </c>
      <c r="I160" s="309">
        <v>45800</v>
      </c>
      <c r="J160" s="211"/>
      <c r="K160" s="212" t="str">
        <f>IF(OR(J160="",G160=J160),"","*")</f>
        <v/>
      </c>
      <c r="L160" s="338">
        <f>IF($A160&lt;=L$1,I160/I$4,"")</f>
        <v>8.5279107439814508E-4</v>
      </c>
      <c r="M160" s="343"/>
      <c r="N160" s="344"/>
      <c r="O160" s="310">
        <v>0</v>
      </c>
      <c r="P160" s="311">
        <v>0</v>
      </c>
      <c r="Q160" s="311">
        <v>0</v>
      </c>
      <c r="R160" s="211">
        <v>0</v>
      </c>
      <c r="S160" s="212"/>
      <c r="T160" s="213" t="e">
        <v>#DIV/0!</v>
      </c>
      <c r="U160" s="214"/>
      <c r="V160" s="215"/>
      <c r="W160" s="310">
        <v>0</v>
      </c>
      <c r="X160" s="311">
        <v>0</v>
      </c>
      <c r="Y160" s="311">
        <v>0</v>
      </c>
      <c r="Z160" s="211">
        <v>0</v>
      </c>
      <c r="AA160" s="212"/>
      <c r="AB160" s="213" t="e">
        <v>#DIV/0!</v>
      </c>
      <c r="AC160" s="214"/>
      <c r="AD160" s="215"/>
      <c r="AE160" s="342"/>
      <c r="AF160" s="341" t="s">
        <v>374</v>
      </c>
    </row>
    <row r="161" spans="1:32">
      <c r="A161" s="307">
        <v>3</v>
      </c>
      <c r="B161" s="342"/>
      <c r="C161" s="342" t="s">
        <v>179</v>
      </c>
      <c r="D161" s="340" t="s">
        <v>515</v>
      </c>
      <c r="E161" s="342" t="s">
        <v>516</v>
      </c>
      <c r="F161" s="345" t="s">
        <v>373</v>
      </c>
      <c r="G161" s="308">
        <v>1</v>
      </c>
      <c r="H161" s="309">
        <v>4600</v>
      </c>
      <c r="I161" s="309">
        <v>4600</v>
      </c>
      <c r="J161" s="211"/>
      <c r="K161" s="212" t="str">
        <f>IF(OR(J161="",G161=J161),"","*")</f>
        <v/>
      </c>
      <c r="L161" s="338">
        <f>IF($A161&lt;=L$1,I161/I$4,"")</f>
        <v>8.5651505288896658E-5</v>
      </c>
      <c r="M161" s="343"/>
      <c r="N161" s="344"/>
      <c r="O161" s="310">
        <v>0</v>
      </c>
      <c r="P161" s="311">
        <v>0</v>
      </c>
      <c r="Q161" s="311">
        <v>0</v>
      </c>
      <c r="R161" s="211">
        <v>0</v>
      </c>
      <c r="S161" s="212"/>
      <c r="T161" s="213" t="e">
        <v>#DIV/0!</v>
      </c>
      <c r="U161" s="214"/>
      <c r="V161" s="215"/>
      <c r="W161" s="310">
        <v>0</v>
      </c>
      <c r="X161" s="311">
        <v>0</v>
      </c>
      <c r="Y161" s="311">
        <v>0</v>
      </c>
      <c r="Z161" s="211">
        <v>0</v>
      </c>
      <c r="AA161" s="212"/>
      <c r="AB161" s="213" t="e">
        <v>#DIV/0!</v>
      </c>
      <c r="AC161" s="214"/>
      <c r="AD161" s="215"/>
      <c r="AE161" s="342"/>
      <c r="AF161" s="341" t="s">
        <v>374</v>
      </c>
    </row>
    <row r="162" spans="1:32">
      <c r="A162" s="307">
        <v>3</v>
      </c>
      <c r="B162" s="342"/>
      <c r="C162" s="342" t="s">
        <v>179</v>
      </c>
      <c r="D162" s="340" t="s">
        <v>480</v>
      </c>
      <c r="E162" s="342" t="s">
        <v>481</v>
      </c>
      <c r="F162" s="345" t="s">
        <v>373</v>
      </c>
      <c r="G162" s="308">
        <v>1</v>
      </c>
      <c r="H162" s="309">
        <v>6800</v>
      </c>
      <c r="I162" s="309">
        <v>6800</v>
      </c>
      <c r="J162" s="211"/>
      <c r="K162" s="212" t="str">
        <f>IF(OR(J162="",G162=J162),"","*")</f>
        <v/>
      </c>
      <c r="L162" s="338">
        <f>IF($A162&lt;=L$1,I162/I$4,"")</f>
        <v>1.2661526868793419E-4</v>
      </c>
      <c r="M162" s="343"/>
      <c r="N162" s="344"/>
      <c r="O162" s="310">
        <v>0</v>
      </c>
      <c r="P162" s="311">
        <v>0</v>
      </c>
      <c r="Q162" s="311">
        <v>0</v>
      </c>
      <c r="R162" s="211">
        <v>0</v>
      </c>
      <c r="S162" s="212"/>
      <c r="T162" s="213" t="e">
        <v>#DIV/0!</v>
      </c>
      <c r="U162" s="214"/>
      <c r="V162" s="215"/>
      <c r="W162" s="310">
        <v>0</v>
      </c>
      <c r="X162" s="311">
        <v>0</v>
      </c>
      <c r="Y162" s="311">
        <v>0</v>
      </c>
      <c r="Z162" s="211">
        <v>0</v>
      </c>
      <c r="AA162" s="212"/>
      <c r="AB162" s="213" t="e">
        <v>#DIV/0!</v>
      </c>
      <c r="AC162" s="214"/>
      <c r="AD162" s="215"/>
      <c r="AE162" s="342"/>
      <c r="AF162" s="341" t="s">
        <v>374</v>
      </c>
    </row>
    <row r="163" spans="1:32">
      <c r="A163" s="307">
        <v>3</v>
      </c>
      <c r="B163" s="342"/>
      <c r="C163" s="342" t="s">
        <v>179</v>
      </c>
      <c r="D163" s="340" t="s">
        <v>517</v>
      </c>
      <c r="E163" s="342" t="s">
        <v>372</v>
      </c>
      <c r="F163" s="345" t="s">
        <v>373</v>
      </c>
      <c r="G163" s="308">
        <v>1</v>
      </c>
      <c r="H163" s="309">
        <v>6600</v>
      </c>
      <c r="I163" s="309">
        <v>6600</v>
      </c>
      <c r="J163" s="211"/>
      <c r="K163" s="212" t="str">
        <f>IF(OR(J163="",G163=J163),"","*")</f>
        <v/>
      </c>
      <c r="L163" s="338">
        <f>IF($A163&lt;=L$1,I163/I$4,"")</f>
        <v>1.228912901971126E-4</v>
      </c>
      <c r="M163" s="343"/>
      <c r="N163" s="344"/>
      <c r="O163" s="310">
        <v>0</v>
      </c>
      <c r="P163" s="311">
        <v>0</v>
      </c>
      <c r="Q163" s="311">
        <v>0</v>
      </c>
      <c r="R163" s="211">
        <v>0</v>
      </c>
      <c r="S163" s="212"/>
      <c r="T163" s="213" t="e">
        <v>#DIV/0!</v>
      </c>
      <c r="U163" s="214"/>
      <c r="V163" s="215"/>
      <c r="W163" s="310">
        <v>0</v>
      </c>
      <c r="X163" s="311">
        <v>0</v>
      </c>
      <c r="Y163" s="311">
        <v>0</v>
      </c>
      <c r="Z163" s="211">
        <v>0</v>
      </c>
      <c r="AA163" s="212"/>
      <c r="AB163" s="213" t="e">
        <v>#DIV/0!</v>
      </c>
      <c r="AC163" s="214"/>
      <c r="AD163" s="215"/>
      <c r="AE163" s="342"/>
      <c r="AF163" s="341" t="s">
        <v>374</v>
      </c>
    </row>
    <row r="164" spans="1:32">
      <c r="A164" s="307">
        <v>3</v>
      </c>
      <c r="B164" s="342"/>
      <c r="C164" s="342" t="s">
        <v>179</v>
      </c>
      <c r="D164" s="340" t="s">
        <v>395</v>
      </c>
      <c r="E164" s="342"/>
      <c r="F164" s="345" t="s">
        <v>373</v>
      </c>
      <c r="G164" s="308">
        <v>1</v>
      </c>
      <c r="H164" s="309">
        <v>1500</v>
      </c>
      <c r="I164" s="309">
        <v>1500</v>
      </c>
      <c r="J164" s="211"/>
      <c r="K164" s="212" t="str">
        <f>IF(OR(J164="",G164=J164),"","*")</f>
        <v/>
      </c>
      <c r="L164" s="338">
        <f>IF($A164&lt;=L$1,I164/I$4,"")</f>
        <v>2.7929838681161953E-5</v>
      </c>
      <c r="M164" s="343"/>
      <c r="N164" s="344"/>
      <c r="O164" s="310">
        <v>0</v>
      </c>
      <c r="P164" s="311">
        <v>0</v>
      </c>
      <c r="Q164" s="311">
        <v>0</v>
      </c>
      <c r="R164" s="211">
        <v>0</v>
      </c>
      <c r="S164" s="212"/>
      <c r="T164" s="213" t="e">
        <v>#DIV/0!</v>
      </c>
      <c r="U164" s="214"/>
      <c r="V164" s="215"/>
      <c r="W164" s="310">
        <v>0</v>
      </c>
      <c r="X164" s="311">
        <v>0</v>
      </c>
      <c r="Y164" s="311">
        <v>0</v>
      </c>
      <c r="Z164" s="211">
        <v>0</v>
      </c>
      <c r="AA164" s="212"/>
      <c r="AB164" s="213" t="e">
        <v>#DIV/0!</v>
      </c>
      <c r="AC164" s="214"/>
      <c r="AD164" s="215"/>
      <c r="AE164" s="342"/>
      <c r="AF164" s="341" t="s">
        <v>374</v>
      </c>
    </row>
    <row r="165" spans="1:32">
      <c r="A165" s="307">
        <v>3</v>
      </c>
      <c r="B165" s="342"/>
      <c r="C165" s="342" t="s">
        <v>179</v>
      </c>
      <c r="D165" s="340" t="s">
        <v>396</v>
      </c>
      <c r="E165" s="342"/>
      <c r="F165" s="345" t="s">
        <v>373</v>
      </c>
      <c r="G165" s="308">
        <v>1</v>
      </c>
      <c r="H165" s="309">
        <v>700</v>
      </c>
      <c r="I165" s="309">
        <v>700</v>
      </c>
      <c r="J165" s="211"/>
      <c r="K165" s="212" t="str">
        <f>IF(OR(J165="",G165=J165),"","*")</f>
        <v/>
      </c>
      <c r="L165" s="338">
        <f>IF($A165&lt;=L$1,I165/I$4,"")</f>
        <v>1.3033924717875579E-5</v>
      </c>
      <c r="M165" s="343"/>
      <c r="N165" s="344"/>
      <c r="O165" s="310">
        <v>0</v>
      </c>
      <c r="P165" s="311">
        <v>0</v>
      </c>
      <c r="Q165" s="311">
        <v>0</v>
      </c>
      <c r="R165" s="211">
        <v>0</v>
      </c>
      <c r="S165" s="212"/>
      <c r="T165" s="213" t="e">
        <v>#DIV/0!</v>
      </c>
      <c r="U165" s="214"/>
      <c r="V165" s="215"/>
      <c r="W165" s="310">
        <v>0</v>
      </c>
      <c r="X165" s="311">
        <v>0</v>
      </c>
      <c r="Y165" s="311">
        <v>0</v>
      </c>
      <c r="Z165" s="211">
        <v>0</v>
      </c>
      <c r="AA165" s="212"/>
      <c r="AB165" s="213" t="e">
        <v>#DIV/0!</v>
      </c>
      <c r="AC165" s="214"/>
      <c r="AD165" s="215"/>
      <c r="AE165" s="342"/>
      <c r="AF165" s="341" t="s">
        <v>374</v>
      </c>
    </row>
    <row r="166" spans="1:32">
      <c r="A166" s="307">
        <v>3</v>
      </c>
      <c r="B166" s="342"/>
      <c r="C166" s="342" t="s">
        <v>179</v>
      </c>
      <c r="D166" s="340" t="s">
        <v>397</v>
      </c>
      <c r="E166" s="342"/>
      <c r="F166" s="345" t="s">
        <v>373</v>
      </c>
      <c r="G166" s="308">
        <v>1</v>
      </c>
      <c r="H166" s="309">
        <v>700</v>
      </c>
      <c r="I166" s="309">
        <v>700</v>
      </c>
      <c r="J166" s="211"/>
      <c r="K166" s="212" t="str">
        <f>IF(OR(J166="",G166=J166),"","*")</f>
        <v/>
      </c>
      <c r="L166" s="338">
        <f>IF($A166&lt;=L$1,I166/I$4,"")</f>
        <v>1.3033924717875579E-5</v>
      </c>
      <c r="M166" s="343"/>
      <c r="N166" s="344"/>
      <c r="O166" s="310">
        <v>0</v>
      </c>
      <c r="P166" s="311">
        <v>0</v>
      </c>
      <c r="Q166" s="311">
        <v>0</v>
      </c>
      <c r="R166" s="211">
        <v>0</v>
      </c>
      <c r="S166" s="212"/>
      <c r="T166" s="213" t="e">
        <v>#DIV/0!</v>
      </c>
      <c r="U166" s="214"/>
      <c r="V166" s="215"/>
      <c r="W166" s="310">
        <v>0</v>
      </c>
      <c r="X166" s="311">
        <v>0</v>
      </c>
      <c r="Y166" s="311">
        <v>0</v>
      </c>
      <c r="Z166" s="211">
        <v>0</v>
      </c>
      <c r="AA166" s="212"/>
      <c r="AB166" s="213" t="e">
        <v>#DIV/0!</v>
      </c>
      <c r="AC166" s="214"/>
      <c r="AD166" s="215"/>
      <c r="AE166" s="342"/>
      <c r="AF166" s="341" t="s">
        <v>374</v>
      </c>
    </row>
    <row r="167" spans="1:32">
      <c r="A167" s="307">
        <v>3</v>
      </c>
      <c r="B167" s="342"/>
      <c r="C167" s="342" t="s">
        <v>179</v>
      </c>
      <c r="D167" s="340" t="s">
        <v>518</v>
      </c>
      <c r="E167" s="342" t="s">
        <v>516</v>
      </c>
      <c r="F167" s="345" t="s">
        <v>373</v>
      </c>
      <c r="G167" s="308">
        <v>1</v>
      </c>
      <c r="H167" s="309">
        <v>12800</v>
      </c>
      <c r="I167" s="309">
        <v>12800</v>
      </c>
      <c r="J167" s="211"/>
      <c r="K167" s="212" t="str">
        <f>IF(OR(J167="",G167=J167),"","*")</f>
        <v/>
      </c>
      <c r="L167" s="338">
        <f>IF($A167&lt;=L$1,I167/I$4,"")</f>
        <v>2.3833462341258201E-4</v>
      </c>
      <c r="M167" s="343"/>
      <c r="N167" s="344"/>
      <c r="O167" s="310">
        <v>0</v>
      </c>
      <c r="P167" s="311">
        <v>0</v>
      </c>
      <c r="Q167" s="311">
        <v>0</v>
      </c>
      <c r="R167" s="211">
        <v>0</v>
      </c>
      <c r="S167" s="212"/>
      <c r="T167" s="213" t="e">
        <v>#DIV/0!</v>
      </c>
      <c r="U167" s="214"/>
      <c r="V167" s="215"/>
      <c r="W167" s="310">
        <v>0</v>
      </c>
      <c r="X167" s="311">
        <v>0</v>
      </c>
      <c r="Y167" s="311">
        <v>0</v>
      </c>
      <c r="Z167" s="211">
        <v>0</v>
      </c>
      <c r="AA167" s="212"/>
      <c r="AB167" s="213" t="e">
        <v>#DIV/0!</v>
      </c>
      <c r="AC167" s="214"/>
      <c r="AD167" s="215"/>
      <c r="AE167" s="342"/>
      <c r="AF167" s="341" t="s">
        <v>374</v>
      </c>
    </row>
    <row r="168" spans="1:32">
      <c r="A168" s="307">
        <v>3</v>
      </c>
      <c r="B168" s="342"/>
      <c r="C168" s="342" t="s">
        <v>180</v>
      </c>
      <c r="D168" s="340" t="s">
        <v>482</v>
      </c>
      <c r="E168" s="342"/>
      <c r="F168" s="345" t="s">
        <v>373</v>
      </c>
      <c r="G168" s="308">
        <v>2</v>
      </c>
      <c r="H168" s="309">
        <v>9800</v>
      </c>
      <c r="I168" s="309">
        <v>19600</v>
      </c>
      <c r="J168" s="211"/>
      <c r="K168" s="212" t="str">
        <f>IF(OR(J168="",G168=J168),"","*")</f>
        <v/>
      </c>
      <c r="L168" s="338">
        <f>IF($A168&lt;=L$1,I168/I$4,"")</f>
        <v>3.6494989210051623E-4</v>
      </c>
      <c r="M168" s="343"/>
      <c r="N168" s="344"/>
      <c r="O168" s="310">
        <v>0</v>
      </c>
      <c r="P168" s="311">
        <v>0</v>
      </c>
      <c r="Q168" s="311">
        <v>0</v>
      </c>
      <c r="R168" s="211">
        <v>0</v>
      </c>
      <c r="S168" s="212"/>
      <c r="T168" s="213" t="e">
        <v>#DIV/0!</v>
      </c>
      <c r="U168" s="214"/>
      <c r="V168" s="215"/>
      <c r="W168" s="310">
        <v>0</v>
      </c>
      <c r="X168" s="311">
        <v>0</v>
      </c>
      <c r="Y168" s="311">
        <v>0</v>
      </c>
      <c r="Z168" s="211">
        <v>0</v>
      </c>
      <c r="AA168" s="212"/>
      <c r="AB168" s="213" t="e">
        <v>#DIV/0!</v>
      </c>
      <c r="AC168" s="214"/>
      <c r="AD168" s="215"/>
      <c r="AE168" s="342"/>
      <c r="AF168" s="341" t="s">
        <v>382</v>
      </c>
    </row>
    <row r="169" spans="1:32">
      <c r="A169" s="307">
        <v>3</v>
      </c>
      <c r="B169" s="342"/>
      <c r="C169" s="342" t="s">
        <v>180</v>
      </c>
      <c r="D169" s="340" t="s">
        <v>383</v>
      </c>
      <c r="E169" s="342" t="s">
        <v>384</v>
      </c>
      <c r="F169" s="345" t="s">
        <v>373</v>
      </c>
      <c r="G169" s="308">
        <v>3</v>
      </c>
      <c r="H169" s="309">
        <v>4000</v>
      </c>
      <c r="I169" s="309">
        <v>12000</v>
      </c>
      <c r="J169" s="211"/>
      <c r="K169" s="212" t="str">
        <f>IF(OR(J169="",G169=J169),"","*")</f>
        <v/>
      </c>
      <c r="L169" s="338">
        <f>IF($A169&lt;=L$1,I169/I$4,"")</f>
        <v>2.2343870944929563E-4</v>
      </c>
      <c r="M169" s="343"/>
      <c r="N169" s="344"/>
      <c r="O169" s="310">
        <v>0</v>
      </c>
      <c r="P169" s="311">
        <v>0</v>
      </c>
      <c r="Q169" s="311">
        <v>0</v>
      </c>
      <c r="R169" s="211">
        <v>0</v>
      </c>
      <c r="S169" s="212"/>
      <c r="T169" s="213" t="e">
        <v>#DIV/0!</v>
      </c>
      <c r="U169" s="214"/>
      <c r="V169" s="215"/>
      <c r="W169" s="310">
        <v>0</v>
      </c>
      <c r="X169" s="311">
        <v>0</v>
      </c>
      <c r="Y169" s="311">
        <v>0</v>
      </c>
      <c r="Z169" s="211">
        <v>0</v>
      </c>
      <c r="AA169" s="212"/>
      <c r="AB169" s="213" t="e">
        <v>#DIV/0!</v>
      </c>
      <c r="AC169" s="214"/>
      <c r="AD169" s="215"/>
      <c r="AE169" s="342"/>
      <c r="AF169" s="341" t="s">
        <v>370</v>
      </c>
    </row>
    <row r="170" spans="1:32">
      <c r="A170" s="307">
        <v>2</v>
      </c>
      <c r="B170" s="342"/>
      <c r="C170" s="342" t="s">
        <v>355</v>
      </c>
      <c r="D170" s="340" t="s">
        <v>536</v>
      </c>
      <c r="E170" s="342" t="s">
        <v>315</v>
      </c>
      <c r="F170" s="345" t="s">
        <v>235</v>
      </c>
      <c r="G170" s="308">
        <v>0</v>
      </c>
      <c r="H170" s="309">
        <v>14135</v>
      </c>
      <c r="I170" s="309">
        <v>0</v>
      </c>
      <c r="J170" s="211">
        <v>14</v>
      </c>
      <c r="K170" s="212" t="str">
        <f>IF(OR(J170="",G170=J170),"","*")</f>
        <v>*</v>
      </c>
      <c r="L170" s="338">
        <f>IF($A170&lt;=L$1,I170/I$4,"")</f>
        <v>0</v>
      </c>
      <c r="M170" s="343"/>
      <c r="N170" s="344" t="s">
        <v>537</v>
      </c>
      <c r="O170" s="310">
        <v>0</v>
      </c>
      <c r="P170" s="311">
        <v>0</v>
      </c>
      <c r="Q170" s="311">
        <v>0</v>
      </c>
      <c r="R170" s="211">
        <v>0</v>
      </c>
      <c r="S170" s="212"/>
      <c r="T170" s="213" t="e">
        <v>#DIV/0!</v>
      </c>
      <c r="U170" s="214"/>
      <c r="V170" s="215"/>
      <c r="W170" s="310">
        <v>0</v>
      </c>
      <c r="X170" s="311">
        <v>0</v>
      </c>
      <c r="Y170" s="311">
        <v>0</v>
      </c>
      <c r="Z170" s="211">
        <v>0</v>
      </c>
      <c r="AA170" s="212"/>
      <c r="AB170" s="213" t="e">
        <v>#DIV/0!</v>
      </c>
      <c r="AC170" s="214"/>
      <c r="AD170" s="215"/>
      <c r="AE170" s="342"/>
      <c r="AF170" s="341"/>
    </row>
    <row r="171" spans="1:32">
      <c r="A171" s="307">
        <v>3</v>
      </c>
      <c r="B171" s="342"/>
      <c r="C171" s="342" t="s">
        <v>176</v>
      </c>
      <c r="D171" s="340" t="s">
        <v>538</v>
      </c>
      <c r="E171" s="342" t="s">
        <v>539</v>
      </c>
      <c r="F171" s="345" t="s">
        <v>540</v>
      </c>
      <c r="G171" s="308">
        <v>1</v>
      </c>
      <c r="H171" s="309">
        <v>9870</v>
      </c>
      <c r="I171" s="309">
        <v>9870</v>
      </c>
      <c r="J171" s="211"/>
      <c r="K171" s="212" t="str">
        <f>IF(OR(J171="",G171=J171),"","*")</f>
        <v/>
      </c>
      <c r="L171" s="338">
        <f>IF($A171&lt;=L$1,I171/I$4,"")</f>
        <v>1.8377833852204566E-4</v>
      </c>
      <c r="M171" s="343"/>
      <c r="N171" s="344"/>
      <c r="O171" s="310">
        <v>0</v>
      </c>
      <c r="P171" s="311">
        <v>0</v>
      </c>
      <c r="Q171" s="311">
        <v>0</v>
      </c>
      <c r="R171" s="211">
        <v>0</v>
      </c>
      <c r="S171" s="212"/>
      <c r="T171" s="213" t="e">
        <v>#DIV/0!</v>
      </c>
      <c r="U171" s="214"/>
      <c r="V171" s="215"/>
      <c r="W171" s="310">
        <v>0</v>
      </c>
      <c r="X171" s="311">
        <v>0</v>
      </c>
      <c r="Y171" s="311">
        <v>0</v>
      </c>
      <c r="Z171" s="211">
        <v>0</v>
      </c>
      <c r="AA171" s="212"/>
      <c r="AB171" s="213" t="e">
        <v>#DIV/0!</v>
      </c>
      <c r="AC171" s="214"/>
      <c r="AD171" s="215"/>
      <c r="AE171" s="342" t="s">
        <v>541</v>
      </c>
      <c r="AF171" s="341"/>
    </row>
    <row r="172" spans="1:32">
      <c r="A172" s="307">
        <v>3</v>
      </c>
      <c r="B172" s="342"/>
      <c r="C172" s="342" t="s">
        <v>176</v>
      </c>
      <c r="D172" s="340" t="s">
        <v>542</v>
      </c>
      <c r="E172" s="342" t="s">
        <v>543</v>
      </c>
      <c r="F172" s="345" t="s">
        <v>540</v>
      </c>
      <c r="G172" s="308">
        <v>3</v>
      </c>
      <c r="H172" s="309">
        <v>11900</v>
      </c>
      <c r="I172" s="309">
        <v>35700</v>
      </c>
      <c r="J172" s="211"/>
      <c r="K172" s="212" t="str">
        <f>IF(OR(J172="",G172=J172),"","*")</f>
        <v/>
      </c>
      <c r="L172" s="338">
        <f>IF($A172&lt;=L$1,I172/I$4,"")</f>
        <v>6.647301606116545E-4</v>
      </c>
      <c r="M172" s="343"/>
      <c r="N172" s="344"/>
      <c r="O172" s="310">
        <v>0</v>
      </c>
      <c r="P172" s="311">
        <v>0</v>
      </c>
      <c r="Q172" s="311">
        <v>0</v>
      </c>
      <c r="R172" s="211">
        <v>0</v>
      </c>
      <c r="S172" s="212"/>
      <c r="T172" s="213" t="e">
        <v>#DIV/0!</v>
      </c>
      <c r="U172" s="214"/>
      <c r="V172" s="215"/>
      <c r="W172" s="310">
        <v>0</v>
      </c>
      <c r="X172" s="311">
        <v>0</v>
      </c>
      <c r="Y172" s="311">
        <v>0</v>
      </c>
      <c r="Z172" s="211">
        <v>0</v>
      </c>
      <c r="AA172" s="212"/>
      <c r="AB172" s="213" t="e">
        <v>#DIV/0!</v>
      </c>
      <c r="AC172" s="214"/>
      <c r="AD172" s="215"/>
      <c r="AE172" s="342" t="s">
        <v>544</v>
      </c>
      <c r="AF172" s="341"/>
    </row>
    <row r="173" spans="1:32">
      <c r="A173" s="307">
        <v>3</v>
      </c>
      <c r="B173" s="342"/>
      <c r="C173" s="342" t="s">
        <v>176</v>
      </c>
      <c r="D173" s="340" t="s">
        <v>545</v>
      </c>
      <c r="E173" s="342" t="s">
        <v>546</v>
      </c>
      <c r="F173" s="345" t="s">
        <v>457</v>
      </c>
      <c r="G173" s="308">
        <v>5</v>
      </c>
      <c r="H173" s="309">
        <v>1450</v>
      </c>
      <c r="I173" s="309">
        <v>7250</v>
      </c>
      <c r="J173" s="211"/>
      <c r="K173" s="212" t="str">
        <f>IF(OR(J173="",G173=J173),"","*")</f>
        <v/>
      </c>
      <c r="L173" s="338">
        <f>IF($A173&lt;=L$1,I173/I$4,"")</f>
        <v>1.3499422029228278E-4</v>
      </c>
      <c r="M173" s="343"/>
      <c r="N173" s="344"/>
      <c r="O173" s="310">
        <v>0</v>
      </c>
      <c r="P173" s="311">
        <v>0</v>
      </c>
      <c r="Q173" s="311">
        <v>0</v>
      </c>
      <c r="R173" s="211">
        <v>0</v>
      </c>
      <c r="S173" s="212"/>
      <c r="T173" s="213" t="e">
        <v>#DIV/0!</v>
      </c>
      <c r="U173" s="214"/>
      <c r="V173" s="215"/>
      <c r="W173" s="310">
        <v>0</v>
      </c>
      <c r="X173" s="311">
        <v>0</v>
      </c>
      <c r="Y173" s="311">
        <v>0</v>
      </c>
      <c r="Z173" s="211">
        <v>0</v>
      </c>
      <c r="AA173" s="212"/>
      <c r="AB173" s="213" t="e">
        <v>#DIV/0!</v>
      </c>
      <c r="AC173" s="214"/>
      <c r="AD173" s="215"/>
      <c r="AE173" s="342" t="s">
        <v>547</v>
      </c>
      <c r="AF173" s="341"/>
    </row>
    <row r="174" spans="1:32">
      <c r="A174" s="307">
        <v>3</v>
      </c>
      <c r="B174" s="342"/>
      <c r="C174" s="342" t="s">
        <v>176</v>
      </c>
      <c r="D174" s="340" t="s">
        <v>548</v>
      </c>
      <c r="E174" s="342"/>
      <c r="F174" s="345" t="s">
        <v>172</v>
      </c>
      <c r="G174" s="308">
        <v>1.7150000000000001</v>
      </c>
      <c r="H174" s="309">
        <v>1500</v>
      </c>
      <c r="I174" s="309">
        <v>2572</v>
      </c>
      <c r="J174" s="211"/>
      <c r="K174" s="212" t="str">
        <f>IF(OR(J174="",G174=J174),"","*")</f>
        <v/>
      </c>
      <c r="L174" s="338">
        <f>IF($A174&lt;=L$1,I174/I$4,"")</f>
        <v>4.7890363391965699E-5</v>
      </c>
      <c r="M174" s="343"/>
      <c r="N174" s="344"/>
      <c r="O174" s="310">
        <v>0</v>
      </c>
      <c r="P174" s="311">
        <v>0</v>
      </c>
      <c r="Q174" s="311">
        <v>0</v>
      </c>
      <c r="R174" s="211">
        <v>0</v>
      </c>
      <c r="S174" s="212"/>
      <c r="T174" s="213" t="e">
        <v>#DIV/0!</v>
      </c>
      <c r="U174" s="214"/>
      <c r="V174" s="215"/>
      <c r="W174" s="310">
        <v>0</v>
      </c>
      <c r="X174" s="311">
        <v>0</v>
      </c>
      <c r="Y174" s="311">
        <v>0</v>
      </c>
      <c r="Z174" s="211">
        <v>0</v>
      </c>
      <c r="AA174" s="212"/>
      <c r="AB174" s="213" t="e">
        <v>#DIV/0!</v>
      </c>
      <c r="AC174" s="214"/>
      <c r="AD174" s="215"/>
      <c r="AE174" s="342" t="s">
        <v>549</v>
      </c>
      <c r="AF174" s="341" t="s">
        <v>550</v>
      </c>
    </row>
    <row r="175" spans="1:32">
      <c r="A175" s="307">
        <v>3</v>
      </c>
      <c r="B175" s="342"/>
      <c r="C175" s="342" t="s">
        <v>176</v>
      </c>
      <c r="D175" s="340" t="s">
        <v>363</v>
      </c>
      <c r="E175" s="342"/>
      <c r="F175" s="345" t="s">
        <v>364</v>
      </c>
      <c r="G175" s="308">
        <v>40</v>
      </c>
      <c r="H175" s="309">
        <v>145</v>
      </c>
      <c r="I175" s="309">
        <v>5800</v>
      </c>
      <c r="J175" s="211"/>
      <c r="K175" s="212" t="str">
        <f>IF(OR(J175="",G175=J175),"","*")</f>
        <v/>
      </c>
      <c r="L175" s="338">
        <f>IF($A175&lt;=L$1,I175/I$4,"")</f>
        <v>1.0799537623382622E-4</v>
      </c>
      <c r="M175" s="343"/>
      <c r="N175" s="344"/>
      <c r="O175" s="310">
        <v>0</v>
      </c>
      <c r="P175" s="311">
        <v>0</v>
      </c>
      <c r="Q175" s="311">
        <v>0</v>
      </c>
      <c r="R175" s="211">
        <v>0</v>
      </c>
      <c r="S175" s="212"/>
      <c r="T175" s="213" t="e">
        <v>#DIV/0!</v>
      </c>
      <c r="U175" s="214"/>
      <c r="V175" s="215"/>
      <c r="W175" s="310">
        <v>0</v>
      </c>
      <c r="X175" s="311">
        <v>0</v>
      </c>
      <c r="Y175" s="311">
        <v>0</v>
      </c>
      <c r="Z175" s="211">
        <v>0</v>
      </c>
      <c r="AA175" s="212"/>
      <c r="AB175" s="213" t="e">
        <v>#DIV/0!</v>
      </c>
      <c r="AC175" s="214"/>
      <c r="AD175" s="215"/>
      <c r="AE175" s="342" t="s">
        <v>365</v>
      </c>
      <c r="AF175" s="341" t="s">
        <v>551</v>
      </c>
    </row>
    <row r="176" spans="1:32">
      <c r="A176" s="307">
        <v>3</v>
      </c>
      <c r="B176" s="342"/>
      <c r="C176" s="342" t="s">
        <v>177</v>
      </c>
      <c r="D176" s="340" t="s">
        <v>367</v>
      </c>
      <c r="E176" s="342" t="s">
        <v>368</v>
      </c>
      <c r="F176" s="345" t="s">
        <v>369</v>
      </c>
      <c r="G176" s="308">
        <v>5</v>
      </c>
      <c r="H176" s="309">
        <v>23000</v>
      </c>
      <c r="I176" s="309">
        <v>115000</v>
      </c>
      <c r="J176" s="211"/>
      <c r="K176" s="212" t="str">
        <f>IF(OR(J176="",G176=J176),"","*")</f>
        <v/>
      </c>
      <c r="L176" s="338">
        <f>IF($A176&lt;=L$1,I176/I$4,"")</f>
        <v>2.1412876322224167E-3</v>
      </c>
      <c r="M176" s="343"/>
      <c r="N176" s="344"/>
      <c r="O176" s="310">
        <v>0</v>
      </c>
      <c r="P176" s="311">
        <v>0</v>
      </c>
      <c r="Q176" s="311">
        <v>0</v>
      </c>
      <c r="R176" s="211">
        <v>0</v>
      </c>
      <c r="S176" s="212"/>
      <c r="T176" s="213" t="e">
        <v>#DIV/0!</v>
      </c>
      <c r="U176" s="214"/>
      <c r="V176" s="215"/>
      <c r="W176" s="310">
        <v>0</v>
      </c>
      <c r="X176" s="311">
        <v>0</v>
      </c>
      <c r="Y176" s="311">
        <v>0</v>
      </c>
      <c r="Z176" s="211">
        <v>0</v>
      </c>
      <c r="AA176" s="212"/>
      <c r="AB176" s="213" t="e">
        <v>#DIV/0!</v>
      </c>
      <c r="AC176" s="214"/>
      <c r="AD176" s="215"/>
      <c r="AE176" s="342"/>
      <c r="AF176" s="341" t="s">
        <v>464</v>
      </c>
    </row>
    <row r="177" spans="1:32">
      <c r="A177" s="307">
        <v>3</v>
      </c>
      <c r="B177" s="342"/>
      <c r="C177" s="342" t="s">
        <v>179</v>
      </c>
      <c r="D177" s="340" t="s">
        <v>371</v>
      </c>
      <c r="E177" s="342" t="s">
        <v>372</v>
      </c>
      <c r="F177" s="345" t="s">
        <v>373</v>
      </c>
      <c r="G177" s="308">
        <v>1</v>
      </c>
      <c r="H177" s="309">
        <v>10800</v>
      </c>
      <c r="I177" s="309">
        <v>10800</v>
      </c>
      <c r="J177" s="211"/>
      <c r="K177" s="212" t="str">
        <f>IF(OR(J177="",G177=J177),"","*")</f>
        <v/>
      </c>
      <c r="L177" s="338">
        <f>IF($A177&lt;=L$1,I177/I$4,"")</f>
        <v>2.0109483850436609E-4</v>
      </c>
      <c r="M177" s="343"/>
      <c r="N177" s="344"/>
      <c r="O177" s="310">
        <v>0</v>
      </c>
      <c r="P177" s="311">
        <v>0</v>
      </c>
      <c r="Q177" s="311">
        <v>0</v>
      </c>
      <c r="R177" s="211">
        <v>0</v>
      </c>
      <c r="S177" s="212"/>
      <c r="T177" s="213" t="e">
        <v>#DIV/0!</v>
      </c>
      <c r="U177" s="214"/>
      <c r="V177" s="215"/>
      <c r="W177" s="310">
        <v>0</v>
      </c>
      <c r="X177" s="311">
        <v>0</v>
      </c>
      <c r="Y177" s="311">
        <v>0</v>
      </c>
      <c r="Z177" s="211">
        <v>0</v>
      </c>
      <c r="AA177" s="212"/>
      <c r="AB177" s="213" t="e">
        <v>#DIV/0!</v>
      </c>
      <c r="AC177" s="214"/>
      <c r="AD177" s="215"/>
      <c r="AE177" s="342"/>
      <c r="AF177" s="341" t="s">
        <v>374</v>
      </c>
    </row>
    <row r="178" spans="1:32">
      <c r="A178" s="307">
        <v>3</v>
      </c>
      <c r="B178" s="342"/>
      <c r="C178" s="342" t="s">
        <v>179</v>
      </c>
      <c r="D178" s="340" t="s">
        <v>395</v>
      </c>
      <c r="E178" s="342"/>
      <c r="F178" s="345" t="s">
        <v>373</v>
      </c>
      <c r="G178" s="308">
        <v>1</v>
      </c>
      <c r="H178" s="309">
        <v>1500</v>
      </c>
      <c r="I178" s="309">
        <v>1500</v>
      </c>
      <c r="J178" s="211"/>
      <c r="K178" s="212" t="str">
        <f>IF(OR(J178="",G178=J178),"","*")</f>
        <v/>
      </c>
      <c r="L178" s="338">
        <f>IF($A178&lt;=L$1,I178/I$4,"")</f>
        <v>2.7929838681161953E-5</v>
      </c>
      <c r="M178" s="343"/>
      <c r="N178" s="344"/>
      <c r="O178" s="310">
        <v>0</v>
      </c>
      <c r="P178" s="311">
        <v>0</v>
      </c>
      <c r="Q178" s="311">
        <v>0</v>
      </c>
      <c r="R178" s="211">
        <v>0</v>
      </c>
      <c r="S178" s="212"/>
      <c r="T178" s="213" t="e">
        <v>#DIV/0!</v>
      </c>
      <c r="U178" s="214"/>
      <c r="V178" s="215"/>
      <c r="W178" s="310">
        <v>0</v>
      </c>
      <c r="X178" s="311">
        <v>0</v>
      </c>
      <c r="Y178" s="311">
        <v>0</v>
      </c>
      <c r="Z178" s="211">
        <v>0</v>
      </c>
      <c r="AA178" s="212"/>
      <c r="AB178" s="213" t="e">
        <v>#DIV/0!</v>
      </c>
      <c r="AC178" s="214"/>
      <c r="AD178" s="215"/>
      <c r="AE178" s="342"/>
      <c r="AF178" s="341" t="s">
        <v>374</v>
      </c>
    </row>
    <row r="179" spans="1:32">
      <c r="A179" s="307">
        <v>3</v>
      </c>
      <c r="B179" s="342"/>
      <c r="C179" s="342" t="s">
        <v>179</v>
      </c>
      <c r="D179" s="340" t="s">
        <v>396</v>
      </c>
      <c r="E179" s="342"/>
      <c r="F179" s="345" t="s">
        <v>373</v>
      </c>
      <c r="G179" s="308">
        <v>1</v>
      </c>
      <c r="H179" s="309">
        <v>700</v>
      </c>
      <c r="I179" s="309">
        <v>700</v>
      </c>
      <c r="J179" s="211"/>
      <c r="K179" s="212" t="str">
        <f>IF(OR(J179="",G179=J179),"","*")</f>
        <v/>
      </c>
      <c r="L179" s="338">
        <f>IF($A179&lt;=L$1,I179/I$4,"")</f>
        <v>1.3033924717875579E-5</v>
      </c>
      <c r="M179" s="343"/>
      <c r="N179" s="344"/>
      <c r="O179" s="310">
        <v>0</v>
      </c>
      <c r="P179" s="311">
        <v>0</v>
      </c>
      <c r="Q179" s="311">
        <v>0</v>
      </c>
      <c r="R179" s="211">
        <v>0</v>
      </c>
      <c r="S179" s="212"/>
      <c r="T179" s="213" t="e">
        <v>#DIV/0!</v>
      </c>
      <c r="U179" s="214"/>
      <c r="V179" s="215"/>
      <c r="W179" s="310">
        <v>0</v>
      </c>
      <c r="X179" s="311">
        <v>0</v>
      </c>
      <c r="Y179" s="311">
        <v>0</v>
      </c>
      <c r="Z179" s="211">
        <v>0</v>
      </c>
      <c r="AA179" s="212"/>
      <c r="AB179" s="213" t="e">
        <v>#DIV/0!</v>
      </c>
      <c r="AC179" s="214"/>
      <c r="AD179" s="215"/>
      <c r="AE179" s="342"/>
      <c r="AF179" s="341" t="s">
        <v>374</v>
      </c>
    </row>
    <row r="180" spans="1:32">
      <c r="A180" s="307">
        <v>3</v>
      </c>
      <c r="B180" s="342"/>
      <c r="C180" s="342" t="s">
        <v>179</v>
      </c>
      <c r="D180" s="340" t="s">
        <v>397</v>
      </c>
      <c r="E180" s="342"/>
      <c r="F180" s="345" t="s">
        <v>373</v>
      </c>
      <c r="G180" s="308">
        <v>1</v>
      </c>
      <c r="H180" s="309">
        <v>700</v>
      </c>
      <c r="I180" s="309">
        <v>700</v>
      </c>
      <c r="J180" s="211"/>
      <c r="K180" s="212" t="str">
        <f>IF(OR(J180="",G180=J180),"","*")</f>
        <v/>
      </c>
      <c r="L180" s="338">
        <f>IF($A180&lt;=L$1,I180/I$4,"")</f>
        <v>1.3033924717875579E-5</v>
      </c>
      <c r="M180" s="343"/>
      <c r="N180" s="344"/>
      <c r="O180" s="310">
        <v>0</v>
      </c>
      <c r="P180" s="311">
        <v>0</v>
      </c>
      <c r="Q180" s="311">
        <v>0</v>
      </c>
      <c r="R180" s="211">
        <v>0</v>
      </c>
      <c r="S180" s="212"/>
      <c r="T180" s="213" t="e">
        <v>#DIV/0!</v>
      </c>
      <c r="U180" s="214"/>
      <c r="V180" s="215"/>
      <c r="W180" s="310">
        <v>0</v>
      </c>
      <c r="X180" s="311">
        <v>0</v>
      </c>
      <c r="Y180" s="311">
        <v>0</v>
      </c>
      <c r="Z180" s="211">
        <v>0</v>
      </c>
      <c r="AA180" s="212"/>
      <c r="AB180" s="213" t="e">
        <v>#DIV/0!</v>
      </c>
      <c r="AC180" s="214"/>
      <c r="AD180" s="215"/>
      <c r="AE180" s="342"/>
      <c r="AF180" s="341" t="s">
        <v>374</v>
      </c>
    </row>
    <row r="181" spans="1:32">
      <c r="A181" s="307">
        <v>3</v>
      </c>
      <c r="B181" s="342"/>
      <c r="C181" s="342" t="s">
        <v>180</v>
      </c>
      <c r="D181" s="340" t="s">
        <v>383</v>
      </c>
      <c r="E181" s="342" t="s">
        <v>384</v>
      </c>
      <c r="F181" s="345" t="s">
        <v>373</v>
      </c>
      <c r="G181" s="308">
        <v>2</v>
      </c>
      <c r="H181" s="309">
        <v>4000</v>
      </c>
      <c r="I181" s="309">
        <v>8000</v>
      </c>
      <c r="J181" s="211"/>
      <c r="K181" s="212" t="str">
        <f>IF(OR(J181="",G181=J181),"","*")</f>
        <v/>
      </c>
      <c r="L181" s="338">
        <f>IF($A181&lt;=L$1,I181/I$4,"")</f>
        <v>1.4895913963286375E-4</v>
      </c>
      <c r="M181" s="343"/>
      <c r="N181" s="344"/>
      <c r="O181" s="310">
        <v>0</v>
      </c>
      <c r="P181" s="311">
        <v>0</v>
      </c>
      <c r="Q181" s="311">
        <v>0</v>
      </c>
      <c r="R181" s="211">
        <v>0</v>
      </c>
      <c r="S181" s="212"/>
      <c r="T181" s="213" t="e">
        <v>#DIV/0!</v>
      </c>
      <c r="U181" s="214"/>
      <c r="V181" s="215"/>
      <c r="W181" s="310">
        <v>0</v>
      </c>
      <c r="X181" s="311">
        <v>0</v>
      </c>
      <c r="Y181" s="311">
        <v>0</v>
      </c>
      <c r="Z181" s="211">
        <v>0</v>
      </c>
      <c r="AA181" s="212"/>
      <c r="AB181" s="213" t="e">
        <v>#DIV/0!</v>
      </c>
      <c r="AC181" s="214"/>
      <c r="AD181" s="215"/>
      <c r="AE181" s="342"/>
      <c r="AF181" s="341" t="s">
        <v>382</v>
      </c>
    </row>
    <row r="182" spans="1:32">
      <c r="A182" s="307">
        <v>2</v>
      </c>
      <c r="B182" s="342"/>
      <c r="C182" s="342" t="s">
        <v>355</v>
      </c>
      <c r="D182" s="340" t="s">
        <v>552</v>
      </c>
      <c r="E182" s="342" t="s">
        <v>317</v>
      </c>
      <c r="F182" s="345" t="s">
        <v>239</v>
      </c>
      <c r="G182" s="308">
        <v>0</v>
      </c>
      <c r="H182" s="309">
        <v>252197</v>
      </c>
      <c r="I182" s="309">
        <v>0</v>
      </c>
      <c r="J182" s="211">
        <v>1</v>
      </c>
      <c r="K182" s="212" t="str">
        <f>IF(OR(J182="",G182=J182),"","*")</f>
        <v>*</v>
      </c>
      <c r="L182" s="338">
        <f>IF($A182&lt;=L$1,I182/I$4,"")</f>
        <v>0</v>
      </c>
      <c r="M182" s="343"/>
      <c r="N182" s="344" t="s">
        <v>553</v>
      </c>
      <c r="O182" s="310">
        <v>0</v>
      </c>
      <c r="P182" s="311">
        <v>0</v>
      </c>
      <c r="Q182" s="311">
        <v>0</v>
      </c>
      <c r="R182" s="211">
        <v>0</v>
      </c>
      <c r="S182" s="212"/>
      <c r="T182" s="213" t="e">
        <v>#DIV/0!</v>
      </c>
      <c r="U182" s="214"/>
      <c r="V182" s="215"/>
      <c r="W182" s="310">
        <v>0</v>
      </c>
      <c r="X182" s="311">
        <v>0</v>
      </c>
      <c r="Y182" s="311">
        <v>0</v>
      </c>
      <c r="Z182" s="211">
        <v>0</v>
      </c>
      <c r="AA182" s="212"/>
      <c r="AB182" s="213" t="e">
        <v>#DIV/0!</v>
      </c>
      <c r="AC182" s="214"/>
      <c r="AD182" s="215"/>
      <c r="AE182" s="342"/>
      <c r="AF182" s="341"/>
    </row>
    <row r="183" spans="1:32">
      <c r="A183" s="307">
        <v>3</v>
      </c>
      <c r="B183" s="342"/>
      <c r="C183" s="342" t="s">
        <v>176</v>
      </c>
      <c r="D183" s="340" t="s">
        <v>554</v>
      </c>
      <c r="E183" s="342"/>
      <c r="F183" s="345" t="s">
        <v>457</v>
      </c>
      <c r="G183" s="308">
        <v>1</v>
      </c>
      <c r="H183" s="309">
        <v>128000</v>
      </c>
      <c r="I183" s="309">
        <v>128000</v>
      </c>
      <c r="J183" s="211"/>
      <c r="K183" s="212" t="str">
        <f>IF(OR(J183="",G183=J183),"","*")</f>
        <v/>
      </c>
      <c r="L183" s="338">
        <f>IF($A183&lt;=L$1,I183/I$4,"")</f>
        <v>2.38334623412582E-3</v>
      </c>
      <c r="M183" s="343"/>
      <c r="N183" s="344"/>
      <c r="O183" s="310">
        <v>0</v>
      </c>
      <c r="P183" s="311">
        <v>0</v>
      </c>
      <c r="Q183" s="311">
        <v>0</v>
      </c>
      <c r="R183" s="211">
        <v>0</v>
      </c>
      <c r="S183" s="212"/>
      <c r="T183" s="213" t="e">
        <v>#DIV/0!</v>
      </c>
      <c r="U183" s="214"/>
      <c r="V183" s="215"/>
      <c r="W183" s="310">
        <v>0</v>
      </c>
      <c r="X183" s="311">
        <v>0</v>
      </c>
      <c r="Y183" s="311">
        <v>0</v>
      </c>
      <c r="Z183" s="211">
        <v>0</v>
      </c>
      <c r="AA183" s="212"/>
      <c r="AB183" s="213" t="e">
        <v>#DIV/0!</v>
      </c>
      <c r="AC183" s="214"/>
      <c r="AD183" s="215"/>
      <c r="AE183" s="342" t="s">
        <v>555</v>
      </c>
      <c r="AF183" s="341"/>
    </row>
    <row r="184" spans="1:32">
      <c r="A184" s="307">
        <v>3</v>
      </c>
      <c r="B184" s="342"/>
      <c r="C184" s="342" t="s">
        <v>176</v>
      </c>
      <c r="D184" s="340" t="s">
        <v>400</v>
      </c>
      <c r="E184" s="342" t="s">
        <v>401</v>
      </c>
      <c r="F184" s="345" t="s">
        <v>172</v>
      </c>
      <c r="G184" s="308">
        <v>0.17299999999999999</v>
      </c>
      <c r="H184" s="309">
        <v>2300</v>
      </c>
      <c r="I184" s="309">
        <v>397</v>
      </c>
      <c r="J184" s="211"/>
      <c r="K184" s="212" t="str">
        <f>IF(OR(J184="",G184=J184),"","*")</f>
        <v/>
      </c>
      <c r="L184" s="338">
        <f>IF($A184&lt;=L$1,I184/I$4,"")</f>
        <v>7.3920973042808637E-6</v>
      </c>
      <c r="M184" s="343"/>
      <c r="N184" s="344"/>
      <c r="O184" s="310">
        <v>0</v>
      </c>
      <c r="P184" s="311">
        <v>0</v>
      </c>
      <c r="Q184" s="311">
        <v>0</v>
      </c>
      <c r="R184" s="211">
        <v>0</v>
      </c>
      <c r="S184" s="212"/>
      <c r="T184" s="213" t="e">
        <v>#DIV/0!</v>
      </c>
      <c r="U184" s="214"/>
      <c r="V184" s="215"/>
      <c r="W184" s="310">
        <v>0</v>
      </c>
      <c r="X184" s="311">
        <v>0</v>
      </c>
      <c r="Y184" s="311">
        <v>0</v>
      </c>
      <c r="Z184" s="211">
        <v>0</v>
      </c>
      <c r="AA184" s="212"/>
      <c r="AB184" s="213" t="e">
        <v>#DIV/0!</v>
      </c>
      <c r="AC184" s="214"/>
      <c r="AD184" s="215"/>
      <c r="AE184" s="342" t="s">
        <v>402</v>
      </c>
      <c r="AF184" s="341" t="s">
        <v>556</v>
      </c>
    </row>
    <row r="185" spans="1:32">
      <c r="A185" s="307">
        <v>3</v>
      </c>
      <c r="B185" s="342"/>
      <c r="C185" s="342" t="s">
        <v>176</v>
      </c>
      <c r="D185" s="340" t="s">
        <v>363</v>
      </c>
      <c r="E185" s="342"/>
      <c r="F185" s="345" t="s">
        <v>364</v>
      </c>
      <c r="G185" s="308">
        <v>40</v>
      </c>
      <c r="H185" s="309">
        <v>145</v>
      </c>
      <c r="I185" s="309">
        <v>5800</v>
      </c>
      <c r="J185" s="211"/>
      <c r="K185" s="212" t="str">
        <f>IF(OR(J185="",G185=J185),"","*")</f>
        <v/>
      </c>
      <c r="L185" s="338">
        <f>IF($A185&lt;=L$1,I185/I$4,"")</f>
        <v>1.0799537623382622E-4</v>
      </c>
      <c r="M185" s="343"/>
      <c r="N185" s="344"/>
      <c r="O185" s="310">
        <v>0</v>
      </c>
      <c r="P185" s="311">
        <v>0</v>
      </c>
      <c r="Q185" s="311">
        <v>0</v>
      </c>
      <c r="R185" s="211">
        <v>0</v>
      </c>
      <c r="S185" s="212"/>
      <c r="T185" s="213" t="e">
        <v>#DIV/0!</v>
      </c>
      <c r="U185" s="214"/>
      <c r="V185" s="215"/>
      <c r="W185" s="310">
        <v>0</v>
      </c>
      <c r="X185" s="311">
        <v>0</v>
      </c>
      <c r="Y185" s="311">
        <v>0</v>
      </c>
      <c r="Z185" s="211">
        <v>0</v>
      </c>
      <c r="AA185" s="212"/>
      <c r="AB185" s="213" t="e">
        <v>#DIV/0!</v>
      </c>
      <c r="AC185" s="214"/>
      <c r="AD185" s="215"/>
      <c r="AE185" s="342" t="s">
        <v>365</v>
      </c>
      <c r="AF185" s="341" t="s">
        <v>551</v>
      </c>
    </row>
    <row r="186" spans="1:32">
      <c r="A186" s="307">
        <v>3</v>
      </c>
      <c r="B186" s="342"/>
      <c r="C186" s="342" t="s">
        <v>177</v>
      </c>
      <c r="D186" s="340" t="s">
        <v>367</v>
      </c>
      <c r="E186" s="342" t="s">
        <v>368</v>
      </c>
      <c r="F186" s="345" t="s">
        <v>369</v>
      </c>
      <c r="G186" s="308">
        <v>4</v>
      </c>
      <c r="H186" s="309">
        <v>23000</v>
      </c>
      <c r="I186" s="309">
        <v>92000</v>
      </c>
      <c r="J186" s="211"/>
      <c r="K186" s="212" t="str">
        <f>IF(OR(J186="",G186=J186),"","*")</f>
        <v/>
      </c>
      <c r="L186" s="338">
        <f>IF($A186&lt;=L$1,I186/I$4,"")</f>
        <v>1.7130301057779332E-3</v>
      </c>
      <c r="M186" s="343"/>
      <c r="N186" s="344"/>
      <c r="O186" s="310">
        <v>0</v>
      </c>
      <c r="P186" s="311">
        <v>0</v>
      </c>
      <c r="Q186" s="311">
        <v>0</v>
      </c>
      <c r="R186" s="211">
        <v>0</v>
      </c>
      <c r="S186" s="212"/>
      <c r="T186" s="213" t="e">
        <v>#DIV/0!</v>
      </c>
      <c r="U186" s="214"/>
      <c r="V186" s="215"/>
      <c r="W186" s="310">
        <v>0</v>
      </c>
      <c r="X186" s="311">
        <v>0</v>
      </c>
      <c r="Y186" s="311">
        <v>0</v>
      </c>
      <c r="Z186" s="211">
        <v>0</v>
      </c>
      <c r="AA186" s="212"/>
      <c r="AB186" s="213" t="e">
        <v>#DIV/0!</v>
      </c>
      <c r="AC186" s="214"/>
      <c r="AD186" s="215"/>
      <c r="AE186" s="342"/>
      <c r="AF186" s="341" t="s">
        <v>557</v>
      </c>
    </row>
    <row r="187" spans="1:32">
      <c r="A187" s="307">
        <v>3</v>
      </c>
      <c r="B187" s="342"/>
      <c r="C187" s="342" t="s">
        <v>179</v>
      </c>
      <c r="D187" s="340" t="s">
        <v>371</v>
      </c>
      <c r="E187" s="342" t="s">
        <v>372</v>
      </c>
      <c r="F187" s="345" t="s">
        <v>373</v>
      </c>
      <c r="G187" s="308">
        <v>1</v>
      </c>
      <c r="H187" s="309">
        <v>10800</v>
      </c>
      <c r="I187" s="309">
        <v>10800</v>
      </c>
      <c r="J187" s="211"/>
      <c r="K187" s="212" t="str">
        <f>IF(OR(J187="",G187=J187),"","*")</f>
        <v/>
      </c>
      <c r="L187" s="338">
        <f>IF($A187&lt;=L$1,I187/I$4,"")</f>
        <v>2.0109483850436609E-4</v>
      </c>
      <c r="M187" s="343"/>
      <c r="N187" s="344"/>
      <c r="O187" s="310">
        <v>0</v>
      </c>
      <c r="P187" s="311">
        <v>0</v>
      </c>
      <c r="Q187" s="311">
        <v>0</v>
      </c>
      <c r="R187" s="211">
        <v>0</v>
      </c>
      <c r="S187" s="212"/>
      <c r="T187" s="213" t="e">
        <v>#DIV/0!</v>
      </c>
      <c r="U187" s="214"/>
      <c r="V187" s="215"/>
      <c r="W187" s="310">
        <v>0</v>
      </c>
      <c r="X187" s="311">
        <v>0</v>
      </c>
      <c r="Y187" s="311">
        <v>0</v>
      </c>
      <c r="Z187" s="211">
        <v>0</v>
      </c>
      <c r="AA187" s="212"/>
      <c r="AB187" s="213" t="e">
        <v>#DIV/0!</v>
      </c>
      <c r="AC187" s="214"/>
      <c r="AD187" s="215"/>
      <c r="AE187" s="342"/>
      <c r="AF187" s="341" t="s">
        <v>374</v>
      </c>
    </row>
    <row r="188" spans="1:32">
      <c r="A188" s="307">
        <v>3</v>
      </c>
      <c r="B188" s="342"/>
      <c r="C188" s="342" t="s">
        <v>179</v>
      </c>
      <c r="D188" s="340" t="s">
        <v>396</v>
      </c>
      <c r="E188" s="342"/>
      <c r="F188" s="345" t="s">
        <v>373</v>
      </c>
      <c r="G188" s="308">
        <v>1</v>
      </c>
      <c r="H188" s="309">
        <v>700</v>
      </c>
      <c r="I188" s="309">
        <v>700</v>
      </c>
      <c r="J188" s="211"/>
      <c r="K188" s="212" t="str">
        <f>IF(OR(J188="",G188=J188),"","*")</f>
        <v/>
      </c>
      <c r="L188" s="338">
        <f>IF($A188&lt;=L$1,I188/I$4,"")</f>
        <v>1.3033924717875579E-5</v>
      </c>
      <c r="M188" s="343"/>
      <c r="N188" s="344"/>
      <c r="O188" s="310">
        <v>0</v>
      </c>
      <c r="P188" s="311">
        <v>0</v>
      </c>
      <c r="Q188" s="311">
        <v>0</v>
      </c>
      <c r="R188" s="211">
        <v>0</v>
      </c>
      <c r="S188" s="212"/>
      <c r="T188" s="213" t="e">
        <v>#DIV/0!</v>
      </c>
      <c r="U188" s="214"/>
      <c r="V188" s="215"/>
      <c r="W188" s="310">
        <v>0</v>
      </c>
      <c r="X188" s="311">
        <v>0</v>
      </c>
      <c r="Y188" s="311">
        <v>0</v>
      </c>
      <c r="Z188" s="211">
        <v>0</v>
      </c>
      <c r="AA188" s="212"/>
      <c r="AB188" s="213" t="e">
        <v>#DIV/0!</v>
      </c>
      <c r="AC188" s="214"/>
      <c r="AD188" s="215"/>
      <c r="AE188" s="342"/>
      <c r="AF188" s="341" t="s">
        <v>374</v>
      </c>
    </row>
    <row r="189" spans="1:32">
      <c r="A189" s="307">
        <v>3</v>
      </c>
      <c r="B189" s="342"/>
      <c r="C189" s="342" t="s">
        <v>179</v>
      </c>
      <c r="D189" s="340" t="s">
        <v>397</v>
      </c>
      <c r="E189" s="342"/>
      <c r="F189" s="345" t="s">
        <v>373</v>
      </c>
      <c r="G189" s="308">
        <v>1</v>
      </c>
      <c r="H189" s="309">
        <v>700</v>
      </c>
      <c r="I189" s="309">
        <v>700</v>
      </c>
      <c r="J189" s="211"/>
      <c r="K189" s="212" t="str">
        <f>IF(OR(J189="",G189=J189),"","*")</f>
        <v/>
      </c>
      <c r="L189" s="338">
        <f>IF($A189&lt;=L$1,I189/I$4,"")</f>
        <v>1.3033924717875579E-5</v>
      </c>
      <c r="M189" s="343"/>
      <c r="N189" s="344"/>
      <c r="O189" s="310">
        <v>0</v>
      </c>
      <c r="P189" s="311">
        <v>0</v>
      </c>
      <c r="Q189" s="311">
        <v>0</v>
      </c>
      <c r="R189" s="211">
        <v>0</v>
      </c>
      <c r="S189" s="212"/>
      <c r="T189" s="213" t="e">
        <v>#DIV/0!</v>
      </c>
      <c r="U189" s="214"/>
      <c r="V189" s="215"/>
      <c r="W189" s="310">
        <v>0</v>
      </c>
      <c r="X189" s="311">
        <v>0</v>
      </c>
      <c r="Y189" s="311">
        <v>0</v>
      </c>
      <c r="Z189" s="211">
        <v>0</v>
      </c>
      <c r="AA189" s="212"/>
      <c r="AB189" s="213" t="e">
        <v>#DIV/0!</v>
      </c>
      <c r="AC189" s="214"/>
      <c r="AD189" s="215"/>
      <c r="AE189" s="342"/>
      <c r="AF189" s="341" t="s">
        <v>374</v>
      </c>
    </row>
    <row r="190" spans="1:32">
      <c r="A190" s="307">
        <v>3</v>
      </c>
      <c r="B190" s="342"/>
      <c r="C190" s="342" t="s">
        <v>180</v>
      </c>
      <c r="D190" s="340" t="s">
        <v>482</v>
      </c>
      <c r="E190" s="342"/>
      <c r="F190" s="345" t="s">
        <v>373</v>
      </c>
      <c r="G190" s="308">
        <v>1</v>
      </c>
      <c r="H190" s="309">
        <v>9800</v>
      </c>
      <c r="I190" s="309">
        <v>9800</v>
      </c>
      <c r="J190" s="211"/>
      <c r="K190" s="212" t="str">
        <f>IF(OR(J190="",G190=J190),"","*")</f>
        <v/>
      </c>
      <c r="L190" s="338">
        <f>IF($A190&lt;=L$1,I190/I$4,"")</f>
        <v>1.8247494605025811E-4</v>
      </c>
      <c r="M190" s="343"/>
      <c r="N190" s="344"/>
      <c r="O190" s="310">
        <v>0</v>
      </c>
      <c r="P190" s="311">
        <v>0</v>
      </c>
      <c r="Q190" s="311">
        <v>0</v>
      </c>
      <c r="R190" s="211">
        <v>0</v>
      </c>
      <c r="S190" s="212"/>
      <c r="T190" s="213" t="e">
        <v>#DIV/0!</v>
      </c>
      <c r="U190" s="214"/>
      <c r="V190" s="215"/>
      <c r="W190" s="310">
        <v>0</v>
      </c>
      <c r="X190" s="311">
        <v>0</v>
      </c>
      <c r="Y190" s="311">
        <v>0</v>
      </c>
      <c r="Z190" s="211">
        <v>0</v>
      </c>
      <c r="AA190" s="212"/>
      <c r="AB190" s="213" t="e">
        <v>#DIV/0!</v>
      </c>
      <c r="AC190" s="214"/>
      <c r="AD190" s="215"/>
      <c r="AE190" s="342" t="s">
        <v>558</v>
      </c>
      <c r="AF190" s="341" t="s">
        <v>374</v>
      </c>
    </row>
    <row r="191" spans="1:32">
      <c r="A191" s="307">
        <v>3</v>
      </c>
      <c r="B191" s="342"/>
      <c r="C191" s="342" t="s">
        <v>180</v>
      </c>
      <c r="D191" s="340" t="s">
        <v>383</v>
      </c>
      <c r="E191" s="342" t="s">
        <v>384</v>
      </c>
      <c r="F191" s="345" t="s">
        <v>373</v>
      </c>
      <c r="G191" s="308">
        <v>1</v>
      </c>
      <c r="H191" s="309">
        <v>4000</v>
      </c>
      <c r="I191" s="309">
        <v>4000</v>
      </c>
      <c r="J191" s="211"/>
      <c r="K191" s="212" t="str">
        <f>IF(OR(J191="",G191=J191),"","*")</f>
        <v/>
      </c>
      <c r="L191" s="338">
        <f>IF($A191&lt;=L$1,I191/I$4,"")</f>
        <v>7.4479569816431876E-5</v>
      </c>
      <c r="M191" s="343"/>
      <c r="N191" s="344"/>
      <c r="O191" s="310">
        <v>0</v>
      </c>
      <c r="P191" s="311">
        <v>0</v>
      </c>
      <c r="Q191" s="311">
        <v>0</v>
      </c>
      <c r="R191" s="211">
        <v>0</v>
      </c>
      <c r="S191" s="212"/>
      <c r="T191" s="213" t="e">
        <v>#DIV/0!</v>
      </c>
      <c r="U191" s="214"/>
      <c r="V191" s="215"/>
      <c r="W191" s="310">
        <v>0</v>
      </c>
      <c r="X191" s="311">
        <v>0</v>
      </c>
      <c r="Y191" s="311">
        <v>0</v>
      </c>
      <c r="Z191" s="211">
        <v>0</v>
      </c>
      <c r="AA191" s="212"/>
      <c r="AB191" s="213" t="e">
        <v>#DIV/0!</v>
      </c>
      <c r="AC191" s="214"/>
      <c r="AD191" s="215"/>
      <c r="AE191" s="342"/>
      <c r="AF191" s="341" t="s">
        <v>374</v>
      </c>
    </row>
    <row r="192" spans="1:32">
      <c r="A192" s="307">
        <v>2</v>
      </c>
      <c r="B192" s="342"/>
      <c r="C192" s="342" t="s">
        <v>355</v>
      </c>
      <c r="D192" s="340" t="s">
        <v>559</v>
      </c>
      <c r="E192" s="342" t="s">
        <v>319</v>
      </c>
      <c r="F192" s="345" t="s">
        <v>235</v>
      </c>
      <c r="G192" s="308">
        <v>0</v>
      </c>
      <c r="H192" s="309">
        <v>110606</v>
      </c>
      <c r="I192" s="309">
        <v>0</v>
      </c>
      <c r="J192" s="211">
        <v>35</v>
      </c>
      <c r="K192" s="212" t="str">
        <f>IF(OR(J192="",G192=J192),"","*")</f>
        <v>*</v>
      </c>
      <c r="L192" s="338">
        <f>IF($A192&lt;=L$1,I192/I$4,"")</f>
        <v>0</v>
      </c>
      <c r="M192" s="343"/>
      <c r="N192" s="344" t="s">
        <v>560</v>
      </c>
      <c r="O192" s="310">
        <v>0</v>
      </c>
      <c r="P192" s="311">
        <v>0</v>
      </c>
      <c r="Q192" s="311">
        <v>0</v>
      </c>
      <c r="R192" s="211">
        <v>0</v>
      </c>
      <c r="S192" s="212"/>
      <c r="T192" s="213" t="e">
        <v>#DIV/0!</v>
      </c>
      <c r="U192" s="214"/>
      <c r="V192" s="215"/>
      <c r="W192" s="310">
        <v>0</v>
      </c>
      <c r="X192" s="311">
        <v>0</v>
      </c>
      <c r="Y192" s="311">
        <v>0</v>
      </c>
      <c r="Z192" s="211">
        <v>0</v>
      </c>
      <c r="AA192" s="212"/>
      <c r="AB192" s="213" t="e">
        <v>#DIV/0!</v>
      </c>
      <c r="AC192" s="214"/>
      <c r="AD192" s="215"/>
      <c r="AE192" s="342"/>
      <c r="AF192" s="341"/>
    </row>
    <row r="193" spans="1:32">
      <c r="A193" s="307">
        <v>3</v>
      </c>
      <c r="B193" s="342"/>
      <c r="C193" s="342" t="s">
        <v>176</v>
      </c>
      <c r="D193" s="340" t="s">
        <v>561</v>
      </c>
      <c r="E193" s="342" t="s">
        <v>319</v>
      </c>
      <c r="F193" s="345" t="s">
        <v>235</v>
      </c>
      <c r="G193" s="308">
        <v>17.5</v>
      </c>
      <c r="H193" s="309">
        <v>175000</v>
      </c>
      <c r="I193" s="309">
        <v>3062500</v>
      </c>
      <c r="J193" s="211"/>
      <c r="K193" s="212" t="str">
        <f>IF(OR(J193="",G193=J193),"","*")</f>
        <v/>
      </c>
      <c r="L193" s="338">
        <f>IF($A193&lt;=L$1,I193/I$4,"")</f>
        <v>5.702342064070566E-2</v>
      </c>
      <c r="M193" s="343"/>
      <c r="N193" s="344"/>
      <c r="O193" s="310">
        <v>0</v>
      </c>
      <c r="P193" s="311">
        <v>0</v>
      </c>
      <c r="Q193" s="311">
        <v>0</v>
      </c>
      <c r="R193" s="211">
        <v>0</v>
      </c>
      <c r="S193" s="212"/>
      <c r="T193" s="213" t="e">
        <v>#DIV/0!</v>
      </c>
      <c r="U193" s="214"/>
      <c r="V193" s="215"/>
      <c r="W193" s="310">
        <v>0</v>
      </c>
      <c r="X193" s="311">
        <v>0</v>
      </c>
      <c r="Y193" s="311">
        <v>0</v>
      </c>
      <c r="Z193" s="211">
        <v>0</v>
      </c>
      <c r="AA193" s="212"/>
      <c r="AB193" s="213" t="e">
        <v>#DIV/0!</v>
      </c>
      <c r="AC193" s="214"/>
      <c r="AD193" s="215"/>
      <c r="AE193" s="342" t="s">
        <v>555</v>
      </c>
      <c r="AF193" s="341" t="s">
        <v>562</v>
      </c>
    </row>
    <row r="194" spans="1:32">
      <c r="A194" s="307">
        <v>3</v>
      </c>
      <c r="B194" s="342"/>
      <c r="C194" s="342" t="s">
        <v>176</v>
      </c>
      <c r="D194" s="340" t="s">
        <v>400</v>
      </c>
      <c r="E194" s="342" t="s">
        <v>401</v>
      </c>
      <c r="F194" s="345" t="s">
        <v>172</v>
      </c>
      <c r="G194" s="308">
        <v>2.363</v>
      </c>
      <c r="H194" s="309">
        <v>2300</v>
      </c>
      <c r="I194" s="309">
        <v>5434</v>
      </c>
      <c r="J194" s="211"/>
      <c r="K194" s="212" t="str">
        <f>IF(OR(J194="",G194=J194),"","*")</f>
        <v/>
      </c>
      <c r="L194" s="338">
        <f>IF($A194&lt;=L$1,I194/I$4,"")</f>
        <v>1.011804955956227E-4</v>
      </c>
      <c r="M194" s="343"/>
      <c r="N194" s="344"/>
      <c r="O194" s="310">
        <v>0</v>
      </c>
      <c r="P194" s="311">
        <v>0</v>
      </c>
      <c r="Q194" s="311">
        <v>0</v>
      </c>
      <c r="R194" s="211">
        <v>0</v>
      </c>
      <c r="S194" s="212"/>
      <c r="T194" s="213" t="e">
        <v>#DIV/0!</v>
      </c>
      <c r="U194" s="214"/>
      <c r="V194" s="215"/>
      <c r="W194" s="310">
        <v>0</v>
      </c>
      <c r="X194" s="311">
        <v>0</v>
      </c>
      <c r="Y194" s="311">
        <v>0</v>
      </c>
      <c r="Z194" s="211">
        <v>0</v>
      </c>
      <c r="AA194" s="212"/>
      <c r="AB194" s="213" t="e">
        <v>#DIV/0!</v>
      </c>
      <c r="AC194" s="214"/>
      <c r="AD194" s="215"/>
      <c r="AE194" s="342" t="s">
        <v>402</v>
      </c>
      <c r="AF194" s="341" t="s">
        <v>563</v>
      </c>
    </row>
    <row r="195" spans="1:32">
      <c r="A195" s="307">
        <v>3</v>
      </c>
      <c r="B195" s="342"/>
      <c r="C195" s="342" t="s">
        <v>176</v>
      </c>
      <c r="D195" s="340" t="s">
        <v>407</v>
      </c>
      <c r="E195" s="342" t="s">
        <v>408</v>
      </c>
      <c r="F195" s="345" t="s">
        <v>172</v>
      </c>
      <c r="G195" s="308">
        <v>1.925</v>
      </c>
      <c r="H195" s="309">
        <v>22000</v>
      </c>
      <c r="I195" s="309">
        <v>42350</v>
      </c>
      <c r="J195" s="211"/>
      <c r="K195" s="212" t="str">
        <f>IF(OR(J195="",G195=J195),"","*")</f>
        <v/>
      </c>
      <c r="L195" s="338">
        <f>IF($A195&lt;=L$1,I195/I$4,"")</f>
        <v>7.885524454314725E-4</v>
      </c>
      <c r="M195" s="343"/>
      <c r="N195" s="344"/>
      <c r="O195" s="310">
        <v>0</v>
      </c>
      <c r="P195" s="311">
        <v>0</v>
      </c>
      <c r="Q195" s="311">
        <v>0</v>
      </c>
      <c r="R195" s="211">
        <v>0</v>
      </c>
      <c r="S195" s="212"/>
      <c r="T195" s="213" t="e">
        <v>#DIV/0!</v>
      </c>
      <c r="U195" s="214"/>
      <c r="V195" s="215"/>
      <c r="W195" s="310">
        <v>0</v>
      </c>
      <c r="X195" s="311">
        <v>0</v>
      </c>
      <c r="Y195" s="311">
        <v>0</v>
      </c>
      <c r="Z195" s="211">
        <v>0</v>
      </c>
      <c r="AA195" s="212"/>
      <c r="AB195" s="213" t="e">
        <v>#DIV/0!</v>
      </c>
      <c r="AC195" s="214"/>
      <c r="AD195" s="215"/>
      <c r="AE195" s="342" t="s">
        <v>410</v>
      </c>
      <c r="AF195" s="341" t="s">
        <v>564</v>
      </c>
    </row>
    <row r="196" spans="1:32">
      <c r="A196" s="307">
        <v>3</v>
      </c>
      <c r="B196" s="342"/>
      <c r="C196" s="342" t="s">
        <v>176</v>
      </c>
      <c r="D196" s="340" t="s">
        <v>565</v>
      </c>
      <c r="E196" s="342" t="s">
        <v>566</v>
      </c>
      <c r="F196" s="345" t="s">
        <v>172</v>
      </c>
      <c r="G196" s="308">
        <v>0.46200000000000002</v>
      </c>
      <c r="H196" s="309">
        <v>15000</v>
      </c>
      <c r="I196" s="309">
        <v>6930</v>
      </c>
      <c r="J196" s="211"/>
      <c r="K196" s="212" t="str">
        <f>IF(OR(J196="",G196=J196),"","*")</f>
        <v/>
      </c>
      <c r="L196" s="338">
        <f>IF($A196&lt;=L$1,I196/I$4,"")</f>
        <v>1.2903585470696823E-4</v>
      </c>
      <c r="M196" s="343"/>
      <c r="N196" s="344"/>
      <c r="O196" s="310">
        <v>0</v>
      </c>
      <c r="P196" s="311">
        <v>0</v>
      </c>
      <c r="Q196" s="311">
        <v>0</v>
      </c>
      <c r="R196" s="211">
        <v>0</v>
      </c>
      <c r="S196" s="212"/>
      <c r="T196" s="213" t="e">
        <v>#DIV/0!</v>
      </c>
      <c r="U196" s="214"/>
      <c r="V196" s="215"/>
      <c r="W196" s="310">
        <v>0</v>
      </c>
      <c r="X196" s="311">
        <v>0</v>
      </c>
      <c r="Y196" s="311">
        <v>0</v>
      </c>
      <c r="Z196" s="211">
        <v>0</v>
      </c>
      <c r="AA196" s="212"/>
      <c r="AB196" s="213" t="e">
        <v>#DIV/0!</v>
      </c>
      <c r="AC196" s="214"/>
      <c r="AD196" s="215"/>
      <c r="AE196" s="342" t="s">
        <v>567</v>
      </c>
      <c r="AF196" s="341" t="s">
        <v>568</v>
      </c>
    </row>
    <row r="197" spans="1:32">
      <c r="A197" s="307">
        <v>3</v>
      </c>
      <c r="B197" s="342"/>
      <c r="C197" s="342" t="s">
        <v>176</v>
      </c>
      <c r="D197" s="340" t="s">
        <v>363</v>
      </c>
      <c r="E197" s="342"/>
      <c r="F197" s="345" t="s">
        <v>364</v>
      </c>
      <c r="G197" s="308">
        <v>200</v>
      </c>
      <c r="H197" s="309">
        <v>145</v>
      </c>
      <c r="I197" s="309">
        <v>29000</v>
      </c>
      <c r="J197" s="211"/>
      <c r="K197" s="212" t="str">
        <f>IF(OR(J197="",G197=J197),"","*")</f>
        <v/>
      </c>
      <c r="L197" s="338">
        <f>IF($A197&lt;=L$1,I197/I$4,"")</f>
        <v>5.3997688116913111E-4</v>
      </c>
      <c r="M197" s="343"/>
      <c r="N197" s="344"/>
      <c r="O197" s="310">
        <v>0</v>
      </c>
      <c r="P197" s="311">
        <v>0</v>
      </c>
      <c r="Q197" s="311">
        <v>0</v>
      </c>
      <c r="R197" s="211">
        <v>0</v>
      </c>
      <c r="S197" s="212"/>
      <c r="T197" s="213" t="e">
        <v>#DIV/0!</v>
      </c>
      <c r="U197" s="214"/>
      <c r="V197" s="215"/>
      <c r="W197" s="310">
        <v>0</v>
      </c>
      <c r="X197" s="311">
        <v>0</v>
      </c>
      <c r="Y197" s="311">
        <v>0</v>
      </c>
      <c r="Z197" s="211">
        <v>0</v>
      </c>
      <c r="AA197" s="212"/>
      <c r="AB197" s="213" t="e">
        <v>#DIV/0!</v>
      </c>
      <c r="AC197" s="214"/>
      <c r="AD197" s="215"/>
      <c r="AE197" s="342" t="s">
        <v>365</v>
      </c>
      <c r="AF197" s="341" t="s">
        <v>569</v>
      </c>
    </row>
    <row r="198" spans="1:32">
      <c r="A198" s="307">
        <v>3</v>
      </c>
      <c r="B198" s="342"/>
      <c r="C198" s="342" t="s">
        <v>177</v>
      </c>
      <c r="D198" s="340" t="s">
        <v>367</v>
      </c>
      <c r="E198" s="342" t="s">
        <v>368</v>
      </c>
      <c r="F198" s="345" t="s">
        <v>369</v>
      </c>
      <c r="G198" s="308">
        <v>25</v>
      </c>
      <c r="H198" s="309">
        <v>23000</v>
      </c>
      <c r="I198" s="309">
        <v>575000</v>
      </c>
      <c r="J198" s="211"/>
      <c r="K198" s="212" t="str">
        <f>IF(OR(J198="",G198=J198),"","*")</f>
        <v/>
      </c>
      <c r="L198" s="338">
        <f>IF($A198&lt;=L$1,I198/I$4,"")</f>
        <v>1.0706438161112082E-2</v>
      </c>
      <c r="M198" s="343"/>
      <c r="N198" s="344"/>
      <c r="O198" s="310">
        <v>0</v>
      </c>
      <c r="P198" s="311">
        <v>0</v>
      </c>
      <c r="Q198" s="311">
        <v>0</v>
      </c>
      <c r="R198" s="211">
        <v>0</v>
      </c>
      <c r="S198" s="212"/>
      <c r="T198" s="213" t="e">
        <v>#DIV/0!</v>
      </c>
      <c r="U198" s="214"/>
      <c r="V198" s="215"/>
      <c r="W198" s="310">
        <v>0</v>
      </c>
      <c r="X198" s="311">
        <v>0</v>
      </c>
      <c r="Y198" s="311">
        <v>0</v>
      </c>
      <c r="Z198" s="211">
        <v>0</v>
      </c>
      <c r="AA198" s="212"/>
      <c r="AB198" s="213" t="e">
        <v>#DIV/0!</v>
      </c>
      <c r="AC198" s="214"/>
      <c r="AD198" s="215"/>
      <c r="AE198" s="342"/>
      <c r="AF198" s="341" t="s">
        <v>570</v>
      </c>
    </row>
    <row r="199" spans="1:32">
      <c r="A199" s="307">
        <v>3</v>
      </c>
      <c r="B199" s="342"/>
      <c r="C199" s="342" t="s">
        <v>179</v>
      </c>
      <c r="D199" s="340" t="s">
        <v>371</v>
      </c>
      <c r="E199" s="342" t="s">
        <v>372</v>
      </c>
      <c r="F199" s="345" t="s">
        <v>373</v>
      </c>
      <c r="G199" s="308">
        <v>5</v>
      </c>
      <c r="H199" s="309">
        <v>10800</v>
      </c>
      <c r="I199" s="309">
        <v>54000</v>
      </c>
      <c r="J199" s="211"/>
      <c r="K199" s="212" t="str">
        <f>IF(OR(J199="",G199=J199),"","*")</f>
        <v/>
      </c>
      <c r="L199" s="338">
        <f>IF($A199&lt;=L$1,I199/I$4,"")</f>
        <v>1.0054741925218304E-3</v>
      </c>
      <c r="M199" s="343"/>
      <c r="N199" s="344"/>
      <c r="O199" s="310">
        <v>0</v>
      </c>
      <c r="P199" s="311">
        <v>0</v>
      </c>
      <c r="Q199" s="311">
        <v>0</v>
      </c>
      <c r="R199" s="211">
        <v>0</v>
      </c>
      <c r="S199" s="212"/>
      <c r="T199" s="213" t="e">
        <v>#DIV/0!</v>
      </c>
      <c r="U199" s="214"/>
      <c r="V199" s="215"/>
      <c r="W199" s="310">
        <v>0</v>
      </c>
      <c r="X199" s="311">
        <v>0</v>
      </c>
      <c r="Y199" s="311">
        <v>0</v>
      </c>
      <c r="Z199" s="211">
        <v>0</v>
      </c>
      <c r="AA199" s="212"/>
      <c r="AB199" s="213" t="e">
        <v>#DIV/0!</v>
      </c>
      <c r="AC199" s="214"/>
      <c r="AD199" s="215"/>
      <c r="AE199" s="342"/>
      <c r="AF199" s="341" t="s">
        <v>393</v>
      </c>
    </row>
    <row r="200" spans="1:32">
      <c r="A200" s="307">
        <v>3</v>
      </c>
      <c r="B200" s="342"/>
      <c r="C200" s="342" t="s">
        <v>179</v>
      </c>
      <c r="D200" s="340" t="s">
        <v>396</v>
      </c>
      <c r="E200" s="342"/>
      <c r="F200" s="345" t="s">
        <v>373</v>
      </c>
      <c r="G200" s="308">
        <v>5</v>
      </c>
      <c r="H200" s="309">
        <v>700</v>
      </c>
      <c r="I200" s="309">
        <v>3500</v>
      </c>
      <c r="J200" s="211"/>
      <c r="K200" s="212" t="str">
        <f>IF(OR(J200="",G200=J200),"","*")</f>
        <v/>
      </c>
      <c r="L200" s="338">
        <f>IF($A200&lt;=L$1,I200/I$4,"")</f>
        <v>6.5169623589377901E-5</v>
      </c>
      <c r="M200" s="343"/>
      <c r="N200" s="344"/>
      <c r="O200" s="310">
        <v>0</v>
      </c>
      <c r="P200" s="311">
        <v>0</v>
      </c>
      <c r="Q200" s="311">
        <v>0</v>
      </c>
      <c r="R200" s="211">
        <v>0</v>
      </c>
      <c r="S200" s="212"/>
      <c r="T200" s="213" t="e">
        <v>#DIV/0!</v>
      </c>
      <c r="U200" s="214"/>
      <c r="V200" s="215"/>
      <c r="W200" s="310">
        <v>0</v>
      </c>
      <c r="X200" s="311">
        <v>0</v>
      </c>
      <c r="Y200" s="311">
        <v>0</v>
      </c>
      <c r="Z200" s="211">
        <v>0</v>
      </c>
      <c r="AA200" s="212"/>
      <c r="AB200" s="213" t="e">
        <v>#DIV/0!</v>
      </c>
      <c r="AC200" s="214"/>
      <c r="AD200" s="215"/>
      <c r="AE200" s="342"/>
      <c r="AF200" s="341" t="s">
        <v>393</v>
      </c>
    </row>
    <row r="201" spans="1:32">
      <c r="A201" s="307">
        <v>3</v>
      </c>
      <c r="B201" s="342"/>
      <c r="C201" s="342" t="s">
        <v>179</v>
      </c>
      <c r="D201" s="340" t="s">
        <v>397</v>
      </c>
      <c r="E201" s="342"/>
      <c r="F201" s="345" t="s">
        <v>373</v>
      </c>
      <c r="G201" s="308">
        <v>5</v>
      </c>
      <c r="H201" s="309">
        <v>700</v>
      </c>
      <c r="I201" s="309">
        <v>3500</v>
      </c>
      <c r="J201" s="211"/>
      <c r="K201" s="212" t="str">
        <f>IF(OR(J201="",G201=J201),"","*")</f>
        <v/>
      </c>
      <c r="L201" s="338">
        <f>IF($A201&lt;=L$1,I201/I$4,"")</f>
        <v>6.5169623589377901E-5</v>
      </c>
      <c r="M201" s="343"/>
      <c r="N201" s="344"/>
      <c r="O201" s="310">
        <v>0</v>
      </c>
      <c r="P201" s="311">
        <v>0</v>
      </c>
      <c r="Q201" s="311">
        <v>0</v>
      </c>
      <c r="R201" s="211">
        <v>0</v>
      </c>
      <c r="S201" s="212"/>
      <c r="T201" s="213" t="e">
        <v>#DIV/0!</v>
      </c>
      <c r="U201" s="214"/>
      <c r="V201" s="215"/>
      <c r="W201" s="310">
        <v>0</v>
      </c>
      <c r="X201" s="311">
        <v>0</v>
      </c>
      <c r="Y201" s="311">
        <v>0</v>
      </c>
      <c r="Z201" s="211">
        <v>0</v>
      </c>
      <c r="AA201" s="212"/>
      <c r="AB201" s="213" t="e">
        <v>#DIV/0!</v>
      </c>
      <c r="AC201" s="214"/>
      <c r="AD201" s="215"/>
      <c r="AE201" s="342"/>
      <c r="AF201" s="341" t="s">
        <v>393</v>
      </c>
    </row>
    <row r="202" spans="1:32">
      <c r="A202" s="307">
        <v>3</v>
      </c>
      <c r="B202" s="342"/>
      <c r="C202" s="342" t="s">
        <v>180</v>
      </c>
      <c r="D202" s="340" t="s">
        <v>482</v>
      </c>
      <c r="E202" s="342"/>
      <c r="F202" s="345" t="s">
        <v>373</v>
      </c>
      <c r="G202" s="308">
        <v>5</v>
      </c>
      <c r="H202" s="309">
        <v>9800</v>
      </c>
      <c r="I202" s="309">
        <v>49000</v>
      </c>
      <c r="J202" s="211"/>
      <c r="K202" s="212" t="str">
        <f>IF(OR(J202="",G202=J202),"","*")</f>
        <v/>
      </c>
      <c r="L202" s="338">
        <f>IF($A202&lt;=L$1,I202/I$4,"")</f>
        <v>9.1237473025129051E-4</v>
      </c>
      <c r="M202" s="343"/>
      <c r="N202" s="344"/>
      <c r="O202" s="310">
        <v>0</v>
      </c>
      <c r="P202" s="311">
        <v>0</v>
      </c>
      <c r="Q202" s="311">
        <v>0</v>
      </c>
      <c r="R202" s="211">
        <v>0</v>
      </c>
      <c r="S202" s="212"/>
      <c r="T202" s="213" t="e">
        <v>#DIV/0!</v>
      </c>
      <c r="U202" s="214"/>
      <c r="V202" s="215"/>
      <c r="W202" s="310">
        <v>0</v>
      </c>
      <c r="X202" s="311">
        <v>0</v>
      </c>
      <c r="Y202" s="311">
        <v>0</v>
      </c>
      <c r="Z202" s="211">
        <v>0</v>
      </c>
      <c r="AA202" s="212"/>
      <c r="AB202" s="213" t="e">
        <v>#DIV/0!</v>
      </c>
      <c r="AC202" s="214"/>
      <c r="AD202" s="215"/>
      <c r="AE202" s="342" t="s">
        <v>558</v>
      </c>
      <c r="AF202" s="341" t="s">
        <v>393</v>
      </c>
    </row>
    <row r="203" spans="1:32">
      <c r="A203" s="307">
        <v>3</v>
      </c>
      <c r="B203" s="342"/>
      <c r="C203" s="342" t="s">
        <v>180</v>
      </c>
      <c r="D203" s="340" t="s">
        <v>383</v>
      </c>
      <c r="E203" s="342" t="s">
        <v>384</v>
      </c>
      <c r="F203" s="345" t="s">
        <v>373</v>
      </c>
      <c r="G203" s="308">
        <v>10</v>
      </c>
      <c r="H203" s="309">
        <v>4000</v>
      </c>
      <c r="I203" s="309">
        <v>40000</v>
      </c>
      <c r="J203" s="211"/>
      <c r="K203" s="212" t="str">
        <f>IF(OR(J203="",G203=J203),"","*")</f>
        <v/>
      </c>
      <c r="L203" s="338">
        <f>IF($A203&lt;=L$1,I203/I$4,"")</f>
        <v>7.4479569816431881E-4</v>
      </c>
      <c r="M203" s="343"/>
      <c r="N203" s="344"/>
      <c r="O203" s="310">
        <v>0</v>
      </c>
      <c r="P203" s="311">
        <v>0</v>
      </c>
      <c r="Q203" s="311">
        <v>0</v>
      </c>
      <c r="R203" s="211">
        <v>0</v>
      </c>
      <c r="S203" s="212"/>
      <c r="T203" s="213" t="e">
        <v>#DIV/0!</v>
      </c>
      <c r="U203" s="214"/>
      <c r="V203" s="215"/>
      <c r="W203" s="310">
        <v>0</v>
      </c>
      <c r="X203" s="311">
        <v>0</v>
      </c>
      <c r="Y203" s="311">
        <v>0</v>
      </c>
      <c r="Z203" s="211">
        <v>0</v>
      </c>
      <c r="AA203" s="212"/>
      <c r="AB203" s="213" t="e">
        <v>#DIV/0!</v>
      </c>
      <c r="AC203" s="214"/>
      <c r="AD203" s="215"/>
      <c r="AE203" s="342"/>
      <c r="AF203" s="341" t="s">
        <v>571</v>
      </c>
    </row>
    <row r="204" spans="1:32">
      <c r="A204" s="307">
        <v>2</v>
      </c>
      <c r="B204" s="342"/>
      <c r="C204" s="342" t="s">
        <v>355</v>
      </c>
      <c r="D204" s="340" t="s">
        <v>572</v>
      </c>
      <c r="E204" s="342" t="s">
        <v>321</v>
      </c>
      <c r="F204" s="345" t="s">
        <v>239</v>
      </c>
      <c r="G204" s="308">
        <v>0</v>
      </c>
      <c r="H204" s="309">
        <v>376400</v>
      </c>
      <c r="I204" s="309">
        <v>0</v>
      </c>
      <c r="J204" s="211">
        <v>1</v>
      </c>
      <c r="K204" s="212" t="str">
        <f>IF(OR(J204="",G204=J204),"","*")</f>
        <v>*</v>
      </c>
      <c r="L204" s="338">
        <f>IF($A204&lt;=L$1,I204/I$4,"")</f>
        <v>0</v>
      </c>
      <c r="M204" s="343"/>
      <c r="N204" s="344" t="s">
        <v>573</v>
      </c>
      <c r="O204" s="310">
        <v>0</v>
      </c>
      <c r="P204" s="311">
        <v>0</v>
      </c>
      <c r="Q204" s="311">
        <v>0</v>
      </c>
      <c r="R204" s="211">
        <v>0</v>
      </c>
      <c r="S204" s="212"/>
      <c r="T204" s="213" t="e">
        <v>#DIV/0!</v>
      </c>
      <c r="U204" s="214"/>
      <c r="V204" s="215"/>
      <c r="W204" s="310">
        <v>0</v>
      </c>
      <c r="X204" s="311">
        <v>0</v>
      </c>
      <c r="Y204" s="311">
        <v>0</v>
      </c>
      <c r="Z204" s="211">
        <v>0</v>
      </c>
      <c r="AA204" s="212"/>
      <c r="AB204" s="213" t="e">
        <v>#DIV/0!</v>
      </c>
      <c r="AC204" s="214"/>
      <c r="AD204" s="215"/>
      <c r="AE204" s="342"/>
      <c r="AF204" s="341"/>
    </row>
    <row r="205" spans="1:32">
      <c r="A205" s="307">
        <v>3</v>
      </c>
      <c r="B205" s="342"/>
      <c r="C205" s="342" t="s">
        <v>176</v>
      </c>
      <c r="D205" s="340" t="s">
        <v>574</v>
      </c>
      <c r="E205" s="342" t="s">
        <v>321</v>
      </c>
      <c r="F205" s="345" t="s">
        <v>457</v>
      </c>
      <c r="G205" s="308">
        <v>1</v>
      </c>
      <c r="H205" s="309">
        <v>118000</v>
      </c>
      <c r="I205" s="309">
        <v>118000</v>
      </c>
      <c r="J205" s="211"/>
      <c r="K205" s="212" t="str">
        <f>IF(OR(J205="",G205=J205),"","*")</f>
        <v/>
      </c>
      <c r="L205" s="338">
        <f>IF($A205&lt;=L$1,I205/I$4,"")</f>
        <v>2.1971473095847406E-3</v>
      </c>
      <c r="M205" s="343"/>
      <c r="N205" s="344"/>
      <c r="O205" s="310">
        <v>0</v>
      </c>
      <c r="P205" s="311">
        <v>0</v>
      </c>
      <c r="Q205" s="311">
        <v>0</v>
      </c>
      <c r="R205" s="211">
        <v>0</v>
      </c>
      <c r="S205" s="212"/>
      <c r="T205" s="213" t="e">
        <v>#DIV/0!</v>
      </c>
      <c r="U205" s="214"/>
      <c r="V205" s="215"/>
      <c r="W205" s="310">
        <v>0</v>
      </c>
      <c r="X205" s="311">
        <v>0</v>
      </c>
      <c r="Y205" s="311">
        <v>0</v>
      </c>
      <c r="Z205" s="211">
        <v>0</v>
      </c>
      <c r="AA205" s="212"/>
      <c r="AB205" s="213" t="e">
        <v>#DIV/0!</v>
      </c>
      <c r="AC205" s="214"/>
      <c r="AD205" s="215"/>
      <c r="AE205" s="342" t="s">
        <v>555</v>
      </c>
      <c r="AF205" s="341"/>
    </row>
    <row r="206" spans="1:32">
      <c r="A206" s="307">
        <v>3</v>
      </c>
      <c r="B206" s="342"/>
      <c r="C206" s="342" t="s">
        <v>176</v>
      </c>
      <c r="D206" s="340" t="s">
        <v>363</v>
      </c>
      <c r="E206" s="342"/>
      <c r="F206" s="345" t="s">
        <v>364</v>
      </c>
      <c r="G206" s="308">
        <v>40</v>
      </c>
      <c r="H206" s="309">
        <v>145</v>
      </c>
      <c r="I206" s="309">
        <v>5800</v>
      </c>
      <c r="J206" s="211"/>
      <c r="K206" s="212" t="str">
        <f>IF(OR(J206="",G206=J206),"","*")</f>
        <v/>
      </c>
      <c r="L206" s="338">
        <f>IF($A206&lt;=L$1,I206/I$4,"")</f>
        <v>1.0799537623382622E-4</v>
      </c>
      <c r="M206" s="343"/>
      <c r="N206" s="344"/>
      <c r="O206" s="310">
        <v>0</v>
      </c>
      <c r="P206" s="311">
        <v>0</v>
      </c>
      <c r="Q206" s="311">
        <v>0</v>
      </c>
      <c r="R206" s="211">
        <v>0</v>
      </c>
      <c r="S206" s="212"/>
      <c r="T206" s="213" t="e">
        <v>#DIV/0!</v>
      </c>
      <c r="U206" s="214"/>
      <c r="V206" s="215"/>
      <c r="W206" s="310">
        <v>0</v>
      </c>
      <c r="X206" s="311">
        <v>0</v>
      </c>
      <c r="Y206" s="311">
        <v>0</v>
      </c>
      <c r="Z206" s="211">
        <v>0</v>
      </c>
      <c r="AA206" s="212"/>
      <c r="AB206" s="213" t="e">
        <v>#DIV/0!</v>
      </c>
      <c r="AC206" s="214"/>
      <c r="AD206" s="215"/>
      <c r="AE206" s="342" t="s">
        <v>365</v>
      </c>
      <c r="AF206" s="341" t="s">
        <v>551</v>
      </c>
    </row>
    <row r="207" spans="1:32">
      <c r="A207" s="307">
        <v>3</v>
      </c>
      <c r="B207" s="342"/>
      <c r="C207" s="342" t="s">
        <v>177</v>
      </c>
      <c r="D207" s="340" t="s">
        <v>367</v>
      </c>
      <c r="E207" s="342" t="s">
        <v>368</v>
      </c>
      <c r="F207" s="345" t="s">
        <v>369</v>
      </c>
      <c r="G207" s="308">
        <v>8</v>
      </c>
      <c r="H207" s="309">
        <v>23000</v>
      </c>
      <c r="I207" s="309">
        <v>184000</v>
      </c>
      <c r="J207" s="211"/>
      <c r="K207" s="212" t="str">
        <f>IF(OR(J207="",G207=J207),"","*")</f>
        <v/>
      </c>
      <c r="L207" s="338">
        <f>IF($A207&lt;=L$1,I207/I$4,"")</f>
        <v>3.4260602115558664E-3</v>
      </c>
      <c r="M207" s="343"/>
      <c r="N207" s="344"/>
      <c r="O207" s="310">
        <v>0</v>
      </c>
      <c r="P207" s="311">
        <v>0</v>
      </c>
      <c r="Q207" s="311">
        <v>0</v>
      </c>
      <c r="R207" s="211">
        <v>0</v>
      </c>
      <c r="S207" s="212"/>
      <c r="T207" s="213" t="e">
        <v>#DIV/0!</v>
      </c>
      <c r="U207" s="214"/>
      <c r="V207" s="215"/>
      <c r="W207" s="310">
        <v>0</v>
      </c>
      <c r="X207" s="311">
        <v>0</v>
      </c>
      <c r="Y207" s="311">
        <v>0</v>
      </c>
      <c r="Z207" s="211">
        <v>0</v>
      </c>
      <c r="AA207" s="212"/>
      <c r="AB207" s="213" t="e">
        <v>#DIV/0!</v>
      </c>
      <c r="AC207" s="214"/>
      <c r="AD207" s="215"/>
      <c r="AE207" s="342"/>
      <c r="AF207" s="341" t="s">
        <v>575</v>
      </c>
    </row>
    <row r="208" spans="1:32">
      <c r="A208" s="307">
        <v>3</v>
      </c>
      <c r="B208" s="342"/>
      <c r="C208" s="342" t="s">
        <v>179</v>
      </c>
      <c r="D208" s="340" t="s">
        <v>371</v>
      </c>
      <c r="E208" s="342" t="s">
        <v>372</v>
      </c>
      <c r="F208" s="345" t="s">
        <v>373</v>
      </c>
      <c r="G208" s="308">
        <v>2</v>
      </c>
      <c r="H208" s="309">
        <v>10800</v>
      </c>
      <c r="I208" s="309">
        <v>21600</v>
      </c>
      <c r="J208" s="211"/>
      <c r="K208" s="212" t="str">
        <f>IF(OR(J208="",G208=J208),"","*")</f>
        <v/>
      </c>
      <c r="L208" s="338">
        <f>IF($A208&lt;=L$1,I208/I$4,"")</f>
        <v>4.0218967700873218E-4</v>
      </c>
      <c r="M208" s="343"/>
      <c r="N208" s="344"/>
      <c r="O208" s="310">
        <v>0</v>
      </c>
      <c r="P208" s="311">
        <v>0</v>
      </c>
      <c r="Q208" s="311">
        <v>0</v>
      </c>
      <c r="R208" s="211">
        <v>0</v>
      </c>
      <c r="S208" s="212"/>
      <c r="T208" s="213" t="e">
        <v>#DIV/0!</v>
      </c>
      <c r="U208" s="214"/>
      <c r="V208" s="215"/>
      <c r="W208" s="310">
        <v>0</v>
      </c>
      <c r="X208" s="311">
        <v>0</v>
      </c>
      <c r="Y208" s="311">
        <v>0</v>
      </c>
      <c r="Z208" s="211">
        <v>0</v>
      </c>
      <c r="AA208" s="212"/>
      <c r="AB208" s="213" t="e">
        <v>#DIV/0!</v>
      </c>
      <c r="AC208" s="214"/>
      <c r="AD208" s="215"/>
      <c r="AE208" s="342"/>
      <c r="AF208" s="341" t="s">
        <v>439</v>
      </c>
    </row>
    <row r="209" spans="1:32">
      <c r="A209" s="307">
        <v>3</v>
      </c>
      <c r="B209" s="342"/>
      <c r="C209" s="342" t="s">
        <v>179</v>
      </c>
      <c r="D209" s="340" t="s">
        <v>576</v>
      </c>
      <c r="E209" s="342"/>
      <c r="F209" s="345" t="s">
        <v>373</v>
      </c>
      <c r="G209" s="308">
        <v>2</v>
      </c>
      <c r="H209" s="309">
        <v>5000</v>
      </c>
      <c r="I209" s="309">
        <v>10000</v>
      </c>
      <c r="J209" s="211"/>
      <c r="K209" s="212" t="str">
        <f>IF(OR(J209="",G209=J209),"","*")</f>
        <v/>
      </c>
      <c r="L209" s="338">
        <f>IF($A209&lt;=L$1,I209/I$4,"")</f>
        <v>1.861989245410797E-4</v>
      </c>
      <c r="M209" s="343"/>
      <c r="N209" s="344"/>
      <c r="O209" s="310">
        <v>0</v>
      </c>
      <c r="P209" s="311">
        <v>0</v>
      </c>
      <c r="Q209" s="311">
        <v>0</v>
      </c>
      <c r="R209" s="211">
        <v>0</v>
      </c>
      <c r="S209" s="212"/>
      <c r="T209" s="213" t="e">
        <v>#DIV/0!</v>
      </c>
      <c r="U209" s="214"/>
      <c r="V209" s="215"/>
      <c r="W209" s="310">
        <v>0</v>
      </c>
      <c r="X209" s="311">
        <v>0</v>
      </c>
      <c r="Y209" s="311">
        <v>0</v>
      </c>
      <c r="Z209" s="211">
        <v>0</v>
      </c>
      <c r="AA209" s="212"/>
      <c r="AB209" s="213" t="e">
        <v>#DIV/0!</v>
      </c>
      <c r="AC209" s="214"/>
      <c r="AD209" s="215"/>
      <c r="AE209" s="342"/>
      <c r="AF209" s="341" t="s">
        <v>439</v>
      </c>
    </row>
    <row r="210" spans="1:32">
      <c r="A210" s="307">
        <v>3</v>
      </c>
      <c r="B210" s="342"/>
      <c r="C210" s="342" t="s">
        <v>179</v>
      </c>
      <c r="D210" s="340" t="s">
        <v>397</v>
      </c>
      <c r="E210" s="342"/>
      <c r="F210" s="345" t="s">
        <v>373</v>
      </c>
      <c r="G210" s="308">
        <v>2</v>
      </c>
      <c r="H210" s="309">
        <v>700</v>
      </c>
      <c r="I210" s="309">
        <v>1400</v>
      </c>
      <c r="J210" s="211"/>
      <c r="K210" s="212" t="str">
        <f>IF(OR(J210="",G210=J210),"","*")</f>
        <v/>
      </c>
      <c r="L210" s="338">
        <f>IF($A210&lt;=L$1,I210/I$4,"")</f>
        <v>2.6067849435751159E-5</v>
      </c>
      <c r="M210" s="343"/>
      <c r="N210" s="344"/>
      <c r="O210" s="310">
        <v>0</v>
      </c>
      <c r="P210" s="311">
        <v>0</v>
      </c>
      <c r="Q210" s="311">
        <v>0</v>
      </c>
      <c r="R210" s="211">
        <v>0</v>
      </c>
      <c r="S210" s="212"/>
      <c r="T210" s="213" t="e">
        <v>#DIV/0!</v>
      </c>
      <c r="U210" s="214"/>
      <c r="V210" s="215"/>
      <c r="W210" s="310">
        <v>0</v>
      </c>
      <c r="X210" s="311">
        <v>0</v>
      </c>
      <c r="Y210" s="311">
        <v>0</v>
      </c>
      <c r="Z210" s="211">
        <v>0</v>
      </c>
      <c r="AA210" s="212"/>
      <c r="AB210" s="213" t="e">
        <v>#DIV/0!</v>
      </c>
      <c r="AC210" s="214"/>
      <c r="AD210" s="215"/>
      <c r="AE210" s="342"/>
      <c r="AF210" s="341" t="s">
        <v>439</v>
      </c>
    </row>
    <row r="211" spans="1:32">
      <c r="A211" s="307">
        <v>3</v>
      </c>
      <c r="B211" s="342"/>
      <c r="C211" s="342" t="s">
        <v>180</v>
      </c>
      <c r="D211" s="340" t="s">
        <v>482</v>
      </c>
      <c r="E211" s="342"/>
      <c r="F211" s="345" t="s">
        <v>373</v>
      </c>
      <c r="G211" s="308">
        <v>2</v>
      </c>
      <c r="H211" s="309">
        <v>9800</v>
      </c>
      <c r="I211" s="309">
        <v>19600</v>
      </c>
      <c r="J211" s="211"/>
      <c r="K211" s="212" t="str">
        <f>IF(OR(J211="",G211=J211),"","*")</f>
        <v/>
      </c>
      <c r="L211" s="338">
        <f>IF($A211&lt;=L$1,I211/I$4,"")</f>
        <v>3.6494989210051623E-4</v>
      </c>
      <c r="M211" s="343"/>
      <c r="N211" s="344"/>
      <c r="O211" s="310">
        <v>0</v>
      </c>
      <c r="P211" s="311">
        <v>0</v>
      </c>
      <c r="Q211" s="311">
        <v>0</v>
      </c>
      <c r="R211" s="211">
        <v>0</v>
      </c>
      <c r="S211" s="212"/>
      <c r="T211" s="213" t="e">
        <v>#DIV/0!</v>
      </c>
      <c r="U211" s="214"/>
      <c r="V211" s="215"/>
      <c r="W211" s="310">
        <v>0</v>
      </c>
      <c r="X211" s="311">
        <v>0</v>
      </c>
      <c r="Y211" s="311">
        <v>0</v>
      </c>
      <c r="Z211" s="211">
        <v>0</v>
      </c>
      <c r="AA211" s="212"/>
      <c r="AB211" s="213" t="e">
        <v>#DIV/0!</v>
      </c>
      <c r="AC211" s="214"/>
      <c r="AD211" s="215"/>
      <c r="AE211" s="342" t="s">
        <v>558</v>
      </c>
      <c r="AF211" s="341" t="s">
        <v>439</v>
      </c>
    </row>
    <row r="212" spans="1:32">
      <c r="A212" s="307">
        <v>3</v>
      </c>
      <c r="B212" s="342"/>
      <c r="C212" s="342" t="s">
        <v>180</v>
      </c>
      <c r="D212" s="340" t="s">
        <v>383</v>
      </c>
      <c r="E212" s="342" t="s">
        <v>384</v>
      </c>
      <c r="F212" s="345" t="s">
        <v>373</v>
      </c>
      <c r="G212" s="308">
        <v>4</v>
      </c>
      <c r="H212" s="309">
        <v>4000</v>
      </c>
      <c r="I212" s="309">
        <v>16000</v>
      </c>
      <c r="J212" s="211"/>
      <c r="K212" s="212" t="str">
        <f>IF(OR(J212="",G212=J212),"","*")</f>
        <v/>
      </c>
      <c r="L212" s="338">
        <f>IF($A212&lt;=L$1,I212/I$4,"")</f>
        <v>2.979182792657275E-4</v>
      </c>
      <c r="M212" s="343"/>
      <c r="N212" s="344"/>
      <c r="O212" s="310">
        <v>0</v>
      </c>
      <c r="P212" s="311">
        <v>0</v>
      </c>
      <c r="Q212" s="311">
        <v>0</v>
      </c>
      <c r="R212" s="211">
        <v>0</v>
      </c>
      <c r="S212" s="212"/>
      <c r="T212" s="213" t="e">
        <v>#DIV/0!</v>
      </c>
      <c r="U212" s="214"/>
      <c r="V212" s="215"/>
      <c r="W212" s="310">
        <v>0</v>
      </c>
      <c r="X212" s="311">
        <v>0</v>
      </c>
      <c r="Y212" s="311">
        <v>0</v>
      </c>
      <c r="Z212" s="211">
        <v>0</v>
      </c>
      <c r="AA212" s="212"/>
      <c r="AB212" s="213" t="e">
        <v>#DIV/0!</v>
      </c>
      <c r="AC212" s="214"/>
      <c r="AD212" s="215"/>
      <c r="AE212" s="342"/>
      <c r="AF212" s="341" t="s">
        <v>440</v>
      </c>
    </row>
    <row r="213" spans="1:32">
      <c r="A213" s="307">
        <v>2</v>
      </c>
      <c r="B213" s="342"/>
      <c r="C213" s="342" t="s">
        <v>355</v>
      </c>
      <c r="D213" s="340" t="s">
        <v>577</v>
      </c>
      <c r="E213" s="342" t="s">
        <v>323</v>
      </c>
      <c r="F213" s="345" t="s">
        <v>173</v>
      </c>
      <c r="G213" s="308">
        <v>1</v>
      </c>
      <c r="H213" s="309">
        <v>5800000</v>
      </c>
      <c r="I213" s="309">
        <v>5800000</v>
      </c>
      <c r="J213" s="211">
        <v>1</v>
      </c>
      <c r="K213" s="212" t="str">
        <f>IF(OR(J213="",G213=J213),"","*")</f>
        <v/>
      </c>
      <c r="L213" s="338">
        <f>IF($A213&lt;=L$1,I213/I$4,"")</f>
        <v>0.10799537623382623</v>
      </c>
      <c r="M213" s="343"/>
      <c r="N213" s="344" t="s">
        <v>578</v>
      </c>
      <c r="O213" s="310">
        <v>0</v>
      </c>
      <c r="P213" s="311">
        <v>0</v>
      </c>
      <c r="Q213" s="311">
        <v>0</v>
      </c>
      <c r="R213" s="211">
        <v>0</v>
      </c>
      <c r="S213" s="212"/>
      <c r="T213" s="213" t="e">
        <v>#DIV/0!</v>
      </c>
      <c r="U213" s="214"/>
      <c r="V213" s="215"/>
      <c r="W213" s="310">
        <v>0</v>
      </c>
      <c r="X213" s="311">
        <v>0</v>
      </c>
      <c r="Y213" s="311">
        <v>0</v>
      </c>
      <c r="Z213" s="211">
        <v>0</v>
      </c>
      <c r="AA213" s="212"/>
      <c r="AB213" s="213" t="e">
        <v>#DIV/0!</v>
      </c>
      <c r="AC213" s="214"/>
      <c r="AD213" s="215"/>
      <c r="AE213" s="342"/>
      <c r="AF213" s="341"/>
    </row>
    <row r="214" spans="1:32">
      <c r="A214" s="307">
        <v>3</v>
      </c>
      <c r="B214" s="342"/>
      <c r="C214" s="342" t="s">
        <v>178</v>
      </c>
      <c r="D214" s="340" t="s">
        <v>579</v>
      </c>
      <c r="E214" s="342"/>
      <c r="F214" s="345" t="s">
        <v>173</v>
      </c>
      <c r="G214" s="308">
        <v>1</v>
      </c>
      <c r="H214" s="309">
        <v>300000</v>
      </c>
      <c r="I214" s="309">
        <v>300000</v>
      </c>
      <c r="J214" s="211"/>
      <c r="K214" s="212" t="str">
        <f>IF(OR(J214="",G214=J214),"","*")</f>
        <v/>
      </c>
      <c r="L214" s="338">
        <f>IF($A214&lt;=L$1,I214/I$4,"")</f>
        <v>5.5859677362323909E-3</v>
      </c>
      <c r="M214" s="343"/>
      <c r="N214" s="344"/>
      <c r="O214" s="310">
        <v>0</v>
      </c>
      <c r="P214" s="311">
        <v>0</v>
      </c>
      <c r="Q214" s="311">
        <v>0</v>
      </c>
      <c r="R214" s="211">
        <v>0</v>
      </c>
      <c r="S214" s="212"/>
      <c r="T214" s="213" t="e">
        <v>#DIV/0!</v>
      </c>
      <c r="U214" s="214"/>
      <c r="V214" s="215"/>
      <c r="W214" s="310">
        <v>0</v>
      </c>
      <c r="X214" s="311">
        <v>0</v>
      </c>
      <c r="Y214" s="311">
        <v>0</v>
      </c>
      <c r="Z214" s="211">
        <v>0</v>
      </c>
      <c r="AA214" s="212"/>
      <c r="AB214" s="213" t="e">
        <v>#DIV/0!</v>
      </c>
      <c r="AC214" s="214"/>
      <c r="AD214" s="215"/>
      <c r="AE214" s="342"/>
      <c r="AF214" s="341"/>
    </row>
    <row r="215" spans="1:32">
      <c r="A215" s="307">
        <v>3</v>
      </c>
      <c r="B215" s="342"/>
      <c r="C215" s="342" t="s">
        <v>178</v>
      </c>
      <c r="D215" s="340" t="s">
        <v>580</v>
      </c>
      <c r="E215" s="342"/>
      <c r="F215" s="345" t="s">
        <v>254</v>
      </c>
      <c r="G215" s="308">
        <v>136</v>
      </c>
      <c r="H215" s="309">
        <v>17000</v>
      </c>
      <c r="I215" s="309">
        <v>2312000</v>
      </c>
      <c r="J215" s="211"/>
      <c r="K215" s="212" t="str">
        <f>IF(OR(J215="",G215=J215),"","*")</f>
        <v/>
      </c>
      <c r="L215" s="338">
        <f>IF($A215&lt;=L$1,I215/I$4,"")</f>
        <v>4.3049191353897627E-2</v>
      </c>
      <c r="M215" s="343"/>
      <c r="N215" s="344"/>
      <c r="O215" s="310">
        <v>0</v>
      </c>
      <c r="P215" s="311">
        <v>0</v>
      </c>
      <c r="Q215" s="311">
        <v>0</v>
      </c>
      <c r="R215" s="211">
        <v>0</v>
      </c>
      <c r="S215" s="212"/>
      <c r="T215" s="213" t="e">
        <v>#DIV/0!</v>
      </c>
      <c r="U215" s="214"/>
      <c r="V215" s="215"/>
      <c r="W215" s="310">
        <v>0</v>
      </c>
      <c r="X215" s="311">
        <v>0</v>
      </c>
      <c r="Y215" s="311">
        <v>0</v>
      </c>
      <c r="Z215" s="211">
        <v>0</v>
      </c>
      <c r="AA215" s="212"/>
      <c r="AB215" s="213" t="e">
        <v>#DIV/0!</v>
      </c>
      <c r="AC215" s="214"/>
      <c r="AD215" s="215"/>
      <c r="AE215" s="342"/>
      <c r="AF215" s="341"/>
    </row>
    <row r="216" spans="1:32">
      <c r="A216" s="307">
        <v>3</v>
      </c>
      <c r="B216" s="342"/>
      <c r="C216" s="342" t="s">
        <v>178</v>
      </c>
      <c r="D216" s="340" t="s">
        <v>581</v>
      </c>
      <c r="E216" s="342"/>
      <c r="F216" s="345" t="s">
        <v>582</v>
      </c>
      <c r="G216" s="308">
        <v>1</v>
      </c>
      <c r="H216" s="309">
        <v>122000</v>
      </c>
      <c r="I216" s="309">
        <v>122000</v>
      </c>
      <c r="J216" s="211"/>
      <c r="K216" s="212" t="str">
        <f>IF(OR(J216="",G216=J216),"","*")</f>
        <v/>
      </c>
      <c r="L216" s="338">
        <f>IF($A216&lt;=L$1,I216/I$4,"")</f>
        <v>2.2716268794011722E-3</v>
      </c>
      <c r="M216" s="343"/>
      <c r="N216" s="344"/>
      <c r="O216" s="310">
        <v>0</v>
      </c>
      <c r="P216" s="311">
        <v>0</v>
      </c>
      <c r="Q216" s="311">
        <v>0</v>
      </c>
      <c r="R216" s="211">
        <v>0</v>
      </c>
      <c r="S216" s="212"/>
      <c r="T216" s="213" t="e">
        <v>#DIV/0!</v>
      </c>
      <c r="U216" s="214"/>
      <c r="V216" s="215"/>
      <c r="W216" s="310">
        <v>0</v>
      </c>
      <c r="X216" s="311">
        <v>0</v>
      </c>
      <c r="Y216" s="311">
        <v>0</v>
      </c>
      <c r="Z216" s="211">
        <v>0</v>
      </c>
      <c r="AA216" s="212"/>
      <c r="AB216" s="213" t="e">
        <v>#DIV/0!</v>
      </c>
      <c r="AC216" s="214"/>
      <c r="AD216" s="215"/>
      <c r="AE216" s="342"/>
      <c r="AF216" s="341"/>
    </row>
    <row r="217" spans="1:32">
      <c r="A217" s="307">
        <v>3</v>
      </c>
      <c r="B217" s="342"/>
      <c r="C217" s="342" t="s">
        <v>178</v>
      </c>
      <c r="D217" s="340" t="s">
        <v>583</v>
      </c>
      <c r="E217" s="342"/>
      <c r="F217" s="345" t="s">
        <v>254</v>
      </c>
      <c r="G217" s="308">
        <v>136</v>
      </c>
      <c r="H217" s="309">
        <v>7000</v>
      </c>
      <c r="I217" s="309">
        <v>952000</v>
      </c>
      <c r="J217" s="211"/>
      <c r="K217" s="212" t="str">
        <f>IF(OR(J217="",G217=J217),"","*")</f>
        <v/>
      </c>
      <c r="L217" s="338">
        <f>IF($A217&lt;=L$1,I217/I$4,"")</f>
        <v>1.7726137616310787E-2</v>
      </c>
      <c r="M217" s="343"/>
      <c r="N217" s="344"/>
      <c r="O217" s="310">
        <v>0</v>
      </c>
      <c r="P217" s="311">
        <v>0</v>
      </c>
      <c r="Q217" s="311">
        <v>0</v>
      </c>
      <c r="R217" s="211">
        <v>0</v>
      </c>
      <c r="S217" s="212"/>
      <c r="T217" s="213" t="e">
        <v>#DIV/0!</v>
      </c>
      <c r="U217" s="214"/>
      <c r="V217" s="215"/>
      <c r="W217" s="310">
        <v>0</v>
      </c>
      <c r="X217" s="311">
        <v>0</v>
      </c>
      <c r="Y217" s="311">
        <v>0</v>
      </c>
      <c r="Z217" s="211">
        <v>0</v>
      </c>
      <c r="AA217" s="212"/>
      <c r="AB217" s="213" t="e">
        <v>#DIV/0!</v>
      </c>
      <c r="AC217" s="214"/>
      <c r="AD217" s="215"/>
      <c r="AE217" s="342"/>
      <c r="AF217" s="341"/>
    </row>
    <row r="218" spans="1:32">
      <c r="A218" s="307">
        <v>3</v>
      </c>
      <c r="B218" s="342"/>
      <c r="C218" s="342" t="s">
        <v>178</v>
      </c>
      <c r="D218" s="340" t="s">
        <v>584</v>
      </c>
      <c r="E218" s="342"/>
      <c r="F218" s="345" t="s">
        <v>582</v>
      </c>
      <c r="G218" s="308">
        <v>1</v>
      </c>
      <c r="H218" s="309">
        <v>51000</v>
      </c>
      <c r="I218" s="309">
        <v>51000</v>
      </c>
      <c r="J218" s="211"/>
      <c r="K218" s="212" t="str">
        <f>IF(OR(J218="",G218=J218),"","*")</f>
        <v/>
      </c>
      <c r="L218" s="338">
        <f>IF($A218&lt;=L$1,I218/I$4,"")</f>
        <v>9.4961451515950652E-4</v>
      </c>
      <c r="M218" s="343"/>
      <c r="N218" s="344"/>
      <c r="O218" s="310">
        <v>0</v>
      </c>
      <c r="P218" s="311">
        <v>0</v>
      </c>
      <c r="Q218" s="311">
        <v>0</v>
      </c>
      <c r="R218" s="211">
        <v>0</v>
      </c>
      <c r="S218" s="212"/>
      <c r="T218" s="213" t="e">
        <v>#DIV/0!</v>
      </c>
      <c r="U218" s="214"/>
      <c r="V218" s="215"/>
      <c r="W218" s="310">
        <v>0</v>
      </c>
      <c r="X218" s="311">
        <v>0</v>
      </c>
      <c r="Y218" s="311">
        <v>0</v>
      </c>
      <c r="Z218" s="211">
        <v>0</v>
      </c>
      <c r="AA218" s="212"/>
      <c r="AB218" s="213" t="e">
        <v>#DIV/0!</v>
      </c>
      <c r="AC218" s="214"/>
      <c r="AD218" s="215"/>
      <c r="AE218" s="342"/>
      <c r="AF218" s="341"/>
    </row>
    <row r="219" spans="1:32">
      <c r="A219" s="307">
        <v>3</v>
      </c>
      <c r="B219" s="342"/>
      <c r="C219" s="342" t="s">
        <v>178</v>
      </c>
      <c r="D219" s="340" t="s">
        <v>585</v>
      </c>
      <c r="E219" s="342"/>
      <c r="F219" s="345" t="s">
        <v>377</v>
      </c>
      <c r="G219" s="308">
        <v>53</v>
      </c>
      <c r="H219" s="309">
        <v>700</v>
      </c>
      <c r="I219" s="309">
        <v>37100</v>
      </c>
      <c r="J219" s="211"/>
      <c r="K219" s="212" t="str">
        <f>IF(OR(J219="",G219=J219),"","*")</f>
        <v/>
      </c>
      <c r="L219" s="338">
        <f>IF($A219&lt;=L$1,I219/I$4,"")</f>
        <v>6.9079801004740568E-4</v>
      </c>
      <c r="M219" s="343"/>
      <c r="N219" s="344"/>
      <c r="O219" s="310">
        <v>0</v>
      </c>
      <c r="P219" s="311">
        <v>0</v>
      </c>
      <c r="Q219" s="311">
        <v>0</v>
      </c>
      <c r="R219" s="211">
        <v>0</v>
      </c>
      <c r="S219" s="212"/>
      <c r="T219" s="213" t="e">
        <v>#DIV/0!</v>
      </c>
      <c r="U219" s="214"/>
      <c r="V219" s="215"/>
      <c r="W219" s="310">
        <v>0</v>
      </c>
      <c r="X219" s="311">
        <v>0</v>
      </c>
      <c r="Y219" s="311">
        <v>0</v>
      </c>
      <c r="Z219" s="211">
        <v>0</v>
      </c>
      <c r="AA219" s="212"/>
      <c r="AB219" s="213" t="e">
        <v>#DIV/0!</v>
      </c>
      <c r="AC219" s="214"/>
      <c r="AD219" s="215"/>
      <c r="AE219" s="342"/>
      <c r="AF219" s="341"/>
    </row>
    <row r="220" spans="1:32">
      <c r="A220" s="307">
        <v>3</v>
      </c>
      <c r="B220" s="342"/>
      <c r="C220" s="342" t="s">
        <v>178</v>
      </c>
      <c r="D220" s="340" t="s">
        <v>586</v>
      </c>
      <c r="E220" s="342"/>
      <c r="F220" s="345" t="s">
        <v>377</v>
      </c>
      <c r="G220" s="308">
        <v>53</v>
      </c>
      <c r="H220" s="309">
        <v>700</v>
      </c>
      <c r="I220" s="309">
        <v>37100</v>
      </c>
      <c r="J220" s="211"/>
      <c r="K220" s="212" t="str">
        <f>IF(OR(J220="",G220=J220),"","*")</f>
        <v/>
      </c>
      <c r="L220" s="338">
        <f>IF($A220&lt;=L$1,I220/I$4,"")</f>
        <v>6.9079801004740568E-4</v>
      </c>
      <c r="M220" s="343"/>
      <c r="N220" s="344"/>
      <c r="O220" s="310">
        <v>0</v>
      </c>
      <c r="P220" s="311">
        <v>0</v>
      </c>
      <c r="Q220" s="311">
        <v>0</v>
      </c>
      <c r="R220" s="211">
        <v>0</v>
      </c>
      <c r="S220" s="212"/>
      <c r="T220" s="213" t="e">
        <v>#DIV/0!</v>
      </c>
      <c r="U220" s="214"/>
      <c r="V220" s="215"/>
      <c r="W220" s="310">
        <v>0</v>
      </c>
      <c r="X220" s="311">
        <v>0</v>
      </c>
      <c r="Y220" s="311">
        <v>0</v>
      </c>
      <c r="Z220" s="211">
        <v>0</v>
      </c>
      <c r="AA220" s="212"/>
      <c r="AB220" s="213" t="e">
        <v>#DIV/0!</v>
      </c>
      <c r="AC220" s="214"/>
      <c r="AD220" s="215"/>
      <c r="AE220" s="342"/>
      <c r="AF220" s="341"/>
    </row>
    <row r="221" spans="1:32">
      <c r="A221" s="307">
        <v>3</v>
      </c>
      <c r="B221" s="342"/>
      <c r="C221" s="342" t="s">
        <v>178</v>
      </c>
      <c r="D221" s="340" t="s">
        <v>587</v>
      </c>
      <c r="E221" s="342"/>
      <c r="F221" s="345" t="s">
        <v>173</v>
      </c>
      <c r="G221" s="308">
        <v>1</v>
      </c>
      <c r="H221" s="309">
        <v>1170000</v>
      </c>
      <c r="I221" s="309">
        <v>1170000</v>
      </c>
      <c r="J221" s="211"/>
      <c r="K221" s="212" t="str">
        <f>IF(OR(J221="",G221=J221),"","*")</f>
        <v/>
      </c>
      <c r="L221" s="338">
        <f>IF($A221&lt;=L$1,I221/I$4,"")</f>
        <v>2.1785274171306324E-2</v>
      </c>
      <c r="M221" s="343"/>
      <c r="N221" s="344"/>
      <c r="O221" s="310">
        <v>0</v>
      </c>
      <c r="P221" s="311">
        <v>0</v>
      </c>
      <c r="Q221" s="311">
        <v>0</v>
      </c>
      <c r="R221" s="211">
        <v>0</v>
      </c>
      <c r="S221" s="212"/>
      <c r="T221" s="213" t="e">
        <v>#DIV/0!</v>
      </c>
      <c r="U221" s="214"/>
      <c r="V221" s="215"/>
      <c r="W221" s="310">
        <v>0</v>
      </c>
      <c r="X221" s="311">
        <v>0</v>
      </c>
      <c r="Y221" s="311">
        <v>0</v>
      </c>
      <c r="Z221" s="211">
        <v>0</v>
      </c>
      <c r="AA221" s="212"/>
      <c r="AB221" s="213" t="e">
        <v>#DIV/0!</v>
      </c>
      <c r="AC221" s="214"/>
      <c r="AD221" s="215"/>
      <c r="AE221" s="342"/>
      <c r="AF221" s="341"/>
    </row>
    <row r="222" spans="1:32">
      <c r="A222" s="307">
        <v>3</v>
      </c>
      <c r="B222" s="342"/>
      <c r="C222" s="342" t="s">
        <v>178</v>
      </c>
      <c r="D222" s="340" t="s">
        <v>588</v>
      </c>
      <c r="E222" s="342"/>
      <c r="F222" s="345" t="s">
        <v>373</v>
      </c>
      <c r="G222" s="308">
        <v>2</v>
      </c>
      <c r="H222" s="309">
        <v>50000</v>
      </c>
      <c r="I222" s="309">
        <v>100000</v>
      </c>
      <c r="J222" s="211"/>
      <c r="K222" s="212" t="str">
        <f>IF(OR(J222="",G222=J222),"","*")</f>
        <v/>
      </c>
      <c r="L222" s="338">
        <f>IF($A222&lt;=L$1,I222/I$4,"")</f>
        <v>1.861989245410797E-3</v>
      </c>
      <c r="M222" s="343"/>
      <c r="N222" s="344"/>
      <c r="O222" s="310">
        <v>0</v>
      </c>
      <c r="P222" s="311">
        <v>0</v>
      </c>
      <c r="Q222" s="311">
        <v>0</v>
      </c>
      <c r="R222" s="211">
        <v>0</v>
      </c>
      <c r="S222" s="212"/>
      <c r="T222" s="213" t="e">
        <v>#DIV/0!</v>
      </c>
      <c r="U222" s="214"/>
      <c r="V222" s="215"/>
      <c r="W222" s="310">
        <v>0</v>
      </c>
      <c r="X222" s="311">
        <v>0</v>
      </c>
      <c r="Y222" s="311">
        <v>0</v>
      </c>
      <c r="Z222" s="211">
        <v>0</v>
      </c>
      <c r="AA222" s="212"/>
      <c r="AB222" s="213" t="e">
        <v>#DIV/0!</v>
      </c>
      <c r="AC222" s="214"/>
      <c r="AD222" s="215"/>
      <c r="AE222" s="342"/>
      <c r="AF222" s="341"/>
    </row>
    <row r="223" spans="1:32">
      <c r="A223" s="307">
        <v>3</v>
      </c>
      <c r="B223" s="342"/>
      <c r="C223" s="342" t="s">
        <v>178</v>
      </c>
      <c r="D223" s="340" t="s">
        <v>589</v>
      </c>
      <c r="E223" s="342"/>
      <c r="F223" s="345" t="s">
        <v>373</v>
      </c>
      <c r="G223" s="308">
        <v>1</v>
      </c>
      <c r="H223" s="309">
        <v>50000</v>
      </c>
      <c r="I223" s="309">
        <v>50000</v>
      </c>
      <c r="J223" s="211"/>
      <c r="K223" s="212" t="str">
        <f>IF(OR(J223="",G223=J223),"","*")</f>
        <v/>
      </c>
      <c r="L223" s="338">
        <f>IF($A223&lt;=L$1,I223/I$4,"")</f>
        <v>9.3099462270539851E-4</v>
      </c>
      <c r="M223" s="343"/>
      <c r="N223" s="344"/>
      <c r="O223" s="310">
        <v>0</v>
      </c>
      <c r="P223" s="311">
        <v>0</v>
      </c>
      <c r="Q223" s="311">
        <v>0</v>
      </c>
      <c r="R223" s="211">
        <v>0</v>
      </c>
      <c r="S223" s="212"/>
      <c r="T223" s="213" t="e">
        <v>#DIV/0!</v>
      </c>
      <c r="U223" s="214"/>
      <c r="V223" s="215"/>
      <c r="W223" s="310">
        <v>0</v>
      </c>
      <c r="X223" s="311">
        <v>0</v>
      </c>
      <c r="Y223" s="311">
        <v>0</v>
      </c>
      <c r="Z223" s="211">
        <v>0</v>
      </c>
      <c r="AA223" s="212"/>
      <c r="AB223" s="213" t="e">
        <v>#DIV/0!</v>
      </c>
      <c r="AC223" s="214"/>
      <c r="AD223" s="215"/>
      <c r="AE223" s="342"/>
      <c r="AF223" s="341"/>
    </row>
    <row r="224" spans="1:32">
      <c r="A224" s="307">
        <v>3</v>
      </c>
      <c r="B224" s="342"/>
      <c r="C224" s="342" t="s">
        <v>178</v>
      </c>
      <c r="D224" s="340" t="s">
        <v>590</v>
      </c>
      <c r="E224" s="342"/>
      <c r="F224" s="345" t="s">
        <v>173</v>
      </c>
      <c r="G224" s="308">
        <v>1</v>
      </c>
      <c r="H224" s="309">
        <v>338000</v>
      </c>
      <c r="I224" s="309">
        <v>338000</v>
      </c>
      <c r="J224" s="211"/>
      <c r="K224" s="212" t="str">
        <f>IF(OR(J224="",G224=J224),"","*")</f>
        <v/>
      </c>
      <c r="L224" s="338">
        <f>IF($A224&lt;=L$1,I224/I$4,"")</f>
        <v>6.2935236494884939E-3</v>
      </c>
      <c r="M224" s="343"/>
      <c r="N224" s="344"/>
      <c r="O224" s="310">
        <v>0</v>
      </c>
      <c r="P224" s="311">
        <v>0</v>
      </c>
      <c r="Q224" s="311">
        <v>0</v>
      </c>
      <c r="R224" s="211">
        <v>0</v>
      </c>
      <c r="S224" s="212"/>
      <c r="T224" s="213" t="e">
        <v>#DIV/0!</v>
      </c>
      <c r="U224" s="214"/>
      <c r="V224" s="215"/>
      <c r="W224" s="310">
        <v>0</v>
      </c>
      <c r="X224" s="311">
        <v>0</v>
      </c>
      <c r="Y224" s="311">
        <v>0</v>
      </c>
      <c r="Z224" s="211">
        <v>0</v>
      </c>
      <c r="AA224" s="212"/>
      <c r="AB224" s="213" t="e">
        <v>#DIV/0!</v>
      </c>
      <c r="AC224" s="214"/>
      <c r="AD224" s="215"/>
      <c r="AE224" s="342"/>
      <c r="AF224" s="341"/>
    </row>
    <row r="225" spans="1:32">
      <c r="A225" s="307">
        <v>3</v>
      </c>
      <c r="B225" s="342"/>
      <c r="C225" s="342" t="s">
        <v>178</v>
      </c>
      <c r="D225" s="340" t="s">
        <v>591</v>
      </c>
      <c r="E225" s="342"/>
      <c r="F225" s="345" t="s">
        <v>173</v>
      </c>
      <c r="G225" s="308">
        <v>1</v>
      </c>
      <c r="H225" s="309">
        <v>207000</v>
      </c>
      <c r="I225" s="309">
        <v>207000</v>
      </c>
      <c r="J225" s="211"/>
      <c r="K225" s="212" t="str">
        <f>IF(OR(J225="",G225=J225),"","*")</f>
        <v/>
      </c>
      <c r="L225" s="338">
        <f>IF($A225&lt;=L$1,I225/I$4,"")</f>
        <v>3.85431773800035E-3</v>
      </c>
      <c r="M225" s="343"/>
      <c r="N225" s="344"/>
      <c r="O225" s="310">
        <v>0</v>
      </c>
      <c r="P225" s="311">
        <v>0</v>
      </c>
      <c r="Q225" s="311">
        <v>0</v>
      </c>
      <c r="R225" s="211">
        <v>0</v>
      </c>
      <c r="S225" s="212"/>
      <c r="T225" s="213" t="e">
        <v>#DIV/0!</v>
      </c>
      <c r="U225" s="214"/>
      <c r="V225" s="215"/>
      <c r="W225" s="310">
        <v>0</v>
      </c>
      <c r="X225" s="311">
        <v>0</v>
      </c>
      <c r="Y225" s="311">
        <v>0</v>
      </c>
      <c r="Z225" s="211">
        <v>0</v>
      </c>
      <c r="AA225" s="212"/>
      <c r="AB225" s="213" t="e">
        <v>#DIV/0!</v>
      </c>
      <c r="AC225" s="214"/>
      <c r="AD225" s="215"/>
      <c r="AE225" s="342"/>
      <c r="AF225" s="341"/>
    </row>
    <row r="226" spans="1:32">
      <c r="A226" s="307">
        <v>3</v>
      </c>
      <c r="B226" s="342"/>
      <c r="C226" s="342"/>
      <c r="D226" s="340" t="s">
        <v>592</v>
      </c>
      <c r="E226" s="342"/>
      <c r="F226" s="345" t="s">
        <v>173</v>
      </c>
      <c r="G226" s="308">
        <v>1</v>
      </c>
      <c r="H226" s="309">
        <v>123800</v>
      </c>
      <c r="I226" s="309">
        <v>123800</v>
      </c>
      <c r="J226" s="211"/>
      <c r="K226" s="212" t="str">
        <f>IF(OR(J226="",G226=J226),"","*")</f>
        <v/>
      </c>
      <c r="L226" s="338">
        <f>IF($A226&lt;=L$1,I226/I$4,"")</f>
        <v>2.3051426858185665E-3</v>
      </c>
      <c r="M226" s="343"/>
      <c r="N226" s="344"/>
      <c r="O226" s="310">
        <v>0</v>
      </c>
      <c r="P226" s="311">
        <v>0</v>
      </c>
      <c r="Q226" s="311">
        <v>0</v>
      </c>
      <c r="R226" s="211">
        <v>0</v>
      </c>
      <c r="S226" s="212"/>
      <c r="T226" s="213" t="e">
        <v>#DIV/0!</v>
      </c>
      <c r="U226" s="214"/>
      <c r="V226" s="215"/>
      <c r="W226" s="310">
        <v>0</v>
      </c>
      <c r="X226" s="311">
        <v>0</v>
      </c>
      <c r="Y226" s="311">
        <v>0</v>
      </c>
      <c r="Z226" s="211">
        <v>0</v>
      </c>
      <c r="AA226" s="212"/>
      <c r="AB226" s="213" t="e">
        <v>#DIV/0!</v>
      </c>
      <c r="AC226" s="214"/>
      <c r="AD226" s="215"/>
      <c r="AE226" s="342"/>
      <c r="AF226" s="341"/>
    </row>
    <row r="227" spans="1:32">
      <c r="A227" s="307">
        <v>2</v>
      </c>
      <c r="B227" s="342"/>
      <c r="C227" s="342" t="s">
        <v>355</v>
      </c>
      <c r="D227" s="340" t="s">
        <v>593</v>
      </c>
      <c r="E227" s="342" t="s">
        <v>325</v>
      </c>
      <c r="F227" s="345" t="s">
        <v>173</v>
      </c>
      <c r="G227" s="308">
        <v>1</v>
      </c>
      <c r="H227" s="309">
        <v>4700000</v>
      </c>
      <c r="I227" s="309">
        <v>4700000</v>
      </c>
      <c r="J227" s="211">
        <v>1</v>
      </c>
      <c r="K227" s="212" t="str">
        <f>IF(OR(J227="",G227=J227),"","*")</f>
        <v/>
      </c>
      <c r="L227" s="338">
        <f>IF($A227&lt;=L$1,I227/I$4,"")</f>
        <v>8.7513494534307457E-2</v>
      </c>
      <c r="M227" s="343"/>
      <c r="N227" s="344" t="s">
        <v>594</v>
      </c>
      <c r="O227" s="310">
        <v>0</v>
      </c>
      <c r="P227" s="311">
        <v>0</v>
      </c>
      <c r="Q227" s="311">
        <v>0</v>
      </c>
      <c r="R227" s="211">
        <v>0</v>
      </c>
      <c r="S227" s="212"/>
      <c r="T227" s="213" t="e">
        <v>#DIV/0!</v>
      </c>
      <c r="U227" s="214"/>
      <c r="V227" s="215"/>
      <c r="W227" s="310">
        <v>0</v>
      </c>
      <c r="X227" s="311">
        <v>0</v>
      </c>
      <c r="Y227" s="311">
        <v>0</v>
      </c>
      <c r="Z227" s="211">
        <v>0</v>
      </c>
      <c r="AA227" s="212"/>
      <c r="AB227" s="213" t="e">
        <v>#DIV/0!</v>
      </c>
      <c r="AC227" s="214"/>
      <c r="AD227" s="215"/>
      <c r="AE227" s="342"/>
      <c r="AF227" s="341"/>
    </row>
    <row r="228" spans="1:32">
      <c r="A228" s="307">
        <v>3</v>
      </c>
      <c r="B228" s="342"/>
      <c r="C228" s="342" t="s">
        <v>178</v>
      </c>
      <c r="D228" s="340" t="s">
        <v>595</v>
      </c>
      <c r="E228" s="342"/>
      <c r="F228" s="345" t="s">
        <v>173</v>
      </c>
      <c r="G228" s="308">
        <v>1</v>
      </c>
      <c r="H228" s="309">
        <v>4700000</v>
      </c>
      <c r="I228" s="309">
        <v>4700000</v>
      </c>
      <c r="J228" s="211"/>
      <c r="K228" s="212" t="str">
        <f>IF(OR(J228="",G228=J228),"","*")</f>
        <v/>
      </c>
      <c r="L228" s="338">
        <f>IF($A228&lt;=L$1,I228/I$4,"")</f>
        <v>8.7513494534307457E-2</v>
      </c>
      <c r="M228" s="343"/>
      <c r="N228" s="344"/>
      <c r="O228" s="310">
        <v>0</v>
      </c>
      <c r="P228" s="311">
        <v>0</v>
      </c>
      <c r="Q228" s="311">
        <v>0</v>
      </c>
      <c r="R228" s="211">
        <v>0</v>
      </c>
      <c r="S228" s="212"/>
      <c r="T228" s="213" t="e">
        <v>#DIV/0!</v>
      </c>
      <c r="U228" s="214"/>
      <c r="V228" s="215"/>
      <c r="W228" s="310">
        <v>0</v>
      </c>
      <c r="X228" s="311">
        <v>0</v>
      </c>
      <c r="Y228" s="311">
        <v>0</v>
      </c>
      <c r="Z228" s="211">
        <v>0</v>
      </c>
      <c r="AA228" s="212"/>
      <c r="AB228" s="213" t="e">
        <v>#DIV/0!</v>
      </c>
      <c r="AC228" s="214"/>
      <c r="AD228" s="215"/>
      <c r="AE228" s="342"/>
      <c r="AF228" s="341"/>
    </row>
    <row r="229" spans="1:32">
      <c r="A229" s="307">
        <v>2</v>
      </c>
      <c r="B229" s="342"/>
      <c r="C229" s="342" t="s">
        <v>355</v>
      </c>
      <c r="D229" s="340" t="s">
        <v>596</v>
      </c>
      <c r="E229" s="342"/>
      <c r="F229" s="345" t="s">
        <v>254</v>
      </c>
      <c r="G229" s="308">
        <v>20</v>
      </c>
      <c r="H229" s="309">
        <v>15307</v>
      </c>
      <c r="I229" s="309">
        <v>306140</v>
      </c>
      <c r="J229" s="211">
        <v>20</v>
      </c>
      <c r="K229" s="212" t="str">
        <f>IF(OR(J229="",G229=J229),"","*")</f>
        <v/>
      </c>
      <c r="L229" s="338">
        <f>IF($A229&lt;=L$1,I229/I$4,"")</f>
        <v>5.7002938759006137E-3</v>
      </c>
      <c r="M229" s="343"/>
      <c r="N229" s="344" t="s">
        <v>597</v>
      </c>
      <c r="O229" s="310">
        <v>0</v>
      </c>
      <c r="P229" s="311">
        <v>0</v>
      </c>
      <c r="Q229" s="311">
        <v>0</v>
      </c>
      <c r="R229" s="211">
        <v>0</v>
      </c>
      <c r="S229" s="212"/>
      <c r="T229" s="213" t="e">
        <v>#DIV/0!</v>
      </c>
      <c r="U229" s="214"/>
      <c r="V229" s="215"/>
      <c r="W229" s="310">
        <v>0</v>
      </c>
      <c r="X229" s="311">
        <v>0</v>
      </c>
      <c r="Y229" s="311">
        <v>0</v>
      </c>
      <c r="Z229" s="211">
        <v>0</v>
      </c>
      <c r="AA229" s="212"/>
      <c r="AB229" s="213" t="e">
        <v>#DIV/0!</v>
      </c>
      <c r="AC229" s="214"/>
      <c r="AD229" s="215"/>
      <c r="AE229" s="342"/>
      <c r="AF229" s="341"/>
    </row>
    <row r="230" spans="1:32">
      <c r="A230" s="307">
        <v>3</v>
      </c>
      <c r="B230" s="342"/>
      <c r="C230" s="342" t="s">
        <v>176</v>
      </c>
      <c r="D230" s="340" t="s">
        <v>598</v>
      </c>
      <c r="E230" s="342"/>
      <c r="F230" s="345" t="s">
        <v>254</v>
      </c>
      <c r="G230" s="308">
        <v>10</v>
      </c>
      <c r="H230" s="309">
        <v>15000</v>
      </c>
      <c r="I230" s="309">
        <v>150000</v>
      </c>
      <c r="J230" s="211"/>
      <c r="K230" s="212" t="str">
        <f>IF(OR(J230="",G230=J230),"","*")</f>
        <v/>
      </c>
      <c r="L230" s="338">
        <f>IF($A230&lt;=L$1,I230/I$4,"")</f>
        <v>2.7929838681161954E-3</v>
      </c>
      <c r="M230" s="343"/>
      <c r="N230" s="344"/>
      <c r="O230" s="310">
        <v>0</v>
      </c>
      <c r="P230" s="311">
        <v>0</v>
      </c>
      <c r="Q230" s="311">
        <v>0</v>
      </c>
      <c r="R230" s="211">
        <v>0</v>
      </c>
      <c r="S230" s="212"/>
      <c r="T230" s="213" t="e">
        <v>#DIV/0!</v>
      </c>
      <c r="U230" s="214"/>
      <c r="V230" s="215"/>
      <c r="W230" s="310">
        <v>0</v>
      </c>
      <c r="X230" s="311">
        <v>0</v>
      </c>
      <c r="Y230" s="311">
        <v>0</v>
      </c>
      <c r="Z230" s="211">
        <v>0</v>
      </c>
      <c r="AA230" s="212"/>
      <c r="AB230" s="213" t="e">
        <v>#DIV/0!</v>
      </c>
      <c r="AC230" s="214"/>
      <c r="AD230" s="215"/>
      <c r="AE230" s="342" t="s">
        <v>599</v>
      </c>
      <c r="AF230" s="341"/>
    </row>
    <row r="231" spans="1:32">
      <c r="A231" s="307">
        <v>3</v>
      </c>
      <c r="B231" s="342"/>
      <c r="C231" s="342" t="s">
        <v>176</v>
      </c>
      <c r="D231" s="340" t="s">
        <v>600</v>
      </c>
      <c r="E231" s="342"/>
      <c r="F231" s="345" t="s">
        <v>254</v>
      </c>
      <c r="G231" s="308">
        <v>20</v>
      </c>
      <c r="H231" s="309">
        <v>2000</v>
      </c>
      <c r="I231" s="309">
        <v>40000</v>
      </c>
      <c r="J231" s="211"/>
      <c r="K231" s="212" t="str">
        <f>IF(OR(J231="",G231=J231),"","*")</f>
        <v/>
      </c>
      <c r="L231" s="338">
        <f>IF($A231&lt;=L$1,I231/I$4,"")</f>
        <v>7.4479569816431881E-4</v>
      </c>
      <c r="M231" s="343"/>
      <c r="N231" s="344"/>
      <c r="O231" s="310">
        <v>0</v>
      </c>
      <c r="P231" s="311">
        <v>0</v>
      </c>
      <c r="Q231" s="311">
        <v>0</v>
      </c>
      <c r="R231" s="211">
        <v>0</v>
      </c>
      <c r="S231" s="212"/>
      <c r="T231" s="213" t="e">
        <v>#DIV/0!</v>
      </c>
      <c r="U231" s="214"/>
      <c r="V231" s="215"/>
      <c r="W231" s="310">
        <v>0</v>
      </c>
      <c r="X231" s="311">
        <v>0</v>
      </c>
      <c r="Y231" s="311">
        <v>0</v>
      </c>
      <c r="Z231" s="211">
        <v>0</v>
      </c>
      <c r="AA231" s="212"/>
      <c r="AB231" s="213" t="e">
        <v>#DIV/0!</v>
      </c>
      <c r="AC231" s="214"/>
      <c r="AD231" s="215"/>
      <c r="AE231" s="342" t="s">
        <v>599</v>
      </c>
      <c r="AF231" s="341"/>
    </row>
    <row r="232" spans="1:32">
      <c r="A232" s="307">
        <v>3</v>
      </c>
      <c r="B232" s="342"/>
      <c r="C232" s="342" t="s">
        <v>177</v>
      </c>
      <c r="D232" s="340" t="s">
        <v>367</v>
      </c>
      <c r="E232" s="342" t="s">
        <v>368</v>
      </c>
      <c r="F232" s="345" t="s">
        <v>369</v>
      </c>
      <c r="G232" s="308">
        <v>4</v>
      </c>
      <c r="H232" s="309">
        <v>23000</v>
      </c>
      <c r="I232" s="309">
        <v>92000</v>
      </c>
      <c r="J232" s="211"/>
      <c r="K232" s="212" t="str">
        <f>IF(OR(J232="",G232=J232),"","*")</f>
        <v/>
      </c>
      <c r="L232" s="338">
        <f>IF($A232&lt;=L$1,I232/I$4,"")</f>
        <v>1.7130301057779332E-3</v>
      </c>
      <c r="M232" s="343"/>
      <c r="N232" s="344"/>
      <c r="O232" s="310">
        <v>0</v>
      </c>
      <c r="P232" s="311">
        <v>0</v>
      </c>
      <c r="Q232" s="311">
        <v>0</v>
      </c>
      <c r="R232" s="211">
        <v>0</v>
      </c>
      <c r="S232" s="212"/>
      <c r="T232" s="213" t="e">
        <v>#DIV/0!</v>
      </c>
      <c r="U232" s="214"/>
      <c r="V232" s="215"/>
      <c r="W232" s="310">
        <v>0</v>
      </c>
      <c r="X232" s="311">
        <v>0</v>
      </c>
      <c r="Y232" s="311">
        <v>0</v>
      </c>
      <c r="Z232" s="211">
        <v>0</v>
      </c>
      <c r="AA232" s="212"/>
      <c r="AB232" s="213" t="e">
        <v>#DIV/0!</v>
      </c>
      <c r="AC232" s="214"/>
      <c r="AD232" s="215"/>
      <c r="AE232" s="342"/>
      <c r="AF232" s="341" t="s">
        <v>382</v>
      </c>
    </row>
    <row r="233" spans="1:32">
      <c r="A233" s="307">
        <v>3</v>
      </c>
      <c r="B233" s="342"/>
      <c r="C233" s="342" t="s">
        <v>179</v>
      </c>
      <c r="D233" s="340" t="s">
        <v>418</v>
      </c>
      <c r="E233" s="342" t="s">
        <v>419</v>
      </c>
      <c r="F233" s="345" t="s">
        <v>373</v>
      </c>
      <c r="G233" s="308">
        <v>2</v>
      </c>
      <c r="H233" s="309">
        <v>1050</v>
      </c>
      <c r="I233" s="309">
        <v>2100</v>
      </c>
      <c r="J233" s="211"/>
      <c r="K233" s="212" t="str">
        <f>IF(OR(J233="",G233=J233),"","*")</f>
        <v/>
      </c>
      <c r="L233" s="338">
        <f>IF($A233&lt;=L$1,I233/I$4,"")</f>
        <v>3.9101774153626739E-5</v>
      </c>
      <c r="M233" s="343"/>
      <c r="N233" s="344"/>
      <c r="O233" s="310">
        <v>0</v>
      </c>
      <c r="P233" s="311">
        <v>0</v>
      </c>
      <c r="Q233" s="311">
        <v>0</v>
      </c>
      <c r="R233" s="211">
        <v>0</v>
      </c>
      <c r="S233" s="212"/>
      <c r="T233" s="213" t="e">
        <v>#DIV/0!</v>
      </c>
      <c r="U233" s="214"/>
      <c r="V233" s="215"/>
      <c r="W233" s="310">
        <v>0</v>
      </c>
      <c r="X233" s="311">
        <v>0</v>
      </c>
      <c r="Y233" s="311">
        <v>0</v>
      </c>
      <c r="Z233" s="211">
        <v>0</v>
      </c>
      <c r="AA233" s="212"/>
      <c r="AB233" s="213" t="e">
        <v>#DIV/0!</v>
      </c>
      <c r="AC233" s="214"/>
      <c r="AD233" s="215"/>
      <c r="AE233" s="342" t="s">
        <v>420</v>
      </c>
      <c r="AF233" s="341" t="s">
        <v>374</v>
      </c>
    </row>
    <row r="234" spans="1:32">
      <c r="A234" s="307">
        <v>3</v>
      </c>
      <c r="B234" s="342"/>
      <c r="C234" s="342" t="s">
        <v>179</v>
      </c>
      <c r="D234" s="340" t="s">
        <v>601</v>
      </c>
      <c r="E234" s="342"/>
      <c r="F234" s="345" t="s">
        <v>373</v>
      </c>
      <c r="G234" s="308">
        <v>1</v>
      </c>
      <c r="H234" s="309">
        <v>4050</v>
      </c>
      <c r="I234" s="309">
        <v>4050</v>
      </c>
      <c r="J234" s="211"/>
      <c r="K234" s="212" t="str">
        <f>IF(OR(J234="",G234=J234),"","*")</f>
        <v/>
      </c>
      <c r="L234" s="338">
        <f>IF($A234&lt;=L$1,I234/I$4,"")</f>
        <v>7.5410564439137273E-5</v>
      </c>
      <c r="M234" s="343"/>
      <c r="N234" s="344"/>
      <c r="O234" s="310">
        <v>0</v>
      </c>
      <c r="P234" s="311">
        <v>0</v>
      </c>
      <c r="Q234" s="311">
        <v>0</v>
      </c>
      <c r="R234" s="211">
        <v>0</v>
      </c>
      <c r="S234" s="212"/>
      <c r="T234" s="213" t="e">
        <v>#DIV/0!</v>
      </c>
      <c r="U234" s="214"/>
      <c r="V234" s="215"/>
      <c r="W234" s="310">
        <v>0</v>
      </c>
      <c r="X234" s="311">
        <v>0</v>
      </c>
      <c r="Y234" s="311">
        <v>0</v>
      </c>
      <c r="Z234" s="211">
        <v>0</v>
      </c>
      <c r="AA234" s="212"/>
      <c r="AB234" s="213" t="e">
        <v>#DIV/0!</v>
      </c>
      <c r="AC234" s="214"/>
      <c r="AD234" s="215"/>
      <c r="AE234" s="342" t="s">
        <v>602</v>
      </c>
      <c r="AF234" s="341" t="s">
        <v>374</v>
      </c>
    </row>
    <row r="235" spans="1:32">
      <c r="A235" s="307">
        <v>3</v>
      </c>
      <c r="B235" s="342"/>
      <c r="C235" s="342" t="s">
        <v>176</v>
      </c>
      <c r="D235" s="340" t="s">
        <v>576</v>
      </c>
      <c r="E235" s="342"/>
      <c r="F235" s="345" t="s">
        <v>173</v>
      </c>
      <c r="G235" s="308">
        <v>2</v>
      </c>
      <c r="H235" s="309">
        <v>5000</v>
      </c>
      <c r="I235" s="309">
        <v>10000</v>
      </c>
      <c r="J235" s="211"/>
      <c r="K235" s="212" t="str">
        <f>IF(OR(J235="",G235=J235),"","*")</f>
        <v/>
      </c>
      <c r="L235" s="338">
        <f>IF($A235&lt;=L$1,I235/I$4,"")</f>
        <v>1.861989245410797E-4</v>
      </c>
      <c r="M235" s="343"/>
      <c r="N235" s="344"/>
      <c r="O235" s="310">
        <v>0</v>
      </c>
      <c r="P235" s="311">
        <v>0</v>
      </c>
      <c r="Q235" s="311">
        <v>0</v>
      </c>
      <c r="R235" s="211">
        <v>0</v>
      </c>
      <c r="S235" s="212"/>
      <c r="T235" s="213" t="e">
        <v>#DIV/0!</v>
      </c>
      <c r="U235" s="214"/>
      <c r="V235" s="215"/>
      <c r="W235" s="310">
        <v>0</v>
      </c>
      <c r="X235" s="311">
        <v>0</v>
      </c>
      <c r="Y235" s="311">
        <v>0</v>
      </c>
      <c r="Z235" s="211">
        <v>0</v>
      </c>
      <c r="AA235" s="212"/>
      <c r="AB235" s="213" t="e">
        <v>#DIV/0!</v>
      </c>
      <c r="AC235" s="214"/>
      <c r="AD235" s="215"/>
      <c r="AE235" s="342"/>
      <c r="AF235" s="341"/>
    </row>
    <row r="236" spans="1:32">
      <c r="A236" s="307">
        <v>3</v>
      </c>
      <c r="B236" s="342"/>
      <c r="C236" s="342" t="s">
        <v>180</v>
      </c>
      <c r="D236" s="340" t="s">
        <v>383</v>
      </c>
      <c r="E236" s="342" t="s">
        <v>384</v>
      </c>
      <c r="F236" s="345" t="s">
        <v>373</v>
      </c>
      <c r="G236" s="308">
        <v>2</v>
      </c>
      <c r="H236" s="309">
        <v>4000</v>
      </c>
      <c r="I236" s="309">
        <v>8000</v>
      </c>
      <c r="J236" s="211"/>
      <c r="K236" s="212" t="str">
        <f>IF(OR(J236="",G236=J236),"","*")</f>
        <v/>
      </c>
      <c r="L236" s="338">
        <f>IF($A236&lt;=L$1,I236/I$4,"")</f>
        <v>1.4895913963286375E-4</v>
      </c>
      <c r="M236" s="343"/>
      <c r="N236" s="344"/>
      <c r="O236" s="310">
        <v>0</v>
      </c>
      <c r="P236" s="311">
        <v>0</v>
      </c>
      <c r="Q236" s="311">
        <v>0</v>
      </c>
      <c r="R236" s="211">
        <v>0</v>
      </c>
      <c r="S236" s="212"/>
      <c r="T236" s="213" t="e">
        <v>#DIV/0!</v>
      </c>
      <c r="U236" s="214"/>
      <c r="V236" s="215"/>
      <c r="W236" s="310">
        <v>0</v>
      </c>
      <c r="X236" s="311">
        <v>0</v>
      </c>
      <c r="Y236" s="311">
        <v>0</v>
      </c>
      <c r="Z236" s="211">
        <v>0</v>
      </c>
      <c r="AA236" s="212"/>
      <c r="AB236" s="213" t="e">
        <v>#DIV/0!</v>
      </c>
      <c r="AC236" s="214"/>
      <c r="AD236" s="215"/>
      <c r="AE236" s="342"/>
      <c r="AF236" s="341" t="s">
        <v>374</v>
      </c>
    </row>
    <row r="237" spans="1:32">
      <c r="A237" s="307">
        <v>2</v>
      </c>
      <c r="B237" s="342"/>
      <c r="C237" s="342" t="s">
        <v>355</v>
      </c>
      <c r="D237" s="340" t="s">
        <v>603</v>
      </c>
      <c r="E237" s="342"/>
      <c r="F237" s="345" t="s">
        <v>173</v>
      </c>
      <c r="G237" s="308">
        <v>1</v>
      </c>
      <c r="H237" s="309">
        <v>140000</v>
      </c>
      <c r="I237" s="309">
        <v>140000</v>
      </c>
      <c r="J237" s="211">
        <v>1</v>
      </c>
      <c r="K237" s="212" t="str">
        <f>IF(OR(J237="",G237=J237),"","*")</f>
        <v/>
      </c>
      <c r="L237" s="338">
        <f>IF($A237&lt;=L$1,I237/I$4,"")</f>
        <v>2.6067849435751156E-3</v>
      </c>
      <c r="M237" s="343"/>
      <c r="N237" s="344" t="s">
        <v>604</v>
      </c>
      <c r="O237" s="310">
        <v>0</v>
      </c>
      <c r="P237" s="311">
        <v>0</v>
      </c>
      <c r="Q237" s="311">
        <v>0</v>
      </c>
      <c r="R237" s="211">
        <v>0</v>
      </c>
      <c r="S237" s="212"/>
      <c r="T237" s="213" t="e">
        <v>#DIV/0!</v>
      </c>
      <c r="U237" s="214"/>
      <c r="V237" s="215"/>
      <c r="W237" s="310">
        <v>0</v>
      </c>
      <c r="X237" s="311">
        <v>0</v>
      </c>
      <c r="Y237" s="311">
        <v>0</v>
      </c>
      <c r="Z237" s="211">
        <v>0</v>
      </c>
      <c r="AA237" s="212"/>
      <c r="AB237" s="213" t="e">
        <v>#DIV/0!</v>
      </c>
      <c r="AC237" s="214"/>
      <c r="AD237" s="215"/>
      <c r="AE237" s="342"/>
      <c r="AF237" s="341"/>
    </row>
    <row r="238" spans="1:32">
      <c r="A238" s="307">
        <v>3</v>
      </c>
      <c r="B238" s="342"/>
      <c r="C238" s="342" t="s">
        <v>178</v>
      </c>
      <c r="D238" s="340" t="s">
        <v>605</v>
      </c>
      <c r="E238" s="342" t="s">
        <v>606</v>
      </c>
      <c r="F238" s="345" t="s">
        <v>582</v>
      </c>
      <c r="G238" s="308">
        <v>2</v>
      </c>
      <c r="H238" s="309">
        <v>70000</v>
      </c>
      <c r="I238" s="309">
        <v>140000</v>
      </c>
      <c r="J238" s="211"/>
      <c r="K238" s="212" t="str">
        <f>IF(OR(J238="",G238=J238),"","*")</f>
        <v/>
      </c>
      <c r="L238" s="338">
        <f>IF($A238&lt;=L$1,I238/I$4,"")</f>
        <v>2.6067849435751156E-3</v>
      </c>
      <c r="M238" s="343"/>
      <c r="N238" s="344"/>
      <c r="O238" s="310">
        <v>0</v>
      </c>
      <c r="P238" s="311">
        <v>0</v>
      </c>
      <c r="Q238" s="311">
        <v>0</v>
      </c>
      <c r="R238" s="211">
        <v>0</v>
      </c>
      <c r="S238" s="212"/>
      <c r="T238" s="213" t="e">
        <v>#DIV/0!</v>
      </c>
      <c r="U238" s="214"/>
      <c r="V238" s="215"/>
      <c r="W238" s="310">
        <v>0</v>
      </c>
      <c r="X238" s="311">
        <v>0</v>
      </c>
      <c r="Y238" s="311">
        <v>0</v>
      </c>
      <c r="Z238" s="211">
        <v>0</v>
      </c>
      <c r="AA238" s="212"/>
      <c r="AB238" s="213" t="e">
        <v>#DIV/0!</v>
      </c>
      <c r="AC238" s="214"/>
      <c r="AD238" s="215"/>
      <c r="AE238" s="342" t="s">
        <v>607</v>
      </c>
      <c r="AF238" s="341"/>
    </row>
    <row r="239" spans="1:32">
      <c r="A239" s="307">
        <v>2</v>
      </c>
      <c r="B239" s="342"/>
      <c r="C239" s="342" t="s">
        <v>355</v>
      </c>
      <c r="D239" s="340" t="s">
        <v>608</v>
      </c>
      <c r="E239" s="342"/>
      <c r="F239" s="345" t="s">
        <v>173</v>
      </c>
      <c r="G239" s="308">
        <v>1</v>
      </c>
      <c r="H239" s="309">
        <v>4735000</v>
      </c>
      <c r="I239" s="309">
        <v>4735000</v>
      </c>
      <c r="J239" s="211">
        <v>1</v>
      </c>
      <c r="K239" s="212" t="str">
        <f>IF(OR(J239="",G239=J239),"","*")</f>
        <v/>
      </c>
      <c r="L239" s="338">
        <f>IF($A239&lt;=L$1,I239/I$4,"")</f>
        <v>8.8165190770201241E-2</v>
      </c>
      <c r="M239" s="343"/>
      <c r="N239" s="344" t="s">
        <v>609</v>
      </c>
      <c r="O239" s="310">
        <v>0</v>
      </c>
      <c r="P239" s="311">
        <v>0</v>
      </c>
      <c r="Q239" s="311">
        <v>0</v>
      </c>
      <c r="R239" s="211">
        <v>0</v>
      </c>
      <c r="S239" s="212"/>
      <c r="T239" s="213" t="e">
        <v>#DIV/0!</v>
      </c>
      <c r="U239" s="214"/>
      <c r="V239" s="215"/>
      <c r="W239" s="310">
        <v>0</v>
      </c>
      <c r="X239" s="311">
        <v>0</v>
      </c>
      <c r="Y239" s="311">
        <v>0</v>
      </c>
      <c r="Z239" s="211">
        <v>0</v>
      </c>
      <c r="AA239" s="212"/>
      <c r="AB239" s="213" t="e">
        <v>#DIV/0!</v>
      </c>
      <c r="AC239" s="214"/>
      <c r="AD239" s="215"/>
      <c r="AE239" s="342"/>
      <c r="AF239" s="341"/>
    </row>
    <row r="240" spans="1:32">
      <c r="A240" s="307">
        <v>3</v>
      </c>
      <c r="B240" s="342"/>
      <c r="C240" s="342" t="s">
        <v>178</v>
      </c>
      <c r="D240" s="340" t="s">
        <v>610</v>
      </c>
      <c r="E240" s="342" t="s">
        <v>611</v>
      </c>
      <c r="F240" s="345" t="s">
        <v>173</v>
      </c>
      <c r="G240" s="308">
        <v>1</v>
      </c>
      <c r="H240" s="309">
        <v>1430000</v>
      </c>
      <c r="I240" s="309">
        <v>1430000</v>
      </c>
      <c r="J240" s="211"/>
      <c r="K240" s="212" t="str">
        <f>IF(OR(J240="",G240=J240),"","*")</f>
        <v/>
      </c>
      <c r="L240" s="338">
        <f>IF($A240&lt;=L$1,I240/I$4,"")</f>
        <v>2.6626446209374398E-2</v>
      </c>
      <c r="M240" s="343"/>
      <c r="N240" s="344"/>
      <c r="O240" s="310">
        <v>0</v>
      </c>
      <c r="P240" s="311">
        <v>0</v>
      </c>
      <c r="Q240" s="311">
        <v>0</v>
      </c>
      <c r="R240" s="211">
        <v>0</v>
      </c>
      <c r="S240" s="212"/>
      <c r="T240" s="213" t="e">
        <v>#DIV/0!</v>
      </c>
      <c r="U240" s="214"/>
      <c r="V240" s="215"/>
      <c r="W240" s="310">
        <v>0</v>
      </c>
      <c r="X240" s="311">
        <v>0</v>
      </c>
      <c r="Y240" s="311">
        <v>0</v>
      </c>
      <c r="Z240" s="211">
        <v>0</v>
      </c>
      <c r="AA240" s="212"/>
      <c r="AB240" s="213" t="e">
        <v>#DIV/0!</v>
      </c>
      <c r="AC240" s="214"/>
      <c r="AD240" s="215"/>
      <c r="AE240" s="342" t="s">
        <v>427</v>
      </c>
      <c r="AF240" s="341"/>
    </row>
    <row r="241" spans="1:32">
      <c r="A241" s="307">
        <v>3</v>
      </c>
      <c r="B241" s="342"/>
      <c r="C241" s="342" t="s">
        <v>178</v>
      </c>
      <c r="D241" s="340" t="s">
        <v>591</v>
      </c>
      <c r="E241" s="342" t="s">
        <v>611</v>
      </c>
      <c r="F241" s="345" t="s">
        <v>173</v>
      </c>
      <c r="G241" s="308">
        <v>1</v>
      </c>
      <c r="H241" s="309">
        <v>200000</v>
      </c>
      <c r="I241" s="309">
        <v>200000</v>
      </c>
      <c r="J241" s="211"/>
      <c r="K241" s="212" t="str">
        <f>IF(OR(J241="",G241=J241),"","*")</f>
        <v/>
      </c>
      <c r="L241" s="338">
        <f>IF($A241&lt;=L$1,I241/I$4,"")</f>
        <v>3.7239784908215941E-3</v>
      </c>
      <c r="M241" s="343"/>
      <c r="N241" s="344"/>
      <c r="O241" s="310">
        <v>0</v>
      </c>
      <c r="P241" s="311">
        <v>0</v>
      </c>
      <c r="Q241" s="311">
        <v>0</v>
      </c>
      <c r="R241" s="211">
        <v>0</v>
      </c>
      <c r="S241" s="212"/>
      <c r="T241" s="213" t="e">
        <v>#DIV/0!</v>
      </c>
      <c r="U241" s="214"/>
      <c r="V241" s="215"/>
      <c r="W241" s="310">
        <v>0</v>
      </c>
      <c r="X241" s="311">
        <v>0</v>
      </c>
      <c r="Y241" s="311">
        <v>0</v>
      </c>
      <c r="Z241" s="211">
        <v>0</v>
      </c>
      <c r="AA241" s="212"/>
      <c r="AB241" s="213" t="e">
        <v>#DIV/0!</v>
      </c>
      <c r="AC241" s="214"/>
      <c r="AD241" s="215"/>
      <c r="AE241" s="342" t="s">
        <v>427</v>
      </c>
      <c r="AF241" s="341"/>
    </row>
    <row r="242" spans="1:32">
      <c r="A242" s="307">
        <v>3</v>
      </c>
      <c r="B242" s="342"/>
      <c r="C242" s="342" t="s">
        <v>178</v>
      </c>
      <c r="D242" s="340" t="s">
        <v>612</v>
      </c>
      <c r="E242" s="342" t="s">
        <v>613</v>
      </c>
      <c r="F242" s="345" t="s">
        <v>173</v>
      </c>
      <c r="G242" s="308">
        <v>0.27</v>
      </c>
      <c r="H242" s="309">
        <v>11500000</v>
      </c>
      <c r="I242" s="309">
        <v>3105000</v>
      </c>
      <c r="J242" s="211"/>
      <c r="K242" s="212" t="str">
        <f>IF(OR(J242="",G242=J242),"","*")</f>
        <v/>
      </c>
      <c r="L242" s="338">
        <f>IF($A242&lt;=L$1,I242/I$4,"")</f>
        <v>5.7814766070005248E-2</v>
      </c>
      <c r="M242" s="343"/>
      <c r="N242" s="344"/>
      <c r="O242" s="310">
        <v>0</v>
      </c>
      <c r="P242" s="311">
        <v>0</v>
      </c>
      <c r="Q242" s="311">
        <v>0</v>
      </c>
      <c r="R242" s="211">
        <v>0</v>
      </c>
      <c r="S242" s="212"/>
      <c r="T242" s="213" t="e">
        <v>#DIV/0!</v>
      </c>
      <c r="U242" s="214"/>
      <c r="V242" s="215"/>
      <c r="W242" s="310">
        <v>0</v>
      </c>
      <c r="X242" s="311">
        <v>0</v>
      </c>
      <c r="Y242" s="311">
        <v>0</v>
      </c>
      <c r="Z242" s="211">
        <v>0</v>
      </c>
      <c r="AA242" s="212"/>
      <c r="AB242" s="213" t="e">
        <v>#DIV/0!</v>
      </c>
      <c r="AC242" s="214"/>
      <c r="AD242" s="215"/>
      <c r="AE242" s="342" t="s">
        <v>427</v>
      </c>
      <c r="AF242" s="341"/>
    </row>
    <row r="243" spans="1:32">
      <c r="A243" s="307">
        <v>2</v>
      </c>
      <c r="B243" s="342"/>
      <c r="C243" s="342" t="s">
        <v>355</v>
      </c>
      <c r="D243" s="340" t="s">
        <v>614</v>
      </c>
      <c r="E243" s="342"/>
      <c r="F243" s="345" t="s">
        <v>174</v>
      </c>
      <c r="G243" s="308">
        <v>1</v>
      </c>
      <c r="H243" s="309">
        <v>45000</v>
      </c>
      <c r="I243" s="309">
        <v>45000</v>
      </c>
      <c r="J243" s="211">
        <v>1</v>
      </c>
      <c r="K243" s="212" t="str">
        <f>IF(OR(J243="",G243=J243),"","*")</f>
        <v/>
      </c>
      <c r="L243" s="338">
        <f>IF($A243&lt;=L$1,I243/I$4,"")</f>
        <v>8.3789516043485861E-4</v>
      </c>
      <c r="M243" s="343"/>
      <c r="N243" s="344" t="s">
        <v>615</v>
      </c>
      <c r="O243" s="310">
        <v>0</v>
      </c>
      <c r="P243" s="311">
        <v>0</v>
      </c>
      <c r="Q243" s="311">
        <v>0</v>
      </c>
      <c r="R243" s="211">
        <v>0</v>
      </c>
      <c r="S243" s="212"/>
      <c r="T243" s="213" t="e">
        <v>#DIV/0!</v>
      </c>
      <c r="U243" s="214"/>
      <c r="V243" s="215"/>
      <c r="W243" s="310">
        <v>0</v>
      </c>
      <c r="X243" s="311">
        <v>0</v>
      </c>
      <c r="Y243" s="311">
        <v>0</v>
      </c>
      <c r="Z243" s="211">
        <v>0</v>
      </c>
      <c r="AA243" s="212"/>
      <c r="AB243" s="213" t="e">
        <v>#DIV/0!</v>
      </c>
      <c r="AC243" s="214"/>
      <c r="AD243" s="215"/>
      <c r="AE243" s="342"/>
      <c r="AF243" s="341"/>
    </row>
    <row r="244" spans="1:32">
      <c r="A244" s="307">
        <v>3</v>
      </c>
      <c r="B244" s="342"/>
      <c r="C244" s="342" t="s">
        <v>178</v>
      </c>
      <c r="D244" s="340" t="s">
        <v>616</v>
      </c>
      <c r="E244" s="342"/>
      <c r="F244" s="345" t="s">
        <v>174</v>
      </c>
      <c r="G244" s="308">
        <v>1</v>
      </c>
      <c r="H244" s="309">
        <v>45000</v>
      </c>
      <c r="I244" s="309">
        <v>45000</v>
      </c>
      <c r="J244" s="211"/>
      <c r="K244" s="212" t="str">
        <f>IF(OR(J244="",G244=J244),"","*")</f>
        <v/>
      </c>
      <c r="L244" s="338">
        <f>IF($A244&lt;=L$1,I244/I$4,"")</f>
        <v>8.3789516043485861E-4</v>
      </c>
      <c r="M244" s="343"/>
      <c r="N244" s="344"/>
      <c r="O244" s="310">
        <v>0</v>
      </c>
      <c r="P244" s="311">
        <v>0</v>
      </c>
      <c r="Q244" s="311">
        <v>0</v>
      </c>
      <c r="R244" s="211">
        <v>0</v>
      </c>
      <c r="S244" s="212"/>
      <c r="T244" s="213" t="e">
        <v>#DIV/0!</v>
      </c>
      <c r="U244" s="214"/>
      <c r="V244" s="215"/>
      <c r="W244" s="310">
        <v>0</v>
      </c>
      <c r="X244" s="311">
        <v>0</v>
      </c>
      <c r="Y244" s="311">
        <v>0</v>
      </c>
      <c r="Z244" s="211">
        <v>0</v>
      </c>
      <c r="AA244" s="212"/>
      <c r="AB244" s="213" t="e">
        <v>#DIV/0!</v>
      </c>
      <c r="AC244" s="214"/>
      <c r="AD244" s="215"/>
      <c r="AE244" s="342"/>
      <c r="AF244" s="341"/>
    </row>
    <row r="245" spans="1:32">
      <c r="A245" s="307">
        <v>2</v>
      </c>
      <c r="B245" s="342"/>
      <c r="C245" s="342" t="s">
        <v>355</v>
      </c>
      <c r="D245" s="340" t="s">
        <v>617</v>
      </c>
      <c r="E245" s="342"/>
      <c r="F245" s="345" t="s">
        <v>171</v>
      </c>
      <c r="G245" s="308">
        <v>246.4</v>
      </c>
      <c r="H245" s="309">
        <v>4378</v>
      </c>
      <c r="I245" s="309">
        <v>1078739</v>
      </c>
      <c r="J245" s="211">
        <v>246.4</v>
      </c>
      <c r="K245" s="212" t="str">
        <f>IF(OR(J245="",G245=J245),"","*")</f>
        <v/>
      </c>
      <c r="L245" s="338">
        <f>IF($A245&lt;=L$1,I245/I$4,"")</f>
        <v>2.0086004166051979E-2</v>
      </c>
      <c r="M245" s="343"/>
      <c r="N245" s="344" t="s">
        <v>618</v>
      </c>
      <c r="O245" s="310">
        <v>0</v>
      </c>
      <c r="P245" s="311">
        <v>0</v>
      </c>
      <c r="Q245" s="311">
        <v>0</v>
      </c>
      <c r="R245" s="211">
        <v>0</v>
      </c>
      <c r="S245" s="212"/>
      <c r="T245" s="213" t="e">
        <v>#DIV/0!</v>
      </c>
      <c r="U245" s="214"/>
      <c r="V245" s="215"/>
      <c r="W245" s="310">
        <v>0</v>
      </c>
      <c r="X245" s="311">
        <v>0</v>
      </c>
      <c r="Y245" s="311">
        <v>0</v>
      </c>
      <c r="Z245" s="211">
        <v>0</v>
      </c>
      <c r="AA245" s="212"/>
      <c r="AB245" s="213" t="e">
        <v>#DIV/0!</v>
      </c>
      <c r="AC245" s="214"/>
      <c r="AD245" s="215"/>
      <c r="AE245" s="342"/>
      <c r="AF245" s="341"/>
    </row>
    <row r="246" spans="1:32">
      <c r="A246" s="307">
        <v>3</v>
      </c>
      <c r="B246" s="342"/>
      <c r="C246" s="342" t="s">
        <v>176</v>
      </c>
      <c r="D246" s="340" t="s">
        <v>400</v>
      </c>
      <c r="E246" s="342" t="s">
        <v>401</v>
      </c>
      <c r="F246" s="345" t="s">
        <v>172</v>
      </c>
      <c r="G246" s="308">
        <v>232.84800000000001</v>
      </c>
      <c r="H246" s="309">
        <v>2300</v>
      </c>
      <c r="I246" s="309">
        <v>535550</v>
      </c>
      <c r="J246" s="211"/>
      <c r="K246" s="212" t="str">
        <f>IF(OR(J246="",G246=J246),"","*")</f>
        <v/>
      </c>
      <c r="L246" s="338">
        <f>IF($A246&lt;=L$1,I246/I$4,"")</f>
        <v>9.971883403797524E-3</v>
      </c>
      <c r="M246" s="343"/>
      <c r="N246" s="344"/>
      <c r="O246" s="310">
        <v>0</v>
      </c>
      <c r="P246" s="311">
        <v>0</v>
      </c>
      <c r="Q246" s="311">
        <v>0</v>
      </c>
      <c r="R246" s="211">
        <v>0</v>
      </c>
      <c r="S246" s="212"/>
      <c r="T246" s="213" t="e">
        <v>#DIV/0!</v>
      </c>
      <c r="U246" s="214"/>
      <c r="V246" s="215"/>
      <c r="W246" s="310">
        <v>0</v>
      </c>
      <c r="X246" s="311">
        <v>0</v>
      </c>
      <c r="Y246" s="311">
        <v>0</v>
      </c>
      <c r="Z246" s="211">
        <v>0</v>
      </c>
      <c r="AA246" s="212"/>
      <c r="AB246" s="213" t="e">
        <v>#DIV/0!</v>
      </c>
      <c r="AC246" s="214"/>
      <c r="AD246" s="215"/>
      <c r="AE246" s="342" t="s">
        <v>402</v>
      </c>
      <c r="AF246" s="341" t="s">
        <v>619</v>
      </c>
    </row>
    <row r="247" spans="1:32">
      <c r="A247" s="307">
        <v>3</v>
      </c>
      <c r="B247" s="342"/>
      <c r="C247" s="342" t="s">
        <v>177</v>
      </c>
      <c r="D247" s="340" t="s">
        <v>367</v>
      </c>
      <c r="E247" s="342" t="s">
        <v>368</v>
      </c>
      <c r="F247" s="345" t="s">
        <v>369</v>
      </c>
      <c r="G247" s="308">
        <v>15</v>
      </c>
      <c r="H247" s="309">
        <v>23000</v>
      </c>
      <c r="I247" s="309">
        <v>345000</v>
      </c>
      <c r="J247" s="211"/>
      <c r="K247" s="212" t="str">
        <f>IF(OR(J247="",G247=J247),"","*")</f>
        <v/>
      </c>
      <c r="L247" s="338">
        <f>IF($A247&lt;=L$1,I247/I$4,"")</f>
        <v>6.4238628966672498E-3</v>
      </c>
      <c r="M247" s="343"/>
      <c r="N247" s="344"/>
      <c r="O247" s="310">
        <v>0</v>
      </c>
      <c r="P247" s="311">
        <v>0</v>
      </c>
      <c r="Q247" s="311">
        <v>0</v>
      </c>
      <c r="R247" s="211">
        <v>0</v>
      </c>
      <c r="S247" s="212"/>
      <c r="T247" s="213" t="e">
        <v>#DIV/0!</v>
      </c>
      <c r="U247" s="214"/>
      <c r="V247" s="215"/>
      <c r="W247" s="310">
        <v>0</v>
      </c>
      <c r="X247" s="311">
        <v>0</v>
      </c>
      <c r="Y247" s="311">
        <v>0</v>
      </c>
      <c r="Z247" s="211">
        <v>0</v>
      </c>
      <c r="AA247" s="212"/>
      <c r="AB247" s="213" t="e">
        <v>#DIV/0!</v>
      </c>
      <c r="AC247" s="214"/>
      <c r="AD247" s="215"/>
      <c r="AE247" s="342"/>
      <c r="AF247" s="341" t="s">
        <v>620</v>
      </c>
    </row>
    <row r="248" spans="1:32">
      <c r="A248" s="307">
        <v>3</v>
      </c>
      <c r="B248" s="342"/>
      <c r="C248" s="342" t="s">
        <v>179</v>
      </c>
      <c r="D248" s="340" t="s">
        <v>371</v>
      </c>
      <c r="E248" s="342" t="s">
        <v>621</v>
      </c>
      <c r="F248" s="345" t="s">
        <v>373</v>
      </c>
      <c r="G248" s="308">
        <v>5</v>
      </c>
      <c r="H248" s="309">
        <v>8700</v>
      </c>
      <c r="I248" s="309">
        <v>43500</v>
      </c>
      <c r="J248" s="211"/>
      <c r="K248" s="212" t="str">
        <f>IF(OR(J248="",G248=J248),"","*")</f>
        <v/>
      </c>
      <c r="L248" s="338">
        <f>IF($A248&lt;=L$1,I248/I$4,"")</f>
        <v>8.0996532175369666E-4</v>
      </c>
      <c r="M248" s="343"/>
      <c r="N248" s="344"/>
      <c r="O248" s="310">
        <v>0</v>
      </c>
      <c r="P248" s="311">
        <v>0</v>
      </c>
      <c r="Q248" s="311">
        <v>0</v>
      </c>
      <c r="R248" s="211">
        <v>0</v>
      </c>
      <c r="S248" s="212"/>
      <c r="T248" s="213" t="e">
        <v>#DIV/0!</v>
      </c>
      <c r="U248" s="214"/>
      <c r="V248" s="215"/>
      <c r="W248" s="310">
        <v>0</v>
      </c>
      <c r="X248" s="311">
        <v>0</v>
      </c>
      <c r="Y248" s="311">
        <v>0</v>
      </c>
      <c r="Z248" s="211">
        <v>0</v>
      </c>
      <c r="AA248" s="212"/>
      <c r="AB248" s="213" t="e">
        <v>#DIV/0!</v>
      </c>
      <c r="AC248" s="214"/>
      <c r="AD248" s="215"/>
      <c r="AE248" s="342"/>
      <c r="AF248" s="341" t="s">
        <v>393</v>
      </c>
    </row>
    <row r="249" spans="1:32">
      <c r="A249" s="307">
        <v>3</v>
      </c>
      <c r="B249" s="342"/>
      <c r="C249" s="342" t="s">
        <v>179</v>
      </c>
      <c r="D249" s="340" t="s">
        <v>515</v>
      </c>
      <c r="E249" s="342" t="s">
        <v>516</v>
      </c>
      <c r="F249" s="345" t="s">
        <v>373</v>
      </c>
      <c r="G249" s="308">
        <v>5</v>
      </c>
      <c r="H249" s="309">
        <v>4600</v>
      </c>
      <c r="I249" s="309">
        <v>23000</v>
      </c>
      <c r="J249" s="211"/>
      <c r="K249" s="212" t="str">
        <f>IF(OR(J249="",G249=J249),"","*")</f>
        <v/>
      </c>
      <c r="L249" s="338">
        <f>IF($A249&lt;=L$1,I249/I$4,"")</f>
        <v>4.2825752644448331E-4</v>
      </c>
      <c r="M249" s="343"/>
      <c r="N249" s="344"/>
      <c r="O249" s="310">
        <v>0</v>
      </c>
      <c r="P249" s="311">
        <v>0</v>
      </c>
      <c r="Q249" s="311">
        <v>0</v>
      </c>
      <c r="R249" s="211">
        <v>0</v>
      </c>
      <c r="S249" s="212"/>
      <c r="T249" s="213" t="e">
        <v>#DIV/0!</v>
      </c>
      <c r="U249" s="214"/>
      <c r="V249" s="215"/>
      <c r="W249" s="310">
        <v>0</v>
      </c>
      <c r="X249" s="311">
        <v>0</v>
      </c>
      <c r="Y249" s="311">
        <v>0</v>
      </c>
      <c r="Z249" s="211">
        <v>0</v>
      </c>
      <c r="AA249" s="212"/>
      <c r="AB249" s="213" t="e">
        <v>#DIV/0!</v>
      </c>
      <c r="AC249" s="214"/>
      <c r="AD249" s="215"/>
      <c r="AE249" s="342"/>
      <c r="AF249" s="341" t="s">
        <v>393</v>
      </c>
    </row>
    <row r="250" spans="1:32">
      <c r="A250" s="307">
        <v>3</v>
      </c>
      <c r="B250" s="342"/>
      <c r="C250" s="342" t="s">
        <v>179</v>
      </c>
      <c r="D250" s="340" t="s">
        <v>397</v>
      </c>
      <c r="E250" s="342"/>
      <c r="F250" s="345" t="s">
        <v>373</v>
      </c>
      <c r="G250" s="308">
        <v>5</v>
      </c>
      <c r="H250" s="309">
        <v>700</v>
      </c>
      <c r="I250" s="309">
        <v>3500</v>
      </c>
      <c r="J250" s="211"/>
      <c r="K250" s="212" t="str">
        <f>IF(OR(J250="",G250=J250),"","*")</f>
        <v/>
      </c>
      <c r="L250" s="338">
        <f>IF($A250&lt;=L$1,I250/I$4,"")</f>
        <v>6.5169623589377901E-5</v>
      </c>
      <c r="M250" s="343"/>
      <c r="N250" s="344"/>
      <c r="O250" s="310">
        <v>0</v>
      </c>
      <c r="P250" s="311">
        <v>0</v>
      </c>
      <c r="Q250" s="311">
        <v>0</v>
      </c>
      <c r="R250" s="211">
        <v>0</v>
      </c>
      <c r="S250" s="212"/>
      <c r="T250" s="213" t="e">
        <v>#DIV/0!</v>
      </c>
      <c r="U250" s="214"/>
      <c r="V250" s="215"/>
      <c r="W250" s="310">
        <v>0</v>
      </c>
      <c r="X250" s="311">
        <v>0</v>
      </c>
      <c r="Y250" s="311">
        <v>0</v>
      </c>
      <c r="Z250" s="211">
        <v>0</v>
      </c>
      <c r="AA250" s="212"/>
      <c r="AB250" s="213" t="e">
        <v>#DIV/0!</v>
      </c>
      <c r="AC250" s="214"/>
      <c r="AD250" s="215"/>
      <c r="AE250" s="342"/>
      <c r="AF250" s="341" t="s">
        <v>393</v>
      </c>
    </row>
    <row r="251" spans="1:32">
      <c r="A251" s="307">
        <v>3</v>
      </c>
      <c r="B251" s="342"/>
      <c r="C251" s="342" t="s">
        <v>176</v>
      </c>
      <c r="D251" s="340" t="s">
        <v>363</v>
      </c>
      <c r="E251" s="342"/>
      <c r="F251" s="345" t="s">
        <v>503</v>
      </c>
      <c r="G251" s="308">
        <v>150</v>
      </c>
      <c r="H251" s="309">
        <v>145</v>
      </c>
      <c r="I251" s="309">
        <v>21750</v>
      </c>
      <c r="J251" s="211"/>
      <c r="K251" s="212" t="str">
        <f>IF(OR(J251="",G251=J251),"","*")</f>
        <v/>
      </c>
      <c r="L251" s="338">
        <f>IF($A251&lt;=L$1,I251/I$4,"")</f>
        <v>4.0498266087684833E-4</v>
      </c>
      <c r="M251" s="343"/>
      <c r="N251" s="344"/>
      <c r="O251" s="310">
        <v>0</v>
      </c>
      <c r="P251" s="311">
        <v>0</v>
      </c>
      <c r="Q251" s="311">
        <v>0</v>
      </c>
      <c r="R251" s="211">
        <v>0</v>
      </c>
      <c r="S251" s="212"/>
      <c r="T251" s="213" t="e">
        <v>#DIV/0!</v>
      </c>
      <c r="U251" s="214"/>
      <c r="V251" s="215"/>
      <c r="W251" s="310">
        <v>0</v>
      </c>
      <c r="X251" s="311">
        <v>0</v>
      </c>
      <c r="Y251" s="311">
        <v>0</v>
      </c>
      <c r="Z251" s="211">
        <v>0</v>
      </c>
      <c r="AA251" s="212"/>
      <c r="AB251" s="213" t="e">
        <v>#DIV/0!</v>
      </c>
      <c r="AC251" s="214"/>
      <c r="AD251" s="215"/>
      <c r="AE251" s="342" t="s">
        <v>365</v>
      </c>
      <c r="AF251" s="341" t="s">
        <v>622</v>
      </c>
    </row>
    <row r="252" spans="1:32">
      <c r="A252" s="307">
        <v>3</v>
      </c>
      <c r="B252" s="342"/>
      <c r="C252" s="342" t="s">
        <v>179</v>
      </c>
      <c r="D252" s="340" t="s">
        <v>396</v>
      </c>
      <c r="E252" s="342"/>
      <c r="F252" s="345" t="s">
        <v>373</v>
      </c>
      <c r="G252" s="308">
        <v>5</v>
      </c>
      <c r="H252" s="309">
        <v>700</v>
      </c>
      <c r="I252" s="309">
        <v>3500</v>
      </c>
      <c r="J252" s="211"/>
      <c r="K252" s="212" t="str">
        <f>IF(OR(J252="",G252=J252),"","*")</f>
        <v/>
      </c>
      <c r="L252" s="338">
        <f>IF($A252&lt;=L$1,I252/I$4,"")</f>
        <v>6.5169623589377901E-5</v>
      </c>
      <c r="M252" s="343"/>
      <c r="N252" s="344"/>
      <c r="O252" s="310">
        <v>0</v>
      </c>
      <c r="P252" s="311">
        <v>0</v>
      </c>
      <c r="Q252" s="311">
        <v>0</v>
      </c>
      <c r="R252" s="211">
        <v>0</v>
      </c>
      <c r="S252" s="212"/>
      <c r="T252" s="213" t="e">
        <v>#DIV/0!</v>
      </c>
      <c r="U252" s="214"/>
      <c r="V252" s="215"/>
      <c r="W252" s="310">
        <v>0</v>
      </c>
      <c r="X252" s="311">
        <v>0</v>
      </c>
      <c r="Y252" s="311">
        <v>0</v>
      </c>
      <c r="Z252" s="211">
        <v>0</v>
      </c>
      <c r="AA252" s="212"/>
      <c r="AB252" s="213" t="e">
        <v>#DIV/0!</v>
      </c>
      <c r="AC252" s="214"/>
      <c r="AD252" s="215"/>
      <c r="AE252" s="342"/>
      <c r="AF252" s="341" t="s">
        <v>393</v>
      </c>
    </row>
    <row r="253" spans="1:32">
      <c r="A253" s="307">
        <v>3</v>
      </c>
      <c r="B253" s="342"/>
      <c r="C253" s="342" t="s">
        <v>179</v>
      </c>
      <c r="D253" s="340" t="s">
        <v>371</v>
      </c>
      <c r="E253" s="342" t="s">
        <v>372</v>
      </c>
      <c r="F253" s="345" t="s">
        <v>373</v>
      </c>
      <c r="G253" s="308">
        <v>5</v>
      </c>
      <c r="H253" s="309">
        <v>10800</v>
      </c>
      <c r="I253" s="309">
        <v>54000</v>
      </c>
      <c r="J253" s="211"/>
      <c r="K253" s="212" t="str">
        <f>IF(OR(J253="",G253=J253),"","*")</f>
        <v/>
      </c>
      <c r="L253" s="338">
        <f>IF($A253&lt;=L$1,I253/I$4,"")</f>
        <v>1.0054741925218304E-3</v>
      </c>
      <c r="M253" s="343"/>
      <c r="N253" s="344"/>
      <c r="O253" s="310">
        <v>0</v>
      </c>
      <c r="P253" s="311">
        <v>0</v>
      </c>
      <c r="Q253" s="311">
        <v>0</v>
      </c>
      <c r="R253" s="211">
        <v>0</v>
      </c>
      <c r="S253" s="212"/>
      <c r="T253" s="213" t="e">
        <v>#DIV/0!</v>
      </c>
      <c r="U253" s="214"/>
      <c r="V253" s="215"/>
      <c r="W253" s="310">
        <v>0</v>
      </c>
      <c r="X253" s="311">
        <v>0</v>
      </c>
      <c r="Y253" s="311">
        <v>0</v>
      </c>
      <c r="Z253" s="211">
        <v>0</v>
      </c>
      <c r="AA253" s="212"/>
      <c r="AB253" s="213" t="e">
        <v>#DIV/0!</v>
      </c>
      <c r="AC253" s="214"/>
      <c r="AD253" s="215"/>
      <c r="AE253" s="342"/>
      <c r="AF253" s="341" t="s">
        <v>393</v>
      </c>
    </row>
    <row r="254" spans="1:32">
      <c r="A254" s="307">
        <v>3</v>
      </c>
      <c r="B254" s="342"/>
      <c r="C254" s="342" t="s">
        <v>180</v>
      </c>
      <c r="D254" s="340" t="s">
        <v>482</v>
      </c>
      <c r="E254" s="342"/>
      <c r="F254" s="345" t="s">
        <v>373</v>
      </c>
      <c r="G254" s="308">
        <v>5</v>
      </c>
      <c r="H254" s="309">
        <v>9800</v>
      </c>
      <c r="I254" s="309">
        <v>49000</v>
      </c>
      <c r="J254" s="211"/>
      <c r="K254" s="212" t="str">
        <f>IF(OR(J254="",G254=J254),"","*")</f>
        <v/>
      </c>
      <c r="L254" s="338">
        <f>IF($A254&lt;=L$1,I254/I$4,"")</f>
        <v>9.1237473025129051E-4</v>
      </c>
      <c r="M254" s="343"/>
      <c r="N254" s="344"/>
      <c r="O254" s="310">
        <v>0</v>
      </c>
      <c r="P254" s="311">
        <v>0</v>
      </c>
      <c r="Q254" s="311">
        <v>0</v>
      </c>
      <c r="R254" s="211">
        <v>0</v>
      </c>
      <c r="S254" s="212"/>
      <c r="T254" s="213" t="e">
        <v>#DIV/0!</v>
      </c>
      <c r="U254" s="214"/>
      <c r="V254" s="215"/>
      <c r="W254" s="310">
        <v>0</v>
      </c>
      <c r="X254" s="311">
        <v>0</v>
      </c>
      <c r="Y254" s="311">
        <v>0</v>
      </c>
      <c r="Z254" s="211">
        <v>0</v>
      </c>
      <c r="AA254" s="212"/>
      <c r="AB254" s="213" t="e">
        <v>#DIV/0!</v>
      </c>
      <c r="AC254" s="214"/>
      <c r="AD254" s="215"/>
      <c r="AE254" s="342"/>
      <c r="AF254" s="341" t="s">
        <v>393</v>
      </c>
    </row>
    <row r="255" spans="1:32">
      <c r="A255" s="307">
        <v>2</v>
      </c>
      <c r="B255" s="342"/>
      <c r="C255" s="342" t="s">
        <v>355</v>
      </c>
      <c r="D255" s="340" t="s">
        <v>623</v>
      </c>
      <c r="E255" s="342"/>
      <c r="F255" s="345" t="s">
        <v>171</v>
      </c>
      <c r="G255" s="308">
        <v>248.6</v>
      </c>
      <c r="H255" s="309">
        <v>8536</v>
      </c>
      <c r="I255" s="309">
        <v>2122049</v>
      </c>
      <c r="J255" s="211">
        <v>248.6</v>
      </c>
      <c r="K255" s="212" t="str">
        <f>IF(OR(J255="",G255=J255),"","*")</f>
        <v/>
      </c>
      <c r="L255" s="338">
        <f>IF($A255&lt;=L$1,I255/I$4,"")</f>
        <v>3.9512324162347366E-2</v>
      </c>
      <c r="M255" s="343"/>
      <c r="N255" s="344" t="s">
        <v>624</v>
      </c>
      <c r="O255" s="310">
        <v>0</v>
      </c>
      <c r="P255" s="311">
        <v>0</v>
      </c>
      <c r="Q255" s="311">
        <v>0</v>
      </c>
      <c r="R255" s="211">
        <v>0</v>
      </c>
      <c r="S255" s="212"/>
      <c r="T255" s="213" t="e">
        <v>#DIV/0!</v>
      </c>
      <c r="U255" s="214"/>
      <c r="V255" s="215"/>
      <c r="W255" s="310">
        <v>0</v>
      </c>
      <c r="X255" s="311">
        <v>0</v>
      </c>
      <c r="Y255" s="311">
        <v>0</v>
      </c>
      <c r="Z255" s="211">
        <v>0</v>
      </c>
      <c r="AA255" s="212"/>
      <c r="AB255" s="213" t="e">
        <v>#DIV/0!</v>
      </c>
      <c r="AC255" s="214"/>
      <c r="AD255" s="215"/>
      <c r="AE255" s="342"/>
      <c r="AF255" s="341"/>
    </row>
    <row r="256" spans="1:32">
      <c r="A256" s="307">
        <v>3</v>
      </c>
      <c r="B256" s="342"/>
      <c r="C256" s="342" t="s">
        <v>176</v>
      </c>
      <c r="D256" s="340" t="s">
        <v>400</v>
      </c>
      <c r="E256" s="342" t="s">
        <v>401</v>
      </c>
      <c r="F256" s="345" t="s">
        <v>172</v>
      </c>
      <c r="G256" s="308">
        <v>51</v>
      </c>
      <c r="H256" s="309">
        <v>2300</v>
      </c>
      <c r="I256" s="309">
        <v>117300</v>
      </c>
      <c r="J256" s="211"/>
      <c r="K256" s="212" t="str">
        <f>IF(OR(J256="",G256=J256),"","*")</f>
        <v/>
      </c>
      <c r="L256" s="338">
        <f>IF($A256&lt;=L$1,I256/I$4,"")</f>
        <v>2.1841133848668651E-3</v>
      </c>
      <c r="M256" s="343"/>
      <c r="N256" s="344"/>
      <c r="O256" s="310">
        <v>0</v>
      </c>
      <c r="P256" s="311">
        <v>0</v>
      </c>
      <c r="Q256" s="311">
        <v>0</v>
      </c>
      <c r="R256" s="211">
        <v>0</v>
      </c>
      <c r="S256" s="212"/>
      <c r="T256" s="213" t="e">
        <v>#DIV/0!</v>
      </c>
      <c r="U256" s="214"/>
      <c r="V256" s="215"/>
      <c r="W256" s="310">
        <v>0</v>
      </c>
      <c r="X256" s="311">
        <v>0</v>
      </c>
      <c r="Y256" s="311">
        <v>0</v>
      </c>
      <c r="Z256" s="211">
        <v>0</v>
      </c>
      <c r="AA256" s="212"/>
      <c r="AB256" s="213" t="e">
        <v>#DIV/0!</v>
      </c>
      <c r="AC256" s="214"/>
      <c r="AD256" s="215"/>
      <c r="AE256" s="342" t="s">
        <v>402</v>
      </c>
      <c r="AF256" s="341" t="s">
        <v>625</v>
      </c>
    </row>
    <row r="257" spans="1:32">
      <c r="A257" s="307">
        <v>3</v>
      </c>
      <c r="B257" s="342"/>
      <c r="C257" s="342" t="s">
        <v>176</v>
      </c>
      <c r="D257" s="340" t="s">
        <v>494</v>
      </c>
      <c r="E257" s="342"/>
      <c r="F257" s="345" t="s">
        <v>364</v>
      </c>
      <c r="G257" s="308">
        <v>299</v>
      </c>
      <c r="H257" s="309">
        <v>103</v>
      </c>
      <c r="I257" s="309">
        <v>30797</v>
      </c>
      <c r="J257" s="211"/>
      <c r="K257" s="212" t="str">
        <f>IF(OR(J257="",G257=J257),"","*")</f>
        <v/>
      </c>
      <c r="L257" s="338">
        <f>IF($A257&lt;=L$1,I257/I$4,"")</f>
        <v>5.7343682790916319E-4</v>
      </c>
      <c r="M257" s="343"/>
      <c r="N257" s="344"/>
      <c r="O257" s="310">
        <v>0</v>
      </c>
      <c r="P257" s="311">
        <v>0</v>
      </c>
      <c r="Q257" s="311">
        <v>0</v>
      </c>
      <c r="R257" s="211">
        <v>0</v>
      </c>
      <c r="S257" s="212"/>
      <c r="T257" s="213" t="e">
        <v>#DIV/0!</v>
      </c>
      <c r="U257" s="214"/>
      <c r="V257" s="215"/>
      <c r="W257" s="310">
        <v>0</v>
      </c>
      <c r="X257" s="311">
        <v>0</v>
      </c>
      <c r="Y257" s="311">
        <v>0</v>
      </c>
      <c r="Z257" s="211">
        <v>0</v>
      </c>
      <c r="AA257" s="212"/>
      <c r="AB257" s="213" t="e">
        <v>#DIV/0!</v>
      </c>
      <c r="AC257" s="214"/>
      <c r="AD257" s="215"/>
      <c r="AE257" s="342" t="s">
        <v>495</v>
      </c>
      <c r="AF257" s="341" t="s">
        <v>626</v>
      </c>
    </row>
    <row r="258" spans="1:32">
      <c r="A258" s="307">
        <v>3</v>
      </c>
      <c r="B258" s="342"/>
      <c r="C258" s="342" t="s">
        <v>176</v>
      </c>
      <c r="D258" s="340" t="s">
        <v>627</v>
      </c>
      <c r="E258" s="342"/>
      <c r="F258" s="345" t="s">
        <v>377</v>
      </c>
      <c r="G258" s="308">
        <v>32</v>
      </c>
      <c r="H258" s="309">
        <v>9200</v>
      </c>
      <c r="I258" s="309">
        <v>294400</v>
      </c>
      <c r="J258" s="211"/>
      <c r="K258" s="212" t="str">
        <f>IF(OR(J258="",G258=J258),"","*")</f>
        <v/>
      </c>
      <c r="L258" s="338">
        <f>IF($A258&lt;=L$1,I258/I$4,"")</f>
        <v>5.4816963384893861E-3</v>
      </c>
      <c r="M258" s="343"/>
      <c r="N258" s="344"/>
      <c r="O258" s="310">
        <v>0</v>
      </c>
      <c r="P258" s="311">
        <v>0</v>
      </c>
      <c r="Q258" s="311">
        <v>0</v>
      </c>
      <c r="R258" s="211">
        <v>0</v>
      </c>
      <c r="S258" s="212"/>
      <c r="T258" s="213" t="e">
        <v>#DIV/0!</v>
      </c>
      <c r="U258" s="214"/>
      <c r="V258" s="215"/>
      <c r="W258" s="310">
        <v>0</v>
      </c>
      <c r="X258" s="311">
        <v>0</v>
      </c>
      <c r="Y258" s="311">
        <v>0</v>
      </c>
      <c r="Z258" s="211">
        <v>0</v>
      </c>
      <c r="AA258" s="212"/>
      <c r="AB258" s="213" t="e">
        <v>#DIV/0!</v>
      </c>
      <c r="AC258" s="214"/>
      <c r="AD258" s="215"/>
      <c r="AE258" s="342"/>
      <c r="AF258" s="341" t="s">
        <v>628</v>
      </c>
    </row>
    <row r="259" spans="1:32">
      <c r="A259" s="307">
        <v>3</v>
      </c>
      <c r="B259" s="342"/>
      <c r="C259" s="342" t="s">
        <v>176</v>
      </c>
      <c r="D259" s="340" t="s">
        <v>490</v>
      </c>
      <c r="E259" s="342" t="s">
        <v>401</v>
      </c>
      <c r="F259" s="345" t="s">
        <v>487</v>
      </c>
      <c r="G259" s="308">
        <v>28</v>
      </c>
      <c r="H259" s="309">
        <v>10100</v>
      </c>
      <c r="I259" s="309">
        <v>282800</v>
      </c>
      <c r="J259" s="211"/>
      <c r="K259" s="212" t="str">
        <f>IF(OR(J259="",G259=J259),"","*")</f>
        <v/>
      </c>
      <c r="L259" s="338">
        <f>IF($A259&lt;=L$1,I259/I$4,"")</f>
        <v>5.2657055860217336E-3</v>
      </c>
      <c r="M259" s="343"/>
      <c r="N259" s="344"/>
      <c r="O259" s="310">
        <v>0</v>
      </c>
      <c r="P259" s="311">
        <v>0</v>
      </c>
      <c r="Q259" s="311">
        <v>0</v>
      </c>
      <c r="R259" s="211">
        <v>0</v>
      </c>
      <c r="S259" s="212"/>
      <c r="T259" s="213" t="e">
        <v>#DIV/0!</v>
      </c>
      <c r="U259" s="214"/>
      <c r="V259" s="215"/>
      <c r="W259" s="310">
        <v>0</v>
      </c>
      <c r="X259" s="311">
        <v>0</v>
      </c>
      <c r="Y259" s="311">
        <v>0</v>
      </c>
      <c r="Z259" s="211">
        <v>0</v>
      </c>
      <c r="AA259" s="212"/>
      <c r="AB259" s="213" t="e">
        <v>#DIV/0!</v>
      </c>
      <c r="AC259" s="214"/>
      <c r="AD259" s="215"/>
      <c r="AE259" s="342" t="s">
        <v>491</v>
      </c>
      <c r="AF259" s="341" t="s">
        <v>629</v>
      </c>
    </row>
    <row r="260" spans="1:32">
      <c r="A260" s="307">
        <v>3</v>
      </c>
      <c r="B260" s="342"/>
      <c r="C260" s="342" t="s">
        <v>176</v>
      </c>
      <c r="D260" s="340" t="s">
        <v>492</v>
      </c>
      <c r="E260" s="342" t="s">
        <v>401</v>
      </c>
      <c r="F260" s="345" t="s">
        <v>487</v>
      </c>
      <c r="G260" s="308">
        <v>32</v>
      </c>
      <c r="H260" s="309">
        <v>11000</v>
      </c>
      <c r="I260" s="309">
        <v>352000</v>
      </c>
      <c r="J260" s="211"/>
      <c r="K260" s="212" t="str">
        <f>IF(OR(J260="",G260=J260),"","*")</f>
        <v/>
      </c>
      <c r="L260" s="338">
        <f>IF($A260&lt;=L$1,I260/I$4,"")</f>
        <v>6.5542021438460057E-3</v>
      </c>
      <c r="M260" s="343"/>
      <c r="N260" s="344"/>
      <c r="O260" s="310">
        <v>0</v>
      </c>
      <c r="P260" s="311">
        <v>0</v>
      </c>
      <c r="Q260" s="311">
        <v>0</v>
      </c>
      <c r="R260" s="211">
        <v>0</v>
      </c>
      <c r="S260" s="212"/>
      <c r="T260" s="213" t="e">
        <v>#DIV/0!</v>
      </c>
      <c r="U260" s="214"/>
      <c r="V260" s="215"/>
      <c r="W260" s="310">
        <v>0</v>
      </c>
      <c r="X260" s="311">
        <v>0</v>
      </c>
      <c r="Y260" s="311">
        <v>0</v>
      </c>
      <c r="Z260" s="211">
        <v>0</v>
      </c>
      <c r="AA260" s="212"/>
      <c r="AB260" s="213" t="e">
        <v>#DIV/0!</v>
      </c>
      <c r="AC260" s="214"/>
      <c r="AD260" s="215"/>
      <c r="AE260" s="342" t="s">
        <v>493</v>
      </c>
      <c r="AF260" s="341" t="s">
        <v>628</v>
      </c>
    </row>
    <row r="261" spans="1:32">
      <c r="A261" s="307">
        <v>3</v>
      </c>
      <c r="B261" s="342"/>
      <c r="C261" s="342" t="s">
        <v>176</v>
      </c>
      <c r="D261" s="340" t="s">
        <v>497</v>
      </c>
      <c r="E261" s="342"/>
      <c r="F261" s="345" t="s">
        <v>364</v>
      </c>
      <c r="G261" s="308">
        <v>100</v>
      </c>
      <c r="H261" s="309">
        <v>210</v>
      </c>
      <c r="I261" s="309">
        <v>21000</v>
      </c>
      <c r="J261" s="211"/>
      <c r="K261" s="212" t="str">
        <f>IF(OR(J261="",G261=J261),"","*")</f>
        <v/>
      </c>
      <c r="L261" s="338">
        <f>IF($A261&lt;=L$1,I261/I$4,"")</f>
        <v>3.9101774153626735E-4</v>
      </c>
      <c r="M261" s="343"/>
      <c r="N261" s="344"/>
      <c r="O261" s="310">
        <v>0</v>
      </c>
      <c r="P261" s="311">
        <v>0</v>
      </c>
      <c r="Q261" s="311">
        <v>0</v>
      </c>
      <c r="R261" s="211">
        <v>0</v>
      </c>
      <c r="S261" s="212"/>
      <c r="T261" s="213" t="e">
        <v>#DIV/0!</v>
      </c>
      <c r="U261" s="214"/>
      <c r="V261" s="215"/>
      <c r="W261" s="310">
        <v>0</v>
      </c>
      <c r="X261" s="311">
        <v>0</v>
      </c>
      <c r="Y261" s="311">
        <v>0</v>
      </c>
      <c r="Z261" s="211">
        <v>0</v>
      </c>
      <c r="AA261" s="212"/>
      <c r="AB261" s="213" t="e">
        <v>#DIV/0!</v>
      </c>
      <c r="AC261" s="214"/>
      <c r="AD261" s="215"/>
      <c r="AE261" s="342" t="s">
        <v>498</v>
      </c>
      <c r="AF261" s="341" t="s">
        <v>630</v>
      </c>
    </row>
    <row r="262" spans="1:32">
      <c r="A262" s="307">
        <v>3</v>
      </c>
      <c r="B262" s="342"/>
      <c r="C262" s="342" t="s">
        <v>176</v>
      </c>
      <c r="D262" s="340" t="s">
        <v>500</v>
      </c>
      <c r="E262" s="342"/>
      <c r="F262" s="345" t="s">
        <v>172</v>
      </c>
      <c r="G262" s="308">
        <v>1</v>
      </c>
      <c r="H262" s="309">
        <v>4000</v>
      </c>
      <c r="I262" s="309">
        <v>4000</v>
      </c>
      <c r="J262" s="211"/>
      <c r="K262" s="212" t="str">
        <f>IF(OR(J262="",G262=J262),"","*")</f>
        <v/>
      </c>
      <c r="L262" s="338">
        <f>IF($A262&lt;=L$1,I262/I$4,"")</f>
        <v>7.4479569816431876E-5</v>
      </c>
      <c r="M262" s="343"/>
      <c r="N262" s="344"/>
      <c r="O262" s="310">
        <v>0</v>
      </c>
      <c r="P262" s="311">
        <v>0</v>
      </c>
      <c r="Q262" s="311">
        <v>0</v>
      </c>
      <c r="R262" s="211">
        <v>0</v>
      </c>
      <c r="S262" s="212"/>
      <c r="T262" s="213" t="e">
        <v>#DIV/0!</v>
      </c>
      <c r="U262" s="214"/>
      <c r="V262" s="215"/>
      <c r="W262" s="310">
        <v>0</v>
      </c>
      <c r="X262" s="311">
        <v>0</v>
      </c>
      <c r="Y262" s="311">
        <v>0</v>
      </c>
      <c r="Z262" s="211">
        <v>0</v>
      </c>
      <c r="AA262" s="212"/>
      <c r="AB262" s="213" t="e">
        <v>#DIV/0!</v>
      </c>
      <c r="AC262" s="214"/>
      <c r="AD262" s="215"/>
      <c r="AE262" s="342" t="s">
        <v>501</v>
      </c>
      <c r="AF262" s="341" t="s">
        <v>631</v>
      </c>
    </row>
    <row r="263" spans="1:32">
      <c r="A263" s="307">
        <v>3</v>
      </c>
      <c r="B263" s="342"/>
      <c r="C263" s="342" t="s">
        <v>176</v>
      </c>
      <c r="D263" s="340" t="s">
        <v>363</v>
      </c>
      <c r="E263" s="342"/>
      <c r="F263" s="345" t="s">
        <v>503</v>
      </c>
      <c r="G263" s="308">
        <v>300</v>
      </c>
      <c r="H263" s="309">
        <v>145</v>
      </c>
      <c r="I263" s="309">
        <v>43500</v>
      </c>
      <c r="J263" s="211"/>
      <c r="K263" s="212" t="str">
        <f>IF(OR(J263="",G263=J263),"","*")</f>
        <v/>
      </c>
      <c r="L263" s="338">
        <f>IF($A263&lt;=L$1,I263/I$4,"")</f>
        <v>8.0996532175369666E-4</v>
      </c>
      <c r="M263" s="343"/>
      <c r="N263" s="344"/>
      <c r="O263" s="310">
        <v>0</v>
      </c>
      <c r="P263" s="311">
        <v>0</v>
      </c>
      <c r="Q263" s="311">
        <v>0</v>
      </c>
      <c r="R263" s="211">
        <v>0</v>
      </c>
      <c r="S263" s="212"/>
      <c r="T263" s="213" t="e">
        <v>#DIV/0!</v>
      </c>
      <c r="U263" s="214"/>
      <c r="V263" s="215"/>
      <c r="W263" s="310">
        <v>0</v>
      </c>
      <c r="X263" s="311">
        <v>0</v>
      </c>
      <c r="Y263" s="311">
        <v>0</v>
      </c>
      <c r="Z263" s="211">
        <v>0</v>
      </c>
      <c r="AA263" s="212"/>
      <c r="AB263" s="213" t="e">
        <v>#DIV/0!</v>
      </c>
      <c r="AC263" s="214"/>
      <c r="AD263" s="215"/>
      <c r="AE263" s="342" t="s">
        <v>365</v>
      </c>
      <c r="AF263" s="341" t="s">
        <v>504</v>
      </c>
    </row>
    <row r="264" spans="1:32">
      <c r="A264" s="307">
        <v>3</v>
      </c>
      <c r="B264" s="342"/>
      <c r="C264" s="342" t="s">
        <v>176</v>
      </c>
      <c r="D264" s="340" t="s">
        <v>505</v>
      </c>
      <c r="E264" s="342"/>
      <c r="F264" s="345" t="s">
        <v>503</v>
      </c>
      <c r="G264" s="308">
        <v>120</v>
      </c>
      <c r="H264" s="309">
        <v>165</v>
      </c>
      <c r="I264" s="309">
        <v>19800</v>
      </c>
      <c r="J264" s="211"/>
      <c r="K264" s="212" t="str">
        <f>IF(OR(J264="",G264=J264),"","*")</f>
        <v/>
      </c>
      <c r="L264" s="338">
        <f>IF($A264&lt;=L$1,I264/I$4,"")</f>
        <v>3.6867387059133782E-4</v>
      </c>
      <c r="M264" s="343"/>
      <c r="N264" s="344"/>
      <c r="O264" s="310">
        <v>0</v>
      </c>
      <c r="P264" s="311">
        <v>0</v>
      </c>
      <c r="Q264" s="311">
        <v>0</v>
      </c>
      <c r="R264" s="211">
        <v>0</v>
      </c>
      <c r="S264" s="212"/>
      <c r="T264" s="213" t="e">
        <v>#DIV/0!</v>
      </c>
      <c r="U264" s="214"/>
      <c r="V264" s="215"/>
      <c r="W264" s="310">
        <v>0</v>
      </c>
      <c r="X264" s="311">
        <v>0</v>
      </c>
      <c r="Y264" s="311">
        <v>0</v>
      </c>
      <c r="Z264" s="211">
        <v>0</v>
      </c>
      <c r="AA264" s="212"/>
      <c r="AB264" s="213" t="e">
        <v>#DIV/0!</v>
      </c>
      <c r="AC264" s="214"/>
      <c r="AD264" s="215"/>
      <c r="AE264" s="342" t="s">
        <v>506</v>
      </c>
      <c r="AF264" s="341" t="s">
        <v>632</v>
      </c>
    </row>
    <row r="265" spans="1:32">
      <c r="A265" s="307">
        <v>3</v>
      </c>
      <c r="B265" s="342"/>
      <c r="C265" s="342" t="s">
        <v>177</v>
      </c>
      <c r="D265" s="340" t="s">
        <v>367</v>
      </c>
      <c r="E265" s="342" t="s">
        <v>368</v>
      </c>
      <c r="F265" s="345" t="s">
        <v>369</v>
      </c>
      <c r="G265" s="308">
        <v>24</v>
      </c>
      <c r="H265" s="309">
        <v>23000</v>
      </c>
      <c r="I265" s="309">
        <v>552000</v>
      </c>
      <c r="J265" s="211"/>
      <c r="K265" s="212" t="str">
        <f>IF(OR(J265="",G265=J265),"","*")</f>
        <v/>
      </c>
      <c r="L265" s="338">
        <f>IF($A265&lt;=L$1,I265/I$4,"")</f>
        <v>1.0278180634667599E-2</v>
      </c>
      <c r="M265" s="343"/>
      <c r="N265" s="344"/>
      <c r="O265" s="310">
        <v>0</v>
      </c>
      <c r="P265" s="311">
        <v>0</v>
      </c>
      <c r="Q265" s="311">
        <v>0</v>
      </c>
      <c r="R265" s="211">
        <v>0</v>
      </c>
      <c r="S265" s="212"/>
      <c r="T265" s="213" t="e">
        <v>#DIV/0!</v>
      </c>
      <c r="U265" s="214"/>
      <c r="V265" s="215"/>
      <c r="W265" s="310">
        <v>0</v>
      </c>
      <c r="X265" s="311">
        <v>0</v>
      </c>
      <c r="Y265" s="311">
        <v>0</v>
      </c>
      <c r="Z265" s="211">
        <v>0</v>
      </c>
      <c r="AA265" s="212"/>
      <c r="AB265" s="213" t="e">
        <v>#DIV/0!</v>
      </c>
      <c r="AC265" s="214"/>
      <c r="AD265" s="215"/>
      <c r="AE265" s="342"/>
      <c r="AF265" s="341" t="s">
        <v>633</v>
      </c>
    </row>
    <row r="266" spans="1:32">
      <c r="A266" s="307">
        <v>3</v>
      </c>
      <c r="B266" s="342"/>
      <c r="C266" s="342" t="s">
        <v>179</v>
      </c>
      <c r="D266" s="340" t="s">
        <v>511</v>
      </c>
      <c r="E266" s="342" t="s">
        <v>381</v>
      </c>
      <c r="F266" s="345" t="s">
        <v>373</v>
      </c>
      <c r="G266" s="308">
        <v>2</v>
      </c>
      <c r="H266" s="309">
        <v>55000</v>
      </c>
      <c r="I266" s="309">
        <v>110000</v>
      </c>
      <c r="J266" s="211"/>
      <c r="K266" s="212" t="str">
        <f>IF(OR(J266="",G266=J266),"","*")</f>
        <v/>
      </c>
      <c r="L266" s="338">
        <f>IF($A266&lt;=L$1,I266/I$4,"")</f>
        <v>2.0481881699518766E-3</v>
      </c>
      <c r="M266" s="343"/>
      <c r="N266" s="344"/>
      <c r="O266" s="310">
        <v>0</v>
      </c>
      <c r="P266" s="311">
        <v>0</v>
      </c>
      <c r="Q266" s="311">
        <v>0</v>
      </c>
      <c r="R266" s="211">
        <v>0</v>
      </c>
      <c r="S266" s="212"/>
      <c r="T266" s="213" t="e">
        <v>#DIV/0!</v>
      </c>
      <c r="U266" s="214"/>
      <c r="V266" s="215"/>
      <c r="W266" s="310">
        <v>0</v>
      </c>
      <c r="X266" s="311">
        <v>0</v>
      </c>
      <c r="Y266" s="311">
        <v>0</v>
      </c>
      <c r="Z266" s="211">
        <v>0</v>
      </c>
      <c r="AA266" s="212"/>
      <c r="AB266" s="213" t="e">
        <v>#DIV/0!</v>
      </c>
      <c r="AC266" s="214"/>
      <c r="AD266" s="215"/>
      <c r="AE266" s="342" t="s">
        <v>512</v>
      </c>
      <c r="AF266" s="341" t="s">
        <v>439</v>
      </c>
    </row>
    <row r="267" spans="1:32">
      <c r="A267" s="307">
        <v>3</v>
      </c>
      <c r="B267" s="342"/>
      <c r="C267" s="342" t="s">
        <v>179</v>
      </c>
      <c r="D267" s="340" t="s">
        <v>513</v>
      </c>
      <c r="E267" s="342" t="s">
        <v>634</v>
      </c>
      <c r="F267" s="345" t="s">
        <v>373</v>
      </c>
      <c r="G267" s="308">
        <v>2</v>
      </c>
      <c r="H267" s="309">
        <v>60800</v>
      </c>
      <c r="I267" s="309">
        <v>121600</v>
      </c>
      <c r="J267" s="211"/>
      <c r="K267" s="212" t="str">
        <f>IF(OR(J267="",G267=J267),"","*")</f>
        <v/>
      </c>
      <c r="L267" s="338">
        <f>IF($A267&lt;=L$1,I267/I$4,"")</f>
        <v>2.2641789224195292E-3</v>
      </c>
      <c r="M267" s="343"/>
      <c r="N267" s="344"/>
      <c r="O267" s="310">
        <v>0</v>
      </c>
      <c r="P267" s="311">
        <v>0</v>
      </c>
      <c r="Q267" s="311">
        <v>0</v>
      </c>
      <c r="R267" s="211">
        <v>0</v>
      </c>
      <c r="S267" s="212"/>
      <c r="T267" s="213" t="e">
        <v>#DIV/0!</v>
      </c>
      <c r="U267" s="214"/>
      <c r="V267" s="215"/>
      <c r="W267" s="310">
        <v>0</v>
      </c>
      <c r="X267" s="311">
        <v>0</v>
      </c>
      <c r="Y267" s="311">
        <v>0</v>
      </c>
      <c r="Z267" s="211">
        <v>0</v>
      </c>
      <c r="AA267" s="212"/>
      <c r="AB267" s="213" t="e">
        <v>#DIV/0!</v>
      </c>
      <c r="AC267" s="214"/>
      <c r="AD267" s="215"/>
      <c r="AE267" s="342"/>
      <c r="AF267" s="341" t="s">
        <v>439</v>
      </c>
    </row>
    <row r="268" spans="1:32">
      <c r="A268" s="307">
        <v>3</v>
      </c>
      <c r="B268" s="342"/>
      <c r="C268" s="342" t="s">
        <v>179</v>
      </c>
      <c r="D268" s="340" t="s">
        <v>480</v>
      </c>
      <c r="E268" s="342" t="s">
        <v>481</v>
      </c>
      <c r="F268" s="345" t="s">
        <v>373</v>
      </c>
      <c r="G268" s="308">
        <v>3</v>
      </c>
      <c r="H268" s="309">
        <v>6800</v>
      </c>
      <c r="I268" s="309">
        <v>20400</v>
      </c>
      <c r="J268" s="211"/>
      <c r="K268" s="212" t="str">
        <f>IF(OR(J268="",G268=J268),"","*")</f>
        <v/>
      </c>
      <c r="L268" s="338">
        <f>IF($A268&lt;=L$1,I268/I$4,"")</f>
        <v>3.7984580606380258E-4</v>
      </c>
      <c r="M268" s="343"/>
      <c r="N268" s="344"/>
      <c r="O268" s="310">
        <v>0</v>
      </c>
      <c r="P268" s="311">
        <v>0</v>
      </c>
      <c r="Q268" s="311">
        <v>0</v>
      </c>
      <c r="R268" s="211">
        <v>0</v>
      </c>
      <c r="S268" s="212"/>
      <c r="T268" s="213" t="e">
        <v>#DIV/0!</v>
      </c>
      <c r="U268" s="214"/>
      <c r="V268" s="215"/>
      <c r="W268" s="310">
        <v>0</v>
      </c>
      <c r="X268" s="311">
        <v>0</v>
      </c>
      <c r="Y268" s="311">
        <v>0</v>
      </c>
      <c r="Z268" s="211">
        <v>0</v>
      </c>
      <c r="AA268" s="212"/>
      <c r="AB268" s="213" t="e">
        <v>#DIV/0!</v>
      </c>
      <c r="AC268" s="214"/>
      <c r="AD268" s="215"/>
      <c r="AE268" s="342"/>
      <c r="AF268" s="341" t="s">
        <v>452</v>
      </c>
    </row>
    <row r="269" spans="1:32">
      <c r="A269" s="307">
        <v>3</v>
      </c>
      <c r="B269" s="342"/>
      <c r="C269" s="342" t="s">
        <v>179</v>
      </c>
      <c r="D269" s="340" t="s">
        <v>635</v>
      </c>
      <c r="E269" s="342" t="s">
        <v>481</v>
      </c>
      <c r="F269" s="345" t="s">
        <v>373</v>
      </c>
      <c r="G269" s="308">
        <v>3</v>
      </c>
      <c r="H269" s="309">
        <v>6800</v>
      </c>
      <c r="I269" s="309">
        <v>20400</v>
      </c>
      <c r="J269" s="211"/>
      <c r="K269" s="212" t="str">
        <f>IF(OR(J269="",G269=J269),"","*")</f>
        <v/>
      </c>
      <c r="L269" s="338">
        <f>IF($A269&lt;=L$1,I269/I$4,"")</f>
        <v>3.7984580606380258E-4</v>
      </c>
      <c r="M269" s="343"/>
      <c r="N269" s="344"/>
      <c r="O269" s="310">
        <v>0</v>
      </c>
      <c r="P269" s="311">
        <v>0</v>
      </c>
      <c r="Q269" s="311">
        <v>0</v>
      </c>
      <c r="R269" s="211">
        <v>0</v>
      </c>
      <c r="S269" s="212"/>
      <c r="T269" s="213" t="e">
        <v>#DIV/0!</v>
      </c>
      <c r="U269" s="214"/>
      <c r="V269" s="215"/>
      <c r="W269" s="310">
        <v>0</v>
      </c>
      <c r="X269" s="311">
        <v>0</v>
      </c>
      <c r="Y269" s="311">
        <v>0</v>
      </c>
      <c r="Z269" s="211">
        <v>0</v>
      </c>
      <c r="AA269" s="212"/>
      <c r="AB269" s="213" t="e">
        <v>#DIV/0!</v>
      </c>
      <c r="AC269" s="214"/>
      <c r="AD269" s="215"/>
      <c r="AE269" s="342"/>
      <c r="AF269" s="341" t="s">
        <v>452</v>
      </c>
    </row>
    <row r="270" spans="1:32">
      <c r="A270" s="307">
        <v>3</v>
      </c>
      <c r="B270" s="342"/>
      <c r="C270" s="342" t="s">
        <v>179</v>
      </c>
      <c r="D270" s="340" t="s">
        <v>515</v>
      </c>
      <c r="E270" s="342" t="s">
        <v>516</v>
      </c>
      <c r="F270" s="345" t="s">
        <v>373</v>
      </c>
      <c r="G270" s="308">
        <v>3</v>
      </c>
      <c r="H270" s="309">
        <v>4600</v>
      </c>
      <c r="I270" s="309">
        <v>13800</v>
      </c>
      <c r="J270" s="211"/>
      <c r="K270" s="212" t="str">
        <f>IF(OR(J270="",G270=J270),"","*")</f>
        <v/>
      </c>
      <c r="L270" s="338">
        <f>IF($A270&lt;=L$1,I270/I$4,"")</f>
        <v>2.5695451586668996E-4</v>
      </c>
      <c r="M270" s="343"/>
      <c r="N270" s="344"/>
      <c r="O270" s="310">
        <v>0</v>
      </c>
      <c r="P270" s="311">
        <v>0</v>
      </c>
      <c r="Q270" s="311">
        <v>0</v>
      </c>
      <c r="R270" s="211">
        <v>0</v>
      </c>
      <c r="S270" s="212"/>
      <c r="T270" s="213" t="e">
        <v>#DIV/0!</v>
      </c>
      <c r="U270" s="214"/>
      <c r="V270" s="215"/>
      <c r="W270" s="310">
        <v>0</v>
      </c>
      <c r="X270" s="311">
        <v>0</v>
      </c>
      <c r="Y270" s="311">
        <v>0</v>
      </c>
      <c r="Z270" s="211">
        <v>0</v>
      </c>
      <c r="AA270" s="212"/>
      <c r="AB270" s="213" t="e">
        <v>#DIV/0!</v>
      </c>
      <c r="AC270" s="214"/>
      <c r="AD270" s="215"/>
      <c r="AE270" s="342"/>
      <c r="AF270" s="341" t="s">
        <v>452</v>
      </c>
    </row>
    <row r="271" spans="1:32">
      <c r="A271" s="307">
        <v>3</v>
      </c>
      <c r="B271" s="342"/>
      <c r="C271" s="342" t="s">
        <v>179</v>
      </c>
      <c r="D271" s="340" t="s">
        <v>517</v>
      </c>
      <c r="E271" s="342" t="s">
        <v>372</v>
      </c>
      <c r="F271" s="345" t="s">
        <v>373</v>
      </c>
      <c r="G271" s="308">
        <v>2</v>
      </c>
      <c r="H271" s="309">
        <v>6600</v>
      </c>
      <c r="I271" s="309">
        <v>13200</v>
      </c>
      <c r="J271" s="211"/>
      <c r="K271" s="212" t="str">
        <f>IF(OR(J271="",G271=J271),"","*")</f>
        <v/>
      </c>
      <c r="L271" s="338">
        <f>IF($A271&lt;=L$1,I271/I$4,"")</f>
        <v>2.4578258039422519E-4</v>
      </c>
      <c r="M271" s="343"/>
      <c r="N271" s="344"/>
      <c r="O271" s="310">
        <v>0</v>
      </c>
      <c r="P271" s="311">
        <v>0</v>
      </c>
      <c r="Q271" s="311">
        <v>0</v>
      </c>
      <c r="R271" s="211">
        <v>0</v>
      </c>
      <c r="S271" s="212"/>
      <c r="T271" s="213" t="e">
        <v>#DIV/0!</v>
      </c>
      <c r="U271" s="214"/>
      <c r="V271" s="215"/>
      <c r="W271" s="310">
        <v>0</v>
      </c>
      <c r="X271" s="311">
        <v>0</v>
      </c>
      <c r="Y271" s="311">
        <v>0</v>
      </c>
      <c r="Z271" s="211">
        <v>0</v>
      </c>
      <c r="AA271" s="212"/>
      <c r="AB271" s="213" t="e">
        <v>#DIV/0!</v>
      </c>
      <c r="AC271" s="214"/>
      <c r="AD271" s="215"/>
      <c r="AE271" s="342"/>
      <c r="AF271" s="341" t="s">
        <v>439</v>
      </c>
    </row>
    <row r="272" spans="1:32">
      <c r="A272" s="307">
        <v>3</v>
      </c>
      <c r="B272" s="342"/>
      <c r="C272" s="342" t="s">
        <v>179</v>
      </c>
      <c r="D272" s="340" t="s">
        <v>397</v>
      </c>
      <c r="E272" s="342"/>
      <c r="F272" s="345" t="s">
        <v>373</v>
      </c>
      <c r="G272" s="308">
        <v>3</v>
      </c>
      <c r="H272" s="309">
        <v>700</v>
      </c>
      <c r="I272" s="309">
        <v>2100</v>
      </c>
      <c r="J272" s="211"/>
      <c r="K272" s="212" t="str">
        <f>IF(OR(J272="",G272=J272),"","*")</f>
        <v/>
      </c>
      <c r="L272" s="338">
        <f>IF($A272&lt;=L$1,I272/I$4,"")</f>
        <v>3.9101774153626739E-5</v>
      </c>
      <c r="M272" s="343"/>
      <c r="N272" s="344"/>
      <c r="O272" s="310">
        <v>0</v>
      </c>
      <c r="P272" s="311">
        <v>0</v>
      </c>
      <c r="Q272" s="311">
        <v>0</v>
      </c>
      <c r="R272" s="211">
        <v>0</v>
      </c>
      <c r="S272" s="212"/>
      <c r="T272" s="213" t="e">
        <v>#DIV/0!</v>
      </c>
      <c r="U272" s="214"/>
      <c r="V272" s="215"/>
      <c r="W272" s="310">
        <v>0</v>
      </c>
      <c r="X272" s="311">
        <v>0</v>
      </c>
      <c r="Y272" s="311">
        <v>0</v>
      </c>
      <c r="Z272" s="211">
        <v>0</v>
      </c>
      <c r="AA272" s="212"/>
      <c r="AB272" s="213" t="e">
        <v>#DIV/0!</v>
      </c>
      <c r="AC272" s="214"/>
      <c r="AD272" s="215"/>
      <c r="AE272" s="342"/>
      <c r="AF272" s="341" t="s">
        <v>452</v>
      </c>
    </row>
    <row r="273" spans="1:32">
      <c r="A273" s="307">
        <v>3</v>
      </c>
      <c r="B273" s="342"/>
      <c r="C273" s="342" t="s">
        <v>179</v>
      </c>
      <c r="D273" s="340" t="s">
        <v>518</v>
      </c>
      <c r="E273" s="342" t="s">
        <v>516</v>
      </c>
      <c r="F273" s="345" t="s">
        <v>373</v>
      </c>
      <c r="G273" s="308">
        <v>2</v>
      </c>
      <c r="H273" s="309">
        <v>12800</v>
      </c>
      <c r="I273" s="309">
        <v>25600</v>
      </c>
      <c r="J273" s="211"/>
      <c r="K273" s="212" t="str">
        <f>IF(OR(J273="",G273=J273),"","*")</f>
        <v/>
      </c>
      <c r="L273" s="338">
        <f>IF($A273&lt;=L$1,I273/I$4,"")</f>
        <v>4.7666924682516403E-4</v>
      </c>
      <c r="M273" s="343"/>
      <c r="N273" s="344"/>
      <c r="O273" s="310">
        <v>0</v>
      </c>
      <c r="P273" s="311">
        <v>0</v>
      </c>
      <c r="Q273" s="311">
        <v>0</v>
      </c>
      <c r="R273" s="211">
        <v>0</v>
      </c>
      <c r="S273" s="212"/>
      <c r="T273" s="213" t="e">
        <v>#DIV/0!</v>
      </c>
      <c r="U273" s="214"/>
      <c r="V273" s="215"/>
      <c r="W273" s="310">
        <v>0</v>
      </c>
      <c r="X273" s="311">
        <v>0</v>
      </c>
      <c r="Y273" s="311">
        <v>0</v>
      </c>
      <c r="Z273" s="211">
        <v>0</v>
      </c>
      <c r="AA273" s="212"/>
      <c r="AB273" s="213" t="e">
        <v>#DIV/0!</v>
      </c>
      <c r="AC273" s="214"/>
      <c r="AD273" s="215"/>
      <c r="AE273" s="342"/>
      <c r="AF273" s="341" t="s">
        <v>439</v>
      </c>
    </row>
    <row r="274" spans="1:32">
      <c r="A274" s="307">
        <v>3</v>
      </c>
      <c r="B274" s="342"/>
      <c r="C274" s="342" t="s">
        <v>180</v>
      </c>
      <c r="D274" s="340" t="s">
        <v>482</v>
      </c>
      <c r="E274" s="342"/>
      <c r="F274" s="345" t="s">
        <v>373</v>
      </c>
      <c r="G274" s="308">
        <v>3</v>
      </c>
      <c r="H274" s="309">
        <v>9800</v>
      </c>
      <c r="I274" s="309">
        <v>29400</v>
      </c>
      <c r="J274" s="211"/>
      <c r="K274" s="212" t="str">
        <f>IF(OR(J274="",G274=J274),"","*")</f>
        <v/>
      </c>
      <c r="L274" s="338">
        <f>IF($A274&lt;=L$1,I274/I$4,"")</f>
        <v>5.4742483815077428E-4</v>
      </c>
      <c r="M274" s="343"/>
      <c r="N274" s="344"/>
      <c r="O274" s="310">
        <v>0</v>
      </c>
      <c r="P274" s="311">
        <v>0</v>
      </c>
      <c r="Q274" s="311">
        <v>0</v>
      </c>
      <c r="R274" s="211">
        <v>0</v>
      </c>
      <c r="S274" s="212"/>
      <c r="T274" s="213" t="e">
        <v>#DIV/0!</v>
      </c>
      <c r="U274" s="214"/>
      <c r="V274" s="215"/>
      <c r="W274" s="310">
        <v>0</v>
      </c>
      <c r="X274" s="311">
        <v>0</v>
      </c>
      <c r="Y274" s="311">
        <v>0</v>
      </c>
      <c r="Z274" s="211">
        <v>0</v>
      </c>
      <c r="AA274" s="212"/>
      <c r="AB274" s="213" t="e">
        <v>#DIV/0!</v>
      </c>
      <c r="AC274" s="214"/>
      <c r="AD274" s="215"/>
      <c r="AE274" s="342"/>
      <c r="AF274" s="341" t="s">
        <v>452</v>
      </c>
    </row>
    <row r="275" spans="1:32">
      <c r="A275" s="307">
        <v>3</v>
      </c>
      <c r="B275" s="342"/>
      <c r="C275" s="342" t="s">
        <v>180</v>
      </c>
      <c r="D275" s="340" t="s">
        <v>383</v>
      </c>
      <c r="E275" s="342" t="s">
        <v>384</v>
      </c>
      <c r="F275" s="345" t="s">
        <v>373</v>
      </c>
      <c r="G275" s="308">
        <v>12</v>
      </c>
      <c r="H275" s="309">
        <v>4000</v>
      </c>
      <c r="I275" s="309">
        <v>48000</v>
      </c>
      <c r="J275" s="211"/>
      <c r="K275" s="212" t="str">
        <f>IF(OR(J275="",G275=J275),"","*")</f>
        <v/>
      </c>
      <c r="L275" s="338">
        <f>IF($A275&lt;=L$1,I275/I$4,"")</f>
        <v>8.9375483779718251E-4</v>
      </c>
      <c r="M275" s="343"/>
      <c r="N275" s="344"/>
      <c r="O275" s="310">
        <v>0</v>
      </c>
      <c r="P275" s="311">
        <v>0</v>
      </c>
      <c r="Q275" s="311">
        <v>0</v>
      </c>
      <c r="R275" s="211">
        <v>0</v>
      </c>
      <c r="S275" s="212"/>
      <c r="T275" s="213" t="e">
        <v>#DIV/0!</v>
      </c>
      <c r="U275" s="214"/>
      <c r="V275" s="215"/>
      <c r="W275" s="310">
        <v>0</v>
      </c>
      <c r="X275" s="311">
        <v>0</v>
      </c>
      <c r="Y275" s="311">
        <v>0</v>
      </c>
      <c r="Z275" s="211">
        <v>0</v>
      </c>
      <c r="AA275" s="212"/>
      <c r="AB275" s="213" t="e">
        <v>#DIV/0!</v>
      </c>
      <c r="AC275" s="214"/>
      <c r="AD275" s="215"/>
      <c r="AE275" s="342" t="s">
        <v>636</v>
      </c>
      <c r="AF275" s="341" t="s">
        <v>637</v>
      </c>
    </row>
    <row r="276" spans="1:32">
      <c r="A276" s="307">
        <v>2</v>
      </c>
      <c r="B276" s="342"/>
      <c r="C276" s="342" t="s">
        <v>355</v>
      </c>
      <c r="D276" s="340" t="s">
        <v>638</v>
      </c>
      <c r="E276" s="342" t="s">
        <v>333</v>
      </c>
      <c r="F276" s="345" t="s">
        <v>171</v>
      </c>
      <c r="G276" s="308">
        <v>87.75</v>
      </c>
      <c r="H276" s="309">
        <v>12607</v>
      </c>
      <c r="I276" s="309">
        <v>1106264</v>
      </c>
      <c r="J276" s="211">
        <v>87.75</v>
      </c>
      <c r="K276" s="212" t="str">
        <f>IF(OR(J276="",G276=J276),"","*")</f>
        <v/>
      </c>
      <c r="L276" s="338">
        <f>IF($A276&lt;=L$1,I276/I$4,"")</f>
        <v>2.0598516705851298E-2</v>
      </c>
      <c r="M276" s="343"/>
      <c r="N276" s="344" t="s">
        <v>639</v>
      </c>
      <c r="O276" s="310">
        <v>0</v>
      </c>
      <c r="P276" s="311">
        <v>0</v>
      </c>
      <c r="Q276" s="311">
        <v>0</v>
      </c>
      <c r="R276" s="211">
        <v>0</v>
      </c>
      <c r="S276" s="212"/>
      <c r="T276" s="213" t="e">
        <v>#DIV/0!</v>
      </c>
      <c r="U276" s="214"/>
      <c r="V276" s="215"/>
      <c r="W276" s="310">
        <v>0</v>
      </c>
      <c r="X276" s="311">
        <v>0</v>
      </c>
      <c r="Y276" s="311">
        <v>0</v>
      </c>
      <c r="Z276" s="211">
        <v>0</v>
      </c>
      <c r="AA276" s="212"/>
      <c r="AB276" s="213" t="e">
        <v>#DIV/0!</v>
      </c>
      <c r="AC276" s="214"/>
      <c r="AD276" s="215"/>
      <c r="AE276" s="342"/>
      <c r="AF276" s="341"/>
    </row>
    <row r="277" spans="1:32">
      <c r="A277" s="307">
        <v>3</v>
      </c>
      <c r="B277" s="342"/>
      <c r="C277" s="342" t="s">
        <v>180</v>
      </c>
      <c r="D277" s="340" t="s">
        <v>383</v>
      </c>
      <c r="E277" s="342" t="s">
        <v>384</v>
      </c>
      <c r="F277" s="345" t="s">
        <v>373</v>
      </c>
      <c r="G277" s="308">
        <v>4</v>
      </c>
      <c r="H277" s="309">
        <v>4000</v>
      </c>
      <c r="I277" s="309">
        <v>16000</v>
      </c>
      <c r="J277" s="211"/>
      <c r="K277" s="212" t="str">
        <f>IF(OR(J277="",G277=J277),"","*")</f>
        <v/>
      </c>
      <c r="L277" s="338">
        <f>IF($A277&lt;=L$1,I277/I$4,"")</f>
        <v>2.979182792657275E-4</v>
      </c>
      <c r="M277" s="343"/>
      <c r="N277" s="344"/>
      <c r="O277" s="310">
        <v>0</v>
      </c>
      <c r="P277" s="311">
        <v>0</v>
      </c>
      <c r="Q277" s="311">
        <v>0</v>
      </c>
      <c r="R277" s="211">
        <v>0</v>
      </c>
      <c r="S277" s="212"/>
      <c r="T277" s="213" t="e">
        <v>#DIV/0!</v>
      </c>
      <c r="U277" s="214"/>
      <c r="V277" s="215"/>
      <c r="W277" s="310">
        <v>0</v>
      </c>
      <c r="X277" s="311">
        <v>0</v>
      </c>
      <c r="Y277" s="311">
        <v>0</v>
      </c>
      <c r="Z277" s="211">
        <v>0</v>
      </c>
      <c r="AA277" s="212"/>
      <c r="AB277" s="213" t="e">
        <v>#DIV/0!</v>
      </c>
      <c r="AC277" s="214"/>
      <c r="AD277" s="215"/>
      <c r="AE277" s="342" t="s">
        <v>636</v>
      </c>
      <c r="AF277" s="341" t="s">
        <v>440</v>
      </c>
    </row>
    <row r="278" spans="1:32">
      <c r="A278" s="307">
        <v>3</v>
      </c>
      <c r="B278" s="342"/>
      <c r="C278" s="342" t="s">
        <v>176</v>
      </c>
      <c r="D278" s="340" t="s">
        <v>640</v>
      </c>
      <c r="E278" s="342"/>
      <c r="F278" s="345" t="s">
        <v>172</v>
      </c>
      <c r="G278" s="308">
        <v>48</v>
      </c>
      <c r="H278" s="309">
        <v>4500</v>
      </c>
      <c r="I278" s="309">
        <v>216000</v>
      </c>
      <c r="J278" s="211"/>
      <c r="K278" s="212" t="str">
        <f>IF(OR(J278="",G278=J278),"","*")</f>
        <v/>
      </c>
      <c r="L278" s="338">
        <f>IF($A278&lt;=L$1,I278/I$4,"")</f>
        <v>4.0218967700873217E-3</v>
      </c>
      <c r="M278" s="343"/>
      <c r="N278" s="344"/>
      <c r="O278" s="310">
        <v>0</v>
      </c>
      <c r="P278" s="311">
        <v>0</v>
      </c>
      <c r="Q278" s="311">
        <v>0</v>
      </c>
      <c r="R278" s="211">
        <v>0</v>
      </c>
      <c r="S278" s="212"/>
      <c r="T278" s="213" t="e">
        <v>#DIV/0!</v>
      </c>
      <c r="U278" s="214"/>
      <c r="V278" s="215"/>
      <c r="W278" s="310">
        <v>0</v>
      </c>
      <c r="X278" s="311">
        <v>0</v>
      </c>
      <c r="Y278" s="311">
        <v>0</v>
      </c>
      <c r="Z278" s="211">
        <v>0</v>
      </c>
      <c r="AA278" s="212"/>
      <c r="AB278" s="213" t="e">
        <v>#DIV/0!</v>
      </c>
      <c r="AC278" s="214"/>
      <c r="AD278" s="215"/>
      <c r="AE278" s="342"/>
      <c r="AF278" s="341" t="s">
        <v>641</v>
      </c>
    </row>
    <row r="279" spans="1:32">
      <c r="A279" s="307">
        <v>3</v>
      </c>
      <c r="B279" s="342"/>
      <c r="C279" s="342" t="s">
        <v>179</v>
      </c>
      <c r="D279" s="340" t="s">
        <v>371</v>
      </c>
      <c r="E279" s="342" t="s">
        <v>621</v>
      </c>
      <c r="F279" s="345" t="s">
        <v>373</v>
      </c>
      <c r="G279" s="308">
        <v>2</v>
      </c>
      <c r="H279" s="309">
        <v>8700</v>
      </c>
      <c r="I279" s="309">
        <v>17400</v>
      </c>
      <c r="J279" s="211"/>
      <c r="K279" s="212" t="str">
        <f>IF(OR(J279="",G279=J279),"","*")</f>
        <v/>
      </c>
      <c r="L279" s="338">
        <f>IF($A279&lt;=L$1,I279/I$4,"")</f>
        <v>3.2398612870147868E-4</v>
      </c>
      <c r="M279" s="343"/>
      <c r="N279" s="344"/>
      <c r="O279" s="310">
        <v>0</v>
      </c>
      <c r="P279" s="311">
        <v>0</v>
      </c>
      <c r="Q279" s="311">
        <v>0</v>
      </c>
      <c r="R279" s="211">
        <v>0</v>
      </c>
      <c r="S279" s="212"/>
      <c r="T279" s="213" t="e">
        <v>#DIV/0!</v>
      </c>
      <c r="U279" s="214"/>
      <c r="V279" s="215"/>
      <c r="W279" s="310">
        <v>0</v>
      </c>
      <c r="X279" s="311">
        <v>0</v>
      </c>
      <c r="Y279" s="311">
        <v>0</v>
      </c>
      <c r="Z279" s="211">
        <v>0</v>
      </c>
      <c r="AA279" s="212"/>
      <c r="AB279" s="213" t="e">
        <v>#DIV/0!</v>
      </c>
      <c r="AC279" s="214"/>
      <c r="AD279" s="215"/>
      <c r="AE279" s="342"/>
      <c r="AF279" s="341" t="s">
        <v>439</v>
      </c>
    </row>
    <row r="280" spans="1:32">
      <c r="A280" s="307">
        <v>3</v>
      </c>
      <c r="B280" s="342"/>
      <c r="C280" s="342" t="s">
        <v>180</v>
      </c>
      <c r="D280" s="340" t="s">
        <v>482</v>
      </c>
      <c r="E280" s="342"/>
      <c r="F280" s="345" t="s">
        <v>373</v>
      </c>
      <c r="G280" s="308">
        <v>2</v>
      </c>
      <c r="H280" s="309">
        <v>9800</v>
      </c>
      <c r="I280" s="309">
        <v>19600</v>
      </c>
      <c r="J280" s="211"/>
      <c r="K280" s="212" t="str">
        <f>IF(OR(J280="",G280=J280),"","*")</f>
        <v/>
      </c>
      <c r="L280" s="338">
        <f>IF($A280&lt;=L$1,I280/I$4,"")</f>
        <v>3.6494989210051623E-4</v>
      </c>
      <c r="M280" s="343"/>
      <c r="N280" s="344"/>
      <c r="O280" s="310">
        <v>0</v>
      </c>
      <c r="P280" s="311">
        <v>0</v>
      </c>
      <c r="Q280" s="311">
        <v>0</v>
      </c>
      <c r="R280" s="211">
        <v>0</v>
      </c>
      <c r="S280" s="212"/>
      <c r="T280" s="213" t="e">
        <v>#DIV/0!</v>
      </c>
      <c r="U280" s="214"/>
      <c r="V280" s="215"/>
      <c r="W280" s="310">
        <v>0</v>
      </c>
      <c r="X280" s="311">
        <v>0</v>
      </c>
      <c r="Y280" s="311">
        <v>0</v>
      </c>
      <c r="Z280" s="211">
        <v>0</v>
      </c>
      <c r="AA280" s="212"/>
      <c r="AB280" s="213" t="e">
        <v>#DIV/0!</v>
      </c>
      <c r="AC280" s="214"/>
      <c r="AD280" s="215"/>
      <c r="AE280" s="342"/>
      <c r="AF280" s="341" t="s">
        <v>439</v>
      </c>
    </row>
    <row r="281" spans="1:32">
      <c r="A281" s="307">
        <v>3</v>
      </c>
      <c r="B281" s="342"/>
      <c r="C281" s="342" t="s">
        <v>179</v>
      </c>
      <c r="D281" s="340" t="s">
        <v>371</v>
      </c>
      <c r="E281" s="342" t="s">
        <v>372</v>
      </c>
      <c r="F281" s="345" t="s">
        <v>373</v>
      </c>
      <c r="G281" s="308">
        <v>2</v>
      </c>
      <c r="H281" s="309">
        <v>10800</v>
      </c>
      <c r="I281" s="309">
        <v>21600</v>
      </c>
      <c r="J281" s="211"/>
      <c r="K281" s="212" t="str">
        <f>IF(OR(J281="",G281=J281),"","*")</f>
        <v/>
      </c>
      <c r="L281" s="338">
        <f>IF($A281&lt;=L$1,I281/I$4,"")</f>
        <v>4.0218967700873218E-4</v>
      </c>
      <c r="M281" s="343"/>
      <c r="N281" s="344"/>
      <c r="O281" s="310">
        <v>0</v>
      </c>
      <c r="P281" s="311">
        <v>0</v>
      </c>
      <c r="Q281" s="311">
        <v>0</v>
      </c>
      <c r="R281" s="211">
        <v>0</v>
      </c>
      <c r="S281" s="212"/>
      <c r="T281" s="213" t="e">
        <v>#DIV/0!</v>
      </c>
      <c r="U281" s="214"/>
      <c r="V281" s="215"/>
      <c r="W281" s="310">
        <v>0</v>
      </c>
      <c r="X281" s="311">
        <v>0</v>
      </c>
      <c r="Y281" s="311">
        <v>0</v>
      </c>
      <c r="Z281" s="211">
        <v>0</v>
      </c>
      <c r="AA281" s="212"/>
      <c r="AB281" s="213" t="e">
        <v>#DIV/0!</v>
      </c>
      <c r="AC281" s="214"/>
      <c r="AD281" s="215"/>
      <c r="AE281" s="342"/>
      <c r="AF281" s="341" t="s">
        <v>439</v>
      </c>
    </row>
    <row r="282" spans="1:32">
      <c r="A282" s="307">
        <v>3</v>
      </c>
      <c r="B282" s="342"/>
      <c r="C282" s="342" t="s">
        <v>179</v>
      </c>
      <c r="D282" s="340" t="s">
        <v>395</v>
      </c>
      <c r="E282" s="342"/>
      <c r="F282" s="345" t="s">
        <v>373</v>
      </c>
      <c r="G282" s="308">
        <v>2</v>
      </c>
      <c r="H282" s="309">
        <v>1500</v>
      </c>
      <c r="I282" s="309">
        <v>3000</v>
      </c>
      <c r="J282" s="211"/>
      <c r="K282" s="212" t="str">
        <f>IF(OR(J282="",G282=J282),"","*")</f>
        <v/>
      </c>
      <c r="L282" s="338">
        <f>IF($A282&lt;=L$1,I282/I$4,"")</f>
        <v>5.5859677362323907E-5</v>
      </c>
      <c r="M282" s="343"/>
      <c r="N282" s="344"/>
      <c r="O282" s="310">
        <v>0</v>
      </c>
      <c r="P282" s="311">
        <v>0</v>
      </c>
      <c r="Q282" s="311">
        <v>0</v>
      </c>
      <c r="R282" s="211">
        <v>0</v>
      </c>
      <c r="S282" s="212"/>
      <c r="T282" s="213" t="e">
        <v>#DIV/0!</v>
      </c>
      <c r="U282" s="214"/>
      <c r="V282" s="215"/>
      <c r="W282" s="310">
        <v>0</v>
      </c>
      <c r="X282" s="311">
        <v>0</v>
      </c>
      <c r="Y282" s="311">
        <v>0</v>
      </c>
      <c r="Z282" s="211">
        <v>0</v>
      </c>
      <c r="AA282" s="212"/>
      <c r="AB282" s="213" t="e">
        <v>#DIV/0!</v>
      </c>
      <c r="AC282" s="214"/>
      <c r="AD282" s="215"/>
      <c r="AE282" s="342"/>
      <c r="AF282" s="341" t="s">
        <v>439</v>
      </c>
    </row>
    <row r="283" spans="1:32">
      <c r="A283" s="307">
        <v>3</v>
      </c>
      <c r="B283" s="342"/>
      <c r="C283" s="342" t="s">
        <v>179</v>
      </c>
      <c r="D283" s="340" t="s">
        <v>397</v>
      </c>
      <c r="E283" s="342"/>
      <c r="F283" s="345" t="s">
        <v>373</v>
      </c>
      <c r="G283" s="308">
        <v>2</v>
      </c>
      <c r="H283" s="309">
        <v>700</v>
      </c>
      <c r="I283" s="309">
        <v>1400</v>
      </c>
      <c r="J283" s="211"/>
      <c r="K283" s="212" t="str">
        <f>IF(OR(J283="",G283=J283),"","*")</f>
        <v/>
      </c>
      <c r="L283" s="338">
        <f>IF($A283&lt;=L$1,I283/I$4,"")</f>
        <v>2.6067849435751159E-5</v>
      </c>
      <c r="M283" s="343"/>
      <c r="N283" s="344"/>
      <c r="O283" s="310">
        <v>0</v>
      </c>
      <c r="P283" s="311">
        <v>0</v>
      </c>
      <c r="Q283" s="311">
        <v>0</v>
      </c>
      <c r="R283" s="211">
        <v>0</v>
      </c>
      <c r="S283" s="212"/>
      <c r="T283" s="213" t="e">
        <v>#DIV/0!</v>
      </c>
      <c r="U283" s="214"/>
      <c r="V283" s="215"/>
      <c r="W283" s="310">
        <v>0</v>
      </c>
      <c r="X283" s="311">
        <v>0</v>
      </c>
      <c r="Y283" s="311">
        <v>0</v>
      </c>
      <c r="Z283" s="211">
        <v>0</v>
      </c>
      <c r="AA283" s="212"/>
      <c r="AB283" s="213" t="e">
        <v>#DIV/0!</v>
      </c>
      <c r="AC283" s="214"/>
      <c r="AD283" s="215"/>
      <c r="AE283" s="342"/>
      <c r="AF283" s="341" t="s">
        <v>439</v>
      </c>
    </row>
    <row r="284" spans="1:32">
      <c r="A284" s="307">
        <v>3</v>
      </c>
      <c r="B284" s="342"/>
      <c r="C284" s="342" t="s">
        <v>177</v>
      </c>
      <c r="D284" s="340" t="s">
        <v>367</v>
      </c>
      <c r="E284" s="342" t="s">
        <v>368</v>
      </c>
      <c r="F284" s="345" t="s">
        <v>369</v>
      </c>
      <c r="G284" s="308">
        <v>8</v>
      </c>
      <c r="H284" s="309">
        <v>23000</v>
      </c>
      <c r="I284" s="309">
        <v>184000</v>
      </c>
      <c r="J284" s="211"/>
      <c r="K284" s="212" t="str">
        <f>IF(OR(J284="",G284=J284),"","*")</f>
        <v/>
      </c>
      <c r="L284" s="338">
        <f>IF($A284&lt;=L$1,I284/I$4,"")</f>
        <v>3.4260602115558664E-3</v>
      </c>
      <c r="M284" s="343"/>
      <c r="N284" s="344"/>
      <c r="O284" s="310">
        <v>0</v>
      </c>
      <c r="P284" s="311">
        <v>0</v>
      </c>
      <c r="Q284" s="311">
        <v>0</v>
      </c>
      <c r="R284" s="211">
        <v>0</v>
      </c>
      <c r="S284" s="212"/>
      <c r="T284" s="213" t="e">
        <v>#DIV/0!</v>
      </c>
      <c r="U284" s="214"/>
      <c r="V284" s="215"/>
      <c r="W284" s="310">
        <v>0</v>
      </c>
      <c r="X284" s="311">
        <v>0</v>
      </c>
      <c r="Y284" s="311">
        <v>0</v>
      </c>
      <c r="Z284" s="211">
        <v>0</v>
      </c>
      <c r="AA284" s="212"/>
      <c r="AB284" s="213" t="e">
        <v>#DIV/0!</v>
      </c>
      <c r="AC284" s="214"/>
      <c r="AD284" s="215"/>
      <c r="AE284" s="342"/>
      <c r="AF284" s="341" t="s">
        <v>575</v>
      </c>
    </row>
    <row r="285" spans="1:32">
      <c r="A285" s="307">
        <v>3</v>
      </c>
      <c r="B285" s="342"/>
      <c r="C285" s="342" t="s">
        <v>176</v>
      </c>
      <c r="D285" s="340" t="s">
        <v>505</v>
      </c>
      <c r="E285" s="342"/>
      <c r="F285" s="345" t="s">
        <v>503</v>
      </c>
      <c r="G285" s="308">
        <v>20</v>
      </c>
      <c r="H285" s="309">
        <v>165</v>
      </c>
      <c r="I285" s="309">
        <v>3300</v>
      </c>
      <c r="J285" s="211"/>
      <c r="K285" s="212" t="str">
        <f>IF(OR(J285="",G285=J285),"","*")</f>
        <v/>
      </c>
      <c r="L285" s="338">
        <f>IF($A285&lt;=L$1,I285/I$4,"")</f>
        <v>6.1445645098556298E-5</v>
      </c>
      <c r="M285" s="343"/>
      <c r="N285" s="344"/>
      <c r="O285" s="310">
        <v>0</v>
      </c>
      <c r="P285" s="311">
        <v>0</v>
      </c>
      <c r="Q285" s="311">
        <v>0</v>
      </c>
      <c r="R285" s="211">
        <v>0</v>
      </c>
      <c r="S285" s="212"/>
      <c r="T285" s="213" t="e">
        <v>#DIV/0!</v>
      </c>
      <c r="U285" s="214"/>
      <c r="V285" s="215"/>
      <c r="W285" s="310">
        <v>0</v>
      </c>
      <c r="X285" s="311">
        <v>0</v>
      </c>
      <c r="Y285" s="311">
        <v>0</v>
      </c>
      <c r="Z285" s="211">
        <v>0</v>
      </c>
      <c r="AA285" s="212"/>
      <c r="AB285" s="213" t="e">
        <v>#DIV/0!</v>
      </c>
      <c r="AC285" s="214"/>
      <c r="AD285" s="215"/>
      <c r="AE285" s="342" t="s">
        <v>506</v>
      </c>
      <c r="AF285" s="341" t="s">
        <v>527</v>
      </c>
    </row>
    <row r="286" spans="1:32">
      <c r="A286" s="307">
        <v>3</v>
      </c>
      <c r="B286" s="342"/>
      <c r="C286" s="342"/>
      <c r="D286" s="340" t="s">
        <v>642</v>
      </c>
      <c r="E286" s="342"/>
      <c r="F286" s="345" t="s">
        <v>173</v>
      </c>
      <c r="G286" s="308">
        <v>39</v>
      </c>
      <c r="H286" s="309">
        <v>16000</v>
      </c>
      <c r="I286" s="309">
        <v>624000</v>
      </c>
      <c r="J286" s="211"/>
      <c r="K286" s="212" t="str">
        <f>IF(OR(J286="",G286=J286),"","*")</f>
        <v/>
      </c>
      <c r="L286" s="338">
        <f>IF($A286&lt;=L$1,I286/I$4,"")</f>
        <v>1.1618812891363373E-2</v>
      </c>
      <c r="M286" s="343"/>
      <c r="N286" s="344"/>
      <c r="O286" s="310">
        <v>0</v>
      </c>
      <c r="P286" s="311">
        <v>0</v>
      </c>
      <c r="Q286" s="311">
        <v>0</v>
      </c>
      <c r="R286" s="211">
        <v>0</v>
      </c>
      <c r="S286" s="212"/>
      <c r="T286" s="213" t="e">
        <v>#DIV/0!</v>
      </c>
      <c r="U286" s="214"/>
      <c r="V286" s="215"/>
      <c r="W286" s="310">
        <v>0</v>
      </c>
      <c r="X286" s="311">
        <v>0</v>
      </c>
      <c r="Y286" s="311">
        <v>0</v>
      </c>
      <c r="Z286" s="211">
        <v>0</v>
      </c>
      <c r="AA286" s="212"/>
      <c r="AB286" s="213" t="e">
        <v>#DIV/0!</v>
      </c>
      <c r="AC286" s="214"/>
      <c r="AD286" s="215"/>
      <c r="AE286" s="342"/>
      <c r="AF286" s="341" t="s">
        <v>643</v>
      </c>
    </row>
    <row r="287" spans="1:32">
      <c r="A287" s="307">
        <v>2</v>
      </c>
      <c r="B287" s="342"/>
      <c r="C287" s="342" t="s">
        <v>355</v>
      </c>
      <c r="D287" s="340" t="s">
        <v>644</v>
      </c>
      <c r="E287" s="342"/>
      <c r="F287" s="345" t="s">
        <v>235</v>
      </c>
      <c r="G287" s="308">
        <v>46.8</v>
      </c>
      <c r="H287" s="309">
        <v>10815</v>
      </c>
      <c r="I287" s="309">
        <v>506142</v>
      </c>
      <c r="J287" s="211">
        <v>46.8</v>
      </c>
      <c r="K287" s="212" t="str">
        <f>IF(OR(J287="",G287=J287),"","*")</f>
        <v/>
      </c>
      <c r="L287" s="338">
        <f>IF($A287&lt;=L$1,I287/I$4,"")</f>
        <v>9.4243096065071159E-3</v>
      </c>
      <c r="M287" s="343"/>
      <c r="N287" s="344" t="s">
        <v>645</v>
      </c>
      <c r="O287" s="310">
        <v>0</v>
      </c>
      <c r="P287" s="311">
        <v>0</v>
      </c>
      <c r="Q287" s="311">
        <v>0</v>
      </c>
      <c r="R287" s="211">
        <v>0</v>
      </c>
      <c r="S287" s="212"/>
      <c r="T287" s="213" t="e">
        <v>#DIV/0!</v>
      </c>
      <c r="U287" s="214"/>
      <c r="V287" s="215"/>
      <c r="W287" s="310">
        <v>0</v>
      </c>
      <c r="X287" s="311">
        <v>0</v>
      </c>
      <c r="Y287" s="311">
        <v>0</v>
      </c>
      <c r="Z287" s="211">
        <v>0</v>
      </c>
      <c r="AA287" s="212"/>
      <c r="AB287" s="213" t="e">
        <v>#DIV/0!</v>
      </c>
      <c r="AC287" s="214"/>
      <c r="AD287" s="215"/>
      <c r="AE287" s="342"/>
      <c r="AF287" s="341"/>
    </row>
    <row r="288" spans="1:32">
      <c r="A288" s="307">
        <v>3</v>
      </c>
      <c r="B288" s="342"/>
      <c r="C288" s="342" t="s">
        <v>176</v>
      </c>
      <c r="D288" s="340" t="s">
        <v>646</v>
      </c>
      <c r="E288" s="342"/>
      <c r="F288" s="345" t="s">
        <v>173</v>
      </c>
      <c r="G288" s="308">
        <v>1</v>
      </c>
      <c r="H288" s="309">
        <v>200000</v>
      </c>
      <c r="I288" s="309">
        <v>200000</v>
      </c>
      <c r="J288" s="211"/>
      <c r="K288" s="212" t="str">
        <f>IF(OR(J288="",G288=J288),"","*")</f>
        <v/>
      </c>
      <c r="L288" s="338">
        <f>IF($A288&lt;=L$1,I288/I$4,"")</f>
        <v>3.7239784908215941E-3</v>
      </c>
      <c r="M288" s="343"/>
      <c r="N288" s="344"/>
      <c r="O288" s="310">
        <v>0</v>
      </c>
      <c r="P288" s="311">
        <v>0</v>
      </c>
      <c r="Q288" s="311">
        <v>0</v>
      </c>
      <c r="R288" s="211">
        <v>0</v>
      </c>
      <c r="S288" s="212"/>
      <c r="T288" s="213" t="e">
        <v>#DIV/0!</v>
      </c>
      <c r="U288" s="214"/>
      <c r="V288" s="215"/>
      <c r="W288" s="310">
        <v>0</v>
      </c>
      <c r="X288" s="311">
        <v>0</v>
      </c>
      <c r="Y288" s="311">
        <v>0</v>
      </c>
      <c r="Z288" s="211">
        <v>0</v>
      </c>
      <c r="AA288" s="212"/>
      <c r="AB288" s="213" t="e">
        <v>#DIV/0!</v>
      </c>
      <c r="AC288" s="214"/>
      <c r="AD288" s="215"/>
      <c r="AE288" s="342"/>
      <c r="AF288" s="341"/>
    </row>
    <row r="289" spans="1:32">
      <c r="A289" s="307">
        <v>3</v>
      </c>
      <c r="B289" s="342"/>
      <c r="C289" s="342" t="s">
        <v>176</v>
      </c>
      <c r="D289" s="340" t="s">
        <v>363</v>
      </c>
      <c r="E289" s="342"/>
      <c r="F289" s="345" t="s">
        <v>503</v>
      </c>
      <c r="G289" s="308">
        <v>90</v>
      </c>
      <c r="H289" s="309">
        <v>145</v>
      </c>
      <c r="I289" s="309">
        <v>13050</v>
      </c>
      <c r="J289" s="211"/>
      <c r="K289" s="212" t="str">
        <f>IF(OR(J289="",G289=J289),"","*")</f>
        <v/>
      </c>
      <c r="L289" s="338">
        <f>IF($A289&lt;=L$1,I289/I$4,"")</f>
        <v>2.4298959652610901E-4</v>
      </c>
      <c r="M289" s="343"/>
      <c r="N289" s="344"/>
      <c r="O289" s="310">
        <v>0</v>
      </c>
      <c r="P289" s="311">
        <v>0</v>
      </c>
      <c r="Q289" s="311">
        <v>0</v>
      </c>
      <c r="R289" s="211">
        <v>0</v>
      </c>
      <c r="S289" s="212"/>
      <c r="T289" s="213" t="e">
        <v>#DIV/0!</v>
      </c>
      <c r="U289" s="214"/>
      <c r="V289" s="215"/>
      <c r="W289" s="310">
        <v>0</v>
      </c>
      <c r="X289" s="311">
        <v>0</v>
      </c>
      <c r="Y289" s="311">
        <v>0</v>
      </c>
      <c r="Z289" s="211">
        <v>0</v>
      </c>
      <c r="AA289" s="212"/>
      <c r="AB289" s="213" t="e">
        <v>#DIV/0!</v>
      </c>
      <c r="AC289" s="214"/>
      <c r="AD289" s="215"/>
      <c r="AE289" s="342" t="s">
        <v>365</v>
      </c>
      <c r="AF289" s="341" t="s">
        <v>647</v>
      </c>
    </row>
    <row r="290" spans="1:32">
      <c r="A290" s="307">
        <v>3</v>
      </c>
      <c r="B290" s="342"/>
      <c r="C290" s="342" t="s">
        <v>176</v>
      </c>
      <c r="D290" s="340" t="s">
        <v>505</v>
      </c>
      <c r="E290" s="342"/>
      <c r="F290" s="345" t="s">
        <v>503</v>
      </c>
      <c r="G290" s="308">
        <v>60</v>
      </c>
      <c r="H290" s="309">
        <v>165</v>
      </c>
      <c r="I290" s="309">
        <v>9900</v>
      </c>
      <c r="J290" s="211"/>
      <c r="K290" s="212" t="str">
        <f>IF(OR(J290="",G290=J290),"","*")</f>
        <v/>
      </c>
      <c r="L290" s="338">
        <f>IF($A290&lt;=L$1,I290/I$4,"")</f>
        <v>1.8433693529566891E-4</v>
      </c>
      <c r="M290" s="343"/>
      <c r="N290" s="344"/>
      <c r="O290" s="310">
        <v>0</v>
      </c>
      <c r="P290" s="311">
        <v>0</v>
      </c>
      <c r="Q290" s="311">
        <v>0</v>
      </c>
      <c r="R290" s="211">
        <v>0</v>
      </c>
      <c r="S290" s="212"/>
      <c r="T290" s="213" t="e">
        <v>#DIV/0!</v>
      </c>
      <c r="U290" s="214"/>
      <c r="V290" s="215"/>
      <c r="W290" s="310">
        <v>0</v>
      </c>
      <c r="X290" s="311">
        <v>0</v>
      </c>
      <c r="Y290" s="311">
        <v>0</v>
      </c>
      <c r="Z290" s="211">
        <v>0</v>
      </c>
      <c r="AA290" s="212"/>
      <c r="AB290" s="213" t="e">
        <v>#DIV/0!</v>
      </c>
      <c r="AC290" s="214"/>
      <c r="AD290" s="215"/>
      <c r="AE290" s="342" t="s">
        <v>506</v>
      </c>
      <c r="AF290" s="341" t="s">
        <v>507</v>
      </c>
    </row>
    <row r="291" spans="1:32">
      <c r="A291" s="307">
        <v>3</v>
      </c>
      <c r="B291" s="342"/>
      <c r="C291" s="342" t="s">
        <v>180</v>
      </c>
      <c r="D291" s="340" t="s">
        <v>482</v>
      </c>
      <c r="E291" s="342"/>
      <c r="F291" s="345" t="s">
        <v>373</v>
      </c>
      <c r="G291" s="308">
        <v>3</v>
      </c>
      <c r="H291" s="309">
        <v>9800</v>
      </c>
      <c r="I291" s="309">
        <v>29400</v>
      </c>
      <c r="J291" s="211"/>
      <c r="K291" s="212" t="str">
        <f>IF(OR(J291="",G291=J291),"","*")</f>
        <v/>
      </c>
      <c r="L291" s="338">
        <f>IF($A291&lt;=L$1,I291/I$4,"")</f>
        <v>5.4742483815077428E-4</v>
      </c>
      <c r="M291" s="343"/>
      <c r="N291" s="344"/>
      <c r="O291" s="310">
        <v>0</v>
      </c>
      <c r="P291" s="311">
        <v>0</v>
      </c>
      <c r="Q291" s="311">
        <v>0</v>
      </c>
      <c r="R291" s="211">
        <v>0</v>
      </c>
      <c r="S291" s="212"/>
      <c r="T291" s="213" t="e">
        <v>#DIV/0!</v>
      </c>
      <c r="U291" s="214"/>
      <c r="V291" s="215"/>
      <c r="W291" s="310">
        <v>0</v>
      </c>
      <c r="X291" s="311">
        <v>0</v>
      </c>
      <c r="Y291" s="311">
        <v>0</v>
      </c>
      <c r="Z291" s="211">
        <v>0</v>
      </c>
      <c r="AA291" s="212"/>
      <c r="AB291" s="213" t="e">
        <v>#DIV/0!</v>
      </c>
      <c r="AC291" s="214"/>
      <c r="AD291" s="215"/>
      <c r="AE291" s="342" t="s">
        <v>558</v>
      </c>
      <c r="AF291" s="341" t="s">
        <v>452</v>
      </c>
    </row>
    <row r="292" spans="1:32">
      <c r="A292" s="307">
        <v>3</v>
      </c>
      <c r="B292" s="342"/>
      <c r="C292" s="342" t="s">
        <v>179</v>
      </c>
      <c r="D292" s="340" t="s">
        <v>371</v>
      </c>
      <c r="E292" s="342" t="s">
        <v>621</v>
      </c>
      <c r="F292" s="345" t="s">
        <v>373</v>
      </c>
      <c r="G292" s="308">
        <v>3</v>
      </c>
      <c r="H292" s="309">
        <v>8700</v>
      </c>
      <c r="I292" s="309">
        <v>26100</v>
      </c>
      <c r="J292" s="211"/>
      <c r="K292" s="212" t="str">
        <f>IF(OR(J292="",G292=J292),"","*")</f>
        <v/>
      </c>
      <c r="L292" s="338">
        <f>IF($A292&lt;=L$1,I292/I$4,"")</f>
        <v>4.8597919305221803E-4</v>
      </c>
      <c r="M292" s="343"/>
      <c r="N292" s="344"/>
      <c r="O292" s="310">
        <v>0</v>
      </c>
      <c r="P292" s="311">
        <v>0</v>
      </c>
      <c r="Q292" s="311">
        <v>0</v>
      </c>
      <c r="R292" s="211">
        <v>0</v>
      </c>
      <c r="S292" s="212"/>
      <c r="T292" s="213" t="e">
        <v>#DIV/0!</v>
      </c>
      <c r="U292" s="214"/>
      <c r="V292" s="215"/>
      <c r="W292" s="310">
        <v>0</v>
      </c>
      <c r="X292" s="311">
        <v>0</v>
      </c>
      <c r="Y292" s="311">
        <v>0</v>
      </c>
      <c r="Z292" s="211">
        <v>0</v>
      </c>
      <c r="AA292" s="212"/>
      <c r="AB292" s="213" t="e">
        <v>#DIV/0!</v>
      </c>
      <c r="AC292" s="214"/>
      <c r="AD292" s="215"/>
      <c r="AE292" s="342"/>
      <c r="AF292" s="341" t="s">
        <v>452</v>
      </c>
    </row>
    <row r="293" spans="1:32">
      <c r="A293" s="307">
        <v>3</v>
      </c>
      <c r="B293" s="342"/>
      <c r="C293" s="342" t="s">
        <v>177</v>
      </c>
      <c r="D293" s="340" t="s">
        <v>367</v>
      </c>
      <c r="E293" s="342" t="s">
        <v>368</v>
      </c>
      <c r="F293" s="345" t="s">
        <v>369</v>
      </c>
      <c r="G293" s="308">
        <v>9</v>
      </c>
      <c r="H293" s="309">
        <v>23000</v>
      </c>
      <c r="I293" s="309">
        <v>207000</v>
      </c>
      <c r="J293" s="211"/>
      <c r="K293" s="212" t="str">
        <f>IF(OR(J293="",G293=J293),"","*")</f>
        <v/>
      </c>
      <c r="L293" s="338">
        <f>IF($A293&lt;=L$1,I293/I$4,"")</f>
        <v>3.85431773800035E-3</v>
      </c>
      <c r="M293" s="343"/>
      <c r="N293" s="344"/>
      <c r="O293" s="310">
        <v>0</v>
      </c>
      <c r="P293" s="311">
        <v>0</v>
      </c>
      <c r="Q293" s="311">
        <v>0</v>
      </c>
      <c r="R293" s="211">
        <v>0</v>
      </c>
      <c r="S293" s="212"/>
      <c r="T293" s="213" t="e">
        <v>#DIV/0!</v>
      </c>
      <c r="U293" s="214"/>
      <c r="V293" s="215"/>
      <c r="W293" s="310">
        <v>0</v>
      </c>
      <c r="X293" s="311">
        <v>0</v>
      </c>
      <c r="Y293" s="311">
        <v>0</v>
      </c>
      <c r="Z293" s="211">
        <v>0</v>
      </c>
      <c r="AA293" s="212"/>
      <c r="AB293" s="213" t="e">
        <v>#DIV/0!</v>
      </c>
      <c r="AC293" s="214"/>
      <c r="AD293" s="215"/>
      <c r="AE293" s="342"/>
      <c r="AF293" s="341" t="s">
        <v>519</v>
      </c>
    </row>
    <row r="294" spans="1:32">
      <c r="A294" s="307">
        <v>3</v>
      </c>
      <c r="B294" s="342"/>
      <c r="C294" s="342" t="s">
        <v>179</v>
      </c>
      <c r="D294" s="340" t="s">
        <v>395</v>
      </c>
      <c r="E294" s="342"/>
      <c r="F294" s="345" t="s">
        <v>373</v>
      </c>
      <c r="G294" s="308">
        <v>3</v>
      </c>
      <c r="H294" s="309">
        <v>1500</v>
      </c>
      <c r="I294" s="309">
        <v>4500</v>
      </c>
      <c r="J294" s="211"/>
      <c r="K294" s="212" t="str">
        <f>IF(OR(J294="",G294=J294),"","*")</f>
        <v/>
      </c>
      <c r="L294" s="338">
        <f>IF($A294&lt;=L$1,I294/I$4,"")</f>
        <v>8.3789516043485864E-5</v>
      </c>
      <c r="M294" s="343"/>
      <c r="N294" s="344"/>
      <c r="O294" s="310">
        <v>0</v>
      </c>
      <c r="P294" s="311">
        <v>0</v>
      </c>
      <c r="Q294" s="311">
        <v>0</v>
      </c>
      <c r="R294" s="211">
        <v>0</v>
      </c>
      <c r="S294" s="212"/>
      <c r="T294" s="213" t="e">
        <v>#DIV/0!</v>
      </c>
      <c r="U294" s="214"/>
      <c r="V294" s="215"/>
      <c r="W294" s="310">
        <v>0</v>
      </c>
      <c r="X294" s="311">
        <v>0</v>
      </c>
      <c r="Y294" s="311">
        <v>0</v>
      </c>
      <c r="Z294" s="211">
        <v>0</v>
      </c>
      <c r="AA294" s="212"/>
      <c r="AB294" s="213" t="e">
        <v>#DIV/0!</v>
      </c>
      <c r="AC294" s="214"/>
      <c r="AD294" s="215"/>
      <c r="AE294" s="342"/>
      <c r="AF294" s="341" t="s">
        <v>452</v>
      </c>
    </row>
    <row r="295" spans="1:32">
      <c r="A295" s="307">
        <v>3</v>
      </c>
      <c r="B295" s="342"/>
      <c r="C295" s="342" t="s">
        <v>179</v>
      </c>
      <c r="D295" s="340" t="s">
        <v>396</v>
      </c>
      <c r="E295" s="342"/>
      <c r="F295" s="345" t="s">
        <v>373</v>
      </c>
      <c r="G295" s="308">
        <v>3</v>
      </c>
      <c r="H295" s="309">
        <v>700</v>
      </c>
      <c r="I295" s="309">
        <v>2100</v>
      </c>
      <c r="J295" s="211"/>
      <c r="K295" s="212" t="str">
        <f>IF(OR(J295="",G295=J295),"","*")</f>
        <v/>
      </c>
      <c r="L295" s="338">
        <f>IF($A295&lt;=L$1,I295/I$4,"")</f>
        <v>3.9101774153626739E-5</v>
      </c>
      <c r="M295" s="343"/>
      <c r="N295" s="344"/>
      <c r="O295" s="310">
        <v>0</v>
      </c>
      <c r="P295" s="311">
        <v>0</v>
      </c>
      <c r="Q295" s="311">
        <v>0</v>
      </c>
      <c r="R295" s="211">
        <v>0</v>
      </c>
      <c r="S295" s="212"/>
      <c r="T295" s="213" t="e">
        <v>#DIV/0!</v>
      </c>
      <c r="U295" s="214"/>
      <c r="V295" s="215"/>
      <c r="W295" s="310">
        <v>0</v>
      </c>
      <c r="X295" s="311">
        <v>0</v>
      </c>
      <c r="Y295" s="311">
        <v>0</v>
      </c>
      <c r="Z295" s="211">
        <v>0</v>
      </c>
      <c r="AA295" s="212"/>
      <c r="AB295" s="213" t="e">
        <v>#DIV/0!</v>
      </c>
      <c r="AC295" s="214"/>
      <c r="AD295" s="215"/>
      <c r="AE295" s="342"/>
      <c r="AF295" s="341" t="s">
        <v>452</v>
      </c>
    </row>
    <row r="296" spans="1:32">
      <c r="A296" s="307">
        <v>3</v>
      </c>
      <c r="B296" s="342"/>
      <c r="C296" s="342" t="s">
        <v>179</v>
      </c>
      <c r="D296" s="340" t="s">
        <v>397</v>
      </c>
      <c r="E296" s="342"/>
      <c r="F296" s="345" t="s">
        <v>373</v>
      </c>
      <c r="G296" s="308">
        <v>3</v>
      </c>
      <c r="H296" s="309">
        <v>700</v>
      </c>
      <c r="I296" s="309">
        <v>2100</v>
      </c>
      <c r="J296" s="211"/>
      <c r="K296" s="212" t="str">
        <f>IF(OR(J296="",G296=J296),"","*")</f>
        <v/>
      </c>
      <c r="L296" s="338">
        <f>IF($A296&lt;=L$1,I296/I$4,"")</f>
        <v>3.9101774153626739E-5</v>
      </c>
      <c r="M296" s="343"/>
      <c r="N296" s="344"/>
      <c r="O296" s="310">
        <v>0</v>
      </c>
      <c r="P296" s="311">
        <v>0</v>
      </c>
      <c r="Q296" s="311">
        <v>0</v>
      </c>
      <c r="R296" s="211">
        <v>0</v>
      </c>
      <c r="S296" s="212"/>
      <c r="T296" s="213" t="e">
        <v>#DIV/0!</v>
      </c>
      <c r="U296" s="214"/>
      <c r="V296" s="215"/>
      <c r="W296" s="310">
        <v>0</v>
      </c>
      <c r="X296" s="311">
        <v>0</v>
      </c>
      <c r="Y296" s="311">
        <v>0</v>
      </c>
      <c r="Z296" s="211">
        <v>0</v>
      </c>
      <c r="AA296" s="212"/>
      <c r="AB296" s="213" t="e">
        <v>#DIV/0!</v>
      </c>
      <c r="AC296" s="214"/>
      <c r="AD296" s="215"/>
      <c r="AE296" s="342"/>
      <c r="AF296" s="341" t="s">
        <v>452</v>
      </c>
    </row>
    <row r="297" spans="1:32">
      <c r="A297" s="307">
        <v>3</v>
      </c>
      <c r="B297" s="342"/>
      <c r="C297" s="342" t="s">
        <v>180</v>
      </c>
      <c r="D297" s="340" t="s">
        <v>383</v>
      </c>
      <c r="E297" s="342" t="s">
        <v>384</v>
      </c>
      <c r="F297" s="345" t="s">
        <v>373</v>
      </c>
      <c r="G297" s="308">
        <v>3</v>
      </c>
      <c r="H297" s="309">
        <v>4000</v>
      </c>
      <c r="I297" s="309">
        <v>12000</v>
      </c>
      <c r="J297" s="211"/>
      <c r="K297" s="212" t="str">
        <f>IF(OR(J297="",G297=J297),"","*")</f>
        <v/>
      </c>
      <c r="L297" s="338">
        <f>IF($A297&lt;=L$1,I297/I$4,"")</f>
        <v>2.2343870944929563E-4</v>
      </c>
      <c r="M297" s="343"/>
      <c r="N297" s="344"/>
      <c r="O297" s="310">
        <v>0</v>
      </c>
      <c r="P297" s="311">
        <v>0</v>
      </c>
      <c r="Q297" s="311">
        <v>0</v>
      </c>
      <c r="R297" s="211">
        <v>0</v>
      </c>
      <c r="S297" s="212"/>
      <c r="T297" s="213" t="e">
        <v>#DIV/0!</v>
      </c>
      <c r="U297" s="214"/>
      <c r="V297" s="215"/>
      <c r="W297" s="310">
        <v>0</v>
      </c>
      <c r="X297" s="311">
        <v>0</v>
      </c>
      <c r="Y297" s="311">
        <v>0</v>
      </c>
      <c r="Z297" s="211">
        <v>0</v>
      </c>
      <c r="AA297" s="212"/>
      <c r="AB297" s="213" t="e">
        <v>#DIV/0!</v>
      </c>
      <c r="AC297" s="214"/>
      <c r="AD297" s="215"/>
      <c r="AE297" s="342" t="s">
        <v>636</v>
      </c>
      <c r="AF297" s="341" t="s">
        <v>452</v>
      </c>
    </row>
    <row r="298" spans="1:32">
      <c r="A298" s="307">
        <v>2</v>
      </c>
      <c r="B298" s="342"/>
      <c r="C298" s="342" t="s">
        <v>355</v>
      </c>
      <c r="D298" s="340" t="s">
        <v>648</v>
      </c>
      <c r="E298" s="342"/>
      <c r="F298" s="345" t="s">
        <v>235</v>
      </c>
      <c r="G298" s="308">
        <v>60.5</v>
      </c>
      <c r="H298" s="309">
        <v>4768</v>
      </c>
      <c r="I298" s="309">
        <v>288464</v>
      </c>
      <c r="J298" s="211">
        <v>60.5</v>
      </c>
      <c r="K298" s="212" t="str">
        <f>IF(OR(J298="",G298=J298),"","*")</f>
        <v/>
      </c>
      <c r="L298" s="338">
        <f>IF($A298&lt;=L$1,I298/I$4,"")</f>
        <v>5.3711686568818015E-3</v>
      </c>
      <c r="M298" s="343"/>
      <c r="N298" s="344" t="s">
        <v>649</v>
      </c>
      <c r="O298" s="310">
        <v>0</v>
      </c>
      <c r="P298" s="311">
        <v>0</v>
      </c>
      <c r="Q298" s="311">
        <v>0</v>
      </c>
      <c r="R298" s="211">
        <v>0</v>
      </c>
      <c r="S298" s="212"/>
      <c r="T298" s="213" t="e">
        <v>#DIV/0!</v>
      </c>
      <c r="U298" s="214"/>
      <c r="V298" s="215"/>
      <c r="W298" s="310">
        <v>0</v>
      </c>
      <c r="X298" s="311">
        <v>0</v>
      </c>
      <c r="Y298" s="311">
        <v>0</v>
      </c>
      <c r="Z298" s="211">
        <v>0</v>
      </c>
      <c r="AA298" s="212"/>
      <c r="AB298" s="213" t="e">
        <v>#DIV/0!</v>
      </c>
      <c r="AC298" s="214"/>
      <c r="AD298" s="215"/>
      <c r="AE298" s="342"/>
      <c r="AF298" s="341"/>
    </row>
    <row r="299" spans="1:32">
      <c r="A299" s="307">
        <v>3</v>
      </c>
      <c r="B299" s="342"/>
      <c r="C299" s="342" t="s">
        <v>180</v>
      </c>
      <c r="D299" s="340" t="s">
        <v>482</v>
      </c>
      <c r="E299" s="342"/>
      <c r="F299" s="345" t="s">
        <v>373</v>
      </c>
      <c r="G299" s="308">
        <v>2</v>
      </c>
      <c r="H299" s="309">
        <v>9800</v>
      </c>
      <c r="I299" s="309">
        <v>19600</v>
      </c>
      <c r="J299" s="211"/>
      <c r="K299" s="212" t="str">
        <f>IF(OR(J299="",G299=J299),"","*")</f>
        <v/>
      </c>
      <c r="L299" s="338">
        <f>IF($A299&lt;=L$1,I299/I$4,"")</f>
        <v>3.6494989210051623E-4</v>
      </c>
      <c r="M299" s="343"/>
      <c r="N299" s="344"/>
      <c r="O299" s="310">
        <v>0</v>
      </c>
      <c r="P299" s="311">
        <v>0</v>
      </c>
      <c r="Q299" s="311">
        <v>0</v>
      </c>
      <c r="R299" s="211">
        <v>0</v>
      </c>
      <c r="S299" s="212"/>
      <c r="T299" s="213" t="e">
        <v>#DIV/0!</v>
      </c>
      <c r="U299" s="214"/>
      <c r="V299" s="215"/>
      <c r="W299" s="310">
        <v>0</v>
      </c>
      <c r="X299" s="311">
        <v>0</v>
      </c>
      <c r="Y299" s="311">
        <v>0</v>
      </c>
      <c r="Z299" s="211">
        <v>0</v>
      </c>
      <c r="AA299" s="212"/>
      <c r="AB299" s="213" t="e">
        <v>#DIV/0!</v>
      </c>
      <c r="AC299" s="214"/>
      <c r="AD299" s="215"/>
      <c r="AE299" s="342" t="s">
        <v>558</v>
      </c>
      <c r="AF299" s="341" t="s">
        <v>439</v>
      </c>
    </row>
    <row r="300" spans="1:32">
      <c r="A300" s="307">
        <v>3</v>
      </c>
      <c r="B300" s="342"/>
      <c r="C300" s="342" t="s">
        <v>176</v>
      </c>
      <c r="D300" s="340" t="s">
        <v>650</v>
      </c>
      <c r="E300" s="342"/>
      <c r="F300" s="345" t="s">
        <v>235</v>
      </c>
      <c r="G300" s="308">
        <v>70</v>
      </c>
      <c r="H300" s="309">
        <v>220</v>
      </c>
      <c r="I300" s="309">
        <v>15400</v>
      </c>
      <c r="J300" s="211"/>
      <c r="K300" s="212" t="str">
        <f>IF(OR(J300="",G300=J300),"","*")</f>
        <v/>
      </c>
      <c r="L300" s="338">
        <f>IF($A300&lt;=L$1,I300/I$4,"")</f>
        <v>2.8674634379326273E-4</v>
      </c>
      <c r="M300" s="343"/>
      <c r="N300" s="344"/>
      <c r="O300" s="310">
        <v>0</v>
      </c>
      <c r="P300" s="311">
        <v>0</v>
      </c>
      <c r="Q300" s="311">
        <v>0</v>
      </c>
      <c r="R300" s="211">
        <v>0</v>
      </c>
      <c r="S300" s="212"/>
      <c r="T300" s="213" t="e">
        <v>#DIV/0!</v>
      </c>
      <c r="U300" s="214"/>
      <c r="V300" s="215"/>
      <c r="W300" s="310">
        <v>0</v>
      </c>
      <c r="X300" s="311">
        <v>0</v>
      </c>
      <c r="Y300" s="311">
        <v>0</v>
      </c>
      <c r="Z300" s="211">
        <v>0</v>
      </c>
      <c r="AA300" s="212"/>
      <c r="AB300" s="213" t="e">
        <v>#DIV/0!</v>
      </c>
      <c r="AC300" s="214"/>
      <c r="AD300" s="215"/>
      <c r="AE300" s="342"/>
      <c r="AF300" s="341"/>
    </row>
    <row r="301" spans="1:32">
      <c r="A301" s="307">
        <v>3</v>
      </c>
      <c r="B301" s="342"/>
      <c r="C301" s="342" t="s">
        <v>179</v>
      </c>
      <c r="D301" s="340" t="s">
        <v>371</v>
      </c>
      <c r="E301" s="342" t="s">
        <v>621</v>
      </c>
      <c r="F301" s="345" t="s">
        <v>373</v>
      </c>
      <c r="G301" s="308">
        <v>2</v>
      </c>
      <c r="H301" s="309">
        <v>8700</v>
      </c>
      <c r="I301" s="309">
        <v>17400</v>
      </c>
      <c r="J301" s="211"/>
      <c r="K301" s="212" t="str">
        <f>IF(OR(J301="",G301=J301),"","*")</f>
        <v/>
      </c>
      <c r="L301" s="338">
        <f>IF($A301&lt;=L$1,I301/I$4,"")</f>
        <v>3.2398612870147868E-4</v>
      </c>
      <c r="M301" s="343"/>
      <c r="N301" s="344"/>
      <c r="O301" s="310">
        <v>0</v>
      </c>
      <c r="P301" s="311">
        <v>0</v>
      </c>
      <c r="Q301" s="311">
        <v>0</v>
      </c>
      <c r="R301" s="211">
        <v>0</v>
      </c>
      <c r="S301" s="212"/>
      <c r="T301" s="213" t="e">
        <v>#DIV/0!</v>
      </c>
      <c r="U301" s="214"/>
      <c r="V301" s="215"/>
      <c r="W301" s="310">
        <v>0</v>
      </c>
      <c r="X301" s="311">
        <v>0</v>
      </c>
      <c r="Y301" s="311">
        <v>0</v>
      </c>
      <c r="Z301" s="211">
        <v>0</v>
      </c>
      <c r="AA301" s="212"/>
      <c r="AB301" s="213" t="e">
        <v>#DIV/0!</v>
      </c>
      <c r="AC301" s="214"/>
      <c r="AD301" s="215"/>
      <c r="AE301" s="342"/>
      <c r="AF301" s="341" t="s">
        <v>439</v>
      </c>
    </row>
    <row r="302" spans="1:32">
      <c r="A302" s="307">
        <v>3</v>
      </c>
      <c r="B302" s="342"/>
      <c r="C302" s="342" t="s">
        <v>179</v>
      </c>
      <c r="D302" s="340" t="s">
        <v>396</v>
      </c>
      <c r="E302" s="342"/>
      <c r="F302" s="345" t="s">
        <v>373</v>
      </c>
      <c r="G302" s="308">
        <v>2</v>
      </c>
      <c r="H302" s="309">
        <v>700</v>
      </c>
      <c r="I302" s="309">
        <v>1400</v>
      </c>
      <c r="J302" s="211"/>
      <c r="K302" s="212" t="str">
        <f>IF(OR(J302="",G302=J302),"","*")</f>
        <v/>
      </c>
      <c r="L302" s="338">
        <f>IF($A302&lt;=L$1,I302/I$4,"")</f>
        <v>2.6067849435751159E-5</v>
      </c>
      <c r="M302" s="343"/>
      <c r="N302" s="344"/>
      <c r="O302" s="310">
        <v>0</v>
      </c>
      <c r="P302" s="311">
        <v>0</v>
      </c>
      <c r="Q302" s="311">
        <v>0</v>
      </c>
      <c r="R302" s="211">
        <v>0</v>
      </c>
      <c r="S302" s="212"/>
      <c r="T302" s="213" t="e">
        <v>#DIV/0!</v>
      </c>
      <c r="U302" s="214"/>
      <c r="V302" s="215"/>
      <c r="W302" s="310">
        <v>0</v>
      </c>
      <c r="X302" s="311">
        <v>0</v>
      </c>
      <c r="Y302" s="311">
        <v>0</v>
      </c>
      <c r="Z302" s="211">
        <v>0</v>
      </c>
      <c r="AA302" s="212"/>
      <c r="AB302" s="213" t="e">
        <v>#DIV/0!</v>
      </c>
      <c r="AC302" s="214"/>
      <c r="AD302" s="215"/>
      <c r="AE302" s="342"/>
      <c r="AF302" s="341" t="s">
        <v>439</v>
      </c>
    </row>
    <row r="303" spans="1:32">
      <c r="A303" s="307">
        <v>3</v>
      </c>
      <c r="B303" s="342"/>
      <c r="C303" s="342" t="s">
        <v>177</v>
      </c>
      <c r="D303" s="340" t="s">
        <v>367</v>
      </c>
      <c r="E303" s="342" t="s">
        <v>368</v>
      </c>
      <c r="F303" s="345" t="s">
        <v>369</v>
      </c>
      <c r="G303" s="308">
        <v>6</v>
      </c>
      <c r="H303" s="309">
        <v>23000</v>
      </c>
      <c r="I303" s="309">
        <v>138000</v>
      </c>
      <c r="J303" s="211"/>
      <c r="K303" s="212" t="str">
        <f>IF(OR(J303="",G303=J303),"","*")</f>
        <v/>
      </c>
      <c r="L303" s="338">
        <f>IF($A303&lt;=L$1,I303/I$4,"")</f>
        <v>2.5695451586668998E-3</v>
      </c>
      <c r="M303" s="343"/>
      <c r="N303" s="344"/>
      <c r="O303" s="310">
        <v>0</v>
      </c>
      <c r="P303" s="311">
        <v>0</v>
      </c>
      <c r="Q303" s="311">
        <v>0</v>
      </c>
      <c r="R303" s="211">
        <v>0</v>
      </c>
      <c r="S303" s="212"/>
      <c r="T303" s="213" t="e">
        <v>#DIV/0!</v>
      </c>
      <c r="U303" s="214"/>
      <c r="V303" s="215"/>
      <c r="W303" s="310">
        <v>0</v>
      </c>
      <c r="X303" s="311">
        <v>0</v>
      </c>
      <c r="Y303" s="311">
        <v>0</v>
      </c>
      <c r="Z303" s="211">
        <v>0</v>
      </c>
      <c r="AA303" s="212"/>
      <c r="AB303" s="213" t="e">
        <v>#DIV/0!</v>
      </c>
      <c r="AC303" s="214"/>
      <c r="AD303" s="215"/>
      <c r="AE303" s="342"/>
      <c r="AF303" s="341" t="s">
        <v>651</v>
      </c>
    </row>
    <row r="304" spans="1:32">
      <c r="A304" s="307">
        <v>3</v>
      </c>
      <c r="B304" s="342"/>
      <c r="C304" s="342" t="s">
        <v>176</v>
      </c>
      <c r="D304" s="340" t="s">
        <v>363</v>
      </c>
      <c r="E304" s="342"/>
      <c r="F304" s="345" t="s">
        <v>503</v>
      </c>
      <c r="G304" s="308">
        <v>60</v>
      </c>
      <c r="H304" s="309">
        <v>145</v>
      </c>
      <c r="I304" s="309">
        <v>8700</v>
      </c>
      <c r="J304" s="211"/>
      <c r="K304" s="212" t="str">
        <f>IF(OR(J304="",G304=J304),"","*")</f>
        <v/>
      </c>
      <c r="L304" s="338">
        <f>IF($A304&lt;=L$1,I304/I$4,"")</f>
        <v>1.6199306435073934E-4</v>
      </c>
      <c r="M304" s="343"/>
      <c r="N304" s="344"/>
      <c r="O304" s="310">
        <v>0</v>
      </c>
      <c r="P304" s="311">
        <v>0</v>
      </c>
      <c r="Q304" s="311">
        <v>0</v>
      </c>
      <c r="R304" s="211">
        <v>0</v>
      </c>
      <c r="S304" s="212"/>
      <c r="T304" s="213" t="e">
        <v>#DIV/0!</v>
      </c>
      <c r="U304" s="214"/>
      <c r="V304" s="215"/>
      <c r="W304" s="310">
        <v>0</v>
      </c>
      <c r="X304" s="311">
        <v>0</v>
      </c>
      <c r="Y304" s="311">
        <v>0</v>
      </c>
      <c r="Z304" s="211">
        <v>0</v>
      </c>
      <c r="AA304" s="212"/>
      <c r="AB304" s="213" t="e">
        <v>#DIV/0!</v>
      </c>
      <c r="AC304" s="214"/>
      <c r="AD304" s="215"/>
      <c r="AE304" s="342" t="s">
        <v>365</v>
      </c>
      <c r="AF304" s="341" t="s">
        <v>652</v>
      </c>
    </row>
    <row r="305" spans="1:32">
      <c r="A305" s="307">
        <v>3</v>
      </c>
      <c r="B305" s="342"/>
      <c r="C305" s="342" t="s">
        <v>176</v>
      </c>
      <c r="D305" s="340" t="s">
        <v>505</v>
      </c>
      <c r="E305" s="342"/>
      <c r="F305" s="345" t="s">
        <v>503</v>
      </c>
      <c r="G305" s="308">
        <v>40</v>
      </c>
      <c r="H305" s="309">
        <v>165</v>
      </c>
      <c r="I305" s="309">
        <v>6600</v>
      </c>
      <c r="J305" s="211"/>
      <c r="K305" s="212" t="str">
        <f>IF(OR(J305="",G305=J305),"","*")</f>
        <v/>
      </c>
      <c r="L305" s="338">
        <f>IF($A305&lt;=L$1,I305/I$4,"")</f>
        <v>1.228912901971126E-4</v>
      </c>
      <c r="M305" s="343"/>
      <c r="N305" s="344"/>
      <c r="O305" s="310">
        <v>0</v>
      </c>
      <c r="P305" s="311">
        <v>0</v>
      </c>
      <c r="Q305" s="311">
        <v>0</v>
      </c>
      <c r="R305" s="211">
        <v>0</v>
      </c>
      <c r="S305" s="212"/>
      <c r="T305" s="213" t="e">
        <v>#DIV/0!</v>
      </c>
      <c r="U305" s="214"/>
      <c r="V305" s="215"/>
      <c r="W305" s="310">
        <v>0</v>
      </c>
      <c r="X305" s="311">
        <v>0</v>
      </c>
      <c r="Y305" s="311">
        <v>0</v>
      </c>
      <c r="Z305" s="211">
        <v>0</v>
      </c>
      <c r="AA305" s="212"/>
      <c r="AB305" s="213" t="e">
        <v>#DIV/0!</v>
      </c>
      <c r="AC305" s="214"/>
      <c r="AD305" s="215"/>
      <c r="AE305" s="342" t="s">
        <v>506</v>
      </c>
      <c r="AF305" s="341" t="s">
        <v>653</v>
      </c>
    </row>
    <row r="306" spans="1:32">
      <c r="A306" s="307">
        <v>3</v>
      </c>
      <c r="B306" s="342"/>
      <c r="C306" s="342" t="s">
        <v>180</v>
      </c>
      <c r="D306" s="340" t="s">
        <v>383</v>
      </c>
      <c r="E306" s="342" t="s">
        <v>384</v>
      </c>
      <c r="F306" s="345" t="s">
        <v>373</v>
      </c>
      <c r="G306" s="308">
        <v>2</v>
      </c>
      <c r="H306" s="309">
        <v>4000</v>
      </c>
      <c r="I306" s="309">
        <v>8000</v>
      </c>
      <c r="J306" s="211"/>
      <c r="K306" s="212" t="str">
        <f>IF(OR(J306="",G306=J306),"","*")</f>
        <v/>
      </c>
      <c r="L306" s="338">
        <f>IF($A306&lt;=L$1,I306/I$4,"")</f>
        <v>1.4895913963286375E-4</v>
      </c>
      <c r="M306" s="343"/>
      <c r="N306" s="344"/>
      <c r="O306" s="310">
        <v>0</v>
      </c>
      <c r="P306" s="311">
        <v>0</v>
      </c>
      <c r="Q306" s="311">
        <v>0</v>
      </c>
      <c r="R306" s="211">
        <v>0</v>
      </c>
      <c r="S306" s="212"/>
      <c r="T306" s="213" t="e">
        <v>#DIV/0!</v>
      </c>
      <c r="U306" s="214"/>
      <c r="V306" s="215"/>
      <c r="W306" s="310">
        <v>0</v>
      </c>
      <c r="X306" s="311">
        <v>0</v>
      </c>
      <c r="Y306" s="311">
        <v>0</v>
      </c>
      <c r="Z306" s="211">
        <v>0</v>
      </c>
      <c r="AA306" s="212"/>
      <c r="AB306" s="213" t="e">
        <v>#DIV/0!</v>
      </c>
      <c r="AC306" s="214"/>
      <c r="AD306" s="215"/>
      <c r="AE306" s="342" t="s">
        <v>636</v>
      </c>
      <c r="AF306" s="341" t="s">
        <v>439</v>
      </c>
    </row>
    <row r="307" spans="1:32">
      <c r="A307" s="307">
        <v>3</v>
      </c>
      <c r="B307" s="342"/>
      <c r="C307" s="342" t="s">
        <v>179</v>
      </c>
      <c r="D307" s="340" t="s">
        <v>397</v>
      </c>
      <c r="E307" s="342"/>
      <c r="F307" s="345" t="s">
        <v>373</v>
      </c>
      <c r="G307" s="308">
        <v>2</v>
      </c>
      <c r="H307" s="309">
        <v>700</v>
      </c>
      <c r="I307" s="309">
        <v>1400</v>
      </c>
      <c r="J307" s="211"/>
      <c r="K307" s="212" t="str">
        <f>IF(OR(J307="",G307=J307),"","*")</f>
        <v/>
      </c>
      <c r="L307" s="338">
        <f>IF($A307&lt;=L$1,I307/I$4,"")</f>
        <v>2.6067849435751159E-5</v>
      </c>
      <c r="M307" s="343"/>
      <c r="N307" s="344"/>
      <c r="O307" s="310">
        <v>0</v>
      </c>
      <c r="P307" s="311">
        <v>0</v>
      </c>
      <c r="Q307" s="311">
        <v>0</v>
      </c>
      <c r="R307" s="211">
        <v>0</v>
      </c>
      <c r="S307" s="212"/>
      <c r="T307" s="213" t="e">
        <v>#DIV/0!</v>
      </c>
      <c r="U307" s="214"/>
      <c r="V307" s="215"/>
      <c r="W307" s="310">
        <v>0</v>
      </c>
      <c r="X307" s="311">
        <v>0</v>
      </c>
      <c r="Y307" s="311">
        <v>0</v>
      </c>
      <c r="Z307" s="211">
        <v>0</v>
      </c>
      <c r="AA307" s="212"/>
      <c r="AB307" s="213" t="e">
        <v>#DIV/0!</v>
      </c>
      <c r="AC307" s="214"/>
      <c r="AD307" s="215"/>
      <c r="AE307" s="342"/>
      <c r="AF307" s="341" t="s">
        <v>439</v>
      </c>
    </row>
    <row r="308" spans="1:32">
      <c r="A308" s="307">
        <v>3</v>
      </c>
      <c r="B308" s="342"/>
      <c r="C308" s="342" t="s">
        <v>179</v>
      </c>
      <c r="D308" s="340" t="s">
        <v>395</v>
      </c>
      <c r="E308" s="342"/>
      <c r="F308" s="345" t="s">
        <v>373</v>
      </c>
      <c r="G308" s="308">
        <v>2</v>
      </c>
      <c r="H308" s="309">
        <v>1500</v>
      </c>
      <c r="I308" s="309">
        <v>3000</v>
      </c>
      <c r="J308" s="211"/>
      <c r="K308" s="212" t="str">
        <f>IF(OR(J308="",G308=J308),"","*")</f>
        <v/>
      </c>
      <c r="L308" s="338">
        <f>IF($A308&lt;=L$1,I308/I$4,"")</f>
        <v>5.5859677362323907E-5</v>
      </c>
      <c r="M308" s="343"/>
      <c r="N308" s="344"/>
      <c r="O308" s="310">
        <v>0</v>
      </c>
      <c r="P308" s="311">
        <v>0</v>
      </c>
      <c r="Q308" s="311">
        <v>0</v>
      </c>
      <c r="R308" s="211">
        <v>0</v>
      </c>
      <c r="S308" s="212"/>
      <c r="T308" s="213" t="e">
        <v>#DIV/0!</v>
      </c>
      <c r="U308" s="214"/>
      <c r="V308" s="215"/>
      <c r="W308" s="310">
        <v>0</v>
      </c>
      <c r="X308" s="311">
        <v>0</v>
      </c>
      <c r="Y308" s="311">
        <v>0</v>
      </c>
      <c r="Z308" s="211">
        <v>0</v>
      </c>
      <c r="AA308" s="212"/>
      <c r="AB308" s="213" t="e">
        <v>#DIV/0!</v>
      </c>
      <c r="AC308" s="214"/>
      <c r="AD308" s="215"/>
      <c r="AE308" s="342"/>
      <c r="AF308" s="341" t="s">
        <v>439</v>
      </c>
    </row>
    <row r="309" spans="1:32">
      <c r="A309" s="307">
        <v>3</v>
      </c>
      <c r="B309" s="342"/>
      <c r="C309" s="342" t="s">
        <v>176</v>
      </c>
      <c r="D309" s="340" t="s">
        <v>654</v>
      </c>
      <c r="E309" s="342"/>
      <c r="F309" s="345" t="s">
        <v>235</v>
      </c>
      <c r="G309" s="308">
        <v>3</v>
      </c>
      <c r="H309" s="309">
        <v>23000</v>
      </c>
      <c r="I309" s="309">
        <v>69000</v>
      </c>
      <c r="J309" s="211"/>
      <c r="K309" s="212" t="str">
        <f>IF(OR(J309="",G309=J309),"","*")</f>
        <v/>
      </c>
      <c r="L309" s="338">
        <f>IF($A309&lt;=L$1,I309/I$4,"")</f>
        <v>1.2847725793334499E-3</v>
      </c>
      <c r="M309" s="343"/>
      <c r="N309" s="344"/>
      <c r="O309" s="310">
        <v>0</v>
      </c>
      <c r="P309" s="311">
        <v>0</v>
      </c>
      <c r="Q309" s="311">
        <v>0</v>
      </c>
      <c r="R309" s="211">
        <v>0</v>
      </c>
      <c r="S309" s="212"/>
      <c r="T309" s="213" t="e">
        <v>#DIV/0!</v>
      </c>
      <c r="U309" s="214"/>
      <c r="V309" s="215"/>
      <c r="W309" s="310">
        <v>0</v>
      </c>
      <c r="X309" s="311">
        <v>0</v>
      </c>
      <c r="Y309" s="311">
        <v>0</v>
      </c>
      <c r="Z309" s="211">
        <v>0</v>
      </c>
      <c r="AA309" s="212"/>
      <c r="AB309" s="213" t="e">
        <v>#DIV/0!</v>
      </c>
      <c r="AC309" s="214"/>
      <c r="AD309" s="215"/>
      <c r="AE309" s="342"/>
      <c r="AF309" s="341" t="s">
        <v>655</v>
      </c>
    </row>
    <row r="310" spans="1:32">
      <c r="A310" s="307">
        <v>2</v>
      </c>
      <c r="B310" s="342"/>
      <c r="C310" s="342" t="s">
        <v>355</v>
      </c>
      <c r="D310" s="340" t="s">
        <v>656</v>
      </c>
      <c r="E310" s="342"/>
      <c r="F310" s="345" t="s">
        <v>173</v>
      </c>
      <c r="G310" s="308">
        <v>1</v>
      </c>
      <c r="H310" s="309">
        <v>450000</v>
      </c>
      <c r="I310" s="309">
        <v>450000</v>
      </c>
      <c r="J310" s="211">
        <v>1</v>
      </c>
      <c r="K310" s="212" t="str">
        <f>IF(OR(J310="",G310=J310),"","*")</f>
        <v/>
      </c>
      <c r="L310" s="338">
        <f>IF($A310&lt;=L$1,I310/I$4,"")</f>
        <v>8.3789516043485859E-3</v>
      </c>
      <c r="M310" s="343"/>
      <c r="N310" s="344" t="s">
        <v>657</v>
      </c>
      <c r="O310" s="310">
        <v>0</v>
      </c>
      <c r="P310" s="311">
        <v>0</v>
      </c>
      <c r="Q310" s="311">
        <v>0</v>
      </c>
      <c r="R310" s="211">
        <v>0</v>
      </c>
      <c r="S310" s="212"/>
      <c r="T310" s="213" t="e">
        <v>#DIV/0!</v>
      </c>
      <c r="U310" s="214"/>
      <c r="V310" s="215"/>
      <c r="W310" s="310">
        <v>0</v>
      </c>
      <c r="X310" s="311">
        <v>0</v>
      </c>
      <c r="Y310" s="311">
        <v>0</v>
      </c>
      <c r="Z310" s="211">
        <v>0</v>
      </c>
      <c r="AA310" s="212"/>
      <c r="AB310" s="213" t="e">
        <v>#DIV/0!</v>
      </c>
      <c r="AC310" s="214"/>
      <c r="AD310" s="215"/>
      <c r="AE310" s="342"/>
      <c r="AF310" s="341"/>
    </row>
    <row r="311" spans="1:32">
      <c r="A311" s="307">
        <v>3</v>
      </c>
      <c r="B311" s="342"/>
      <c r="C311" s="342" t="s">
        <v>178</v>
      </c>
      <c r="D311" s="340" t="s">
        <v>658</v>
      </c>
      <c r="E311" s="342"/>
      <c r="F311" s="345" t="s">
        <v>173</v>
      </c>
      <c r="G311" s="308">
        <v>1</v>
      </c>
      <c r="H311" s="309">
        <v>450000</v>
      </c>
      <c r="I311" s="309">
        <v>450000</v>
      </c>
      <c r="J311" s="211"/>
      <c r="K311" s="212" t="str">
        <f>IF(OR(J311="",G311=J311),"","*")</f>
        <v/>
      </c>
      <c r="L311" s="338">
        <f>IF($A311&lt;=L$1,I311/I$4,"")</f>
        <v>8.3789516043485859E-3</v>
      </c>
      <c r="M311" s="343"/>
      <c r="N311" s="344"/>
      <c r="O311" s="310">
        <v>0</v>
      </c>
      <c r="P311" s="311">
        <v>0</v>
      </c>
      <c r="Q311" s="311">
        <v>0</v>
      </c>
      <c r="R311" s="211">
        <v>0</v>
      </c>
      <c r="S311" s="212"/>
      <c r="T311" s="213" t="e">
        <v>#DIV/0!</v>
      </c>
      <c r="U311" s="214"/>
      <c r="V311" s="215"/>
      <c r="W311" s="310">
        <v>0</v>
      </c>
      <c r="X311" s="311">
        <v>0</v>
      </c>
      <c r="Y311" s="311">
        <v>0</v>
      </c>
      <c r="Z311" s="211">
        <v>0</v>
      </c>
      <c r="AA311" s="212"/>
      <c r="AB311" s="213" t="e">
        <v>#DIV/0!</v>
      </c>
      <c r="AC311" s="214"/>
      <c r="AD311" s="215"/>
      <c r="AE311" s="342"/>
      <c r="AF311" s="341"/>
    </row>
    <row r="312" spans="1:32">
      <c r="A312" s="307">
        <v>2</v>
      </c>
      <c r="B312" s="342"/>
      <c r="C312" s="342" t="s">
        <v>355</v>
      </c>
      <c r="D312" s="340" t="s">
        <v>659</v>
      </c>
      <c r="E312" s="342" t="s">
        <v>338</v>
      </c>
      <c r="F312" s="345" t="s">
        <v>239</v>
      </c>
      <c r="G312" s="308">
        <v>3</v>
      </c>
      <c r="H312" s="309">
        <v>139350</v>
      </c>
      <c r="I312" s="309">
        <v>418050</v>
      </c>
      <c r="J312" s="211">
        <v>3</v>
      </c>
      <c r="K312" s="212" t="str">
        <f>IF(OR(J312="",G312=J312),"","*")</f>
        <v/>
      </c>
      <c r="L312" s="338">
        <f>IF($A312&lt;=L$1,I312/I$4,"")</f>
        <v>7.7840460404398366E-3</v>
      </c>
      <c r="M312" s="343"/>
      <c r="N312" s="344" t="s">
        <v>660</v>
      </c>
      <c r="O312" s="310">
        <v>0</v>
      </c>
      <c r="P312" s="311">
        <v>0</v>
      </c>
      <c r="Q312" s="311">
        <v>0</v>
      </c>
      <c r="R312" s="211">
        <v>0</v>
      </c>
      <c r="S312" s="212"/>
      <c r="T312" s="213" t="e">
        <v>#DIV/0!</v>
      </c>
      <c r="U312" s="214"/>
      <c r="V312" s="215"/>
      <c r="W312" s="310">
        <v>0</v>
      </c>
      <c r="X312" s="311">
        <v>0</v>
      </c>
      <c r="Y312" s="311">
        <v>0</v>
      </c>
      <c r="Z312" s="211">
        <v>0</v>
      </c>
      <c r="AA312" s="212"/>
      <c r="AB312" s="213" t="e">
        <v>#DIV/0!</v>
      </c>
      <c r="AC312" s="214"/>
      <c r="AD312" s="215"/>
      <c r="AE312" s="342"/>
      <c r="AF312" s="341"/>
    </row>
    <row r="313" spans="1:32">
      <c r="A313" s="307">
        <v>3</v>
      </c>
      <c r="B313" s="342"/>
      <c r="C313" s="342" t="s">
        <v>179</v>
      </c>
      <c r="D313" s="340" t="s">
        <v>371</v>
      </c>
      <c r="E313" s="342" t="s">
        <v>621</v>
      </c>
      <c r="F313" s="345" t="s">
        <v>373</v>
      </c>
      <c r="G313" s="308">
        <v>1</v>
      </c>
      <c r="H313" s="309">
        <v>6000</v>
      </c>
      <c r="I313" s="309">
        <v>6000</v>
      </c>
      <c r="J313" s="211"/>
      <c r="K313" s="212" t="str">
        <f>IF(OR(J313="",G313=J313),"","*")</f>
        <v/>
      </c>
      <c r="L313" s="338">
        <f>IF($A313&lt;=L$1,I313/I$4,"")</f>
        <v>1.1171935472464781E-4</v>
      </c>
      <c r="M313" s="343"/>
      <c r="N313" s="344"/>
      <c r="O313" s="310">
        <v>0</v>
      </c>
      <c r="P313" s="311">
        <v>0</v>
      </c>
      <c r="Q313" s="311">
        <v>0</v>
      </c>
      <c r="R313" s="211">
        <v>0</v>
      </c>
      <c r="S313" s="212"/>
      <c r="T313" s="213" t="e">
        <v>#DIV/0!</v>
      </c>
      <c r="U313" s="214"/>
      <c r="V313" s="215"/>
      <c r="W313" s="310">
        <v>0</v>
      </c>
      <c r="X313" s="311">
        <v>0</v>
      </c>
      <c r="Y313" s="311">
        <v>0</v>
      </c>
      <c r="Z313" s="211">
        <v>0</v>
      </c>
      <c r="AA313" s="212"/>
      <c r="AB313" s="213" t="e">
        <v>#DIV/0!</v>
      </c>
      <c r="AC313" s="214"/>
      <c r="AD313" s="215"/>
      <c r="AE313" s="342"/>
      <c r="AF313" s="341" t="s">
        <v>374</v>
      </c>
    </row>
    <row r="314" spans="1:32">
      <c r="A314" s="307">
        <v>3</v>
      </c>
      <c r="B314" s="342"/>
      <c r="C314" s="342" t="s">
        <v>176</v>
      </c>
      <c r="D314" s="340" t="s">
        <v>661</v>
      </c>
      <c r="E314" s="342"/>
      <c r="F314" s="345" t="s">
        <v>457</v>
      </c>
      <c r="G314" s="308">
        <v>3</v>
      </c>
      <c r="H314" s="309">
        <v>100000</v>
      </c>
      <c r="I314" s="309">
        <v>300000</v>
      </c>
      <c r="J314" s="211"/>
      <c r="K314" s="212" t="str">
        <f>IF(OR(J314="",G314=J314),"","*")</f>
        <v/>
      </c>
      <c r="L314" s="338">
        <f>IF($A314&lt;=L$1,I314/I$4,"")</f>
        <v>5.5859677362323909E-3</v>
      </c>
      <c r="M314" s="343"/>
      <c r="N314" s="344"/>
      <c r="O314" s="310">
        <v>0</v>
      </c>
      <c r="P314" s="311">
        <v>0</v>
      </c>
      <c r="Q314" s="311">
        <v>0</v>
      </c>
      <c r="R314" s="211">
        <v>0</v>
      </c>
      <c r="S314" s="212"/>
      <c r="T314" s="213" t="e">
        <v>#DIV/0!</v>
      </c>
      <c r="U314" s="214"/>
      <c r="V314" s="215"/>
      <c r="W314" s="310">
        <v>0</v>
      </c>
      <c r="X314" s="311">
        <v>0</v>
      </c>
      <c r="Y314" s="311">
        <v>0</v>
      </c>
      <c r="Z314" s="211">
        <v>0</v>
      </c>
      <c r="AA314" s="212"/>
      <c r="AB314" s="213" t="e">
        <v>#DIV/0!</v>
      </c>
      <c r="AC314" s="214"/>
      <c r="AD314" s="215"/>
      <c r="AE314" s="342"/>
      <c r="AF314" s="341"/>
    </row>
    <row r="315" spans="1:32">
      <c r="A315" s="307">
        <v>3</v>
      </c>
      <c r="B315" s="342"/>
      <c r="C315" s="342" t="s">
        <v>180</v>
      </c>
      <c r="D315" s="340" t="s">
        <v>383</v>
      </c>
      <c r="E315" s="342" t="s">
        <v>384</v>
      </c>
      <c r="F315" s="345" t="s">
        <v>373</v>
      </c>
      <c r="G315" s="308">
        <v>1</v>
      </c>
      <c r="H315" s="309">
        <v>4000</v>
      </c>
      <c r="I315" s="309">
        <v>4000</v>
      </c>
      <c r="J315" s="211"/>
      <c r="K315" s="212" t="str">
        <f>IF(OR(J315="",G315=J315),"","*")</f>
        <v/>
      </c>
      <c r="L315" s="338">
        <f>IF($A315&lt;=L$1,I315/I$4,"")</f>
        <v>7.4479569816431876E-5</v>
      </c>
      <c r="M315" s="343"/>
      <c r="N315" s="344"/>
      <c r="O315" s="310">
        <v>0</v>
      </c>
      <c r="P315" s="311">
        <v>0</v>
      </c>
      <c r="Q315" s="311">
        <v>0</v>
      </c>
      <c r="R315" s="211">
        <v>0</v>
      </c>
      <c r="S315" s="212"/>
      <c r="T315" s="213" t="e">
        <v>#DIV/0!</v>
      </c>
      <c r="U315" s="214"/>
      <c r="V315" s="215"/>
      <c r="W315" s="310">
        <v>0</v>
      </c>
      <c r="X315" s="311">
        <v>0</v>
      </c>
      <c r="Y315" s="311">
        <v>0</v>
      </c>
      <c r="Z315" s="211">
        <v>0</v>
      </c>
      <c r="AA315" s="212"/>
      <c r="AB315" s="213" t="e">
        <v>#DIV/0!</v>
      </c>
      <c r="AC315" s="214"/>
      <c r="AD315" s="215"/>
      <c r="AE315" s="342" t="s">
        <v>636</v>
      </c>
      <c r="AF315" s="341" t="s">
        <v>374</v>
      </c>
    </row>
    <row r="316" spans="1:32">
      <c r="A316" s="307">
        <v>3</v>
      </c>
      <c r="B316" s="342"/>
      <c r="C316" s="342" t="s">
        <v>177</v>
      </c>
      <c r="D316" s="340" t="s">
        <v>367</v>
      </c>
      <c r="E316" s="342" t="s">
        <v>368</v>
      </c>
      <c r="F316" s="345" t="s">
        <v>369</v>
      </c>
      <c r="G316" s="308">
        <v>3</v>
      </c>
      <c r="H316" s="309">
        <v>23000</v>
      </c>
      <c r="I316" s="309">
        <v>69000</v>
      </c>
      <c r="J316" s="211"/>
      <c r="K316" s="212" t="str">
        <f>IF(OR(J316="",G316=J316),"","*")</f>
        <v/>
      </c>
      <c r="L316" s="338">
        <f>IF($A316&lt;=L$1,I316/I$4,"")</f>
        <v>1.2847725793334499E-3</v>
      </c>
      <c r="M316" s="343"/>
      <c r="N316" s="344"/>
      <c r="O316" s="310">
        <v>0</v>
      </c>
      <c r="P316" s="311">
        <v>0</v>
      </c>
      <c r="Q316" s="311">
        <v>0</v>
      </c>
      <c r="R316" s="211">
        <v>0</v>
      </c>
      <c r="S316" s="212"/>
      <c r="T316" s="213" t="e">
        <v>#DIV/0!</v>
      </c>
      <c r="U316" s="214"/>
      <c r="V316" s="215"/>
      <c r="W316" s="310">
        <v>0</v>
      </c>
      <c r="X316" s="311">
        <v>0</v>
      </c>
      <c r="Y316" s="311">
        <v>0</v>
      </c>
      <c r="Z316" s="211">
        <v>0</v>
      </c>
      <c r="AA316" s="212"/>
      <c r="AB316" s="213" t="e">
        <v>#DIV/0!</v>
      </c>
      <c r="AC316" s="214"/>
      <c r="AD316" s="215"/>
      <c r="AE316" s="342"/>
      <c r="AF316" s="341" t="s">
        <v>370</v>
      </c>
    </row>
    <row r="317" spans="1:32">
      <c r="A317" s="307">
        <v>3</v>
      </c>
      <c r="B317" s="342"/>
      <c r="C317" s="342" t="s">
        <v>179</v>
      </c>
      <c r="D317" s="340" t="s">
        <v>396</v>
      </c>
      <c r="E317" s="342"/>
      <c r="F317" s="345" t="s">
        <v>373</v>
      </c>
      <c r="G317" s="308">
        <v>1</v>
      </c>
      <c r="H317" s="309">
        <v>700</v>
      </c>
      <c r="I317" s="309">
        <v>700</v>
      </c>
      <c r="J317" s="211"/>
      <c r="K317" s="212" t="str">
        <f>IF(OR(J317="",G317=J317),"","*")</f>
        <v/>
      </c>
      <c r="L317" s="338">
        <f>IF($A317&lt;=L$1,I317/I$4,"")</f>
        <v>1.3033924717875579E-5</v>
      </c>
      <c r="M317" s="343"/>
      <c r="N317" s="344"/>
      <c r="O317" s="310">
        <v>0</v>
      </c>
      <c r="P317" s="311">
        <v>0</v>
      </c>
      <c r="Q317" s="311">
        <v>0</v>
      </c>
      <c r="R317" s="211">
        <v>0</v>
      </c>
      <c r="S317" s="212"/>
      <c r="T317" s="213" t="e">
        <v>#DIV/0!</v>
      </c>
      <c r="U317" s="214"/>
      <c r="V317" s="215"/>
      <c r="W317" s="310">
        <v>0</v>
      </c>
      <c r="X317" s="311">
        <v>0</v>
      </c>
      <c r="Y317" s="311">
        <v>0</v>
      </c>
      <c r="Z317" s="211">
        <v>0</v>
      </c>
      <c r="AA317" s="212"/>
      <c r="AB317" s="213" t="e">
        <v>#DIV/0!</v>
      </c>
      <c r="AC317" s="214"/>
      <c r="AD317" s="215"/>
      <c r="AE317" s="342"/>
      <c r="AF317" s="341" t="s">
        <v>374</v>
      </c>
    </row>
    <row r="318" spans="1:32">
      <c r="A318" s="307">
        <v>3</v>
      </c>
      <c r="B318" s="342"/>
      <c r="C318" s="342" t="s">
        <v>179</v>
      </c>
      <c r="D318" s="340" t="s">
        <v>397</v>
      </c>
      <c r="E318" s="342"/>
      <c r="F318" s="345" t="s">
        <v>373</v>
      </c>
      <c r="G318" s="308">
        <v>1</v>
      </c>
      <c r="H318" s="309">
        <v>700</v>
      </c>
      <c r="I318" s="309">
        <v>700</v>
      </c>
      <c r="J318" s="211"/>
      <c r="K318" s="212" t="str">
        <f>IF(OR(J318="",G318=J318),"","*")</f>
        <v/>
      </c>
      <c r="L318" s="338">
        <f>IF($A318&lt;=L$1,I318/I$4,"")</f>
        <v>1.3033924717875579E-5</v>
      </c>
      <c r="M318" s="343"/>
      <c r="N318" s="344"/>
      <c r="O318" s="310">
        <v>0</v>
      </c>
      <c r="P318" s="311">
        <v>0</v>
      </c>
      <c r="Q318" s="311">
        <v>0</v>
      </c>
      <c r="R318" s="211">
        <v>0</v>
      </c>
      <c r="S318" s="212"/>
      <c r="T318" s="213" t="e">
        <v>#DIV/0!</v>
      </c>
      <c r="U318" s="214"/>
      <c r="V318" s="215"/>
      <c r="W318" s="310">
        <v>0</v>
      </c>
      <c r="X318" s="311">
        <v>0</v>
      </c>
      <c r="Y318" s="311">
        <v>0</v>
      </c>
      <c r="Z318" s="211">
        <v>0</v>
      </c>
      <c r="AA318" s="212"/>
      <c r="AB318" s="213" t="e">
        <v>#DIV/0!</v>
      </c>
      <c r="AC318" s="214"/>
      <c r="AD318" s="215"/>
      <c r="AE318" s="342"/>
      <c r="AF318" s="341" t="s">
        <v>374</v>
      </c>
    </row>
    <row r="319" spans="1:32">
      <c r="A319" s="307">
        <v>3</v>
      </c>
      <c r="B319" s="342"/>
      <c r="C319" s="342" t="s">
        <v>176</v>
      </c>
      <c r="D319" s="340" t="s">
        <v>363</v>
      </c>
      <c r="E319" s="342"/>
      <c r="F319" s="345" t="s">
        <v>503</v>
      </c>
      <c r="G319" s="308">
        <v>30</v>
      </c>
      <c r="H319" s="309">
        <v>145</v>
      </c>
      <c r="I319" s="309">
        <v>4350</v>
      </c>
      <c r="J319" s="211"/>
      <c r="K319" s="212" t="str">
        <f>IF(OR(J319="",G319=J319),"","*")</f>
        <v/>
      </c>
      <c r="L319" s="338">
        <f>IF($A319&lt;=L$1,I319/I$4,"")</f>
        <v>8.0996532175369671E-5</v>
      </c>
      <c r="M319" s="343"/>
      <c r="N319" s="344"/>
      <c r="O319" s="310">
        <v>0</v>
      </c>
      <c r="P319" s="311">
        <v>0</v>
      </c>
      <c r="Q319" s="311">
        <v>0</v>
      </c>
      <c r="R319" s="211">
        <v>0</v>
      </c>
      <c r="S319" s="212"/>
      <c r="T319" s="213" t="e">
        <v>#DIV/0!</v>
      </c>
      <c r="U319" s="214"/>
      <c r="V319" s="215"/>
      <c r="W319" s="310">
        <v>0</v>
      </c>
      <c r="X319" s="311">
        <v>0</v>
      </c>
      <c r="Y319" s="311">
        <v>0</v>
      </c>
      <c r="Z319" s="211">
        <v>0</v>
      </c>
      <c r="AA319" s="212"/>
      <c r="AB319" s="213" t="e">
        <v>#DIV/0!</v>
      </c>
      <c r="AC319" s="214"/>
      <c r="AD319" s="215"/>
      <c r="AE319" s="342" t="s">
        <v>365</v>
      </c>
      <c r="AF319" s="341" t="s">
        <v>662</v>
      </c>
    </row>
    <row r="320" spans="1:32">
      <c r="A320" s="307">
        <v>3</v>
      </c>
      <c r="B320" s="342"/>
      <c r="C320" s="342" t="s">
        <v>176</v>
      </c>
      <c r="D320" s="340" t="s">
        <v>505</v>
      </c>
      <c r="E320" s="342"/>
      <c r="F320" s="345" t="s">
        <v>503</v>
      </c>
      <c r="G320" s="308">
        <v>20</v>
      </c>
      <c r="H320" s="309">
        <v>165</v>
      </c>
      <c r="I320" s="309">
        <v>3300</v>
      </c>
      <c r="J320" s="211"/>
      <c r="K320" s="212" t="str">
        <f>IF(OR(J320="",G320=J320),"","*")</f>
        <v/>
      </c>
      <c r="L320" s="338">
        <f>IF($A320&lt;=L$1,I320/I$4,"")</f>
        <v>6.1445645098556298E-5</v>
      </c>
      <c r="M320" s="343"/>
      <c r="N320" s="344"/>
      <c r="O320" s="310">
        <v>0</v>
      </c>
      <c r="P320" s="311">
        <v>0</v>
      </c>
      <c r="Q320" s="311">
        <v>0</v>
      </c>
      <c r="R320" s="211">
        <v>0</v>
      </c>
      <c r="S320" s="212"/>
      <c r="T320" s="213" t="e">
        <v>#DIV/0!</v>
      </c>
      <c r="U320" s="214"/>
      <c r="V320" s="215"/>
      <c r="W320" s="310">
        <v>0</v>
      </c>
      <c r="X320" s="311">
        <v>0</v>
      </c>
      <c r="Y320" s="311">
        <v>0</v>
      </c>
      <c r="Z320" s="211">
        <v>0</v>
      </c>
      <c r="AA320" s="212"/>
      <c r="AB320" s="213" t="e">
        <v>#DIV/0!</v>
      </c>
      <c r="AC320" s="214"/>
      <c r="AD320" s="215"/>
      <c r="AE320" s="342" t="s">
        <v>506</v>
      </c>
      <c r="AF320" s="341" t="s">
        <v>527</v>
      </c>
    </row>
    <row r="321" spans="1:32">
      <c r="A321" s="307">
        <v>3</v>
      </c>
      <c r="B321" s="342"/>
      <c r="C321" s="342" t="s">
        <v>176</v>
      </c>
      <c r="D321" s="340" t="s">
        <v>663</v>
      </c>
      <c r="E321" s="342"/>
      <c r="F321" s="345" t="s">
        <v>173</v>
      </c>
      <c r="G321" s="308">
        <v>1</v>
      </c>
      <c r="H321" s="309">
        <v>30000</v>
      </c>
      <c r="I321" s="309">
        <v>30000</v>
      </c>
      <c r="J321" s="211"/>
      <c r="K321" s="212" t="str">
        <f>IF(OR(J321="",G321=J321),"","*")</f>
        <v/>
      </c>
      <c r="L321" s="338">
        <f>IF($A321&lt;=L$1,I321/I$4,"")</f>
        <v>5.5859677362323911E-4</v>
      </c>
      <c r="M321" s="343"/>
      <c r="N321" s="344"/>
      <c r="O321" s="310">
        <v>0</v>
      </c>
      <c r="P321" s="311">
        <v>0</v>
      </c>
      <c r="Q321" s="311">
        <v>0</v>
      </c>
      <c r="R321" s="211">
        <v>0</v>
      </c>
      <c r="S321" s="212"/>
      <c r="T321" s="213" t="e">
        <v>#DIV/0!</v>
      </c>
      <c r="U321" s="214"/>
      <c r="V321" s="215"/>
      <c r="W321" s="310">
        <v>0</v>
      </c>
      <c r="X321" s="311">
        <v>0</v>
      </c>
      <c r="Y321" s="311">
        <v>0</v>
      </c>
      <c r="Z321" s="211">
        <v>0</v>
      </c>
      <c r="AA321" s="212"/>
      <c r="AB321" s="213" t="e">
        <v>#DIV/0!</v>
      </c>
      <c r="AC321" s="214"/>
      <c r="AD321" s="215"/>
      <c r="AE321" s="342"/>
      <c r="AF321" s="341"/>
    </row>
    <row r="322" spans="1:32">
      <c r="A322" s="307">
        <v>2</v>
      </c>
      <c r="B322" s="342"/>
      <c r="C322" s="342" t="s">
        <v>355</v>
      </c>
      <c r="D322" s="340" t="s">
        <v>664</v>
      </c>
      <c r="E322" s="342"/>
      <c r="F322" s="345" t="s">
        <v>173</v>
      </c>
      <c r="G322" s="308">
        <v>1</v>
      </c>
      <c r="H322" s="309">
        <v>20000</v>
      </c>
      <c r="I322" s="309">
        <v>20000</v>
      </c>
      <c r="J322" s="211">
        <v>1</v>
      </c>
      <c r="K322" s="212" t="str">
        <f>IF(OR(J322="",G322=J322),"","*")</f>
        <v/>
      </c>
      <c r="L322" s="338">
        <f>IF($A322&lt;=L$1,I322/I$4,"")</f>
        <v>3.7239784908215941E-4</v>
      </c>
      <c r="M322" s="343"/>
      <c r="N322" s="344" t="s">
        <v>665</v>
      </c>
      <c r="O322" s="310">
        <v>0</v>
      </c>
      <c r="P322" s="311">
        <v>0</v>
      </c>
      <c r="Q322" s="311">
        <v>0</v>
      </c>
      <c r="R322" s="211">
        <v>0</v>
      </c>
      <c r="S322" s="212"/>
      <c r="T322" s="213" t="e">
        <v>#DIV/0!</v>
      </c>
      <c r="U322" s="214"/>
      <c r="V322" s="215"/>
      <c r="W322" s="310">
        <v>0</v>
      </c>
      <c r="X322" s="311">
        <v>0</v>
      </c>
      <c r="Y322" s="311">
        <v>0</v>
      </c>
      <c r="Z322" s="211">
        <v>0</v>
      </c>
      <c r="AA322" s="212"/>
      <c r="AB322" s="213" t="e">
        <v>#DIV/0!</v>
      </c>
      <c r="AC322" s="214"/>
      <c r="AD322" s="215"/>
      <c r="AE322" s="342"/>
      <c r="AF322" s="341"/>
    </row>
    <row r="323" spans="1:32">
      <c r="A323" s="307">
        <v>3</v>
      </c>
      <c r="B323" s="342"/>
      <c r="C323" s="342"/>
      <c r="D323" s="340" t="s">
        <v>387</v>
      </c>
      <c r="E323" s="342"/>
      <c r="F323" s="345" t="s">
        <v>173</v>
      </c>
      <c r="G323" s="308">
        <v>1</v>
      </c>
      <c r="H323" s="309">
        <v>20000</v>
      </c>
      <c r="I323" s="309">
        <v>20000</v>
      </c>
      <c r="J323" s="211"/>
      <c r="K323" s="212" t="str">
        <f>IF(OR(J323="",G323=J323),"","*")</f>
        <v/>
      </c>
      <c r="L323" s="338">
        <f>IF($A323&lt;=L$1,I323/I$4,"")</f>
        <v>3.7239784908215941E-4</v>
      </c>
      <c r="M323" s="343"/>
      <c r="N323" s="344" t="s">
        <v>388</v>
      </c>
      <c r="O323" s="310">
        <v>0</v>
      </c>
      <c r="P323" s="311">
        <v>0</v>
      </c>
      <c r="Q323" s="311">
        <v>0</v>
      </c>
      <c r="R323" s="211">
        <v>0</v>
      </c>
      <c r="S323" s="212"/>
      <c r="T323" s="213" t="e">
        <v>#DIV/0!</v>
      </c>
      <c r="U323" s="214"/>
      <c r="V323" s="215"/>
      <c r="W323" s="310">
        <v>0</v>
      </c>
      <c r="X323" s="311">
        <v>0</v>
      </c>
      <c r="Y323" s="311">
        <v>0</v>
      </c>
      <c r="Z323" s="211">
        <v>0</v>
      </c>
      <c r="AA323" s="212"/>
      <c r="AB323" s="213" t="e">
        <v>#DIV/0!</v>
      </c>
      <c r="AC323" s="214"/>
      <c r="AD323" s="215"/>
      <c r="AE323" s="342"/>
      <c r="AF323" s="341"/>
    </row>
    <row r="324" spans="1:32">
      <c r="A324" s="307">
        <v>2</v>
      </c>
      <c r="B324" s="342"/>
      <c r="C324" s="342" t="s">
        <v>355</v>
      </c>
      <c r="D324" s="340" t="s">
        <v>666</v>
      </c>
      <c r="E324" s="342"/>
      <c r="F324" s="345" t="s">
        <v>235</v>
      </c>
      <c r="G324" s="308">
        <v>54</v>
      </c>
      <c r="H324" s="309">
        <v>25799</v>
      </c>
      <c r="I324" s="309">
        <v>1393146</v>
      </c>
      <c r="J324" s="211">
        <v>29.4</v>
      </c>
      <c r="K324" s="212" t="str">
        <f>IF(OR(J324="",G324=J324),"","*")</f>
        <v>*</v>
      </c>
      <c r="L324" s="338">
        <f>IF($A324&lt;=L$1,I324/I$4,"")</f>
        <v>2.5940228692870701E-2</v>
      </c>
      <c r="M324" s="343"/>
      <c r="N324" s="344" t="s">
        <v>667</v>
      </c>
      <c r="O324" s="310">
        <v>0</v>
      </c>
      <c r="P324" s="311">
        <v>0</v>
      </c>
      <c r="Q324" s="311">
        <v>0</v>
      </c>
      <c r="R324" s="211">
        <v>0</v>
      </c>
      <c r="S324" s="212"/>
      <c r="T324" s="213" t="e">
        <v>#DIV/0!</v>
      </c>
      <c r="U324" s="214"/>
      <c r="V324" s="215"/>
      <c r="W324" s="310">
        <v>0</v>
      </c>
      <c r="X324" s="311">
        <v>0</v>
      </c>
      <c r="Y324" s="311">
        <v>0</v>
      </c>
      <c r="Z324" s="211">
        <v>0</v>
      </c>
      <c r="AA324" s="212"/>
      <c r="AB324" s="213" t="e">
        <v>#DIV/0!</v>
      </c>
      <c r="AC324" s="214"/>
      <c r="AD324" s="215"/>
      <c r="AE324" s="342"/>
      <c r="AF324" s="341"/>
    </row>
    <row r="325" spans="1:32">
      <c r="A325" s="307">
        <v>3</v>
      </c>
      <c r="B325" s="342"/>
      <c r="C325" s="342" t="s">
        <v>179</v>
      </c>
      <c r="D325" s="340" t="s">
        <v>371</v>
      </c>
      <c r="E325" s="342" t="s">
        <v>621</v>
      </c>
      <c r="F325" s="345" t="s">
        <v>373</v>
      </c>
      <c r="G325" s="308">
        <v>5</v>
      </c>
      <c r="H325" s="309">
        <v>6000</v>
      </c>
      <c r="I325" s="309">
        <v>30000</v>
      </c>
      <c r="J325" s="211"/>
      <c r="K325" s="212" t="str">
        <f>IF(OR(J325="",G325=J325),"","*")</f>
        <v/>
      </c>
      <c r="L325" s="338">
        <f>IF($A325&lt;=L$1,I325/I$4,"")</f>
        <v>5.5859677362323911E-4</v>
      </c>
      <c r="M325" s="343"/>
      <c r="N325" s="344"/>
      <c r="O325" s="310">
        <v>0</v>
      </c>
      <c r="P325" s="311">
        <v>0</v>
      </c>
      <c r="Q325" s="311">
        <v>0</v>
      </c>
      <c r="R325" s="211">
        <v>0</v>
      </c>
      <c r="S325" s="212"/>
      <c r="T325" s="213" t="e">
        <v>#DIV/0!</v>
      </c>
      <c r="U325" s="214"/>
      <c r="V325" s="215"/>
      <c r="W325" s="310">
        <v>0</v>
      </c>
      <c r="X325" s="311">
        <v>0</v>
      </c>
      <c r="Y325" s="311">
        <v>0</v>
      </c>
      <c r="Z325" s="211">
        <v>0</v>
      </c>
      <c r="AA325" s="212"/>
      <c r="AB325" s="213" t="e">
        <v>#DIV/0!</v>
      </c>
      <c r="AC325" s="214"/>
      <c r="AD325" s="215"/>
      <c r="AE325" s="342"/>
      <c r="AF325" s="341" t="s">
        <v>393</v>
      </c>
    </row>
    <row r="326" spans="1:32">
      <c r="A326" s="307">
        <v>3</v>
      </c>
      <c r="B326" s="342"/>
      <c r="C326" s="342" t="s">
        <v>180</v>
      </c>
      <c r="D326" s="340" t="s">
        <v>482</v>
      </c>
      <c r="E326" s="342"/>
      <c r="F326" s="345" t="s">
        <v>373</v>
      </c>
      <c r="G326" s="308">
        <v>5</v>
      </c>
      <c r="H326" s="309">
        <v>9800</v>
      </c>
      <c r="I326" s="309">
        <v>49000</v>
      </c>
      <c r="J326" s="211"/>
      <c r="K326" s="212" t="str">
        <f>IF(OR(J326="",G326=J326),"","*")</f>
        <v/>
      </c>
      <c r="L326" s="338">
        <f>IF($A326&lt;=L$1,I326/I$4,"")</f>
        <v>9.1237473025129051E-4</v>
      </c>
      <c r="M326" s="343"/>
      <c r="N326" s="344"/>
      <c r="O326" s="310">
        <v>0</v>
      </c>
      <c r="P326" s="311">
        <v>0</v>
      </c>
      <c r="Q326" s="311">
        <v>0</v>
      </c>
      <c r="R326" s="211">
        <v>0</v>
      </c>
      <c r="S326" s="212"/>
      <c r="T326" s="213" t="e">
        <v>#DIV/0!</v>
      </c>
      <c r="U326" s="214"/>
      <c r="V326" s="215"/>
      <c r="W326" s="310">
        <v>0</v>
      </c>
      <c r="X326" s="311">
        <v>0</v>
      </c>
      <c r="Y326" s="311">
        <v>0</v>
      </c>
      <c r="Z326" s="211">
        <v>0</v>
      </c>
      <c r="AA326" s="212"/>
      <c r="AB326" s="213" t="e">
        <v>#DIV/0!</v>
      </c>
      <c r="AC326" s="214"/>
      <c r="AD326" s="215"/>
      <c r="AE326" s="342" t="s">
        <v>558</v>
      </c>
      <c r="AF326" s="341" t="s">
        <v>393</v>
      </c>
    </row>
    <row r="327" spans="1:32">
      <c r="A327" s="307">
        <v>3</v>
      </c>
      <c r="B327" s="342"/>
      <c r="C327" s="342" t="s">
        <v>177</v>
      </c>
      <c r="D327" s="340" t="s">
        <v>367</v>
      </c>
      <c r="E327" s="342" t="s">
        <v>368</v>
      </c>
      <c r="F327" s="345" t="s">
        <v>369</v>
      </c>
      <c r="G327" s="308">
        <v>15</v>
      </c>
      <c r="H327" s="309">
        <v>23000</v>
      </c>
      <c r="I327" s="309">
        <v>345000</v>
      </c>
      <c r="J327" s="211"/>
      <c r="K327" s="212" t="str">
        <f>IF(OR(J327="",G327=J327),"","*")</f>
        <v/>
      </c>
      <c r="L327" s="338">
        <f>IF($A327&lt;=L$1,I327/I$4,"")</f>
        <v>6.4238628966672498E-3</v>
      </c>
      <c r="M327" s="343"/>
      <c r="N327" s="344"/>
      <c r="O327" s="310">
        <v>0</v>
      </c>
      <c r="P327" s="311">
        <v>0</v>
      </c>
      <c r="Q327" s="311">
        <v>0</v>
      </c>
      <c r="R327" s="211">
        <v>0</v>
      </c>
      <c r="S327" s="212"/>
      <c r="T327" s="213" t="e">
        <v>#DIV/0!</v>
      </c>
      <c r="U327" s="214"/>
      <c r="V327" s="215"/>
      <c r="W327" s="310">
        <v>0</v>
      </c>
      <c r="X327" s="311">
        <v>0</v>
      </c>
      <c r="Y327" s="311">
        <v>0</v>
      </c>
      <c r="Z327" s="211">
        <v>0</v>
      </c>
      <c r="AA327" s="212"/>
      <c r="AB327" s="213" t="e">
        <v>#DIV/0!</v>
      </c>
      <c r="AC327" s="214"/>
      <c r="AD327" s="215"/>
      <c r="AE327" s="342"/>
      <c r="AF327" s="341" t="s">
        <v>620</v>
      </c>
    </row>
    <row r="328" spans="1:32">
      <c r="A328" s="307">
        <v>3</v>
      </c>
      <c r="B328" s="342"/>
      <c r="C328" s="342" t="s">
        <v>179</v>
      </c>
      <c r="D328" s="340" t="s">
        <v>397</v>
      </c>
      <c r="E328" s="342"/>
      <c r="F328" s="345" t="s">
        <v>373</v>
      </c>
      <c r="G328" s="308">
        <v>5</v>
      </c>
      <c r="H328" s="309">
        <v>700</v>
      </c>
      <c r="I328" s="309">
        <v>3500</v>
      </c>
      <c r="J328" s="211"/>
      <c r="K328" s="212" t="str">
        <f>IF(OR(J328="",G328=J328),"","*")</f>
        <v/>
      </c>
      <c r="L328" s="338">
        <f>IF($A328&lt;=L$1,I328/I$4,"")</f>
        <v>6.5169623589377901E-5</v>
      </c>
      <c r="M328" s="343"/>
      <c r="N328" s="344"/>
      <c r="O328" s="310">
        <v>0</v>
      </c>
      <c r="P328" s="311">
        <v>0</v>
      </c>
      <c r="Q328" s="311">
        <v>0</v>
      </c>
      <c r="R328" s="211">
        <v>0</v>
      </c>
      <c r="S328" s="212"/>
      <c r="T328" s="213" t="e">
        <v>#DIV/0!</v>
      </c>
      <c r="U328" s="214"/>
      <c r="V328" s="215"/>
      <c r="W328" s="310">
        <v>0</v>
      </c>
      <c r="X328" s="311">
        <v>0</v>
      </c>
      <c r="Y328" s="311">
        <v>0</v>
      </c>
      <c r="Z328" s="211">
        <v>0</v>
      </c>
      <c r="AA328" s="212"/>
      <c r="AB328" s="213" t="e">
        <v>#DIV/0!</v>
      </c>
      <c r="AC328" s="214"/>
      <c r="AD328" s="215"/>
      <c r="AE328" s="342"/>
      <c r="AF328" s="341" t="s">
        <v>393</v>
      </c>
    </row>
    <row r="329" spans="1:32">
      <c r="A329" s="307">
        <v>3</v>
      </c>
      <c r="B329" s="342"/>
      <c r="C329" s="342" t="s">
        <v>180</v>
      </c>
      <c r="D329" s="340" t="s">
        <v>383</v>
      </c>
      <c r="E329" s="342" t="s">
        <v>384</v>
      </c>
      <c r="F329" s="345" t="s">
        <v>373</v>
      </c>
      <c r="G329" s="308">
        <v>5</v>
      </c>
      <c r="H329" s="309">
        <v>4000</v>
      </c>
      <c r="I329" s="309">
        <v>20000</v>
      </c>
      <c r="J329" s="211"/>
      <c r="K329" s="212" t="str">
        <f>IF(OR(J329="",G329=J329),"","*")</f>
        <v/>
      </c>
      <c r="L329" s="338">
        <f>IF($A329&lt;=L$1,I329/I$4,"")</f>
        <v>3.7239784908215941E-4</v>
      </c>
      <c r="M329" s="343"/>
      <c r="N329" s="344"/>
      <c r="O329" s="310">
        <v>0</v>
      </c>
      <c r="P329" s="311">
        <v>0</v>
      </c>
      <c r="Q329" s="311">
        <v>0</v>
      </c>
      <c r="R329" s="211">
        <v>0</v>
      </c>
      <c r="S329" s="212"/>
      <c r="T329" s="213" t="e">
        <v>#DIV/0!</v>
      </c>
      <c r="U329" s="214"/>
      <c r="V329" s="215"/>
      <c r="W329" s="310">
        <v>0</v>
      </c>
      <c r="X329" s="311">
        <v>0</v>
      </c>
      <c r="Y329" s="311">
        <v>0</v>
      </c>
      <c r="Z329" s="211">
        <v>0</v>
      </c>
      <c r="AA329" s="212"/>
      <c r="AB329" s="213" t="e">
        <v>#DIV/0!</v>
      </c>
      <c r="AC329" s="214"/>
      <c r="AD329" s="215"/>
      <c r="AE329" s="342" t="s">
        <v>636</v>
      </c>
      <c r="AF329" s="341" t="s">
        <v>393</v>
      </c>
    </row>
    <row r="330" spans="1:32">
      <c r="A330" s="307">
        <v>3</v>
      </c>
      <c r="B330" s="342"/>
      <c r="C330" s="342" t="s">
        <v>176</v>
      </c>
      <c r="D330" s="340" t="s">
        <v>363</v>
      </c>
      <c r="E330" s="342"/>
      <c r="F330" s="345" t="s">
        <v>503</v>
      </c>
      <c r="G330" s="308">
        <v>150</v>
      </c>
      <c r="H330" s="309">
        <v>145</v>
      </c>
      <c r="I330" s="309">
        <v>21750</v>
      </c>
      <c r="J330" s="211"/>
      <c r="K330" s="212" t="str">
        <f>IF(OR(J330="",G330=J330),"","*")</f>
        <v/>
      </c>
      <c r="L330" s="338">
        <f>IF($A330&lt;=L$1,I330/I$4,"")</f>
        <v>4.0498266087684833E-4</v>
      </c>
      <c r="M330" s="343"/>
      <c r="N330" s="344"/>
      <c r="O330" s="310">
        <v>0</v>
      </c>
      <c r="P330" s="311">
        <v>0</v>
      </c>
      <c r="Q330" s="311">
        <v>0</v>
      </c>
      <c r="R330" s="211">
        <v>0</v>
      </c>
      <c r="S330" s="212"/>
      <c r="T330" s="213" t="e">
        <v>#DIV/0!</v>
      </c>
      <c r="U330" s="214"/>
      <c r="V330" s="215"/>
      <c r="W330" s="310">
        <v>0</v>
      </c>
      <c r="X330" s="311">
        <v>0</v>
      </c>
      <c r="Y330" s="311">
        <v>0</v>
      </c>
      <c r="Z330" s="211">
        <v>0</v>
      </c>
      <c r="AA330" s="212"/>
      <c r="AB330" s="213" t="e">
        <v>#DIV/0!</v>
      </c>
      <c r="AC330" s="214"/>
      <c r="AD330" s="215"/>
      <c r="AE330" s="342" t="s">
        <v>365</v>
      </c>
      <c r="AF330" s="341" t="s">
        <v>622</v>
      </c>
    </row>
    <row r="331" spans="1:32">
      <c r="A331" s="307">
        <v>3</v>
      </c>
      <c r="B331" s="342"/>
      <c r="C331" s="342" t="s">
        <v>176</v>
      </c>
      <c r="D331" s="340" t="s">
        <v>505</v>
      </c>
      <c r="E331" s="342"/>
      <c r="F331" s="345" t="s">
        <v>503</v>
      </c>
      <c r="G331" s="308">
        <v>100</v>
      </c>
      <c r="H331" s="309">
        <v>165</v>
      </c>
      <c r="I331" s="309">
        <v>16500</v>
      </c>
      <c r="J331" s="211"/>
      <c r="K331" s="212" t="str">
        <f>IF(OR(J331="",G331=J331),"","*")</f>
        <v/>
      </c>
      <c r="L331" s="338">
        <f>IF($A331&lt;=L$1,I331/I$4,"")</f>
        <v>3.072282254927815E-4</v>
      </c>
      <c r="M331" s="343"/>
      <c r="N331" s="344"/>
      <c r="O331" s="310">
        <v>0</v>
      </c>
      <c r="P331" s="311">
        <v>0</v>
      </c>
      <c r="Q331" s="311">
        <v>0</v>
      </c>
      <c r="R331" s="211">
        <v>0</v>
      </c>
      <c r="S331" s="212"/>
      <c r="T331" s="213" t="e">
        <v>#DIV/0!</v>
      </c>
      <c r="U331" s="214"/>
      <c r="V331" s="215"/>
      <c r="W331" s="310">
        <v>0</v>
      </c>
      <c r="X331" s="311">
        <v>0</v>
      </c>
      <c r="Y331" s="311">
        <v>0</v>
      </c>
      <c r="Z331" s="211">
        <v>0</v>
      </c>
      <c r="AA331" s="212"/>
      <c r="AB331" s="213" t="e">
        <v>#DIV/0!</v>
      </c>
      <c r="AC331" s="214"/>
      <c r="AD331" s="215"/>
      <c r="AE331" s="342" t="s">
        <v>506</v>
      </c>
      <c r="AF331" s="341" t="s">
        <v>668</v>
      </c>
    </row>
    <row r="332" spans="1:32">
      <c r="A332" s="307">
        <v>3</v>
      </c>
      <c r="B332" s="342"/>
      <c r="C332" s="342" t="s">
        <v>179</v>
      </c>
      <c r="D332" s="340" t="s">
        <v>669</v>
      </c>
      <c r="E332" s="342" t="s">
        <v>670</v>
      </c>
      <c r="F332" s="345" t="s">
        <v>373</v>
      </c>
      <c r="G332" s="308">
        <v>5</v>
      </c>
      <c r="H332" s="309">
        <v>3550</v>
      </c>
      <c r="I332" s="309">
        <v>17750</v>
      </c>
      <c r="J332" s="211"/>
      <c r="K332" s="212" t="str">
        <f>IF(OR(J332="",G332=J332),"","*")</f>
        <v/>
      </c>
      <c r="L332" s="338">
        <f>IF($A332&lt;=L$1,I332/I$4,"")</f>
        <v>3.3050309106041648E-4</v>
      </c>
      <c r="M332" s="343"/>
      <c r="N332" s="344"/>
      <c r="O332" s="310">
        <v>0</v>
      </c>
      <c r="P332" s="311">
        <v>0</v>
      </c>
      <c r="Q332" s="311">
        <v>0</v>
      </c>
      <c r="R332" s="211">
        <v>0</v>
      </c>
      <c r="S332" s="212"/>
      <c r="T332" s="213" t="e">
        <v>#DIV/0!</v>
      </c>
      <c r="U332" s="214"/>
      <c r="V332" s="215"/>
      <c r="W332" s="310">
        <v>0</v>
      </c>
      <c r="X332" s="311">
        <v>0</v>
      </c>
      <c r="Y332" s="311">
        <v>0</v>
      </c>
      <c r="Z332" s="211">
        <v>0</v>
      </c>
      <c r="AA332" s="212"/>
      <c r="AB332" s="213" t="e">
        <v>#DIV/0!</v>
      </c>
      <c r="AC332" s="214"/>
      <c r="AD332" s="215"/>
      <c r="AE332" s="342" t="s">
        <v>671</v>
      </c>
      <c r="AF332" s="341" t="s">
        <v>393</v>
      </c>
    </row>
    <row r="333" spans="1:32">
      <c r="A333" s="307">
        <v>3</v>
      </c>
      <c r="B333" s="342"/>
      <c r="C333" s="342" t="s">
        <v>176</v>
      </c>
      <c r="D333" s="340" t="s">
        <v>672</v>
      </c>
      <c r="E333" s="342"/>
      <c r="F333" s="345" t="s">
        <v>173</v>
      </c>
      <c r="G333" s="308">
        <v>1</v>
      </c>
      <c r="H333" s="309">
        <v>255000</v>
      </c>
      <c r="I333" s="309">
        <v>255000</v>
      </c>
      <c r="J333" s="211"/>
      <c r="K333" s="212" t="str">
        <f>IF(OR(J333="",G333=J333),"","*")</f>
        <v/>
      </c>
      <c r="L333" s="338">
        <f>IF($A333&lt;=L$1,I333/I$4,"")</f>
        <v>4.7480725757975319E-3</v>
      </c>
      <c r="M333" s="343"/>
      <c r="N333" s="344"/>
      <c r="O333" s="310">
        <v>0</v>
      </c>
      <c r="P333" s="311">
        <v>0</v>
      </c>
      <c r="Q333" s="311">
        <v>0</v>
      </c>
      <c r="R333" s="211">
        <v>0</v>
      </c>
      <c r="S333" s="212"/>
      <c r="T333" s="213" t="e">
        <v>#DIV/0!</v>
      </c>
      <c r="U333" s="214"/>
      <c r="V333" s="215"/>
      <c r="W333" s="310">
        <v>0</v>
      </c>
      <c r="X333" s="311">
        <v>0</v>
      </c>
      <c r="Y333" s="311">
        <v>0</v>
      </c>
      <c r="Z333" s="211">
        <v>0</v>
      </c>
      <c r="AA333" s="212"/>
      <c r="AB333" s="213" t="e">
        <v>#DIV/0!</v>
      </c>
      <c r="AC333" s="214"/>
      <c r="AD333" s="215"/>
      <c r="AE333" s="342"/>
      <c r="AF333" s="341"/>
    </row>
    <row r="334" spans="1:32">
      <c r="A334" s="307">
        <v>2</v>
      </c>
      <c r="B334" s="342"/>
      <c r="C334" s="342" t="s">
        <v>355</v>
      </c>
      <c r="D334" s="340" t="s">
        <v>673</v>
      </c>
      <c r="E334" s="342" t="s">
        <v>342</v>
      </c>
      <c r="F334" s="345" t="s">
        <v>235</v>
      </c>
      <c r="G334" s="308">
        <v>30</v>
      </c>
      <c r="H334" s="309">
        <v>7228</v>
      </c>
      <c r="I334" s="309">
        <v>216840</v>
      </c>
      <c r="J334" s="211">
        <v>30</v>
      </c>
      <c r="K334" s="212" t="str">
        <f>IF(OR(J334="",G334=J334),"","*")</f>
        <v/>
      </c>
      <c r="L334" s="338">
        <f>IF($A334&lt;=L$1,I334/I$4,"")</f>
        <v>4.0375374797487719E-3</v>
      </c>
      <c r="M334" s="343"/>
      <c r="N334" s="344" t="s">
        <v>674</v>
      </c>
      <c r="O334" s="310">
        <v>0</v>
      </c>
      <c r="P334" s="311">
        <v>0</v>
      </c>
      <c r="Q334" s="311">
        <v>0</v>
      </c>
      <c r="R334" s="211">
        <v>0</v>
      </c>
      <c r="S334" s="212"/>
      <c r="T334" s="213" t="e">
        <v>#DIV/0!</v>
      </c>
      <c r="U334" s="214"/>
      <c r="V334" s="215"/>
      <c r="W334" s="310">
        <v>0</v>
      </c>
      <c r="X334" s="311">
        <v>0</v>
      </c>
      <c r="Y334" s="311">
        <v>0</v>
      </c>
      <c r="Z334" s="211">
        <v>0</v>
      </c>
      <c r="AA334" s="212"/>
      <c r="AB334" s="213" t="e">
        <v>#DIV/0!</v>
      </c>
      <c r="AC334" s="214"/>
      <c r="AD334" s="215"/>
      <c r="AE334" s="342"/>
      <c r="AF334" s="341"/>
    </row>
    <row r="335" spans="1:32">
      <c r="A335" s="307">
        <v>3</v>
      </c>
      <c r="B335" s="342"/>
      <c r="C335" s="342" t="s">
        <v>177</v>
      </c>
      <c r="D335" s="340" t="s">
        <v>367</v>
      </c>
      <c r="E335" s="342" t="s">
        <v>368</v>
      </c>
      <c r="F335" s="345" t="s">
        <v>369</v>
      </c>
      <c r="G335" s="308">
        <v>4</v>
      </c>
      <c r="H335" s="309">
        <v>23000</v>
      </c>
      <c r="I335" s="309">
        <v>92000</v>
      </c>
      <c r="J335" s="211"/>
      <c r="K335" s="212" t="str">
        <f>IF(OR(J335="",G335=J335),"","*")</f>
        <v/>
      </c>
      <c r="L335" s="338">
        <f>IF($A335&lt;=L$1,I335/I$4,"")</f>
        <v>1.7130301057779332E-3</v>
      </c>
      <c r="M335" s="343"/>
      <c r="N335" s="344"/>
      <c r="O335" s="310">
        <v>0</v>
      </c>
      <c r="P335" s="311">
        <v>0</v>
      </c>
      <c r="Q335" s="311">
        <v>0</v>
      </c>
      <c r="R335" s="211">
        <v>0</v>
      </c>
      <c r="S335" s="212"/>
      <c r="T335" s="213" t="e">
        <v>#DIV/0!</v>
      </c>
      <c r="U335" s="214"/>
      <c r="V335" s="215"/>
      <c r="W335" s="310">
        <v>0</v>
      </c>
      <c r="X335" s="311">
        <v>0</v>
      </c>
      <c r="Y335" s="311">
        <v>0</v>
      </c>
      <c r="Z335" s="211">
        <v>0</v>
      </c>
      <c r="AA335" s="212"/>
      <c r="AB335" s="213" t="e">
        <v>#DIV/0!</v>
      </c>
      <c r="AC335" s="214"/>
      <c r="AD335" s="215"/>
      <c r="AE335" s="342"/>
      <c r="AF335" s="341" t="s">
        <v>557</v>
      </c>
    </row>
    <row r="336" spans="1:32">
      <c r="A336" s="307">
        <v>3</v>
      </c>
      <c r="B336" s="342"/>
      <c r="C336" s="342" t="s">
        <v>179</v>
      </c>
      <c r="D336" s="340" t="s">
        <v>371</v>
      </c>
      <c r="E336" s="342" t="s">
        <v>621</v>
      </c>
      <c r="F336" s="345" t="s">
        <v>373</v>
      </c>
      <c r="G336" s="308">
        <v>1</v>
      </c>
      <c r="H336" s="309">
        <v>6000</v>
      </c>
      <c r="I336" s="309">
        <v>6000</v>
      </c>
      <c r="J336" s="211"/>
      <c r="K336" s="212" t="str">
        <f>IF(OR(J336="",G336=J336),"","*")</f>
        <v/>
      </c>
      <c r="L336" s="338">
        <f>IF($A336&lt;=L$1,I336/I$4,"")</f>
        <v>1.1171935472464781E-4</v>
      </c>
      <c r="M336" s="343"/>
      <c r="N336" s="344"/>
      <c r="O336" s="310">
        <v>0</v>
      </c>
      <c r="P336" s="311">
        <v>0</v>
      </c>
      <c r="Q336" s="311">
        <v>0</v>
      </c>
      <c r="R336" s="211">
        <v>0</v>
      </c>
      <c r="S336" s="212"/>
      <c r="T336" s="213" t="e">
        <v>#DIV/0!</v>
      </c>
      <c r="U336" s="214"/>
      <c r="V336" s="215"/>
      <c r="W336" s="310">
        <v>0</v>
      </c>
      <c r="X336" s="311">
        <v>0</v>
      </c>
      <c r="Y336" s="311">
        <v>0</v>
      </c>
      <c r="Z336" s="211">
        <v>0</v>
      </c>
      <c r="AA336" s="212"/>
      <c r="AB336" s="213" t="e">
        <v>#DIV/0!</v>
      </c>
      <c r="AC336" s="214"/>
      <c r="AD336" s="215"/>
      <c r="AE336" s="342"/>
      <c r="AF336" s="341" t="s">
        <v>374</v>
      </c>
    </row>
    <row r="337" spans="1:32">
      <c r="A337" s="307">
        <v>3</v>
      </c>
      <c r="B337" s="342"/>
      <c r="C337" s="342" t="s">
        <v>180</v>
      </c>
      <c r="D337" s="340" t="s">
        <v>482</v>
      </c>
      <c r="E337" s="342"/>
      <c r="F337" s="345" t="s">
        <v>373</v>
      </c>
      <c r="G337" s="308">
        <v>1</v>
      </c>
      <c r="H337" s="309">
        <v>9800</v>
      </c>
      <c r="I337" s="309">
        <v>9800</v>
      </c>
      <c r="J337" s="211"/>
      <c r="K337" s="212" t="str">
        <f>IF(OR(J337="",G337=J337),"","*")</f>
        <v/>
      </c>
      <c r="L337" s="338">
        <f>IF($A337&lt;=L$1,I337/I$4,"")</f>
        <v>1.8247494605025811E-4</v>
      </c>
      <c r="M337" s="343"/>
      <c r="N337" s="344"/>
      <c r="O337" s="310">
        <v>0</v>
      </c>
      <c r="P337" s="311">
        <v>0</v>
      </c>
      <c r="Q337" s="311">
        <v>0</v>
      </c>
      <c r="R337" s="211">
        <v>0</v>
      </c>
      <c r="S337" s="212"/>
      <c r="T337" s="213" t="e">
        <v>#DIV/0!</v>
      </c>
      <c r="U337" s="214"/>
      <c r="V337" s="215"/>
      <c r="W337" s="310">
        <v>0</v>
      </c>
      <c r="X337" s="311">
        <v>0</v>
      </c>
      <c r="Y337" s="311">
        <v>0</v>
      </c>
      <c r="Z337" s="211">
        <v>0</v>
      </c>
      <c r="AA337" s="212"/>
      <c r="AB337" s="213" t="e">
        <v>#DIV/0!</v>
      </c>
      <c r="AC337" s="214"/>
      <c r="AD337" s="215"/>
      <c r="AE337" s="342" t="s">
        <v>558</v>
      </c>
      <c r="AF337" s="341" t="s">
        <v>374</v>
      </c>
    </row>
    <row r="338" spans="1:32">
      <c r="A338" s="307">
        <v>3</v>
      </c>
      <c r="B338" s="342"/>
      <c r="C338" s="342" t="s">
        <v>176</v>
      </c>
      <c r="D338" s="340" t="s">
        <v>505</v>
      </c>
      <c r="E338" s="342"/>
      <c r="F338" s="345" t="s">
        <v>503</v>
      </c>
      <c r="G338" s="308">
        <v>20</v>
      </c>
      <c r="H338" s="309">
        <v>165</v>
      </c>
      <c r="I338" s="309">
        <v>3300</v>
      </c>
      <c r="J338" s="211"/>
      <c r="K338" s="212" t="str">
        <f>IF(OR(J338="",G338=J338),"","*")</f>
        <v/>
      </c>
      <c r="L338" s="338">
        <f>IF($A338&lt;=L$1,I338/I$4,"")</f>
        <v>6.1445645098556298E-5</v>
      </c>
      <c r="M338" s="343"/>
      <c r="N338" s="344"/>
      <c r="O338" s="310">
        <v>0</v>
      </c>
      <c r="P338" s="311">
        <v>0</v>
      </c>
      <c r="Q338" s="311">
        <v>0</v>
      </c>
      <c r="R338" s="211">
        <v>0</v>
      </c>
      <c r="S338" s="212"/>
      <c r="T338" s="213" t="e">
        <v>#DIV/0!</v>
      </c>
      <c r="U338" s="214"/>
      <c r="V338" s="215"/>
      <c r="W338" s="310">
        <v>0</v>
      </c>
      <c r="X338" s="311">
        <v>0</v>
      </c>
      <c r="Y338" s="311">
        <v>0</v>
      </c>
      <c r="Z338" s="211">
        <v>0</v>
      </c>
      <c r="AA338" s="212"/>
      <c r="AB338" s="213" t="e">
        <v>#DIV/0!</v>
      </c>
      <c r="AC338" s="214"/>
      <c r="AD338" s="215"/>
      <c r="AE338" s="342" t="s">
        <v>506</v>
      </c>
      <c r="AF338" s="341" t="s">
        <v>527</v>
      </c>
    </row>
    <row r="339" spans="1:32">
      <c r="A339" s="307">
        <v>3</v>
      </c>
      <c r="B339" s="342"/>
      <c r="C339" s="342" t="s">
        <v>176</v>
      </c>
      <c r="D339" s="340" t="s">
        <v>363</v>
      </c>
      <c r="E339" s="342"/>
      <c r="F339" s="345" t="s">
        <v>503</v>
      </c>
      <c r="G339" s="308">
        <v>30</v>
      </c>
      <c r="H339" s="309">
        <v>145</v>
      </c>
      <c r="I339" s="309">
        <v>4350</v>
      </c>
      <c r="J339" s="211"/>
      <c r="K339" s="212" t="str">
        <f>IF(OR(J339="",G339=J339),"","*")</f>
        <v/>
      </c>
      <c r="L339" s="338">
        <f>IF($A339&lt;=L$1,I339/I$4,"")</f>
        <v>8.0996532175369671E-5</v>
      </c>
      <c r="M339" s="343"/>
      <c r="N339" s="344"/>
      <c r="O339" s="310">
        <v>0</v>
      </c>
      <c r="P339" s="311">
        <v>0</v>
      </c>
      <c r="Q339" s="311">
        <v>0</v>
      </c>
      <c r="R339" s="211">
        <v>0</v>
      </c>
      <c r="S339" s="212"/>
      <c r="T339" s="213" t="e">
        <v>#DIV/0!</v>
      </c>
      <c r="U339" s="214"/>
      <c r="V339" s="215"/>
      <c r="W339" s="310">
        <v>0</v>
      </c>
      <c r="X339" s="311">
        <v>0</v>
      </c>
      <c r="Y339" s="311">
        <v>0</v>
      </c>
      <c r="Z339" s="211">
        <v>0</v>
      </c>
      <c r="AA339" s="212"/>
      <c r="AB339" s="213" t="e">
        <v>#DIV/0!</v>
      </c>
      <c r="AC339" s="214"/>
      <c r="AD339" s="215"/>
      <c r="AE339" s="342" t="s">
        <v>365</v>
      </c>
      <c r="AF339" s="341" t="s">
        <v>662</v>
      </c>
    </row>
    <row r="340" spans="1:32">
      <c r="A340" s="307">
        <v>3</v>
      </c>
      <c r="B340" s="342"/>
      <c r="C340" s="342" t="s">
        <v>179</v>
      </c>
      <c r="D340" s="340" t="s">
        <v>397</v>
      </c>
      <c r="E340" s="342"/>
      <c r="F340" s="345" t="s">
        <v>373</v>
      </c>
      <c r="G340" s="308">
        <v>1</v>
      </c>
      <c r="H340" s="309">
        <v>700</v>
      </c>
      <c r="I340" s="309">
        <v>700</v>
      </c>
      <c r="J340" s="211"/>
      <c r="K340" s="212" t="str">
        <f>IF(OR(J340="",G340=J340),"","*")</f>
        <v/>
      </c>
      <c r="L340" s="338">
        <f>IF($A340&lt;=L$1,I340/I$4,"")</f>
        <v>1.3033924717875579E-5</v>
      </c>
      <c r="M340" s="343"/>
      <c r="N340" s="344"/>
      <c r="O340" s="310">
        <v>0</v>
      </c>
      <c r="P340" s="311">
        <v>0</v>
      </c>
      <c r="Q340" s="311">
        <v>0</v>
      </c>
      <c r="R340" s="211">
        <v>0</v>
      </c>
      <c r="S340" s="212"/>
      <c r="T340" s="213" t="e">
        <v>#DIV/0!</v>
      </c>
      <c r="U340" s="214"/>
      <c r="V340" s="215"/>
      <c r="W340" s="310">
        <v>0</v>
      </c>
      <c r="X340" s="311">
        <v>0</v>
      </c>
      <c r="Y340" s="311">
        <v>0</v>
      </c>
      <c r="Z340" s="211">
        <v>0</v>
      </c>
      <c r="AA340" s="212"/>
      <c r="AB340" s="213" t="e">
        <v>#DIV/0!</v>
      </c>
      <c r="AC340" s="214"/>
      <c r="AD340" s="215"/>
      <c r="AE340" s="342"/>
      <c r="AF340" s="341" t="s">
        <v>374</v>
      </c>
    </row>
    <row r="341" spans="1:32">
      <c r="A341" s="307">
        <v>3</v>
      </c>
      <c r="B341" s="342"/>
      <c r="C341" s="342" t="s">
        <v>179</v>
      </c>
      <c r="D341" s="340" t="s">
        <v>396</v>
      </c>
      <c r="E341" s="342"/>
      <c r="F341" s="345" t="s">
        <v>373</v>
      </c>
      <c r="G341" s="308">
        <v>1</v>
      </c>
      <c r="H341" s="309">
        <v>700</v>
      </c>
      <c r="I341" s="309">
        <v>700</v>
      </c>
      <c r="J341" s="211"/>
      <c r="K341" s="212" t="str">
        <f>IF(OR(J341="",G341=J341),"","*")</f>
        <v/>
      </c>
      <c r="L341" s="338">
        <f>IF($A341&lt;=L$1,I341/I$4,"")</f>
        <v>1.3033924717875579E-5</v>
      </c>
      <c r="M341" s="343"/>
      <c r="N341" s="344"/>
      <c r="O341" s="310">
        <v>0</v>
      </c>
      <c r="P341" s="311">
        <v>0</v>
      </c>
      <c r="Q341" s="311">
        <v>0</v>
      </c>
      <c r="R341" s="211">
        <v>0</v>
      </c>
      <c r="S341" s="212"/>
      <c r="T341" s="213" t="e">
        <v>#DIV/0!</v>
      </c>
      <c r="U341" s="214"/>
      <c r="V341" s="215"/>
      <c r="W341" s="310">
        <v>0</v>
      </c>
      <c r="X341" s="311">
        <v>0</v>
      </c>
      <c r="Y341" s="311">
        <v>0</v>
      </c>
      <c r="Z341" s="211">
        <v>0</v>
      </c>
      <c r="AA341" s="212"/>
      <c r="AB341" s="213" t="e">
        <v>#DIV/0!</v>
      </c>
      <c r="AC341" s="214"/>
      <c r="AD341" s="215"/>
      <c r="AE341" s="342"/>
      <c r="AF341" s="341" t="s">
        <v>374</v>
      </c>
    </row>
    <row r="342" spans="1:32">
      <c r="A342" s="307">
        <v>3</v>
      </c>
      <c r="B342" s="342"/>
      <c r="C342" s="342" t="s">
        <v>176</v>
      </c>
      <c r="D342" s="340" t="s">
        <v>675</v>
      </c>
      <c r="E342" s="342"/>
      <c r="F342" s="345" t="s">
        <v>173</v>
      </c>
      <c r="G342" s="308">
        <v>1</v>
      </c>
      <c r="H342" s="309">
        <v>100000</v>
      </c>
      <c r="I342" s="309">
        <v>100000</v>
      </c>
      <c r="J342" s="211"/>
      <c r="K342" s="212" t="str">
        <f>IF(OR(J342="",G342=J342),"","*")</f>
        <v/>
      </c>
      <c r="L342" s="338">
        <f>IF($A342&lt;=L$1,I342/I$4,"")</f>
        <v>1.861989245410797E-3</v>
      </c>
      <c r="M342" s="343"/>
      <c r="N342" s="344"/>
      <c r="O342" s="310">
        <v>0</v>
      </c>
      <c r="P342" s="311">
        <v>0</v>
      </c>
      <c r="Q342" s="311">
        <v>0</v>
      </c>
      <c r="R342" s="211">
        <v>0</v>
      </c>
      <c r="S342" s="212"/>
      <c r="T342" s="213" t="e">
        <v>#DIV/0!</v>
      </c>
      <c r="U342" s="214"/>
      <c r="V342" s="215"/>
      <c r="W342" s="310">
        <v>0</v>
      </c>
      <c r="X342" s="311">
        <v>0</v>
      </c>
      <c r="Y342" s="311">
        <v>0</v>
      </c>
      <c r="Z342" s="211">
        <v>0</v>
      </c>
      <c r="AA342" s="212"/>
      <c r="AB342" s="213" t="e">
        <v>#DIV/0!</v>
      </c>
      <c r="AC342" s="214"/>
      <c r="AD342" s="215"/>
      <c r="AE342" s="342"/>
      <c r="AF342" s="341"/>
    </row>
    <row r="343" spans="1:32">
      <c r="A343" s="307">
        <v>2</v>
      </c>
      <c r="B343" s="342"/>
      <c r="C343" s="342" t="s">
        <v>355</v>
      </c>
      <c r="D343" s="340" t="s">
        <v>356</v>
      </c>
      <c r="E343" s="342"/>
      <c r="F343" s="345" t="s">
        <v>171</v>
      </c>
      <c r="G343" s="308">
        <v>880.9</v>
      </c>
      <c r="H343" s="309">
        <v>649</v>
      </c>
      <c r="I343" s="309">
        <v>571704</v>
      </c>
      <c r="J343" s="211">
        <v>880.9</v>
      </c>
      <c r="K343" s="212" t="str">
        <f>IF(OR(J343="",G343=J343),"","*")</f>
        <v/>
      </c>
      <c r="L343" s="338">
        <f>IF($A343&lt;=L$1,I343/I$4,"")</f>
        <v>1.0645066995583343E-2</v>
      </c>
      <c r="M343" s="343"/>
      <c r="N343" s="344" t="s">
        <v>676</v>
      </c>
      <c r="O343" s="310">
        <v>0</v>
      </c>
      <c r="P343" s="311">
        <v>0</v>
      </c>
      <c r="Q343" s="311">
        <v>0</v>
      </c>
      <c r="R343" s="211">
        <v>0</v>
      </c>
      <c r="S343" s="212"/>
      <c r="T343" s="213" t="e">
        <v>#DIV/0!</v>
      </c>
      <c r="U343" s="214"/>
      <c r="V343" s="215"/>
      <c r="W343" s="310">
        <v>0</v>
      </c>
      <c r="X343" s="311">
        <v>0</v>
      </c>
      <c r="Y343" s="311">
        <v>0</v>
      </c>
      <c r="Z343" s="211">
        <v>0</v>
      </c>
      <c r="AA343" s="212"/>
      <c r="AB343" s="213" t="e">
        <v>#DIV/0!</v>
      </c>
      <c r="AC343" s="214"/>
      <c r="AD343" s="215"/>
      <c r="AE343" s="342"/>
      <c r="AF343" s="341"/>
    </row>
    <row r="344" spans="1:32">
      <c r="A344" s="307">
        <v>3</v>
      </c>
      <c r="B344" s="342"/>
      <c r="C344" s="342" t="s">
        <v>180</v>
      </c>
      <c r="D344" s="340" t="s">
        <v>380</v>
      </c>
      <c r="E344" s="342" t="s">
        <v>381</v>
      </c>
      <c r="F344" s="345" t="s">
        <v>373</v>
      </c>
      <c r="G344" s="308">
        <v>2</v>
      </c>
      <c r="H344" s="309">
        <v>39000</v>
      </c>
      <c r="I344" s="309">
        <v>78000</v>
      </c>
      <c r="J344" s="211"/>
      <c r="K344" s="212" t="str">
        <f>IF(OR(J344="",G344=J344),"","*")</f>
        <v/>
      </c>
      <c r="L344" s="338">
        <f>IF($A344&lt;=L$1,I344/I$4,"")</f>
        <v>1.4523516114204216E-3</v>
      </c>
      <c r="M344" s="343"/>
      <c r="N344" s="344"/>
      <c r="O344" s="310">
        <v>0</v>
      </c>
      <c r="P344" s="311">
        <v>0</v>
      </c>
      <c r="Q344" s="311">
        <v>0</v>
      </c>
      <c r="R344" s="211">
        <v>0</v>
      </c>
      <c r="S344" s="212"/>
      <c r="T344" s="213" t="e">
        <v>#DIV/0!</v>
      </c>
      <c r="U344" s="214"/>
      <c r="V344" s="215"/>
      <c r="W344" s="310">
        <v>0</v>
      </c>
      <c r="X344" s="311">
        <v>0</v>
      </c>
      <c r="Y344" s="311">
        <v>0</v>
      </c>
      <c r="Z344" s="211">
        <v>0</v>
      </c>
      <c r="AA344" s="212"/>
      <c r="AB344" s="213" t="e">
        <v>#DIV/0!</v>
      </c>
      <c r="AC344" s="214"/>
      <c r="AD344" s="215"/>
      <c r="AE344" s="342"/>
      <c r="AF344" s="341" t="s">
        <v>382</v>
      </c>
    </row>
    <row r="345" spans="1:32">
      <c r="A345" s="307">
        <v>3</v>
      </c>
      <c r="B345" s="342"/>
      <c r="C345" s="342" t="s">
        <v>179</v>
      </c>
      <c r="D345" s="340" t="s">
        <v>371</v>
      </c>
      <c r="E345" s="342" t="s">
        <v>372</v>
      </c>
      <c r="F345" s="345" t="s">
        <v>373</v>
      </c>
      <c r="G345" s="308">
        <v>2</v>
      </c>
      <c r="H345" s="309">
        <v>10800</v>
      </c>
      <c r="I345" s="309">
        <v>21600</v>
      </c>
      <c r="J345" s="211"/>
      <c r="K345" s="212" t="str">
        <f>IF(OR(J345="",G345=J345),"","*")</f>
        <v/>
      </c>
      <c r="L345" s="338">
        <f>IF($A345&lt;=L$1,I345/I$4,"")</f>
        <v>4.0218967700873218E-4</v>
      </c>
      <c r="M345" s="343"/>
      <c r="N345" s="344"/>
      <c r="O345" s="310">
        <v>0</v>
      </c>
      <c r="P345" s="311">
        <v>0</v>
      </c>
      <c r="Q345" s="311">
        <v>0</v>
      </c>
      <c r="R345" s="211">
        <v>0</v>
      </c>
      <c r="S345" s="212"/>
      <c r="T345" s="213" t="e">
        <v>#DIV/0!</v>
      </c>
      <c r="U345" s="214"/>
      <c r="V345" s="215"/>
      <c r="W345" s="310">
        <v>0</v>
      </c>
      <c r="X345" s="311">
        <v>0</v>
      </c>
      <c r="Y345" s="311">
        <v>0</v>
      </c>
      <c r="Z345" s="211">
        <v>0</v>
      </c>
      <c r="AA345" s="212"/>
      <c r="AB345" s="213" t="e">
        <v>#DIV/0!</v>
      </c>
      <c r="AC345" s="214"/>
      <c r="AD345" s="215"/>
      <c r="AE345" s="342"/>
      <c r="AF345" s="341" t="s">
        <v>439</v>
      </c>
    </row>
    <row r="346" spans="1:32">
      <c r="A346" s="307">
        <v>3</v>
      </c>
      <c r="B346" s="342"/>
      <c r="C346" s="342" t="s">
        <v>180</v>
      </c>
      <c r="D346" s="340" t="s">
        <v>677</v>
      </c>
      <c r="E346" s="342"/>
      <c r="F346" s="345" t="s">
        <v>377</v>
      </c>
      <c r="G346" s="308">
        <v>104</v>
      </c>
      <c r="H346" s="309">
        <v>300</v>
      </c>
      <c r="I346" s="309">
        <v>31200</v>
      </c>
      <c r="J346" s="211"/>
      <c r="K346" s="212" t="str">
        <f>IF(OR(J346="",G346=J346),"","*")</f>
        <v/>
      </c>
      <c r="L346" s="338">
        <f>IF($A346&lt;=L$1,I346/I$4,"")</f>
        <v>5.8094064456816865E-4</v>
      </c>
      <c r="M346" s="343"/>
      <c r="N346" s="344"/>
      <c r="O346" s="310">
        <v>0</v>
      </c>
      <c r="P346" s="311">
        <v>0</v>
      </c>
      <c r="Q346" s="311">
        <v>0</v>
      </c>
      <c r="R346" s="211">
        <v>0</v>
      </c>
      <c r="S346" s="212"/>
      <c r="T346" s="213" t="e">
        <v>#DIV/0!</v>
      </c>
      <c r="U346" s="214"/>
      <c r="V346" s="215"/>
      <c r="W346" s="310">
        <v>0</v>
      </c>
      <c r="X346" s="311">
        <v>0</v>
      </c>
      <c r="Y346" s="311">
        <v>0</v>
      </c>
      <c r="Z346" s="211">
        <v>0</v>
      </c>
      <c r="AA346" s="212"/>
      <c r="AB346" s="213" t="e">
        <v>#DIV/0!</v>
      </c>
      <c r="AC346" s="214"/>
      <c r="AD346" s="215"/>
      <c r="AE346" s="342" t="s">
        <v>678</v>
      </c>
      <c r="AF346" s="341"/>
    </row>
    <row r="347" spans="1:32">
      <c r="A347" s="307">
        <v>3</v>
      </c>
      <c r="B347" s="342"/>
      <c r="C347" s="342" t="s">
        <v>176</v>
      </c>
      <c r="D347" s="340" t="s">
        <v>400</v>
      </c>
      <c r="E347" s="342" t="s">
        <v>401</v>
      </c>
      <c r="F347" s="345" t="s">
        <v>172</v>
      </c>
      <c r="G347" s="308">
        <v>27</v>
      </c>
      <c r="H347" s="309">
        <v>2300</v>
      </c>
      <c r="I347" s="309">
        <v>62100</v>
      </c>
      <c r="J347" s="211"/>
      <c r="K347" s="212" t="str">
        <f>IF(OR(J347="",G347=J347),"","*")</f>
        <v/>
      </c>
      <c r="L347" s="338">
        <f>IF($A347&lt;=L$1,I347/I$4,"")</f>
        <v>1.156295321400105E-3</v>
      </c>
      <c r="M347" s="343"/>
      <c r="N347" s="344"/>
      <c r="O347" s="310">
        <v>0</v>
      </c>
      <c r="P347" s="311">
        <v>0</v>
      </c>
      <c r="Q347" s="311">
        <v>0</v>
      </c>
      <c r="R347" s="211">
        <v>0</v>
      </c>
      <c r="S347" s="212"/>
      <c r="T347" s="213" t="e">
        <v>#DIV/0!</v>
      </c>
      <c r="U347" s="214"/>
      <c r="V347" s="215"/>
      <c r="W347" s="310">
        <v>0</v>
      </c>
      <c r="X347" s="311">
        <v>0</v>
      </c>
      <c r="Y347" s="311">
        <v>0</v>
      </c>
      <c r="Z347" s="211">
        <v>0</v>
      </c>
      <c r="AA347" s="212"/>
      <c r="AB347" s="213" t="e">
        <v>#DIV/0!</v>
      </c>
      <c r="AC347" s="214"/>
      <c r="AD347" s="215"/>
      <c r="AE347" s="342" t="s">
        <v>402</v>
      </c>
      <c r="AF347" s="341"/>
    </row>
    <row r="348" spans="1:32">
      <c r="A348" s="307">
        <v>3</v>
      </c>
      <c r="B348" s="342"/>
      <c r="C348" s="342" t="s">
        <v>179</v>
      </c>
      <c r="D348" s="340" t="s">
        <v>371</v>
      </c>
      <c r="E348" s="342" t="s">
        <v>621</v>
      </c>
      <c r="F348" s="345" t="s">
        <v>373</v>
      </c>
      <c r="G348" s="308">
        <v>2</v>
      </c>
      <c r="H348" s="309">
        <v>6000</v>
      </c>
      <c r="I348" s="309">
        <v>12000</v>
      </c>
      <c r="J348" s="211"/>
      <c r="K348" s="212" t="str">
        <f>IF(OR(J348="",G348=J348),"","*")</f>
        <v/>
      </c>
      <c r="L348" s="338">
        <f>IF($A348&lt;=L$1,I348/I$4,"")</f>
        <v>2.2343870944929563E-4</v>
      </c>
      <c r="M348" s="343"/>
      <c r="N348" s="344"/>
      <c r="O348" s="310">
        <v>0</v>
      </c>
      <c r="P348" s="311">
        <v>0</v>
      </c>
      <c r="Q348" s="311">
        <v>0</v>
      </c>
      <c r="R348" s="211">
        <v>0</v>
      </c>
      <c r="S348" s="212"/>
      <c r="T348" s="213" t="e">
        <v>#DIV/0!</v>
      </c>
      <c r="U348" s="214"/>
      <c r="V348" s="215"/>
      <c r="W348" s="310">
        <v>0</v>
      </c>
      <c r="X348" s="311">
        <v>0</v>
      </c>
      <c r="Y348" s="311">
        <v>0</v>
      </c>
      <c r="Z348" s="211">
        <v>0</v>
      </c>
      <c r="AA348" s="212"/>
      <c r="AB348" s="213" t="e">
        <v>#DIV/0!</v>
      </c>
      <c r="AC348" s="214"/>
      <c r="AD348" s="215"/>
      <c r="AE348" s="342"/>
      <c r="AF348" s="341" t="s">
        <v>439</v>
      </c>
    </row>
    <row r="349" spans="1:32">
      <c r="A349" s="307">
        <v>3</v>
      </c>
      <c r="B349" s="342"/>
      <c r="C349" s="342" t="s">
        <v>180</v>
      </c>
      <c r="D349" s="340" t="s">
        <v>482</v>
      </c>
      <c r="E349" s="342"/>
      <c r="F349" s="345" t="s">
        <v>373</v>
      </c>
      <c r="G349" s="308">
        <v>2</v>
      </c>
      <c r="H349" s="309">
        <v>9800</v>
      </c>
      <c r="I349" s="309">
        <v>19600</v>
      </c>
      <c r="J349" s="211"/>
      <c r="K349" s="212" t="str">
        <f>IF(OR(J349="",G349=J349),"","*")</f>
        <v/>
      </c>
      <c r="L349" s="338">
        <f>IF($A349&lt;=L$1,I349/I$4,"")</f>
        <v>3.6494989210051623E-4</v>
      </c>
      <c r="M349" s="343"/>
      <c r="N349" s="344"/>
      <c r="O349" s="310">
        <v>0</v>
      </c>
      <c r="P349" s="311">
        <v>0</v>
      </c>
      <c r="Q349" s="311">
        <v>0</v>
      </c>
      <c r="R349" s="211">
        <v>0</v>
      </c>
      <c r="S349" s="212"/>
      <c r="T349" s="213" t="e">
        <v>#DIV/0!</v>
      </c>
      <c r="U349" s="214"/>
      <c r="V349" s="215"/>
      <c r="W349" s="310">
        <v>0</v>
      </c>
      <c r="X349" s="311">
        <v>0</v>
      </c>
      <c r="Y349" s="311">
        <v>0</v>
      </c>
      <c r="Z349" s="211">
        <v>0</v>
      </c>
      <c r="AA349" s="212"/>
      <c r="AB349" s="213" t="e">
        <v>#DIV/0!</v>
      </c>
      <c r="AC349" s="214"/>
      <c r="AD349" s="215"/>
      <c r="AE349" s="342" t="s">
        <v>558</v>
      </c>
      <c r="AF349" s="341" t="s">
        <v>439</v>
      </c>
    </row>
    <row r="350" spans="1:32">
      <c r="A350" s="307">
        <v>3</v>
      </c>
      <c r="B350" s="342"/>
      <c r="C350" s="342" t="s">
        <v>177</v>
      </c>
      <c r="D350" s="340" t="s">
        <v>367</v>
      </c>
      <c r="E350" s="342" t="s">
        <v>368</v>
      </c>
      <c r="F350" s="345" t="s">
        <v>369</v>
      </c>
      <c r="G350" s="308">
        <v>12</v>
      </c>
      <c r="H350" s="309">
        <v>23000</v>
      </c>
      <c r="I350" s="309">
        <v>276000</v>
      </c>
      <c r="J350" s="211"/>
      <c r="K350" s="212" t="str">
        <f>IF(OR(J350="",G350=J350),"","*")</f>
        <v/>
      </c>
      <c r="L350" s="338">
        <f>IF($A350&lt;=L$1,I350/I$4,"")</f>
        <v>5.1390903173337997E-3</v>
      </c>
      <c r="M350" s="343"/>
      <c r="N350" s="344"/>
      <c r="O350" s="310">
        <v>0</v>
      </c>
      <c r="P350" s="311">
        <v>0</v>
      </c>
      <c r="Q350" s="311">
        <v>0</v>
      </c>
      <c r="R350" s="211">
        <v>0</v>
      </c>
      <c r="S350" s="212"/>
      <c r="T350" s="213" t="e">
        <v>#DIV/0!</v>
      </c>
      <c r="U350" s="214"/>
      <c r="V350" s="215"/>
      <c r="W350" s="310">
        <v>0</v>
      </c>
      <c r="X350" s="311">
        <v>0</v>
      </c>
      <c r="Y350" s="311">
        <v>0</v>
      </c>
      <c r="Z350" s="211">
        <v>0</v>
      </c>
      <c r="AA350" s="212"/>
      <c r="AB350" s="213" t="e">
        <v>#DIV/0!</v>
      </c>
      <c r="AC350" s="214"/>
      <c r="AD350" s="215"/>
      <c r="AE350" s="342"/>
      <c r="AF350" s="341" t="s">
        <v>679</v>
      </c>
    </row>
    <row r="351" spans="1:32">
      <c r="A351" s="307">
        <v>3</v>
      </c>
      <c r="B351" s="342"/>
      <c r="C351" s="342" t="s">
        <v>178</v>
      </c>
      <c r="D351" s="340" t="s">
        <v>680</v>
      </c>
      <c r="E351" s="342"/>
      <c r="F351" s="345" t="s">
        <v>235</v>
      </c>
      <c r="G351" s="308">
        <v>90</v>
      </c>
      <c r="H351" s="309">
        <v>800</v>
      </c>
      <c r="I351" s="309">
        <v>72000</v>
      </c>
      <c r="J351" s="211"/>
      <c r="K351" s="212" t="str">
        <f>IF(OR(J351="",G351=J351),"","*")</f>
        <v/>
      </c>
      <c r="L351" s="338">
        <f>IF($A351&lt;=L$1,I351/I$4,"")</f>
        <v>1.3406322566957738E-3</v>
      </c>
      <c r="M351" s="343"/>
      <c r="N351" s="344"/>
      <c r="O351" s="310">
        <v>0</v>
      </c>
      <c r="P351" s="311">
        <v>0</v>
      </c>
      <c r="Q351" s="311">
        <v>0</v>
      </c>
      <c r="R351" s="211">
        <v>0</v>
      </c>
      <c r="S351" s="212"/>
      <c r="T351" s="213" t="e">
        <v>#DIV/0!</v>
      </c>
      <c r="U351" s="214"/>
      <c r="V351" s="215"/>
      <c r="W351" s="310">
        <v>0</v>
      </c>
      <c r="X351" s="311">
        <v>0</v>
      </c>
      <c r="Y351" s="311">
        <v>0</v>
      </c>
      <c r="Z351" s="211">
        <v>0</v>
      </c>
      <c r="AA351" s="212"/>
      <c r="AB351" s="213" t="e">
        <v>#DIV/0!</v>
      </c>
      <c r="AC351" s="214"/>
      <c r="AD351" s="215"/>
      <c r="AE351" s="342"/>
      <c r="AF351" s="341"/>
    </row>
    <row r="352" spans="1:32">
      <c r="A352" s="307">
        <v>2</v>
      </c>
      <c r="B352" s="342"/>
      <c r="C352" s="342" t="s">
        <v>355</v>
      </c>
      <c r="D352" s="340" t="s">
        <v>681</v>
      </c>
      <c r="E352" s="342"/>
      <c r="F352" s="345" t="s">
        <v>171</v>
      </c>
      <c r="G352" s="308">
        <v>880.9</v>
      </c>
      <c r="H352" s="309">
        <v>2180</v>
      </c>
      <c r="I352" s="309">
        <v>1920362</v>
      </c>
      <c r="J352" s="211">
        <v>880.9</v>
      </c>
      <c r="K352" s="212" t="str">
        <f>IF(OR(J352="",G352=J352),"","*")</f>
        <v/>
      </c>
      <c r="L352" s="338">
        <f>IF($A352&lt;=L$1,I352/I$4,"")</f>
        <v>3.5756933912955688E-2</v>
      </c>
      <c r="M352" s="343"/>
      <c r="N352" s="344" t="s">
        <v>682</v>
      </c>
      <c r="O352" s="310">
        <v>0</v>
      </c>
      <c r="P352" s="311">
        <v>0</v>
      </c>
      <c r="Q352" s="311">
        <v>0</v>
      </c>
      <c r="R352" s="211">
        <v>0</v>
      </c>
      <c r="S352" s="212"/>
      <c r="T352" s="213" t="e">
        <v>#DIV/0!</v>
      </c>
      <c r="U352" s="214"/>
      <c r="V352" s="215"/>
      <c r="W352" s="310">
        <v>0</v>
      </c>
      <c r="X352" s="311">
        <v>0</v>
      </c>
      <c r="Y352" s="311">
        <v>0</v>
      </c>
      <c r="Z352" s="211">
        <v>0</v>
      </c>
      <c r="AA352" s="212"/>
      <c r="AB352" s="213" t="e">
        <v>#DIV/0!</v>
      </c>
      <c r="AC352" s="214"/>
      <c r="AD352" s="215"/>
      <c r="AE352" s="342"/>
      <c r="AF352" s="341"/>
    </row>
    <row r="353" spans="1:32">
      <c r="A353" s="307">
        <v>3</v>
      </c>
      <c r="B353" s="342"/>
      <c r="C353" s="342" t="s">
        <v>176</v>
      </c>
      <c r="D353" s="340" t="s">
        <v>497</v>
      </c>
      <c r="E353" s="342"/>
      <c r="F353" s="345" t="s">
        <v>364</v>
      </c>
      <c r="G353" s="308">
        <v>352.36</v>
      </c>
      <c r="H353" s="309">
        <v>210</v>
      </c>
      <c r="I353" s="309">
        <v>73995</v>
      </c>
      <c r="J353" s="211"/>
      <c r="K353" s="212" t="str">
        <f>IF(OR(J353="",G353=J353),"","*")</f>
        <v/>
      </c>
      <c r="L353" s="338">
        <f>IF($A353&lt;=L$1,I353/I$4,"")</f>
        <v>1.3777789421417193E-3</v>
      </c>
      <c r="M353" s="343"/>
      <c r="N353" s="344"/>
      <c r="O353" s="310">
        <v>0</v>
      </c>
      <c r="P353" s="311">
        <v>0</v>
      </c>
      <c r="Q353" s="311">
        <v>0</v>
      </c>
      <c r="R353" s="211">
        <v>0</v>
      </c>
      <c r="S353" s="212"/>
      <c r="T353" s="213" t="e">
        <v>#DIV/0!</v>
      </c>
      <c r="U353" s="214"/>
      <c r="V353" s="215"/>
      <c r="W353" s="310">
        <v>0</v>
      </c>
      <c r="X353" s="311">
        <v>0</v>
      </c>
      <c r="Y353" s="311">
        <v>0</v>
      </c>
      <c r="Z353" s="211">
        <v>0</v>
      </c>
      <c r="AA353" s="212"/>
      <c r="AB353" s="213" t="e">
        <v>#DIV/0!</v>
      </c>
      <c r="AC353" s="214"/>
      <c r="AD353" s="215"/>
      <c r="AE353" s="342" t="s">
        <v>498</v>
      </c>
      <c r="AF353" s="341" t="s">
        <v>683</v>
      </c>
    </row>
    <row r="354" spans="1:32">
      <c r="A354" s="307">
        <v>3</v>
      </c>
      <c r="B354" s="342"/>
      <c r="C354" s="342" t="s">
        <v>176</v>
      </c>
      <c r="D354" s="340" t="s">
        <v>684</v>
      </c>
      <c r="E354" s="342" t="s">
        <v>401</v>
      </c>
      <c r="F354" s="345" t="s">
        <v>487</v>
      </c>
      <c r="G354" s="308">
        <v>111.786</v>
      </c>
      <c r="H354" s="309">
        <v>9600</v>
      </c>
      <c r="I354" s="309">
        <v>1073145</v>
      </c>
      <c r="J354" s="211"/>
      <c r="K354" s="212" t="str">
        <f>IF(OR(J354="",G354=J354),"","*")</f>
        <v/>
      </c>
      <c r="L354" s="338">
        <f>IF($A354&lt;=L$1,I354/I$4,"")</f>
        <v>1.9981844487663696E-2</v>
      </c>
      <c r="M354" s="343"/>
      <c r="N354" s="344"/>
      <c r="O354" s="310">
        <v>0</v>
      </c>
      <c r="P354" s="311">
        <v>0</v>
      </c>
      <c r="Q354" s="311">
        <v>0</v>
      </c>
      <c r="R354" s="211">
        <v>0</v>
      </c>
      <c r="S354" s="212"/>
      <c r="T354" s="213" t="e">
        <v>#DIV/0!</v>
      </c>
      <c r="U354" s="214"/>
      <c r="V354" s="215"/>
      <c r="W354" s="310">
        <v>0</v>
      </c>
      <c r="X354" s="311">
        <v>0</v>
      </c>
      <c r="Y354" s="311">
        <v>0</v>
      </c>
      <c r="Z354" s="211">
        <v>0</v>
      </c>
      <c r="AA354" s="212"/>
      <c r="AB354" s="213" t="e">
        <v>#DIV/0!</v>
      </c>
      <c r="AC354" s="214"/>
      <c r="AD354" s="215"/>
      <c r="AE354" s="342" t="s">
        <v>685</v>
      </c>
      <c r="AF354" s="341" t="s">
        <v>686</v>
      </c>
    </row>
    <row r="355" spans="1:32">
      <c r="A355" s="307">
        <v>3</v>
      </c>
      <c r="B355" s="342"/>
      <c r="C355" s="342" t="s">
        <v>176</v>
      </c>
      <c r="D355" s="340" t="s">
        <v>363</v>
      </c>
      <c r="E355" s="342"/>
      <c r="F355" s="345" t="s">
        <v>503</v>
      </c>
      <c r="G355" s="308">
        <v>300</v>
      </c>
      <c r="H355" s="309">
        <v>145</v>
      </c>
      <c r="I355" s="309">
        <v>43500</v>
      </c>
      <c r="J355" s="211"/>
      <c r="K355" s="212" t="str">
        <f>IF(OR(J355="",G355=J355),"","*")</f>
        <v/>
      </c>
      <c r="L355" s="338">
        <f>IF($A355&lt;=L$1,I355/I$4,"")</f>
        <v>8.0996532175369666E-4</v>
      </c>
      <c r="M355" s="343"/>
      <c r="N355" s="344"/>
      <c r="O355" s="310">
        <v>0</v>
      </c>
      <c r="P355" s="311">
        <v>0</v>
      </c>
      <c r="Q355" s="311">
        <v>0</v>
      </c>
      <c r="R355" s="211">
        <v>0</v>
      </c>
      <c r="S355" s="212"/>
      <c r="T355" s="213" t="e">
        <v>#DIV/0!</v>
      </c>
      <c r="U355" s="214"/>
      <c r="V355" s="215"/>
      <c r="W355" s="310">
        <v>0</v>
      </c>
      <c r="X355" s="311">
        <v>0</v>
      </c>
      <c r="Y355" s="311">
        <v>0</v>
      </c>
      <c r="Z355" s="211">
        <v>0</v>
      </c>
      <c r="AA355" s="212"/>
      <c r="AB355" s="213" t="e">
        <v>#DIV/0!</v>
      </c>
      <c r="AC355" s="214"/>
      <c r="AD355" s="215"/>
      <c r="AE355" s="342" t="s">
        <v>365</v>
      </c>
      <c r="AF355" s="341" t="s">
        <v>687</v>
      </c>
    </row>
    <row r="356" spans="1:32">
      <c r="A356" s="307">
        <v>3</v>
      </c>
      <c r="B356" s="342"/>
      <c r="C356" s="342" t="s">
        <v>176</v>
      </c>
      <c r="D356" s="340" t="s">
        <v>505</v>
      </c>
      <c r="E356" s="342"/>
      <c r="F356" s="345" t="s">
        <v>503</v>
      </c>
      <c r="G356" s="308">
        <v>60</v>
      </c>
      <c r="H356" s="309">
        <v>165</v>
      </c>
      <c r="I356" s="309">
        <v>9900</v>
      </c>
      <c r="J356" s="211"/>
      <c r="K356" s="212" t="str">
        <f>IF(OR(J356="",G356=J356),"","*")</f>
        <v/>
      </c>
      <c r="L356" s="338">
        <f>IF($A356&lt;=L$1,I356/I$4,"")</f>
        <v>1.8433693529566891E-4</v>
      </c>
      <c r="M356" s="343"/>
      <c r="N356" s="344"/>
      <c r="O356" s="310">
        <v>0</v>
      </c>
      <c r="P356" s="311">
        <v>0</v>
      </c>
      <c r="Q356" s="311">
        <v>0</v>
      </c>
      <c r="R356" s="211">
        <v>0</v>
      </c>
      <c r="S356" s="212"/>
      <c r="T356" s="213" t="e">
        <v>#DIV/0!</v>
      </c>
      <c r="U356" s="214"/>
      <c r="V356" s="215"/>
      <c r="W356" s="310">
        <v>0</v>
      </c>
      <c r="X356" s="311">
        <v>0</v>
      </c>
      <c r="Y356" s="311">
        <v>0</v>
      </c>
      <c r="Z356" s="211">
        <v>0</v>
      </c>
      <c r="AA356" s="212"/>
      <c r="AB356" s="213" t="e">
        <v>#DIV/0!</v>
      </c>
      <c r="AC356" s="214"/>
      <c r="AD356" s="215"/>
      <c r="AE356" s="342" t="s">
        <v>506</v>
      </c>
      <c r="AF356" s="341" t="s">
        <v>652</v>
      </c>
    </row>
    <row r="357" spans="1:32">
      <c r="A357" s="307">
        <v>3</v>
      </c>
      <c r="B357" s="342"/>
      <c r="C357" s="342" t="s">
        <v>177</v>
      </c>
      <c r="D357" s="340" t="s">
        <v>367</v>
      </c>
      <c r="E357" s="342" t="s">
        <v>368</v>
      </c>
      <c r="F357" s="345" t="s">
        <v>369</v>
      </c>
      <c r="G357" s="308">
        <v>18</v>
      </c>
      <c r="H357" s="309">
        <v>23000</v>
      </c>
      <c r="I357" s="309">
        <v>414000</v>
      </c>
      <c r="J357" s="211"/>
      <c r="K357" s="212" t="str">
        <f>IF(OR(J357="",G357=J357),"","*")</f>
        <v/>
      </c>
      <c r="L357" s="338">
        <f>IF($A357&lt;=L$1,I357/I$4,"")</f>
        <v>7.7086354760006999E-3</v>
      </c>
      <c r="M357" s="343"/>
      <c r="N357" s="344"/>
      <c r="O357" s="310">
        <v>0</v>
      </c>
      <c r="P357" s="311">
        <v>0</v>
      </c>
      <c r="Q357" s="311">
        <v>0</v>
      </c>
      <c r="R357" s="211">
        <v>0</v>
      </c>
      <c r="S357" s="212"/>
      <c r="T357" s="213" t="e">
        <v>#DIV/0!</v>
      </c>
      <c r="U357" s="214"/>
      <c r="V357" s="215"/>
      <c r="W357" s="310">
        <v>0</v>
      </c>
      <c r="X357" s="311">
        <v>0</v>
      </c>
      <c r="Y357" s="311">
        <v>0</v>
      </c>
      <c r="Z357" s="211">
        <v>0</v>
      </c>
      <c r="AA357" s="212"/>
      <c r="AB357" s="213" t="e">
        <v>#DIV/0!</v>
      </c>
      <c r="AC357" s="214"/>
      <c r="AD357" s="215"/>
      <c r="AE357" s="342"/>
      <c r="AF357" s="341" t="s">
        <v>688</v>
      </c>
    </row>
    <row r="358" spans="1:32">
      <c r="A358" s="307">
        <v>3</v>
      </c>
      <c r="B358" s="342"/>
      <c r="C358" s="342" t="s">
        <v>179</v>
      </c>
      <c r="D358" s="340" t="s">
        <v>509</v>
      </c>
      <c r="E358" s="342" t="s">
        <v>381</v>
      </c>
      <c r="F358" s="345" t="s">
        <v>373</v>
      </c>
      <c r="G358" s="308">
        <v>1</v>
      </c>
      <c r="H358" s="309">
        <v>40000</v>
      </c>
      <c r="I358" s="309">
        <v>40000</v>
      </c>
      <c r="J358" s="211"/>
      <c r="K358" s="212" t="str">
        <f>IF(OR(J358="",G358=J358),"","*")</f>
        <v/>
      </c>
      <c r="L358" s="338">
        <f>IF($A358&lt;=L$1,I358/I$4,"")</f>
        <v>7.4479569816431881E-4</v>
      </c>
      <c r="M358" s="343"/>
      <c r="N358" s="344"/>
      <c r="O358" s="310">
        <v>0</v>
      </c>
      <c r="P358" s="311">
        <v>0</v>
      </c>
      <c r="Q358" s="311">
        <v>0</v>
      </c>
      <c r="R358" s="211">
        <v>0</v>
      </c>
      <c r="S358" s="212"/>
      <c r="T358" s="213" t="e">
        <v>#DIV/0!</v>
      </c>
      <c r="U358" s="214"/>
      <c r="V358" s="215"/>
      <c r="W358" s="310">
        <v>0</v>
      </c>
      <c r="X358" s="311">
        <v>0</v>
      </c>
      <c r="Y358" s="311">
        <v>0</v>
      </c>
      <c r="Z358" s="211">
        <v>0</v>
      </c>
      <c r="AA358" s="212"/>
      <c r="AB358" s="213" t="e">
        <v>#DIV/0!</v>
      </c>
      <c r="AC358" s="214"/>
      <c r="AD358" s="215"/>
      <c r="AE358" s="342" t="s">
        <v>510</v>
      </c>
      <c r="AF358" s="341" t="s">
        <v>374</v>
      </c>
    </row>
    <row r="359" spans="1:32">
      <c r="A359" s="307">
        <v>3</v>
      </c>
      <c r="B359" s="342"/>
      <c r="C359" s="342" t="s">
        <v>179</v>
      </c>
      <c r="D359" s="340" t="s">
        <v>513</v>
      </c>
      <c r="E359" s="342" t="s">
        <v>634</v>
      </c>
      <c r="F359" s="345" t="s">
        <v>373</v>
      </c>
      <c r="G359" s="308">
        <v>2</v>
      </c>
      <c r="H359" s="309">
        <v>60800</v>
      </c>
      <c r="I359" s="309">
        <v>121600</v>
      </c>
      <c r="J359" s="211"/>
      <c r="K359" s="212" t="str">
        <f>IF(OR(J359="",G359=J359),"","*")</f>
        <v/>
      </c>
      <c r="L359" s="338">
        <f>IF($A359&lt;=L$1,I359/I$4,"")</f>
        <v>2.2641789224195292E-3</v>
      </c>
      <c r="M359" s="343"/>
      <c r="N359" s="344"/>
      <c r="O359" s="310">
        <v>0</v>
      </c>
      <c r="P359" s="311">
        <v>0</v>
      </c>
      <c r="Q359" s="311">
        <v>0</v>
      </c>
      <c r="R359" s="211">
        <v>0</v>
      </c>
      <c r="S359" s="212"/>
      <c r="T359" s="213" t="e">
        <v>#DIV/0!</v>
      </c>
      <c r="U359" s="214"/>
      <c r="V359" s="215"/>
      <c r="W359" s="310">
        <v>0</v>
      </c>
      <c r="X359" s="311">
        <v>0</v>
      </c>
      <c r="Y359" s="311">
        <v>0</v>
      </c>
      <c r="Z359" s="211">
        <v>0</v>
      </c>
      <c r="AA359" s="212"/>
      <c r="AB359" s="213" t="e">
        <v>#DIV/0!</v>
      </c>
      <c r="AC359" s="214"/>
      <c r="AD359" s="215"/>
      <c r="AE359" s="342"/>
      <c r="AF359" s="341" t="s">
        <v>439</v>
      </c>
    </row>
    <row r="360" spans="1:32">
      <c r="A360" s="307">
        <v>3</v>
      </c>
      <c r="B360" s="342"/>
      <c r="C360" s="342" t="s">
        <v>179</v>
      </c>
      <c r="D360" s="340" t="s">
        <v>515</v>
      </c>
      <c r="E360" s="342" t="s">
        <v>516</v>
      </c>
      <c r="F360" s="345" t="s">
        <v>373</v>
      </c>
      <c r="G360" s="308">
        <v>2</v>
      </c>
      <c r="H360" s="309">
        <v>4600</v>
      </c>
      <c r="I360" s="309">
        <v>9200</v>
      </c>
      <c r="J360" s="211"/>
      <c r="K360" s="212" t="str">
        <f>IF(OR(J360="",G360=J360),"","*")</f>
        <v/>
      </c>
      <c r="L360" s="338">
        <f>IF($A360&lt;=L$1,I360/I$4,"")</f>
        <v>1.7130301057779332E-4</v>
      </c>
      <c r="M360" s="343"/>
      <c r="N360" s="344"/>
      <c r="O360" s="310">
        <v>0</v>
      </c>
      <c r="P360" s="311">
        <v>0</v>
      </c>
      <c r="Q360" s="311">
        <v>0</v>
      </c>
      <c r="R360" s="211">
        <v>0</v>
      </c>
      <c r="S360" s="212"/>
      <c r="T360" s="213" t="e">
        <v>#DIV/0!</v>
      </c>
      <c r="U360" s="214"/>
      <c r="V360" s="215"/>
      <c r="W360" s="310">
        <v>0</v>
      </c>
      <c r="X360" s="311">
        <v>0</v>
      </c>
      <c r="Y360" s="311">
        <v>0</v>
      </c>
      <c r="Z360" s="211">
        <v>0</v>
      </c>
      <c r="AA360" s="212"/>
      <c r="AB360" s="213" t="e">
        <v>#DIV/0!</v>
      </c>
      <c r="AC360" s="214"/>
      <c r="AD360" s="215"/>
      <c r="AE360" s="342"/>
      <c r="AF360" s="341" t="s">
        <v>439</v>
      </c>
    </row>
    <row r="361" spans="1:32">
      <c r="A361" s="307">
        <v>3</v>
      </c>
      <c r="B361" s="342"/>
      <c r="C361" s="342" t="s">
        <v>179</v>
      </c>
      <c r="D361" s="340" t="s">
        <v>517</v>
      </c>
      <c r="E361" s="342" t="s">
        <v>372</v>
      </c>
      <c r="F361" s="345" t="s">
        <v>373</v>
      </c>
      <c r="G361" s="308">
        <v>2</v>
      </c>
      <c r="H361" s="309">
        <v>6600</v>
      </c>
      <c r="I361" s="309">
        <v>13200</v>
      </c>
      <c r="J361" s="211"/>
      <c r="K361" s="212" t="str">
        <f>IF(OR(J361="",G361=J361),"","*")</f>
        <v/>
      </c>
      <c r="L361" s="338">
        <f>IF($A361&lt;=L$1,I361/I$4,"")</f>
        <v>2.4578258039422519E-4</v>
      </c>
      <c r="M361" s="343"/>
      <c r="N361" s="344"/>
      <c r="O361" s="310">
        <v>0</v>
      </c>
      <c r="P361" s="311">
        <v>0</v>
      </c>
      <c r="Q361" s="311">
        <v>0</v>
      </c>
      <c r="R361" s="211">
        <v>0</v>
      </c>
      <c r="S361" s="212"/>
      <c r="T361" s="213" t="e">
        <v>#DIV/0!</v>
      </c>
      <c r="U361" s="214"/>
      <c r="V361" s="215"/>
      <c r="W361" s="310">
        <v>0</v>
      </c>
      <c r="X361" s="311">
        <v>0</v>
      </c>
      <c r="Y361" s="311">
        <v>0</v>
      </c>
      <c r="Z361" s="211">
        <v>0</v>
      </c>
      <c r="AA361" s="212"/>
      <c r="AB361" s="213" t="e">
        <v>#DIV/0!</v>
      </c>
      <c r="AC361" s="214"/>
      <c r="AD361" s="215"/>
      <c r="AE361" s="342"/>
      <c r="AF361" s="341" t="s">
        <v>439</v>
      </c>
    </row>
    <row r="362" spans="1:32">
      <c r="A362" s="307">
        <v>3</v>
      </c>
      <c r="B362" s="342"/>
      <c r="C362" s="342" t="s">
        <v>179</v>
      </c>
      <c r="D362" s="340" t="s">
        <v>395</v>
      </c>
      <c r="E362" s="342"/>
      <c r="F362" s="345" t="s">
        <v>373</v>
      </c>
      <c r="G362" s="308">
        <v>2</v>
      </c>
      <c r="H362" s="309">
        <v>1500</v>
      </c>
      <c r="I362" s="309">
        <v>3000</v>
      </c>
      <c r="J362" s="211"/>
      <c r="K362" s="212" t="str">
        <f>IF(OR(J362="",G362=J362),"","*")</f>
        <v/>
      </c>
      <c r="L362" s="338">
        <f>IF($A362&lt;=L$1,I362/I$4,"")</f>
        <v>5.5859677362323907E-5</v>
      </c>
      <c r="M362" s="343"/>
      <c r="N362" s="344"/>
      <c r="O362" s="310">
        <v>0</v>
      </c>
      <c r="P362" s="311">
        <v>0</v>
      </c>
      <c r="Q362" s="311">
        <v>0</v>
      </c>
      <c r="R362" s="211">
        <v>0</v>
      </c>
      <c r="S362" s="212"/>
      <c r="T362" s="213" t="e">
        <v>#DIV/0!</v>
      </c>
      <c r="U362" s="214"/>
      <c r="V362" s="215"/>
      <c r="W362" s="310">
        <v>0</v>
      </c>
      <c r="X362" s="311">
        <v>0</v>
      </c>
      <c r="Y362" s="311">
        <v>0</v>
      </c>
      <c r="Z362" s="211">
        <v>0</v>
      </c>
      <c r="AA362" s="212"/>
      <c r="AB362" s="213" t="e">
        <v>#DIV/0!</v>
      </c>
      <c r="AC362" s="214"/>
      <c r="AD362" s="215"/>
      <c r="AE362" s="342"/>
      <c r="AF362" s="341" t="s">
        <v>439</v>
      </c>
    </row>
    <row r="363" spans="1:32">
      <c r="A363" s="307">
        <v>3</v>
      </c>
      <c r="B363" s="342"/>
      <c r="C363" s="342" t="s">
        <v>179</v>
      </c>
      <c r="D363" s="340" t="s">
        <v>396</v>
      </c>
      <c r="E363" s="342"/>
      <c r="F363" s="345" t="s">
        <v>373</v>
      </c>
      <c r="G363" s="308">
        <v>2</v>
      </c>
      <c r="H363" s="309">
        <v>700</v>
      </c>
      <c r="I363" s="309">
        <v>1400</v>
      </c>
      <c r="J363" s="211"/>
      <c r="K363" s="212" t="str">
        <f>IF(OR(J363="",G363=J363),"","*")</f>
        <v/>
      </c>
      <c r="L363" s="338">
        <f>IF($A363&lt;=L$1,I363/I$4,"")</f>
        <v>2.6067849435751159E-5</v>
      </c>
      <c r="M363" s="343"/>
      <c r="N363" s="344"/>
      <c r="O363" s="310">
        <v>0</v>
      </c>
      <c r="P363" s="311">
        <v>0</v>
      </c>
      <c r="Q363" s="311">
        <v>0</v>
      </c>
      <c r="R363" s="211">
        <v>0</v>
      </c>
      <c r="S363" s="212"/>
      <c r="T363" s="213" t="e">
        <v>#DIV/0!</v>
      </c>
      <c r="U363" s="214"/>
      <c r="V363" s="215"/>
      <c r="W363" s="310">
        <v>0</v>
      </c>
      <c r="X363" s="311">
        <v>0</v>
      </c>
      <c r="Y363" s="311">
        <v>0</v>
      </c>
      <c r="Z363" s="211">
        <v>0</v>
      </c>
      <c r="AA363" s="212"/>
      <c r="AB363" s="213" t="e">
        <v>#DIV/0!</v>
      </c>
      <c r="AC363" s="214"/>
      <c r="AD363" s="215"/>
      <c r="AE363" s="342"/>
      <c r="AF363" s="341" t="s">
        <v>439</v>
      </c>
    </row>
    <row r="364" spans="1:32">
      <c r="A364" s="307">
        <v>3</v>
      </c>
      <c r="B364" s="342"/>
      <c r="C364" s="342" t="s">
        <v>179</v>
      </c>
      <c r="D364" s="340" t="s">
        <v>397</v>
      </c>
      <c r="E364" s="342"/>
      <c r="F364" s="345" t="s">
        <v>373</v>
      </c>
      <c r="G364" s="308">
        <v>2</v>
      </c>
      <c r="H364" s="309">
        <v>700</v>
      </c>
      <c r="I364" s="309">
        <v>1400</v>
      </c>
      <c r="J364" s="211"/>
      <c r="K364" s="212" t="str">
        <f>IF(OR(J364="",G364=J364),"","*")</f>
        <v/>
      </c>
      <c r="L364" s="338">
        <f>IF($A364&lt;=L$1,I364/I$4,"")</f>
        <v>2.6067849435751159E-5</v>
      </c>
      <c r="M364" s="343"/>
      <c r="N364" s="344"/>
      <c r="O364" s="310">
        <v>0</v>
      </c>
      <c r="P364" s="311">
        <v>0</v>
      </c>
      <c r="Q364" s="311">
        <v>0</v>
      </c>
      <c r="R364" s="211">
        <v>0</v>
      </c>
      <c r="S364" s="212"/>
      <c r="T364" s="213" t="e">
        <v>#DIV/0!</v>
      </c>
      <c r="U364" s="214"/>
      <c r="V364" s="215"/>
      <c r="W364" s="310">
        <v>0</v>
      </c>
      <c r="X364" s="311">
        <v>0</v>
      </c>
      <c r="Y364" s="311">
        <v>0</v>
      </c>
      <c r="Z364" s="211">
        <v>0</v>
      </c>
      <c r="AA364" s="212"/>
      <c r="AB364" s="213" t="e">
        <v>#DIV/0!</v>
      </c>
      <c r="AC364" s="214"/>
      <c r="AD364" s="215"/>
      <c r="AE364" s="342"/>
      <c r="AF364" s="341" t="s">
        <v>439</v>
      </c>
    </row>
    <row r="365" spans="1:32">
      <c r="A365" s="307">
        <v>3</v>
      </c>
      <c r="B365" s="342"/>
      <c r="C365" s="342" t="s">
        <v>179</v>
      </c>
      <c r="D365" s="340" t="s">
        <v>518</v>
      </c>
      <c r="E365" s="342" t="s">
        <v>516</v>
      </c>
      <c r="F365" s="345" t="s">
        <v>373</v>
      </c>
      <c r="G365" s="308">
        <v>2</v>
      </c>
      <c r="H365" s="309">
        <v>12800</v>
      </c>
      <c r="I365" s="309">
        <v>25600</v>
      </c>
      <c r="J365" s="211"/>
      <c r="K365" s="212" t="str">
        <f>IF(OR(J365="",G365=J365),"","*")</f>
        <v/>
      </c>
      <c r="L365" s="338">
        <f>IF($A365&lt;=L$1,I365/I$4,"")</f>
        <v>4.7666924682516403E-4</v>
      </c>
      <c r="M365" s="343"/>
      <c r="N365" s="344"/>
      <c r="O365" s="310">
        <v>0</v>
      </c>
      <c r="P365" s="311">
        <v>0</v>
      </c>
      <c r="Q365" s="311">
        <v>0</v>
      </c>
      <c r="R365" s="211">
        <v>0</v>
      </c>
      <c r="S365" s="212"/>
      <c r="T365" s="213" t="e">
        <v>#DIV/0!</v>
      </c>
      <c r="U365" s="214"/>
      <c r="V365" s="215"/>
      <c r="W365" s="310">
        <v>0</v>
      </c>
      <c r="X365" s="311">
        <v>0</v>
      </c>
      <c r="Y365" s="311">
        <v>0</v>
      </c>
      <c r="Z365" s="211">
        <v>0</v>
      </c>
      <c r="AA365" s="212"/>
      <c r="AB365" s="213" t="e">
        <v>#DIV/0!</v>
      </c>
      <c r="AC365" s="214"/>
      <c r="AD365" s="215"/>
      <c r="AE365" s="342"/>
      <c r="AF365" s="341" t="s">
        <v>439</v>
      </c>
    </row>
    <row r="366" spans="1:32">
      <c r="A366" s="307">
        <v>3</v>
      </c>
      <c r="B366" s="342"/>
      <c r="C366" s="342" t="s">
        <v>176</v>
      </c>
      <c r="D366" s="340" t="s">
        <v>500</v>
      </c>
      <c r="E366" s="342"/>
      <c r="F366" s="345" t="s">
        <v>172</v>
      </c>
      <c r="G366" s="308">
        <v>4.4050000000000002</v>
      </c>
      <c r="H366" s="309">
        <v>4000</v>
      </c>
      <c r="I366" s="309">
        <v>17620</v>
      </c>
      <c r="J366" s="211"/>
      <c r="K366" s="212" t="str">
        <f>IF(OR(J366="",G366=J366),"","*")</f>
        <v/>
      </c>
      <c r="L366" s="338">
        <f>IF($A366&lt;=L$1,I366/I$4,"")</f>
        <v>3.2808250504138241E-4</v>
      </c>
      <c r="M366" s="343"/>
      <c r="N366" s="344"/>
      <c r="O366" s="310">
        <v>0</v>
      </c>
      <c r="P366" s="311">
        <v>0</v>
      </c>
      <c r="Q366" s="311">
        <v>0</v>
      </c>
      <c r="R366" s="211">
        <v>0</v>
      </c>
      <c r="S366" s="212"/>
      <c r="T366" s="213" t="e">
        <v>#DIV/0!</v>
      </c>
      <c r="U366" s="214"/>
      <c r="V366" s="215"/>
      <c r="W366" s="310">
        <v>0</v>
      </c>
      <c r="X366" s="311">
        <v>0</v>
      </c>
      <c r="Y366" s="311">
        <v>0</v>
      </c>
      <c r="Z366" s="211">
        <v>0</v>
      </c>
      <c r="AA366" s="212"/>
      <c r="AB366" s="213" t="e">
        <v>#DIV/0!</v>
      </c>
      <c r="AC366" s="214"/>
      <c r="AD366" s="215"/>
      <c r="AE366" s="342" t="s">
        <v>501</v>
      </c>
      <c r="AF366" s="341" t="s">
        <v>689</v>
      </c>
    </row>
    <row r="367" spans="1:32">
      <c r="A367" s="307">
        <v>3</v>
      </c>
      <c r="B367" s="342"/>
      <c r="C367" s="342" t="s">
        <v>180</v>
      </c>
      <c r="D367" s="340" t="s">
        <v>482</v>
      </c>
      <c r="E367" s="342"/>
      <c r="F367" s="345" t="s">
        <v>373</v>
      </c>
      <c r="G367" s="308">
        <v>2</v>
      </c>
      <c r="H367" s="309">
        <v>9800</v>
      </c>
      <c r="I367" s="309">
        <v>19600</v>
      </c>
      <c r="J367" s="211"/>
      <c r="K367" s="212" t="str">
        <f>IF(OR(J367="",G367=J367),"","*")</f>
        <v/>
      </c>
      <c r="L367" s="338">
        <f>IF($A367&lt;=L$1,I367/I$4,"")</f>
        <v>3.6494989210051623E-4</v>
      </c>
      <c r="M367" s="343"/>
      <c r="N367" s="344"/>
      <c r="O367" s="310">
        <v>0</v>
      </c>
      <c r="P367" s="311">
        <v>0</v>
      </c>
      <c r="Q367" s="311">
        <v>0</v>
      </c>
      <c r="R367" s="211">
        <v>0</v>
      </c>
      <c r="S367" s="212"/>
      <c r="T367" s="213" t="e">
        <v>#DIV/0!</v>
      </c>
      <c r="U367" s="214"/>
      <c r="V367" s="215"/>
      <c r="W367" s="310">
        <v>0</v>
      </c>
      <c r="X367" s="311">
        <v>0</v>
      </c>
      <c r="Y367" s="311">
        <v>0</v>
      </c>
      <c r="Z367" s="211">
        <v>0</v>
      </c>
      <c r="AA367" s="212"/>
      <c r="AB367" s="213" t="e">
        <v>#DIV/0!</v>
      </c>
      <c r="AC367" s="214"/>
      <c r="AD367" s="215"/>
      <c r="AE367" s="342"/>
      <c r="AF367" s="341" t="s">
        <v>439</v>
      </c>
    </row>
    <row r="368" spans="1:32">
      <c r="A368" s="307">
        <v>3</v>
      </c>
      <c r="B368" s="342"/>
      <c r="C368" s="342" t="s">
        <v>180</v>
      </c>
      <c r="D368" s="340" t="s">
        <v>383</v>
      </c>
      <c r="E368" s="342" t="s">
        <v>384</v>
      </c>
      <c r="F368" s="345" t="s">
        <v>373</v>
      </c>
      <c r="G368" s="308">
        <v>6</v>
      </c>
      <c r="H368" s="309">
        <v>4000</v>
      </c>
      <c r="I368" s="309">
        <v>24000</v>
      </c>
      <c r="J368" s="211"/>
      <c r="K368" s="212" t="str">
        <f>IF(OR(J368="",G368=J368),"","*")</f>
        <v/>
      </c>
      <c r="L368" s="338">
        <f>IF($A368&lt;=L$1,I368/I$4,"")</f>
        <v>4.4687741889859125E-4</v>
      </c>
      <c r="M368" s="343"/>
      <c r="N368" s="344"/>
      <c r="O368" s="310">
        <v>0</v>
      </c>
      <c r="P368" s="311">
        <v>0</v>
      </c>
      <c r="Q368" s="311">
        <v>0</v>
      </c>
      <c r="R368" s="211">
        <v>0</v>
      </c>
      <c r="S368" s="212"/>
      <c r="T368" s="213" t="e">
        <v>#DIV/0!</v>
      </c>
      <c r="U368" s="214"/>
      <c r="V368" s="215"/>
      <c r="W368" s="310">
        <v>0</v>
      </c>
      <c r="X368" s="311">
        <v>0</v>
      </c>
      <c r="Y368" s="311">
        <v>0</v>
      </c>
      <c r="Z368" s="211">
        <v>0</v>
      </c>
      <c r="AA368" s="212"/>
      <c r="AB368" s="213" t="e">
        <v>#DIV/0!</v>
      </c>
      <c r="AC368" s="214"/>
      <c r="AD368" s="215"/>
      <c r="AE368" s="342"/>
      <c r="AF368" s="341" t="s">
        <v>651</v>
      </c>
    </row>
    <row r="369" spans="1:32">
      <c r="A369" s="307">
        <v>3</v>
      </c>
      <c r="B369" s="342"/>
      <c r="C369" s="342" t="s">
        <v>176</v>
      </c>
      <c r="D369" s="340" t="s">
        <v>663</v>
      </c>
      <c r="E369" s="342"/>
      <c r="F369" s="345" t="s">
        <v>173</v>
      </c>
      <c r="G369" s="308">
        <v>1</v>
      </c>
      <c r="H369" s="309">
        <v>30000</v>
      </c>
      <c r="I369" s="309">
        <v>30000</v>
      </c>
      <c r="J369" s="211"/>
      <c r="K369" s="212" t="str">
        <f>IF(OR(J369="",G369=J369),"","*")</f>
        <v/>
      </c>
      <c r="L369" s="338">
        <f>IF($A369&lt;=L$1,I369/I$4,"")</f>
        <v>5.5859677362323911E-4</v>
      </c>
      <c r="M369" s="343"/>
      <c r="N369" s="344"/>
      <c r="O369" s="310">
        <v>0</v>
      </c>
      <c r="P369" s="311">
        <v>0</v>
      </c>
      <c r="Q369" s="311">
        <v>0</v>
      </c>
      <c r="R369" s="211">
        <v>0</v>
      </c>
      <c r="S369" s="212"/>
      <c r="T369" s="213" t="e">
        <v>#DIV/0!</v>
      </c>
      <c r="U369" s="214"/>
      <c r="V369" s="215"/>
      <c r="W369" s="310">
        <v>0</v>
      </c>
      <c r="X369" s="311">
        <v>0</v>
      </c>
      <c r="Y369" s="311">
        <v>0</v>
      </c>
      <c r="Z369" s="211">
        <v>0</v>
      </c>
      <c r="AA369" s="212"/>
      <c r="AB369" s="213" t="e">
        <v>#DIV/0!</v>
      </c>
      <c r="AC369" s="214"/>
      <c r="AD369" s="215"/>
      <c r="AE369" s="342"/>
      <c r="AF369" s="341"/>
    </row>
    <row r="370" spans="1:32">
      <c r="A370" s="307">
        <v>2</v>
      </c>
      <c r="B370" s="342"/>
      <c r="C370" s="342" t="s">
        <v>355</v>
      </c>
      <c r="D370" s="340" t="s">
        <v>690</v>
      </c>
      <c r="E370" s="342"/>
      <c r="F370" s="345" t="s">
        <v>235</v>
      </c>
      <c r="G370" s="308">
        <v>103</v>
      </c>
      <c r="H370" s="309">
        <v>5695</v>
      </c>
      <c r="I370" s="309">
        <v>586585</v>
      </c>
      <c r="J370" s="211">
        <v>103</v>
      </c>
      <c r="K370" s="212" t="str">
        <f>IF(OR(J370="",G370=J370),"","*")</f>
        <v/>
      </c>
      <c r="L370" s="338">
        <f>IF($A370&lt;=L$1,I370/I$4,"")</f>
        <v>1.0922149615192923E-2</v>
      </c>
      <c r="M370" s="343"/>
      <c r="N370" s="344" t="s">
        <v>691</v>
      </c>
      <c r="O370" s="310">
        <v>0</v>
      </c>
      <c r="P370" s="311">
        <v>0</v>
      </c>
      <c r="Q370" s="311">
        <v>0</v>
      </c>
      <c r="R370" s="211">
        <v>0</v>
      </c>
      <c r="S370" s="212"/>
      <c r="T370" s="213" t="e">
        <v>#DIV/0!</v>
      </c>
      <c r="U370" s="214"/>
      <c r="V370" s="215"/>
      <c r="W370" s="310">
        <v>0</v>
      </c>
      <c r="X370" s="311">
        <v>0</v>
      </c>
      <c r="Y370" s="311">
        <v>0</v>
      </c>
      <c r="Z370" s="211">
        <v>0</v>
      </c>
      <c r="AA370" s="212"/>
      <c r="AB370" s="213" t="e">
        <v>#DIV/0!</v>
      </c>
      <c r="AC370" s="214"/>
      <c r="AD370" s="215"/>
      <c r="AE370" s="342"/>
      <c r="AF370" s="341"/>
    </row>
    <row r="371" spans="1:32">
      <c r="A371" s="307">
        <v>3</v>
      </c>
      <c r="B371" s="342"/>
      <c r="C371" s="342" t="s">
        <v>180</v>
      </c>
      <c r="D371" s="340" t="s">
        <v>482</v>
      </c>
      <c r="E371" s="342"/>
      <c r="F371" s="345" t="s">
        <v>373</v>
      </c>
      <c r="G371" s="308">
        <v>1.2050000000000001</v>
      </c>
      <c r="H371" s="309">
        <v>9800</v>
      </c>
      <c r="I371" s="309">
        <v>11809</v>
      </c>
      <c r="J371" s="211"/>
      <c r="K371" s="212" t="str">
        <f>IF(OR(J371="",G371=J371),"","*")</f>
        <v/>
      </c>
      <c r="L371" s="338">
        <f>IF($A371&lt;=L$1,I371/I$4,"")</f>
        <v>2.1988230999056102E-4</v>
      </c>
      <c r="M371" s="343"/>
      <c r="N371" s="344"/>
      <c r="O371" s="310">
        <v>0</v>
      </c>
      <c r="P371" s="311">
        <v>0</v>
      </c>
      <c r="Q371" s="311">
        <v>0</v>
      </c>
      <c r="R371" s="211">
        <v>0</v>
      </c>
      <c r="S371" s="212"/>
      <c r="T371" s="213" t="e">
        <v>#DIV/0!</v>
      </c>
      <c r="U371" s="214"/>
      <c r="V371" s="215"/>
      <c r="W371" s="310">
        <v>0</v>
      </c>
      <c r="X371" s="311">
        <v>0</v>
      </c>
      <c r="Y371" s="311">
        <v>0</v>
      </c>
      <c r="Z371" s="211">
        <v>0</v>
      </c>
      <c r="AA371" s="212"/>
      <c r="AB371" s="213" t="e">
        <v>#DIV/0!</v>
      </c>
      <c r="AC371" s="214"/>
      <c r="AD371" s="215"/>
      <c r="AE371" s="342"/>
      <c r="AF371" s="341" t="s">
        <v>439</v>
      </c>
    </row>
    <row r="372" spans="1:32">
      <c r="A372" s="307">
        <v>3</v>
      </c>
      <c r="B372" s="342"/>
      <c r="C372" s="342" t="s">
        <v>179</v>
      </c>
      <c r="D372" s="340" t="s">
        <v>371</v>
      </c>
      <c r="E372" s="342" t="s">
        <v>621</v>
      </c>
      <c r="F372" s="345" t="s">
        <v>373</v>
      </c>
      <c r="G372" s="308">
        <v>1</v>
      </c>
      <c r="H372" s="309">
        <v>6000</v>
      </c>
      <c r="I372" s="309">
        <v>6000</v>
      </c>
      <c r="J372" s="211"/>
      <c r="K372" s="212" t="str">
        <f>IF(OR(J372="",G372=J372),"","*")</f>
        <v/>
      </c>
      <c r="L372" s="338">
        <f>IF($A372&lt;=L$1,I372/I$4,"")</f>
        <v>1.1171935472464781E-4</v>
      </c>
      <c r="M372" s="343"/>
      <c r="N372" s="344"/>
      <c r="O372" s="310">
        <v>0</v>
      </c>
      <c r="P372" s="311">
        <v>0</v>
      </c>
      <c r="Q372" s="311">
        <v>0</v>
      </c>
      <c r="R372" s="211">
        <v>0</v>
      </c>
      <c r="S372" s="212"/>
      <c r="T372" s="213" t="e">
        <v>#DIV/0!</v>
      </c>
      <c r="U372" s="214"/>
      <c r="V372" s="215"/>
      <c r="W372" s="310">
        <v>0</v>
      </c>
      <c r="X372" s="311">
        <v>0</v>
      </c>
      <c r="Y372" s="311">
        <v>0</v>
      </c>
      <c r="Z372" s="211">
        <v>0</v>
      </c>
      <c r="AA372" s="212"/>
      <c r="AB372" s="213" t="e">
        <v>#DIV/0!</v>
      </c>
      <c r="AC372" s="214"/>
      <c r="AD372" s="215"/>
      <c r="AE372" s="342"/>
      <c r="AF372" s="341" t="s">
        <v>439</v>
      </c>
    </row>
    <row r="373" spans="1:32">
      <c r="A373" s="307">
        <v>3</v>
      </c>
      <c r="B373" s="342"/>
      <c r="C373" s="342" t="s">
        <v>180</v>
      </c>
      <c r="D373" s="340" t="s">
        <v>692</v>
      </c>
      <c r="E373" s="342"/>
      <c r="F373" s="345" t="s">
        <v>377</v>
      </c>
      <c r="G373" s="308">
        <v>10</v>
      </c>
      <c r="H373" s="309">
        <v>2500</v>
      </c>
      <c r="I373" s="309">
        <v>25000</v>
      </c>
      <c r="J373" s="211"/>
      <c r="K373" s="212" t="str">
        <f>IF(OR(J373="",G373=J373),"","*")</f>
        <v/>
      </c>
      <c r="L373" s="338">
        <f>IF($A373&lt;=L$1,I373/I$4,"")</f>
        <v>4.6549731135269926E-4</v>
      </c>
      <c r="M373" s="343"/>
      <c r="N373" s="344"/>
      <c r="O373" s="310">
        <v>0</v>
      </c>
      <c r="P373" s="311">
        <v>0</v>
      </c>
      <c r="Q373" s="311">
        <v>0</v>
      </c>
      <c r="R373" s="211">
        <v>0</v>
      </c>
      <c r="S373" s="212"/>
      <c r="T373" s="213" t="e">
        <v>#DIV/0!</v>
      </c>
      <c r="U373" s="214"/>
      <c r="V373" s="215"/>
      <c r="W373" s="310">
        <v>0</v>
      </c>
      <c r="X373" s="311">
        <v>0</v>
      </c>
      <c r="Y373" s="311">
        <v>0</v>
      </c>
      <c r="Z373" s="211">
        <v>0</v>
      </c>
      <c r="AA373" s="212"/>
      <c r="AB373" s="213" t="e">
        <v>#DIV/0!</v>
      </c>
      <c r="AC373" s="214"/>
      <c r="AD373" s="215"/>
      <c r="AE373" s="342" t="s">
        <v>693</v>
      </c>
      <c r="AF373" s="341" t="s">
        <v>694</v>
      </c>
    </row>
    <row r="374" spans="1:32">
      <c r="A374" s="307">
        <v>3</v>
      </c>
      <c r="B374" s="342"/>
      <c r="C374" s="342" t="s">
        <v>177</v>
      </c>
      <c r="D374" s="340" t="s">
        <v>367</v>
      </c>
      <c r="E374" s="342" t="s">
        <v>368</v>
      </c>
      <c r="F374" s="345" t="s">
        <v>369</v>
      </c>
      <c r="G374" s="308">
        <v>4</v>
      </c>
      <c r="H374" s="309">
        <v>23000</v>
      </c>
      <c r="I374" s="309">
        <v>92000</v>
      </c>
      <c r="J374" s="211"/>
      <c r="K374" s="212" t="str">
        <f>IF(OR(J374="",G374=J374),"","*")</f>
        <v/>
      </c>
      <c r="L374" s="338">
        <f>IF($A374&lt;=L$1,I374/I$4,"")</f>
        <v>1.7130301057779332E-3</v>
      </c>
      <c r="M374" s="343"/>
      <c r="N374" s="344"/>
      <c r="O374" s="310">
        <v>0</v>
      </c>
      <c r="P374" s="311">
        <v>0</v>
      </c>
      <c r="Q374" s="311">
        <v>0</v>
      </c>
      <c r="R374" s="211">
        <v>0</v>
      </c>
      <c r="S374" s="212"/>
      <c r="T374" s="213" t="e">
        <v>#DIV/0!</v>
      </c>
      <c r="U374" s="214"/>
      <c r="V374" s="215"/>
      <c r="W374" s="310">
        <v>0</v>
      </c>
      <c r="X374" s="311">
        <v>0</v>
      </c>
      <c r="Y374" s="311">
        <v>0</v>
      </c>
      <c r="Z374" s="211">
        <v>0</v>
      </c>
      <c r="AA374" s="212"/>
      <c r="AB374" s="213" t="e">
        <v>#DIV/0!</v>
      </c>
      <c r="AC374" s="214"/>
      <c r="AD374" s="215"/>
      <c r="AE374" s="342"/>
      <c r="AF374" s="341" t="s">
        <v>575</v>
      </c>
    </row>
    <row r="375" spans="1:32">
      <c r="A375" s="307">
        <v>3</v>
      </c>
      <c r="B375" s="342"/>
      <c r="C375" s="342" t="s">
        <v>176</v>
      </c>
      <c r="D375" s="340" t="s">
        <v>363</v>
      </c>
      <c r="E375" s="342"/>
      <c r="F375" s="345" t="s">
        <v>503</v>
      </c>
      <c r="G375" s="308">
        <v>50</v>
      </c>
      <c r="H375" s="309">
        <v>145</v>
      </c>
      <c r="I375" s="309">
        <v>7250</v>
      </c>
      <c r="J375" s="211"/>
      <c r="K375" s="212" t="str">
        <f>IF(OR(J375="",G375=J375),"","*")</f>
        <v/>
      </c>
      <c r="L375" s="338">
        <f>IF($A375&lt;=L$1,I375/I$4,"")</f>
        <v>1.3499422029228278E-4</v>
      </c>
      <c r="M375" s="343"/>
      <c r="N375" s="344"/>
      <c r="O375" s="310">
        <v>0</v>
      </c>
      <c r="P375" s="311">
        <v>0</v>
      </c>
      <c r="Q375" s="311">
        <v>0</v>
      </c>
      <c r="R375" s="211">
        <v>0</v>
      </c>
      <c r="S375" s="212"/>
      <c r="T375" s="213" t="e">
        <v>#DIV/0!</v>
      </c>
      <c r="U375" s="214"/>
      <c r="V375" s="215"/>
      <c r="W375" s="310">
        <v>0</v>
      </c>
      <c r="X375" s="311">
        <v>0</v>
      </c>
      <c r="Y375" s="311">
        <v>0</v>
      </c>
      <c r="Z375" s="211">
        <v>0</v>
      </c>
      <c r="AA375" s="212"/>
      <c r="AB375" s="213" t="e">
        <v>#DIV/0!</v>
      </c>
      <c r="AC375" s="214"/>
      <c r="AD375" s="215"/>
      <c r="AE375" s="342" t="s">
        <v>365</v>
      </c>
      <c r="AF375" s="341" t="s">
        <v>695</v>
      </c>
    </row>
    <row r="376" spans="1:32">
      <c r="A376" s="307">
        <v>3</v>
      </c>
      <c r="B376" s="342"/>
      <c r="C376" s="342" t="s">
        <v>176</v>
      </c>
      <c r="D376" s="340" t="s">
        <v>696</v>
      </c>
      <c r="E376" s="342"/>
      <c r="F376" s="345" t="s">
        <v>254</v>
      </c>
      <c r="G376" s="308">
        <v>171</v>
      </c>
      <c r="H376" s="309">
        <v>2600</v>
      </c>
      <c r="I376" s="309">
        <v>444600</v>
      </c>
      <c r="J376" s="211"/>
      <c r="K376" s="212" t="str">
        <f>IF(OR(J376="",G376=J376),"","*")</f>
        <v/>
      </c>
      <c r="L376" s="338">
        <f>IF($A376&lt;=L$1,I376/I$4,"")</f>
        <v>8.2784041850964031E-3</v>
      </c>
      <c r="M376" s="343"/>
      <c r="N376" s="344"/>
      <c r="O376" s="310">
        <v>0</v>
      </c>
      <c r="P376" s="311">
        <v>0</v>
      </c>
      <c r="Q376" s="311">
        <v>0</v>
      </c>
      <c r="R376" s="211">
        <v>0</v>
      </c>
      <c r="S376" s="212"/>
      <c r="T376" s="213" t="e">
        <v>#DIV/0!</v>
      </c>
      <c r="U376" s="214"/>
      <c r="V376" s="215"/>
      <c r="W376" s="310">
        <v>0</v>
      </c>
      <c r="X376" s="311">
        <v>0</v>
      </c>
      <c r="Y376" s="311">
        <v>0</v>
      </c>
      <c r="Z376" s="211">
        <v>0</v>
      </c>
      <c r="AA376" s="212"/>
      <c r="AB376" s="213" t="e">
        <v>#DIV/0!</v>
      </c>
      <c r="AC376" s="214"/>
      <c r="AD376" s="215"/>
      <c r="AE376" s="342"/>
      <c r="AF376" s="341"/>
    </row>
    <row r="377" spans="1:32">
      <c r="A377" s="307">
        <v>2</v>
      </c>
      <c r="B377" s="342"/>
      <c r="C377" s="342" t="s">
        <v>355</v>
      </c>
      <c r="D377" s="340" t="s">
        <v>697</v>
      </c>
      <c r="E377" s="342"/>
      <c r="F377" s="345" t="s">
        <v>173</v>
      </c>
      <c r="G377" s="308">
        <v>1</v>
      </c>
      <c r="H377" s="309">
        <v>45800</v>
      </c>
      <c r="I377" s="309">
        <v>45800</v>
      </c>
      <c r="J377" s="211">
        <v>1</v>
      </c>
      <c r="K377" s="212" t="str">
        <f>IF(OR(J377="",G377=J377),"","*")</f>
        <v/>
      </c>
      <c r="L377" s="338">
        <f>IF($A377&lt;=L$1,I377/I$4,"")</f>
        <v>8.5279107439814508E-4</v>
      </c>
      <c r="M377" s="343"/>
      <c r="N377" s="344" t="s">
        <v>698</v>
      </c>
      <c r="O377" s="310">
        <v>0</v>
      </c>
      <c r="P377" s="311">
        <v>0</v>
      </c>
      <c r="Q377" s="311">
        <v>0</v>
      </c>
      <c r="R377" s="211">
        <v>0</v>
      </c>
      <c r="S377" s="212"/>
      <c r="T377" s="213" t="e">
        <v>#DIV/0!</v>
      </c>
      <c r="U377" s="214"/>
      <c r="V377" s="215"/>
      <c r="W377" s="310">
        <v>0</v>
      </c>
      <c r="X377" s="311">
        <v>0</v>
      </c>
      <c r="Y377" s="311">
        <v>0</v>
      </c>
      <c r="Z377" s="211">
        <v>0</v>
      </c>
      <c r="AA377" s="212"/>
      <c r="AB377" s="213" t="e">
        <v>#DIV/0!</v>
      </c>
      <c r="AC377" s="214"/>
      <c r="AD377" s="215"/>
      <c r="AE377" s="342"/>
      <c r="AF377" s="341"/>
    </row>
    <row r="378" spans="1:32">
      <c r="A378" s="307">
        <v>3</v>
      </c>
      <c r="B378" s="342"/>
      <c r="C378" s="342" t="s">
        <v>179</v>
      </c>
      <c r="D378" s="340" t="s">
        <v>518</v>
      </c>
      <c r="E378" s="342" t="s">
        <v>516</v>
      </c>
      <c r="F378" s="345" t="s">
        <v>373</v>
      </c>
      <c r="G378" s="308">
        <v>1</v>
      </c>
      <c r="H378" s="309">
        <v>12800</v>
      </c>
      <c r="I378" s="309">
        <v>12800</v>
      </c>
      <c r="J378" s="211"/>
      <c r="K378" s="212" t="str">
        <f>IF(OR(J378="",G378=J378),"","*")</f>
        <v/>
      </c>
      <c r="L378" s="338">
        <f>IF($A378&lt;=L$1,I378/I$4,"")</f>
        <v>2.3833462341258201E-4</v>
      </c>
      <c r="M378" s="343"/>
      <c r="N378" s="344"/>
      <c r="O378" s="310">
        <v>0</v>
      </c>
      <c r="P378" s="311">
        <v>0</v>
      </c>
      <c r="Q378" s="311">
        <v>0</v>
      </c>
      <c r="R378" s="211">
        <v>0</v>
      </c>
      <c r="S378" s="212"/>
      <c r="T378" s="213" t="e">
        <v>#DIV/0!</v>
      </c>
      <c r="U378" s="214"/>
      <c r="V378" s="215"/>
      <c r="W378" s="310">
        <v>0</v>
      </c>
      <c r="X378" s="311">
        <v>0</v>
      </c>
      <c r="Y378" s="311">
        <v>0</v>
      </c>
      <c r="Z378" s="211">
        <v>0</v>
      </c>
      <c r="AA378" s="212"/>
      <c r="AB378" s="213" t="e">
        <v>#DIV/0!</v>
      </c>
      <c r="AC378" s="214"/>
      <c r="AD378" s="215"/>
      <c r="AE378" s="342"/>
      <c r="AF378" s="341" t="s">
        <v>374</v>
      </c>
    </row>
    <row r="379" spans="1:32">
      <c r="A379" s="307">
        <v>3</v>
      </c>
      <c r="B379" s="342"/>
      <c r="C379" s="342" t="s">
        <v>177</v>
      </c>
      <c r="D379" s="340" t="s">
        <v>367</v>
      </c>
      <c r="E379" s="342" t="s">
        <v>368</v>
      </c>
      <c r="F379" s="345" t="s">
        <v>369</v>
      </c>
      <c r="G379" s="308">
        <v>1</v>
      </c>
      <c r="H379" s="309">
        <v>23000</v>
      </c>
      <c r="I379" s="309">
        <v>23000</v>
      </c>
      <c r="J379" s="211"/>
      <c r="K379" s="212" t="str">
        <f>IF(OR(J379="",G379=J379),"","*")</f>
        <v/>
      </c>
      <c r="L379" s="338">
        <f>IF($A379&lt;=L$1,I379/I$4,"")</f>
        <v>4.2825752644448331E-4</v>
      </c>
      <c r="M379" s="343"/>
      <c r="N379" s="344"/>
      <c r="O379" s="310">
        <v>0</v>
      </c>
      <c r="P379" s="311">
        <v>0</v>
      </c>
      <c r="Q379" s="311">
        <v>0</v>
      </c>
      <c r="R379" s="211">
        <v>0</v>
      </c>
      <c r="S379" s="212"/>
      <c r="T379" s="213" t="e">
        <v>#DIV/0!</v>
      </c>
      <c r="U379" s="214"/>
      <c r="V379" s="215"/>
      <c r="W379" s="310">
        <v>0</v>
      </c>
      <c r="X379" s="311">
        <v>0</v>
      </c>
      <c r="Y379" s="311">
        <v>0</v>
      </c>
      <c r="Z379" s="211">
        <v>0</v>
      </c>
      <c r="AA379" s="212"/>
      <c r="AB379" s="213" t="e">
        <v>#DIV/0!</v>
      </c>
      <c r="AC379" s="214"/>
      <c r="AD379" s="215"/>
      <c r="AE379" s="342"/>
      <c r="AF379" s="341" t="s">
        <v>374</v>
      </c>
    </row>
    <row r="380" spans="1:32">
      <c r="A380" s="307">
        <v>3</v>
      </c>
      <c r="B380" s="342"/>
      <c r="C380" s="342" t="s">
        <v>180</v>
      </c>
      <c r="D380" s="340" t="s">
        <v>383</v>
      </c>
      <c r="E380" s="342" t="s">
        <v>384</v>
      </c>
      <c r="F380" s="345" t="s">
        <v>373</v>
      </c>
      <c r="G380" s="308">
        <v>1</v>
      </c>
      <c r="H380" s="309">
        <v>4000</v>
      </c>
      <c r="I380" s="309">
        <v>4000</v>
      </c>
      <c r="J380" s="211"/>
      <c r="K380" s="212" t="str">
        <f>IF(OR(J380="",G380=J380),"","*")</f>
        <v/>
      </c>
      <c r="L380" s="338">
        <f>IF($A380&lt;=L$1,I380/I$4,"")</f>
        <v>7.4479569816431876E-5</v>
      </c>
      <c r="M380" s="343"/>
      <c r="N380" s="344"/>
      <c r="O380" s="310">
        <v>0</v>
      </c>
      <c r="P380" s="311">
        <v>0</v>
      </c>
      <c r="Q380" s="311">
        <v>0</v>
      </c>
      <c r="R380" s="211">
        <v>0</v>
      </c>
      <c r="S380" s="212"/>
      <c r="T380" s="213" t="e">
        <v>#DIV/0!</v>
      </c>
      <c r="U380" s="214"/>
      <c r="V380" s="215"/>
      <c r="W380" s="310">
        <v>0</v>
      </c>
      <c r="X380" s="311">
        <v>0</v>
      </c>
      <c r="Y380" s="311">
        <v>0</v>
      </c>
      <c r="Z380" s="211">
        <v>0</v>
      </c>
      <c r="AA380" s="212"/>
      <c r="AB380" s="213" t="e">
        <v>#DIV/0!</v>
      </c>
      <c r="AC380" s="214"/>
      <c r="AD380" s="215"/>
      <c r="AE380" s="342" t="s">
        <v>636</v>
      </c>
      <c r="AF380" s="341" t="s">
        <v>374</v>
      </c>
    </row>
    <row r="381" spans="1:32">
      <c r="A381" s="307">
        <v>3</v>
      </c>
      <c r="B381" s="342"/>
      <c r="C381" s="342" t="s">
        <v>179</v>
      </c>
      <c r="D381" s="340" t="s">
        <v>371</v>
      </c>
      <c r="E381" s="342" t="s">
        <v>621</v>
      </c>
      <c r="F381" s="345" t="s">
        <v>373</v>
      </c>
      <c r="G381" s="308">
        <v>1</v>
      </c>
      <c r="H381" s="309">
        <v>6000</v>
      </c>
      <c r="I381" s="309">
        <v>6000</v>
      </c>
      <c r="J381" s="211"/>
      <c r="K381" s="212" t="str">
        <f>IF(OR(J381="",G381=J381),"","*")</f>
        <v/>
      </c>
      <c r="L381" s="338">
        <f>IF($A381&lt;=L$1,I381/I$4,"")</f>
        <v>1.1171935472464781E-4</v>
      </c>
      <c r="M381" s="343"/>
      <c r="N381" s="344"/>
      <c r="O381" s="310">
        <v>0</v>
      </c>
      <c r="P381" s="311">
        <v>0</v>
      </c>
      <c r="Q381" s="311">
        <v>0</v>
      </c>
      <c r="R381" s="211">
        <v>0</v>
      </c>
      <c r="S381" s="212"/>
      <c r="T381" s="213" t="e">
        <v>#DIV/0!</v>
      </c>
      <c r="U381" s="214"/>
      <c r="V381" s="215"/>
      <c r="W381" s="310">
        <v>0</v>
      </c>
      <c r="X381" s="311">
        <v>0</v>
      </c>
      <c r="Y381" s="311">
        <v>0</v>
      </c>
      <c r="Z381" s="211">
        <v>0</v>
      </c>
      <c r="AA381" s="212"/>
      <c r="AB381" s="213" t="e">
        <v>#DIV/0!</v>
      </c>
      <c r="AC381" s="214"/>
      <c r="AD381" s="215"/>
      <c r="AE381" s="342"/>
      <c r="AF381" s="341" t="s">
        <v>374</v>
      </c>
    </row>
    <row r="382" spans="1:32">
      <c r="A382" s="307">
        <v>2</v>
      </c>
      <c r="B382" s="342"/>
      <c r="C382" s="342" t="s">
        <v>355</v>
      </c>
      <c r="D382" s="340" t="s">
        <v>699</v>
      </c>
      <c r="E382" s="342"/>
      <c r="F382" s="345" t="s">
        <v>171</v>
      </c>
      <c r="G382" s="308">
        <v>1058</v>
      </c>
      <c r="H382" s="309">
        <v>2408</v>
      </c>
      <c r="I382" s="309">
        <v>2547664</v>
      </c>
      <c r="J382" s="211">
        <v>1058</v>
      </c>
      <c r="K382" s="212" t="str">
        <f>IF(OR(J382="",G382=J382),"","*")</f>
        <v/>
      </c>
      <c r="L382" s="338">
        <f>IF($A382&lt;=L$1,I382/I$4,"")</f>
        <v>4.7437229689202526E-2</v>
      </c>
      <c r="M382" s="343"/>
      <c r="N382" s="344" t="s">
        <v>700</v>
      </c>
      <c r="O382" s="310">
        <v>0</v>
      </c>
      <c r="P382" s="311">
        <v>0</v>
      </c>
      <c r="Q382" s="311">
        <v>0</v>
      </c>
      <c r="R382" s="211">
        <v>0</v>
      </c>
      <c r="S382" s="212"/>
      <c r="T382" s="213" t="e">
        <v>#DIV/0!</v>
      </c>
      <c r="U382" s="214"/>
      <c r="V382" s="215"/>
      <c r="W382" s="310">
        <v>0</v>
      </c>
      <c r="X382" s="311">
        <v>0</v>
      </c>
      <c r="Y382" s="311">
        <v>0</v>
      </c>
      <c r="Z382" s="211">
        <v>0</v>
      </c>
      <c r="AA382" s="212"/>
      <c r="AB382" s="213" t="e">
        <v>#DIV/0!</v>
      </c>
      <c r="AC382" s="214"/>
      <c r="AD382" s="215"/>
      <c r="AE382" s="342"/>
      <c r="AF382" s="341"/>
    </row>
    <row r="383" spans="1:32">
      <c r="A383" s="307">
        <v>3</v>
      </c>
      <c r="B383" s="342"/>
      <c r="C383" s="342" t="s">
        <v>179</v>
      </c>
      <c r="D383" s="340" t="s">
        <v>701</v>
      </c>
      <c r="E383" s="342"/>
      <c r="F383" s="345" t="s">
        <v>373</v>
      </c>
      <c r="G383" s="308">
        <v>1</v>
      </c>
      <c r="H383" s="309">
        <v>70000</v>
      </c>
      <c r="I383" s="309">
        <v>70000</v>
      </c>
      <c r="J383" s="211"/>
      <c r="K383" s="212" t="str">
        <f>IF(OR(J383="",G383=J383),"","*")</f>
        <v/>
      </c>
      <c r="L383" s="338">
        <f>IF($A383&lt;=L$1,I383/I$4,"")</f>
        <v>1.3033924717875578E-3</v>
      </c>
      <c r="M383" s="343"/>
      <c r="N383" s="344"/>
      <c r="O383" s="310">
        <v>0</v>
      </c>
      <c r="P383" s="311">
        <v>0</v>
      </c>
      <c r="Q383" s="311">
        <v>0</v>
      </c>
      <c r="R383" s="211">
        <v>0</v>
      </c>
      <c r="S383" s="212"/>
      <c r="T383" s="213" t="e">
        <v>#DIV/0!</v>
      </c>
      <c r="U383" s="214"/>
      <c r="V383" s="215"/>
      <c r="W383" s="310">
        <v>0</v>
      </c>
      <c r="X383" s="311">
        <v>0</v>
      </c>
      <c r="Y383" s="311">
        <v>0</v>
      </c>
      <c r="Z383" s="211">
        <v>0</v>
      </c>
      <c r="AA383" s="212"/>
      <c r="AB383" s="213" t="e">
        <v>#DIV/0!</v>
      </c>
      <c r="AC383" s="214"/>
      <c r="AD383" s="215"/>
      <c r="AE383" s="342" t="s">
        <v>702</v>
      </c>
      <c r="AF383" s="341" t="s">
        <v>374</v>
      </c>
    </row>
    <row r="384" spans="1:32">
      <c r="A384" s="307">
        <v>3</v>
      </c>
      <c r="B384" s="342"/>
      <c r="C384" s="342" t="s">
        <v>179</v>
      </c>
      <c r="D384" s="340" t="s">
        <v>703</v>
      </c>
      <c r="E384" s="342"/>
      <c r="F384" s="345" t="s">
        <v>704</v>
      </c>
      <c r="G384" s="308">
        <v>2</v>
      </c>
      <c r="H384" s="309">
        <v>45000</v>
      </c>
      <c r="I384" s="309">
        <v>90000</v>
      </c>
      <c r="J384" s="211"/>
      <c r="K384" s="212" t="str">
        <f>IF(OR(J384="",G384=J384),"","*")</f>
        <v/>
      </c>
      <c r="L384" s="338">
        <f>IF($A384&lt;=L$1,I384/I$4,"")</f>
        <v>1.6757903208697172E-3</v>
      </c>
      <c r="M384" s="343"/>
      <c r="N384" s="344"/>
      <c r="O384" s="310">
        <v>0</v>
      </c>
      <c r="P384" s="311">
        <v>0</v>
      </c>
      <c r="Q384" s="311">
        <v>0</v>
      </c>
      <c r="R384" s="211">
        <v>0</v>
      </c>
      <c r="S384" s="212"/>
      <c r="T384" s="213" t="e">
        <v>#DIV/0!</v>
      </c>
      <c r="U384" s="214"/>
      <c r="V384" s="215"/>
      <c r="W384" s="310">
        <v>0</v>
      </c>
      <c r="X384" s="311">
        <v>0</v>
      </c>
      <c r="Y384" s="311">
        <v>0</v>
      </c>
      <c r="Z384" s="211">
        <v>0</v>
      </c>
      <c r="AA384" s="212"/>
      <c r="AB384" s="213" t="e">
        <v>#DIV/0!</v>
      </c>
      <c r="AC384" s="214"/>
      <c r="AD384" s="215"/>
      <c r="AE384" s="342" t="s">
        <v>705</v>
      </c>
      <c r="AF384" s="341" t="s">
        <v>439</v>
      </c>
    </row>
    <row r="385" spans="1:32">
      <c r="A385" s="307">
        <v>3</v>
      </c>
      <c r="B385" s="342"/>
      <c r="C385" s="342" t="s">
        <v>179</v>
      </c>
      <c r="D385" s="340" t="s">
        <v>513</v>
      </c>
      <c r="E385" s="342" t="s">
        <v>634</v>
      </c>
      <c r="F385" s="345" t="s">
        <v>373</v>
      </c>
      <c r="G385" s="308">
        <v>3</v>
      </c>
      <c r="H385" s="309">
        <v>60800</v>
      </c>
      <c r="I385" s="309">
        <v>182400</v>
      </c>
      <c r="J385" s="211"/>
      <c r="K385" s="212" t="str">
        <f>IF(OR(J385="",G385=J385),"","*")</f>
        <v/>
      </c>
      <c r="L385" s="338">
        <f>IF($A385&lt;=L$1,I385/I$4,"")</f>
        <v>3.3962683836292937E-3</v>
      </c>
      <c r="M385" s="343"/>
      <c r="N385" s="344"/>
      <c r="O385" s="310">
        <v>0</v>
      </c>
      <c r="P385" s="311">
        <v>0</v>
      </c>
      <c r="Q385" s="311">
        <v>0</v>
      </c>
      <c r="R385" s="211">
        <v>0</v>
      </c>
      <c r="S385" s="212"/>
      <c r="T385" s="213" t="e">
        <v>#DIV/0!</v>
      </c>
      <c r="U385" s="214"/>
      <c r="V385" s="215"/>
      <c r="W385" s="310">
        <v>0</v>
      </c>
      <c r="X385" s="311">
        <v>0</v>
      </c>
      <c r="Y385" s="311">
        <v>0</v>
      </c>
      <c r="Z385" s="211">
        <v>0</v>
      </c>
      <c r="AA385" s="212"/>
      <c r="AB385" s="213" t="e">
        <v>#DIV/0!</v>
      </c>
      <c r="AC385" s="214"/>
      <c r="AD385" s="215"/>
      <c r="AE385" s="342"/>
      <c r="AF385" s="341" t="s">
        <v>452</v>
      </c>
    </row>
    <row r="386" spans="1:32">
      <c r="A386" s="307">
        <v>3</v>
      </c>
      <c r="B386" s="342"/>
      <c r="C386" s="342" t="s">
        <v>179</v>
      </c>
      <c r="D386" s="340" t="s">
        <v>515</v>
      </c>
      <c r="E386" s="342" t="s">
        <v>516</v>
      </c>
      <c r="F386" s="345" t="s">
        <v>373</v>
      </c>
      <c r="G386" s="308">
        <v>3</v>
      </c>
      <c r="H386" s="309">
        <v>4600</v>
      </c>
      <c r="I386" s="309">
        <v>13800</v>
      </c>
      <c r="J386" s="211"/>
      <c r="K386" s="212" t="str">
        <f>IF(OR(J386="",G386=J386),"","*")</f>
        <v/>
      </c>
      <c r="L386" s="338">
        <f>IF($A386&lt;=L$1,I386/I$4,"")</f>
        <v>2.5695451586668996E-4</v>
      </c>
      <c r="M386" s="343"/>
      <c r="N386" s="344"/>
      <c r="O386" s="310">
        <v>0</v>
      </c>
      <c r="P386" s="311">
        <v>0</v>
      </c>
      <c r="Q386" s="311">
        <v>0</v>
      </c>
      <c r="R386" s="211">
        <v>0</v>
      </c>
      <c r="S386" s="212"/>
      <c r="T386" s="213" t="e">
        <v>#DIV/0!</v>
      </c>
      <c r="U386" s="214"/>
      <c r="V386" s="215"/>
      <c r="W386" s="310">
        <v>0</v>
      </c>
      <c r="X386" s="311">
        <v>0</v>
      </c>
      <c r="Y386" s="311">
        <v>0</v>
      </c>
      <c r="Z386" s="211">
        <v>0</v>
      </c>
      <c r="AA386" s="212"/>
      <c r="AB386" s="213" t="e">
        <v>#DIV/0!</v>
      </c>
      <c r="AC386" s="214"/>
      <c r="AD386" s="215"/>
      <c r="AE386" s="342"/>
      <c r="AF386" s="341" t="s">
        <v>452</v>
      </c>
    </row>
    <row r="387" spans="1:32">
      <c r="A387" s="307">
        <v>3</v>
      </c>
      <c r="B387" s="342"/>
      <c r="C387" s="342" t="s">
        <v>179</v>
      </c>
      <c r="D387" s="340" t="s">
        <v>517</v>
      </c>
      <c r="E387" s="342" t="s">
        <v>372</v>
      </c>
      <c r="F387" s="345" t="s">
        <v>373</v>
      </c>
      <c r="G387" s="308">
        <v>3</v>
      </c>
      <c r="H387" s="309">
        <v>6600</v>
      </c>
      <c r="I387" s="309">
        <v>19800</v>
      </c>
      <c r="J387" s="211"/>
      <c r="K387" s="212" t="str">
        <f>IF(OR(J387="",G387=J387),"","*")</f>
        <v/>
      </c>
      <c r="L387" s="338">
        <f>IF($A387&lt;=L$1,I387/I$4,"")</f>
        <v>3.6867387059133782E-4</v>
      </c>
      <c r="M387" s="343"/>
      <c r="N387" s="344"/>
      <c r="O387" s="310">
        <v>0</v>
      </c>
      <c r="P387" s="311">
        <v>0</v>
      </c>
      <c r="Q387" s="311">
        <v>0</v>
      </c>
      <c r="R387" s="211">
        <v>0</v>
      </c>
      <c r="S387" s="212"/>
      <c r="T387" s="213" t="e">
        <v>#DIV/0!</v>
      </c>
      <c r="U387" s="214"/>
      <c r="V387" s="215"/>
      <c r="W387" s="310">
        <v>0</v>
      </c>
      <c r="X387" s="311">
        <v>0</v>
      </c>
      <c r="Y387" s="311">
        <v>0</v>
      </c>
      <c r="Z387" s="211">
        <v>0</v>
      </c>
      <c r="AA387" s="212"/>
      <c r="AB387" s="213" t="e">
        <v>#DIV/0!</v>
      </c>
      <c r="AC387" s="214"/>
      <c r="AD387" s="215"/>
      <c r="AE387" s="342"/>
      <c r="AF387" s="341" t="s">
        <v>452</v>
      </c>
    </row>
    <row r="388" spans="1:32">
      <c r="A388" s="307">
        <v>3</v>
      </c>
      <c r="B388" s="342"/>
      <c r="C388" s="342" t="s">
        <v>179</v>
      </c>
      <c r="D388" s="340" t="s">
        <v>395</v>
      </c>
      <c r="E388" s="342"/>
      <c r="F388" s="345" t="s">
        <v>373</v>
      </c>
      <c r="G388" s="308">
        <v>3</v>
      </c>
      <c r="H388" s="309">
        <v>1500</v>
      </c>
      <c r="I388" s="309">
        <v>4500</v>
      </c>
      <c r="J388" s="211"/>
      <c r="K388" s="212" t="str">
        <f>IF(OR(J388="",G388=J388),"","*")</f>
        <v/>
      </c>
      <c r="L388" s="338">
        <f>IF($A388&lt;=L$1,I388/I$4,"")</f>
        <v>8.3789516043485864E-5</v>
      </c>
      <c r="M388" s="343"/>
      <c r="N388" s="344"/>
      <c r="O388" s="310">
        <v>0</v>
      </c>
      <c r="P388" s="311">
        <v>0</v>
      </c>
      <c r="Q388" s="311">
        <v>0</v>
      </c>
      <c r="R388" s="211">
        <v>0</v>
      </c>
      <c r="S388" s="212"/>
      <c r="T388" s="213" t="e">
        <v>#DIV/0!</v>
      </c>
      <c r="U388" s="214"/>
      <c r="V388" s="215"/>
      <c r="W388" s="310">
        <v>0</v>
      </c>
      <c r="X388" s="311">
        <v>0</v>
      </c>
      <c r="Y388" s="311">
        <v>0</v>
      </c>
      <c r="Z388" s="211">
        <v>0</v>
      </c>
      <c r="AA388" s="212"/>
      <c r="AB388" s="213" t="e">
        <v>#DIV/0!</v>
      </c>
      <c r="AC388" s="214"/>
      <c r="AD388" s="215"/>
      <c r="AE388" s="342"/>
      <c r="AF388" s="341" t="s">
        <v>452</v>
      </c>
    </row>
    <row r="389" spans="1:32">
      <c r="A389" s="307">
        <v>3</v>
      </c>
      <c r="B389" s="342"/>
      <c r="C389" s="342" t="s">
        <v>179</v>
      </c>
      <c r="D389" s="340" t="s">
        <v>396</v>
      </c>
      <c r="E389" s="342"/>
      <c r="F389" s="345" t="s">
        <v>373</v>
      </c>
      <c r="G389" s="308">
        <v>3</v>
      </c>
      <c r="H389" s="309">
        <v>700</v>
      </c>
      <c r="I389" s="309">
        <v>2100</v>
      </c>
      <c r="J389" s="211"/>
      <c r="K389" s="212" t="str">
        <f>IF(OR(J389="",G389=J389),"","*")</f>
        <v/>
      </c>
      <c r="L389" s="338">
        <f>IF($A389&lt;=L$1,I389/I$4,"")</f>
        <v>3.9101774153626739E-5</v>
      </c>
      <c r="M389" s="343"/>
      <c r="N389" s="344"/>
      <c r="O389" s="310">
        <v>0</v>
      </c>
      <c r="P389" s="311">
        <v>0</v>
      </c>
      <c r="Q389" s="311">
        <v>0</v>
      </c>
      <c r="R389" s="211">
        <v>0</v>
      </c>
      <c r="S389" s="212"/>
      <c r="T389" s="213" t="e">
        <v>#DIV/0!</v>
      </c>
      <c r="U389" s="214"/>
      <c r="V389" s="215"/>
      <c r="W389" s="310">
        <v>0</v>
      </c>
      <c r="X389" s="311">
        <v>0</v>
      </c>
      <c r="Y389" s="311">
        <v>0</v>
      </c>
      <c r="Z389" s="211">
        <v>0</v>
      </c>
      <c r="AA389" s="212"/>
      <c r="AB389" s="213" t="e">
        <v>#DIV/0!</v>
      </c>
      <c r="AC389" s="214"/>
      <c r="AD389" s="215"/>
      <c r="AE389" s="342"/>
      <c r="AF389" s="341" t="s">
        <v>452</v>
      </c>
    </row>
    <row r="390" spans="1:32">
      <c r="A390" s="307">
        <v>3</v>
      </c>
      <c r="B390" s="342"/>
      <c r="C390" s="342" t="s">
        <v>179</v>
      </c>
      <c r="D390" s="340" t="s">
        <v>397</v>
      </c>
      <c r="E390" s="342"/>
      <c r="F390" s="345" t="s">
        <v>373</v>
      </c>
      <c r="G390" s="308">
        <v>3</v>
      </c>
      <c r="H390" s="309">
        <v>700</v>
      </c>
      <c r="I390" s="309">
        <v>2100</v>
      </c>
      <c r="J390" s="211"/>
      <c r="K390" s="212" t="str">
        <f>IF(OR(J390="",G390=J390),"","*")</f>
        <v/>
      </c>
      <c r="L390" s="338">
        <f>IF($A390&lt;=L$1,I390/I$4,"")</f>
        <v>3.9101774153626739E-5</v>
      </c>
      <c r="M390" s="343"/>
      <c r="N390" s="344"/>
      <c r="O390" s="310">
        <v>0</v>
      </c>
      <c r="P390" s="311">
        <v>0</v>
      </c>
      <c r="Q390" s="311">
        <v>0</v>
      </c>
      <c r="R390" s="211">
        <v>0</v>
      </c>
      <c r="S390" s="212"/>
      <c r="T390" s="213" t="e">
        <v>#DIV/0!</v>
      </c>
      <c r="U390" s="214"/>
      <c r="V390" s="215"/>
      <c r="W390" s="310">
        <v>0</v>
      </c>
      <c r="X390" s="311">
        <v>0</v>
      </c>
      <c r="Y390" s="311">
        <v>0</v>
      </c>
      <c r="Z390" s="211">
        <v>0</v>
      </c>
      <c r="AA390" s="212"/>
      <c r="AB390" s="213" t="e">
        <v>#DIV/0!</v>
      </c>
      <c r="AC390" s="214"/>
      <c r="AD390" s="215"/>
      <c r="AE390" s="342"/>
      <c r="AF390" s="341" t="s">
        <v>452</v>
      </c>
    </row>
    <row r="391" spans="1:32">
      <c r="A391" s="307">
        <v>3</v>
      </c>
      <c r="B391" s="342"/>
      <c r="C391" s="342" t="s">
        <v>179</v>
      </c>
      <c r="D391" s="340" t="s">
        <v>518</v>
      </c>
      <c r="E391" s="342" t="s">
        <v>516</v>
      </c>
      <c r="F391" s="345" t="s">
        <v>373</v>
      </c>
      <c r="G391" s="308">
        <v>3</v>
      </c>
      <c r="H391" s="309">
        <v>12800</v>
      </c>
      <c r="I391" s="309">
        <v>38400</v>
      </c>
      <c r="J391" s="211"/>
      <c r="K391" s="212" t="str">
        <f>IF(OR(J391="",G391=J391),"","*")</f>
        <v/>
      </c>
      <c r="L391" s="338">
        <f>IF($A391&lt;=L$1,I391/I$4,"")</f>
        <v>7.1500387023774609E-4</v>
      </c>
      <c r="M391" s="343"/>
      <c r="N391" s="344"/>
      <c r="O391" s="310">
        <v>0</v>
      </c>
      <c r="P391" s="311">
        <v>0</v>
      </c>
      <c r="Q391" s="311">
        <v>0</v>
      </c>
      <c r="R391" s="211">
        <v>0</v>
      </c>
      <c r="S391" s="212"/>
      <c r="T391" s="213" t="e">
        <v>#DIV/0!</v>
      </c>
      <c r="U391" s="214"/>
      <c r="V391" s="215"/>
      <c r="W391" s="310">
        <v>0</v>
      </c>
      <c r="X391" s="311">
        <v>0</v>
      </c>
      <c r="Y391" s="311">
        <v>0</v>
      </c>
      <c r="Z391" s="211">
        <v>0</v>
      </c>
      <c r="AA391" s="212"/>
      <c r="AB391" s="213" t="e">
        <v>#DIV/0!</v>
      </c>
      <c r="AC391" s="214"/>
      <c r="AD391" s="215"/>
      <c r="AE391" s="342"/>
      <c r="AF391" s="341" t="s">
        <v>452</v>
      </c>
    </row>
    <row r="392" spans="1:32">
      <c r="A392" s="307">
        <v>3</v>
      </c>
      <c r="B392" s="342"/>
      <c r="C392" s="342" t="s">
        <v>180</v>
      </c>
      <c r="D392" s="340" t="s">
        <v>383</v>
      </c>
      <c r="E392" s="342" t="s">
        <v>384</v>
      </c>
      <c r="F392" s="345" t="s">
        <v>373</v>
      </c>
      <c r="G392" s="308">
        <v>9</v>
      </c>
      <c r="H392" s="309">
        <v>4000</v>
      </c>
      <c r="I392" s="309">
        <v>36000</v>
      </c>
      <c r="J392" s="211"/>
      <c r="K392" s="212" t="str">
        <f>IF(OR(J392="",G392=J392),"","*")</f>
        <v/>
      </c>
      <c r="L392" s="338">
        <f>IF($A392&lt;=L$1,I392/I$4,"")</f>
        <v>6.7031612834788691E-4</v>
      </c>
      <c r="M392" s="343"/>
      <c r="N392" s="344"/>
      <c r="O392" s="310">
        <v>0</v>
      </c>
      <c r="P392" s="311">
        <v>0</v>
      </c>
      <c r="Q392" s="311">
        <v>0</v>
      </c>
      <c r="R392" s="211">
        <v>0</v>
      </c>
      <c r="S392" s="212"/>
      <c r="T392" s="213" t="e">
        <v>#DIV/0!</v>
      </c>
      <c r="U392" s="214"/>
      <c r="V392" s="215"/>
      <c r="W392" s="310">
        <v>0</v>
      </c>
      <c r="X392" s="311">
        <v>0</v>
      </c>
      <c r="Y392" s="311">
        <v>0</v>
      </c>
      <c r="Z392" s="211">
        <v>0</v>
      </c>
      <c r="AA392" s="212"/>
      <c r="AB392" s="213" t="e">
        <v>#DIV/0!</v>
      </c>
      <c r="AC392" s="214"/>
      <c r="AD392" s="215"/>
      <c r="AE392" s="342" t="s">
        <v>636</v>
      </c>
      <c r="AF392" s="341" t="s">
        <v>519</v>
      </c>
    </row>
    <row r="393" spans="1:32">
      <c r="A393" s="307">
        <v>3</v>
      </c>
      <c r="B393" s="342"/>
      <c r="C393" s="342" t="s">
        <v>180</v>
      </c>
      <c r="D393" s="340" t="s">
        <v>482</v>
      </c>
      <c r="E393" s="342"/>
      <c r="F393" s="345" t="s">
        <v>373</v>
      </c>
      <c r="G393" s="308">
        <v>3</v>
      </c>
      <c r="H393" s="309">
        <v>9800</v>
      </c>
      <c r="I393" s="309">
        <v>29400</v>
      </c>
      <c r="J393" s="211"/>
      <c r="K393" s="212" t="str">
        <f>IF(OR(J393="",G393=J393),"","*")</f>
        <v/>
      </c>
      <c r="L393" s="338">
        <f>IF($A393&lt;=L$1,I393/I$4,"")</f>
        <v>5.4742483815077428E-4</v>
      </c>
      <c r="M393" s="343"/>
      <c r="N393" s="344"/>
      <c r="O393" s="310">
        <v>0</v>
      </c>
      <c r="P393" s="311">
        <v>0</v>
      </c>
      <c r="Q393" s="311">
        <v>0</v>
      </c>
      <c r="R393" s="211">
        <v>0</v>
      </c>
      <c r="S393" s="212"/>
      <c r="T393" s="213" t="e">
        <v>#DIV/0!</v>
      </c>
      <c r="U393" s="214"/>
      <c r="V393" s="215"/>
      <c r="W393" s="310">
        <v>0</v>
      </c>
      <c r="X393" s="311">
        <v>0</v>
      </c>
      <c r="Y393" s="311">
        <v>0</v>
      </c>
      <c r="Z393" s="211">
        <v>0</v>
      </c>
      <c r="AA393" s="212"/>
      <c r="AB393" s="213" t="e">
        <v>#DIV/0!</v>
      </c>
      <c r="AC393" s="214"/>
      <c r="AD393" s="215"/>
      <c r="AE393" s="342" t="s">
        <v>558</v>
      </c>
      <c r="AF393" s="341" t="s">
        <v>452</v>
      </c>
    </row>
    <row r="394" spans="1:32">
      <c r="A394" s="307">
        <v>3</v>
      </c>
      <c r="B394" s="342"/>
      <c r="C394" s="342" t="s">
        <v>177</v>
      </c>
      <c r="D394" s="340" t="s">
        <v>367</v>
      </c>
      <c r="E394" s="342" t="s">
        <v>368</v>
      </c>
      <c r="F394" s="345" t="s">
        <v>369</v>
      </c>
      <c r="G394" s="308">
        <v>27</v>
      </c>
      <c r="H394" s="309">
        <v>23000</v>
      </c>
      <c r="I394" s="309">
        <v>621000</v>
      </c>
      <c r="J394" s="211"/>
      <c r="K394" s="212" t="str">
        <f>IF(OR(J394="",G394=J394),"","*")</f>
        <v/>
      </c>
      <c r="L394" s="338">
        <f>IF($A394&lt;=L$1,I394/I$4,"")</f>
        <v>1.1562953214001049E-2</v>
      </c>
      <c r="M394" s="343"/>
      <c r="N394" s="344"/>
      <c r="O394" s="310">
        <v>0</v>
      </c>
      <c r="P394" s="311">
        <v>0</v>
      </c>
      <c r="Q394" s="311">
        <v>0</v>
      </c>
      <c r="R394" s="211">
        <v>0</v>
      </c>
      <c r="S394" s="212"/>
      <c r="T394" s="213" t="e">
        <v>#DIV/0!</v>
      </c>
      <c r="U394" s="214"/>
      <c r="V394" s="215"/>
      <c r="W394" s="310">
        <v>0</v>
      </c>
      <c r="X394" s="311">
        <v>0</v>
      </c>
      <c r="Y394" s="311">
        <v>0</v>
      </c>
      <c r="Z394" s="211">
        <v>0</v>
      </c>
      <c r="AA394" s="212"/>
      <c r="AB394" s="213" t="e">
        <v>#DIV/0!</v>
      </c>
      <c r="AC394" s="214"/>
      <c r="AD394" s="215"/>
      <c r="AE394" s="342"/>
      <c r="AF394" s="341" t="s">
        <v>706</v>
      </c>
    </row>
    <row r="395" spans="1:32">
      <c r="A395" s="307">
        <v>3</v>
      </c>
      <c r="B395" s="342"/>
      <c r="C395" s="342" t="s">
        <v>176</v>
      </c>
      <c r="D395" s="340" t="s">
        <v>497</v>
      </c>
      <c r="E395" s="342"/>
      <c r="F395" s="345" t="s">
        <v>364</v>
      </c>
      <c r="G395" s="308">
        <v>400</v>
      </c>
      <c r="H395" s="309">
        <v>210</v>
      </c>
      <c r="I395" s="309">
        <v>84000</v>
      </c>
      <c r="J395" s="211"/>
      <c r="K395" s="212" t="str">
        <f>IF(OR(J395="",G395=J395),"","*")</f>
        <v/>
      </c>
      <c r="L395" s="338">
        <f>IF($A395&lt;=L$1,I395/I$4,"")</f>
        <v>1.5640709661450694E-3</v>
      </c>
      <c r="M395" s="343"/>
      <c r="N395" s="344"/>
      <c r="O395" s="310">
        <v>0</v>
      </c>
      <c r="P395" s="311">
        <v>0</v>
      </c>
      <c r="Q395" s="311">
        <v>0</v>
      </c>
      <c r="R395" s="211">
        <v>0</v>
      </c>
      <c r="S395" s="212"/>
      <c r="T395" s="213" t="e">
        <v>#DIV/0!</v>
      </c>
      <c r="U395" s="214"/>
      <c r="V395" s="215"/>
      <c r="W395" s="310">
        <v>0</v>
      </c>
      <c r="X395" s="311">
        <v>0</v>
      </c>
      <c r="Y395" s="311">
        <v>0</v>
      </c>
      <c r="Z395" s="211">
        <v>0</v>
      </c>
      <c r="AA395" s="212"/>
      <c r="AB395" s="213" t="e">
        <v>#DIV/0!</v>
      </c>
      <c r="AC395" s="214"/>
      <c r="AD395" s="215"/>
      <c r="AE395" s="342" t="s">
        <v>498</v>
      </c>
      <c r="AF395" s="341"/>
    </row>
    <row r="396" spans="1:32">
      <c r="A396" s="307">
        <v>3</v>
      </c>
      <c r="B396" s="342"/>
      <c r="C396" s="342" t="s">
        <v>176</v>
      </c>
      <c r="D396" s="340" t="s">
        <v>684</v>
      </c>
      <c r="E396" s="342" t="s">
        <v>401</v>
      </c>
      <c r="F396" s="345" t="s">
        <v>487</v>
      </c>
      <c r="G396" s="308">
        <v>134.26</v>
      </c>
      <c r="H396" s="309">
        <v>9600</v>
      </c>
      <c r="I396" s="309">
        <v>1288896</v>
      </c>
      <c r="J396" s="211"/>
      <c r="K396" s="212" t="str">
        <f>IF(OR(J396="",G396=J396),"","*")</f>
        <v/>
      </c>
      <c r="L396" s="338">
        <f>IF($A396&lt;=L$1,I396/I$4,"")</f>
        <v>2.3999104904529948E-2</v>
      </c>
      <c r="M396" s="343"/>
      <c r="N396" s="344"/>
      <c r="O396" s="310">
        <v>0</v>
      </c>
      <c r="P396" s="311">
        <v>0</v>
      </c>
      <c r="Q396" s="311">
        <v>0</v>
      </c>
      <c r="R396" s="211">
        <v>0</v>
      </c>
      <c r="S396" s="212"/>
      <c r="T396" s="213" t="e">
        <v>#DIV/0!</v>
      </c>
      <c r="U396" s="214"/>
      <c r="V396" s="215"/>
      <c r="W396" s="310">
        <v>0</v>
      </c>
      <c r="X396" s="311">
        <v>0</v>
      </c>
      <c r="Y396" s="311">
        <v>0</v>
      </c>
      <c r="Z396" s="211">
        <v>0</v>
      </c>
      <c r="AA396" s="212"/>
      <c r="AB396" s="213" t="e">
        <v>#DIV/0!</v>
      </c>
      <c r="AC396" s="214"/>
      <c r="AD396" s="215"/>
      <c r="AE396" s="342" t="s">
        <v>685</v>
      </c>
      <c r="AF396" s="341" t="s">
        <v>707</v>
      </c>
    </row>
    <row r="397" spans="1:32">
      <c r="A397" s="307">
        <v>3</v>
      </c>
      <c r="B397" s="342"/>
      <c r="C397" s="342" t="s">
        <v>176</v>
      </c>
      <c r="D397" s="340" t="s">
        <v>363</v>
      </c>
      <c r="E397" s="342"/>
      <c r="F397" s="345" t="s">
        <v>503</v>
      </c>
      <c r="G397" s="308">
        <v>180</v>
      </c>
      <c r="H397" s="309">
        <v>145</v>
      </c>
      <c r="I397" s="309">
        <v>26100</v>
      </c>
      <c r="J397" s="211"/>
      <c r="K397" s="212" t="str">
        <f>IF(OR(J397="",G397=J397),"","*")</f>
        <v/>
      </c>
      <c r="L397" s="338">
        <f>IF($A397&lt;=L$1,I397/I$4,"")</f>
        <v>4.8597919305221803E-4</v>
      </c>
      <c r="M397" s="343"/>
      <c r="N397" s="344"/>
      <c r="O397" s="310">
        <v>0</v>
      </c>
      <c r="P397" s="311">
        <v>0</v>
      </c>
      <c r="Q397" s="311">
        <v>0</v>
      </c>
      <c r="R397" s="211">
        <v>0</v>
      </c>
      <c r="S397" s="212"/>
      <c r="T397" s="213" t="e">
        <v>#DIV/0!</v>
      </c>
      <c r="U397" s="214"/>
      <c r="V397" s="215"/>
      <c r="W397" s="310">
        <v>0</v>
      </c>
      <c r="X397" s="311">
        <v>0</v>
      </c>
      <c r="Y397" s="311">
        <v>0</v>
      </c>
      <c r="Z397" s="211">
        <v>0</v>
      </c>
      <c r="AA397" s="212"/>
      <c r="AB397" s="213" t="e">
        <v>#DIV/0!</v>
      </c>
      <c r="AC397" s="214"/>
      <c r="AD397" s="215"/>
      <c r="AE397" s="342" t="s">
        <v>365</v>
      </c>
      <c r="AF397" s="341" t="s">
        <v>708</v>
      </c>
    </row>
    <row r="398" spans="1:32">
      <c r="A398" s="307">
        <v>3</v>
      </c>
      <c r="B398" s="342"/>
      <c r="C398" s="342" t="s">
        <v>176</v>
      </c>
      <c r="D398" s="340" t="s">
        <v>505</v>
      </c>
      <c r="E398" s="342"/>
      <c r="F398" s="345" t="s">
        <v>503</v>
      </c>
      <c r="G398" s="308">
        <v>60</v>
      </c>
      <c r="H398" s="309">
        <v>165</v>
      </c>
      <c r="I398" s="309">
        <v>9900</v>
      </c>
      <c r="J398" s="211"/>
      <c r="K398" s="212" t="str">
        <f>IF(OR(J398="",G398=J398),"","*")</f>
        <v/>
      </c>
      <c r="L398" s="338">
        <f>IF($A398&lt;=L$1,I398/I$4,"")</f>
        <v>1.8433693529566891E-4</v>
      </c>
      <c r="M398" s="343"/>
      <c r="N398" s="344"/>
      <c r="O398" s="310">
        <v>0</v>
      </c>
      <c r="P398" s="311">
        <v>0</v>
      </c>
      <c r="Q398" s="311">
        <v>0</v>
      </c>
      <c r="R398" s="211">
        <v>0</v>
      </c>
      <c r="S398" s="212"/>
      <c r="T398" s="213" t="e">
        <v>#DIV/0!</v>
      </c>
      <c r="U398" s="214"/>
      <c r="V398" s="215"/>
      <c r="W398" s="310">
        <v>0</v>
      </c>
      <c r="X398" s="311">
        <v>0</v>
      </c>
      <c r="Y398" s="311">
        <v>0</v>
      </c>
      <c r="Z398" s="211">
        <v>0</v>
      </c>
      <c r="AA398" s="212"/>
      <c r="AB398" s="213" t="e">
        <v>#DIV/0!</v>
      </c>
      <c r="AC398" s="214"/>
      <c r="AD398" s="215"/>
      <c r="AE398" s="342" t="s">
        <v>506</v>
      </c>
      <c r="AF398" s="341" t="s">
        <v>507</v>
      </c>
    </row>
    <row r="399" spans="1:32">
      <c r="A399" s="307">
        <v>3</v>
      </c>
      <c r="B399" s="342"/>
      <c r="C399" s="342" t="s">
        <v>176</v>
      </c>
      <c r="D399" s="340" t="s">
        <v>663</v>
      </c>
      <c r="E399" s="342"/>
      <c r="F399" s="345" t="s">
        <v>173</v>
      </c>
      <c r="G399" s="308">
        <v>1</v>
      </c>
      <c r="H399" s="309">
        <v>30000</v>
      </c>
      <c r="I399" s="309">
        <v>30000</v>
      </c>
      <c r="J399" s="211"/>
      <c r="K399" s="212" t="str">
        <f>IF(OR(J399="",G399=J399),"","*")</f>
        <v/>
      </c>
      <c r="L399" s="338">
        <f>IF($A399&lt;=L$1,I399/I$4,"")</f>
        <v>5.5859677362323911E-4</v>
      </c>
      <c r="M399" s="343"/>
      <c r="N399" s="344"/>
      <c r="O399" s="310">
        <v>0</v>
      </c>
      <c r="P399" s="311">
        <v>0</v>
      </c>
      <c r="Q399" s="311">
        <v>0</v>
      </c>
      <c r="R399" s="211">
        <v>0</v>
      </c>
      <c r="S399" s="212"/>
      <c r="T399" s="213" t="e">
        <v>#DIV/0!</v>
      </c>
      <c r="U399" s="214"/>
      <c r="V399" s="215"/>
      <c r="W399" s="310">
        <v>0</v>
      </c>
      <c r="X399" s="311">
        <v>0</v>
      </c>
      <c r="Y399" s="311">
        <v>0</v>
      </c>
      <c r="Z399" s="211">
        <v>0</v>
      </c>
      <c r="AA399" s="212"/>
      <c r="AB399" s="213" t="e">
        <v>#DIV/0!</v>
      </c>
      <c r="AC399" s="214"/>
      <c r="AD399" s="215"/>
      <c r="AE399" s="342"/>
      <c r="AF399" s="341"/>
    </row>
    <row r="400" spans="1:32">
      <c r="A400" s="307">
        <v>2</v>
      </c>
      <c r="B400" s="342"/>
      <c r="C400" s="342" t="s">
        <v>355</v>
      </c>
      <c r="D400" s="340" t="s">
        <v>699</v>
      </c>
      <c r="E400" s="342" t="s">
        <v>347</v>
      </c>
      <c r="F400" s="345" t="s">
        <v>173</v>
      </c>
      <c r="G400" s="308">
        <v>1</v>
      </c>
      <c r="H400" s="309">
        <v>200000</v>
      </c>
      <c r="I400" s="309">
        <v>200000</v>
      </c>
      <c r="J400" s="211">
        <v>1</v>
      </c>
      <c r="K400" s="212" t="str">
        <f>IF(OR(J400="",G400=J400),"","*")</f>
        <v/>
      </c>
      <c r="L400" s="338">
        <f>IF($A400&lt;=L$1,I400/I$4,"")</f>
        <v>3.7239784908215941E-3</v>
      </c>
      <c r="M400" s="343"/>
      <c r="N400" s="344" t="s">
        <v>709</v>
      </c>
      <c r="O400" s="310">
        <v>0</v>
      </c>
      <c r="P400" s="311">
        <v>0</v>
      </c>
      <c r="Q400" s="311">
        <v>0</v>
      </c>
      <c r="R400" s="211">
        <v>0</v>
      </c>
      <c r="S400" s="212"/>
      <c r="T400" s="213" t="e">
        <v>#DIV/0!</v>
      </c>
      <c r="U400" s="214"/>
      <c r="V400" s="215"/>
      <c r="W400" s="310">
        <v>0</v>
      </c>
      <c r="X400" s="311">
        <v>0</v>
      </c>
      <c r="Y400" s="311">
        <v>0</v>
      </c>
      <c r="Z400" s="211">
        <v>0</v>
      </c>
      <c r="AA400" s="212"/>
      <c r="AB400" s="213" t="e">
        <v>#DIV/0!</v>
      </c>
      <c r="AC400" s="214"/>
      <c r="AD400" s="215"/>
      <c r="AE400" s="342"/>
      <c r="AF400" s="341"/>
    </row>
    <row r="401" spans="1:32">
      <c r="A401" s="307">
        <v>3</v>
      </c>
      <c r="B401" s="342"/>
      <c r="C401" s="342"/>
      <c r="D401" s="340" t="s">
        <v>387</v>
      </c>
      <c r="E401" s="342"/>
      <c r="F401" s="345" t="s">
        <v>173</v>
      </c>
      <c r="G401" s="308">
        <v>1</v>
      </c>
      <c r="H401" s="309">
        <v>200000</v>
      </c>
      <c r="I401" s="309">
        <v>200000</v>
      </c>
      <c r="J401" s="211"/>
      <c r="K401" s="212" t="str">
        <f>IF(OR(J401="",G401=J401),"","*")</f>
        <v/>
      </c>
      <c r="L401" s="338">
        <f>IF($A401&lt;=L$1,I401/I$4,"")</f>
        <v>3.7239784908215941E-3</v>
      </c>
      <c r="M401" s="343"/>
      <c r="N401" s="344" t="s">
        <v>388</v>
      </c>
      <c r="O401" s="310">
        <v>0</v>
      </c>
      <c r="P401" s="311">
        <v>0</v>
      </c>
      <c r="Q401" s="311">
        <v>0</v>
      </c>
      <c r="R401" s="211">
        <v>0</v>
      </c>
      <c r="S401" s="212"/>
      <c r="T401" s="213" t="e">
        <v>#DIV/0!</v>
      </c>
      <c r="U401" s="214"/>
      <c r="V401" s="215"/>
      <c r="W401" s="310">
        <v>0</v>
      </c>
      <c r="X401" s="311">
        <v>0</v>
      </c>
      <c r="Y401" s="311">
        <v>0</v>
      </c>
      <c r="Z401" s="211">
        <v>0</v>
      </c>
      <c r="AA401" s="212"/>
      <c r="AB401" s="213" t="e">
        <v>#DIV/0!</v>
      </c>
      <c r="AC401" s="214"/>
      <c r="AD401" s="215"/>
      <c r="AE401" s="342"/>
      <c r="AF401" s="341"/>
    </row>
    <row r="402" spans="1:32">
      <c r="A402" s="307">
        <v>2</v>
      </c>
      <c r="B402" s="342"/>
      <c r="C402" s="342" t="s">
        <v>353</v>
      </c>
      <c r="D402" s="340" t="s">
        <v>710</v>
      </c>
      <c r="E402" s="342"/>
      <c r="F402" s="345" t="s">
        <v>173</v>
      </c>
      <c r="G402" s="308">
        <v>1</v>
      </c>
      <c r="H402" s="309">
        <v>766800</v>
      </c>
      <c r="I402" s="309">
        <v>766800</v>
      </c>
      <c r="J402" s="211"/>
      <c r="K402" s="212" t="str">
        <f>IF(OR(J402="",G402=J402),"","*")</f>
        <v/>
      </c>
      <c r="L402" s="338">
        <f>IF($A402&lt;=L$1,I402/I$4,"")</f>
        <v>1.4277733533809992E-2</v>
      </c>
      <c r="M402" s="343"/>
      <c r="N402" s="344" t="s">
        <v>298</v>
      </c>
      <c r="O402" s="310">
        <v>0</v>
      </c>
      <c r="P402" s="311">
        <v>0</v>
      </c>
      <c r="Q402" s="311">
        <v>0</v>
      </c>
      <c r="R402" s="211">
        <v>0</v>
      </c>
      <c r="S402" s="212"/>
      <c r="T402" s="213" t="e">
        <v>#DIV/0!</v>
      </c>
      <c r="U402" s="214"/>
      <c r="V402" s="215"/>
      <c r="W402" s="310">
        <v>0</v>
      </c>
      <c r="X402" s="311">
        <v>0</v>
      </c>
      <c r="Y402" s="311">
        <v>0</v>
      </c>
      <c r="Z402" s="211">
        <v>0</v>
      </c>
      <c r="AA402" s="212"/>
      <c r="AB402" s="213" t="e">
        <v>#DIV/0!</v>
      </c>
      <c r="AC402" s="214"/>
      <c r="AD402" s="215"/>
      <c r="AE402" s="342"/>
      <c r="AF402" s="341"/>
    </row>
    <row r="403" spans="1:32">
      <c r="A403" s="307">
        <v>3</v>
      </c>
      <c r="B403" s="342"/>
      <c r="C403" s="342" t="s">
        <v>355</v>
      </c>
      <c r="D403" s="340" t="s">
        <v>711</v>
      </c>
      <c r="E403" s="342"/>
      <c r="F403" s="345" t="s">
        <v>173</v>
      </c>
      <c r="G403" s="308">
        <v>1</v>
      </c>
      <c r="H403" s="309">
        <v>766800</v>
      </c>
      <c r="I403" s="309">
        <v>766800</v>
      </c>
      <c r="J403" s="211">
        <v>1</v>
      </c>
      <c r="K403" s="212" t="str">
        <f>IF(OR(J403="",G403=J403),"","*")</f>
        <v/>
      </c>
      <c r="L403" s="338">
        <f>IF($A403&lt;=L$1,I403/I$4,"")</f>
        <v>1.4277733533809992E-2</v>
      </c>
      <c r="M403" s="343"/>
      <c r="N403" s="344" t="s">
        <v>712</v>
      </c>
      <c r="O403" s="310">
        <v>0</v>
      </c>
      <c r="P403" s="311">
        <v>0</v>
      </c>
      <c r="Q403" s="311">
        <v>0</v>
      </c>
      <c r="R403" s="211">
        <v>0</v>
      </c>
      <c r="S403" s="212"/>
      <c r="T403" s="213" t="e">
        <v>#DIV/0!</v>
      </c>
      <c r="U403" s="214"/>
      <c r="V403" s="215"/>
      <c r="W403" s="310">
        <v>0</v>
      </c>
      <c r="X403" s="311">
        <v>0</v>
      </c>
      <c r="Y403" s="311">
        <v>0</v>
      </c>
      <c r="Z403" s="211">
        <v>0</v>
      </c>
      <c r="AA403" s="212"/>
      <c r="AB403" s="213" t="e">
        <v>#DIV/0!</v>
      </c>
      <c r="AC403" s="214"/>
      <c r="AD403" s="215"/>
      <c r="AE403" s="342"/>
      <c r="AF403" s="341"/>
    </row>
    <row r="404" spans="1:32">
      <c r="A404" s="307">
        <v>4</v>
      </c>
      <c r="B404" s="342"/>
      <c r="C404" s="342" t="s">
        <v>178</v>
      </c>
      <c r="D404" s="340" t="s">
        <v>713</v>
      </c>
      <c r="E404" s="342" t="s">
        <v>714</v>
      </c>
      <c r="F404" s="345" t="s">
        <v>540</v>
      </c>
      <c r="G404" s="308">
        <v>15</v>
      </c>
      <c r="H404" s="309">
        <v>27500</v>
      </c>
      <c r="I404" s="309">
        <v>412500</v>
      </c>
      <c r="J404" s="211"/>
      <c r="K404" s="212" t="str">
        <f>IF(OR(J404="",G404=J404),"","*")</f>
        <v/>
      </c>
      <c r="L404" s="338" t="str">
        <f>IF($A404&lt;=L$1,I404/I$4,"")</f>
        <v/>
      </c>
      <c r="M404" s="343"/>
      <c r="N404" s="344"/>
      <c r="O404" s="310">
        <v>0</v>
      </c>
      <c r="P404" s="311">
        <v>0</v>
      </c>
      <c r="Q404" s="311">
        <v>0</v>
      </c>
      <c r="R404" s="211">
        <v>0</v>
      </c>
      <c r="S404" s="212"/>
      <c r="T404" s="213" t="e">
        <v>#DIV/0!</v>
      </c>
      <c r="U404" s="214"/>
      <c r="V404" s="215"/>
      <c r="W404" s="310">
        <v>0</v>
      </c>
      <c r="X404" s="311">
        <v>0</v>
      </c>
      <c r="Y404" s="311">
        <v>0</v>
      </c>
      <c r="Z404" s="211">
        <v>0</v>
      </c>
      <c r="AA404" s="212"/>
      <c r="AB404" s="213" t="e">
        <v>#DIV/0!</v>
      </c>
      <c r="AC404" s="214"/>
      <c r="AD404" s="215"/>
      <c r="AE404" s="342"/>
      <c r="AF404" s="341"/>
    </row>
    <row r="405" spans="1:32">
      <c r="A405" s="307">
        <v>4</v>
      </c>
      <c r="B405" s="342"/>
      <c r="C405" s="342" t="s">
        <v>178</v>
      </c>
      <c r="D405" s="340" t="s">
        <v>713</v>
      </c>
      <c r="E405" s="342" t="s">
        <v>715</v>
      </c>
      <c r="F405" s="345" t="s">
        <v>540</v>
      </c>
      <c r="G405" s="308">
        <v>5</v>
      </c>
      <c r="H405" s="309">
        <v>30500</v>
      </c>
      <c r="I405" s="309">
        <v>152500</v>
      </c>
      <c r="J405" s="211"/>
      <c r="K405" s="212" t="str">
        <f>IF(OR(J405="",G405=J405),"","*")</f>
        <v/>
      </c>
      <c r="L405" s="338" t="str">
        <f>IF($A405&lt;=L$1,I405/I$4,"")</f>
        <v/>
      </c>
      <c r="M405" s="343"/>
      <c r="N405" s="344"/>
      <c r="O405" s="310">
        <v>0</v>
      </c>
      <c r="P405" s="311">
        <v>0</v>
      </c>
      <c r="Q405" s="311">
        <v>0</v>
      </c>
      <c r="R405" s="211">
        <v>0</v>
      </c>
      <c r="S405" s="212"/>
      <c r="T405" s="213" t="e">
        <v>#DIV/0!</v>
      </c>
      <c r="U405" s="214"/>
      <c r="V405" s="215"/>
      <c r="W405" s="310">
        <v>0</v>
      </c>
      <c r="X405" s="311">
        <v>0</v>
      </c>
      <c r="Y405" s="311">
        <v>0</v>
      </c>
      <c r="Z405" s="211">
        <v>0</v>
      </c>
      <c r="AA405" s="212"/>
      <c r="AB405" s="213" t="e">
        <v>#DIV/0!</v>
      </c>
      <c r="AC405" s="214"/>
      <c r="AD405" s="215"/>
      <c r="AE405" s="342"/>
      <c r="AF405" s="341"/>
    </row>
    <row r="406" spans="1:32">
      <c r="A406" s="307">
        <v>4</v>
      </c>
      <c r="B406" s="342"/>
      <c r="C406" s="342" t="s">
        <v>178</v>
      </c>
      <c r="D406" s="340" t="s">
        <v>713</v>
      </c>
      <c r="E406" s="342" t="s">
        <v>714</v>
      </c>
      <c r="F406" s="345" t="s">
        <v>540</v>
      </c>
      <c r="G406" s="308">
        <v>5</v>
      </c>
      <c r="H406" s="309">
        <v>32000</v>
      </c>
      <c r="I406" s="309">
        <v>160000</v>
      </c>
      <c r="J406" s="211"/>
      <c r="K406" s="212" t="str">
        <f>IF(OR(J406="",G406=J406),"","*")</f>
        <v/>
      </c>
      <c r="L406" s="338" t="str">
        <f>IF($A406&lt;=L$1,I406/I$4,"")</f>
        <v/>
      </c>
      <c r="M406" s="343"/>
      <c r="N406" s="344"/>
      <c r="O406" s="310">
        <v>0</v>
      </c>
      <c r="P406" s="311">
        <v>0</v>
      </c>
      <c r="Q406" s="311">
        <v>0</v>
      </c>
      <c r="R406" s="211">
        <v>0</v>
      </c>
      <c r="S406" s="212"/>
      <c r="T406" s="213" t="e">
        <v>#DIV/0!</v>
      </c>
      <c r="U406" s="214"/>
      <c r="V406" s="215"/>
      <c r="W406" s="310">
        <v>0</v>
      </c>
      <c r="X406" s="311">
        <v>0</v>
      </c>
      <c r="Y406" s="311">
        <v>0</v>
      </c>
      <c r="Z406" s="211">
        <v>0</v>
      </c>
      <c r="AA406" s="212"/>
      <c r="AB406" s="213" t="e">
        <v>#DIV/0!</v>
      </c>
      <c r="AC406" s="214"/>
      <c r="AD406" s="215"/>
      <c r="AE406" s="342"/>
      <c r="AF406" s="341"/>
    </row>
    <row r="407" spans="1:32">
      <c r="A407" s="307">
        <v>4</v>
      </c>
      <c r="B407" s="342"/>
      <c r="C407" s="342" t="s">
        <v>178</v>
      </c>
      <c r="D407" s="340" t="s">
        <v>716</v>
      </c>
      <c r="E407" s="342" t="s">
        <v>717</v>
      </c>
      <c r="F407" s="345" t="s">
        <v>235</v>
      </c>
      <c r="G407" s="308">
        <v>38</v>
      </c>
      <c r="H407" s="309">
        <v>1100</v>
      </c>
      <c r="I407" s="309">
        <v>41800</v>
      </c>
      <c r="J407" s="211"/>
      <c r="K407" s="212" t="str">
        <f>IF(OR(J407="",G407=J407),"","*")</f>
        <v/>
      </c>
      <c r="L407" s="338" t="str">
        <f>IF($A407&lt;=L$1,I407/I$4,"")</f>
        <v/>
      </c>
      <c r="M407" s="343"/>
      <c r="N407" s="344"/>
      <c r="O407" s="310">
        <v>0</v>
      </c>
      <c r="P407" s="311">
        <v>0</v>
      </c>
      <c r="Q407" s="311">
        <v>0</v>
      </c>
      <c r="R407" s="211">
        <v>0</v>
      </c>
      <c r="S407" s="212"/>
      <c r="T407" s="213" t="e">
        <v>#DIV/0!</v>
      </c>
      <c r="U407" s="214"/>
      <c r="V407" s="215"/>
      <c r="W407" s="310">
        <v>0</v>
      </c>
      <c r="X407" s="311">
        <v>0</v>
      </c>
      <c r="Y407" s="311">
        <v>0</v>
      </c>
      <c r="Z407" s="211">
        <v>0</v>
      </c>
      <c r="AA407" s="212"/>
      <c r="AB407" s="213" t="e">
        <v>#DIV/0!</v>
      </c>
      <c r="AC407" s="214"/>
      <c r="AD407" s="215"/>
      <c r="AE407" s="342"/>
      <c r="AF407" s="341" t="s">
        <v>718</v>
      </c>
    </row>
    <row r="408" spans="1:32">
      <c r="A408" s="217"/>
      <c r="B408" s="217"/>
      <c r="C408" s="312"/>
      <c r="D408" s="217"/>
      <c r="E408" s="217"/>
      <c r="F408" s="218"/>
      <c r="G408" s="217"/>
      <c r="H408" s="217"/>
      <c r="I408" s="217"/>
      <c r="J408" s="217"/>
      <c r="K408" s="218"/>
      <c r="L408" s="217"/>
      <c r="M408" s="217"/>
      <c r="N408" s="217"/>
      <c r="O408" s="217"/>
      <c r="P408" s="217"/>
      <c r="Q408" s="217"/>
      <c r="R408" s="217"/>
      <c r="S408" s="218"/>
      <c r="T408" s="217"/>
      <c r="U408" s="217"/>
      <c r="V408" s="217"/>
      <c r="W408" s="217"/>
      <c r="X408" s="217"/>
      <c r="Y408" s="217"/>
      <c r="Z408" s="217"/>
      <c r="AA408" s="218"/>
      <c r="AB408" s="217"/>
      <c r="AC408" s="217"/>
      <c r="AD408" s="217"/>
      <c r="AE408" s="217"/>
      <c r="AF408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407 AF4:AF407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407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720</v>
      </c>
      <c r="D4" s="315">
        <v>700000</v>
      </c>
      <c r="E4" s="120"/>
      <c r="F4" s="119" t="s">
        <v>721</v>
      </c>
      <c r="G4" s="316">
        <v>6695000</v>
      </c>
      <c r="H4" s="69"/>
    </row>
    <row r="5" spans="1:8" ht="27" customHeight="1">
      <c r="A5" s="69"/>
      <c r="B5" s="118"/>
      <c r="C5" s="119" t="s">
        <v>722</v>
      </c>
      <c r="D5" s="315">
        <v>854800</v>
      </c>
      <c r="E5" s="120"/>
      <c r="F5" s="119" t="s">
        <v>723</v>
      </c>
      <c r="G5" s="316"/>
      <c r="H5" s="69"/>
    </row>
    <row r="6" spans="1:8" ht="27" customHeight="1">
      <c r="A6" s="69"/>
      <c r="B6" s="118"/>
      <c r="C6" s="119" t="s">
        <v>724</v>
      </c>
      <c r="D6" s="315"/>
      <c r="E6" s="120"/>
      <c r="F6" s="119" t="s">
        <v>725</v>
      </c>
      <c r="G6" s="316"/>
      <c r="H6" s="69"/>
    </row>
    <row r="7" spans="1:8" ht="27" customHeight="1">
      <c r="A7" s="69"/>
      <c r="B7" s="118"/>
      <c r="C7" s="119" t="s">
        <v>726</v>
      </c>
      <c r="D7" s="315"/>
      <c r="E7" s="120"/>
      <c r="F7" s="119" t="s">
        <v>727</v>
      </c>
      <c r="G7" s="316"/>
      <c r="H7" s="69"/>
    </row>
    <row r="8" spans="1:8" ht="27" customHeight="1">
      <c r="A8" s="69"/>
      <c r="B8" s="118"/>
      <c r="C8" s="119" t="s">
        <v>728</v>
      </c>
      <c r="D8" s="315">
        <v>2640000</v>
      </c>
      <c r="E8" s="120"/>
      <c r="F8" s="119" t="s">
        <v>729</v>
      </c>
      <c r="G8" s="316"/>
      <c r="H8" s="69"/>
    </row>
    <row r="9" spans="1:8" ht="27" customHeight="1">
      <c r="A9" s="69"/>
      <c r="B9" s="118"/>
      <c r="C9" s="119" t="s">
        <v>730</v>
      </c>
      <c r="D9" s="315">
        <v>1000000</v>
      </c>
      <c r="E9" s="120"/>
      <c r="F9" s="119" t="s">
        <v>731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732</v>
      </c>
      <c r="G10" s="316"/>
      <c r="H10" s="69"/>
    </row>
    <row r="11" spans="1:8" ht="27" customHeight="1">
      <c r="A11" s="69"/>
      <c r="B11" s="118"/>
      <c r="C11" s="119" t="s">
        <v>350</v>
      </c>
      <c r="D11" s="315">
        <v>5194800</v>
      </c>
      <c r="E11" s="120"/>
      <c r="F11" s="119" t="s">
        <v>733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350</v>
      </c>
      <c r="G13" s="316">
        <v>6695000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176</v>
      </c>
      <c r="H3" s="128" t="s">
        <v>177</v>
      </c>
      <c r="I3" s="128" t="s">
        <v>178</v>
      </c>
      <c r="J3" s="128" t="s">
        <v>179</v>
      </c>
      <c r="K3" s="128" t="s">
        <v>180</v>
      </c>
      <c r="L3" s="128" t="s">
        <v>181</v>
      </c>
      <c r="M3" s="128" t="s">
        <v>182</v>
      </c>
      <c r="N3" s="129" t="s">
        <v>183</v>
      </c>
      <c r="O3" s="69"/>
    </row>
    <row r="4" spans="1:15" ht="30" customHeight="1">
      <c r="A4" s="69"/>
      <c r="B4" s="130" t="s">
        <v>720</v>
      </c>
      <c r="C4" s="131" t="s">
        <v>173</v>
      </c>
      <c r="D4" s="320">
        <v>1</v>
      </c>
      <c r="E4" s="321">
        <v>700000</v>
      </c>
      <c r="F4" s="322">
        <v>700000</v>
      </c>
      <c r="G4" s="323"/>
      <c r="H4" s="324"/>
      <c r="I4" s="324">
        <v>200000</v>
      </c>
      <c r="J4" s="324"/>
      <c r="K4" s="324">
        <v>500000</v>
      </c>
      <c r="L4" s="324"/>
      <c r="M4" s="324"/>
      <c r="N4" s="325"/>
      <c r="O4" s="69"/>
    </row>
    <row r="5" spans="1:15" ht="30" customHeight="1">
      <c r="A5" s="69"/>
      <c r="B5" s="130" t="s">
        <v>722</v>
      </c>
      <c r="C5" s="131" t="s">
        <v>173</v>
      </c>
      <c r="D5" s="326">
        <v>1</v>
      </c>
      <c r="E5" s="321">
        <v>854800</v>
      </c>
      <c r="F5" s="322">
        <v>854800</v>
      </c>
      <c r="G5" s="323">
        <v>150000</v>
      </c>
      <c r="H5" s="324">
        <v>644000</v>
      </c>
      <c r="I5" s="324"/>
      <c r="J5" s="324"/>
      <c r="K5" s="324">
        <v>60800</v>
      </c>
      <c r="L5" s="324"/>
      <c r="M5" s="324"/>
      <c r="N5" s="325"/>
      <c r="O5" s="69"/>
    </row>
    <row r="6" spans="1:15" ht="30" customHeight="1">
      <c r="A6" s="69"/>
      <c r="B6" s="130" t="s">
        <v>724</v>
      </c>
      <c r="C6" s="131" t="s">
        <v>173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726</v>
      </c>
      <c r="C7" s="131" t="s">
        <v>173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728</v>
      </c>
      <c r="C8" s="131" t="s">
        <v>173</v>
      </c>
      <c r="D8" s="326">
        <v>1</v>
      </c>
      <c r="E8" s="321">
        <v>2640000</v>
      </c>
      <c r="F8" s="322">
        <v>2640000</v>
      </c>
      <c r="G8" s="323"/>
      <c r="H8" s="324"/>
      <c r="I8" s="324">
        <v>2640000</v>
      </c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730</v>
      </c>
      <c r="C9" s="131" t="s">
        <v>173</v>
      </c>
      <c r="D9" s="326">
        <v>1</v>
      </c>
      <c r="E9" s="321">
        <v>1000000</v>
      </c>
      <c r="F9" s="322">
        <v>1000000</v>
      </c>
      <c r="G9" s="323"/>
      <c r="H9" s="324"/>
      <c r="I9" s="324">
        <v>1000000</v>
      </c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350</v>
      </c>
      <c r="C11" s="131"/>
      <c r="D11" s="326"/>
      <c r="E11" s="321"/>
      <c r="F11" s="322">
        <v>5194800</v>
      </c>
      <c r="G11" s="323">
        <v>150000</v>
      </c>
      <c r="H11" s="324">
        <v>644000</v>
      </c>
      <c r="I11" s="324">
        <v>3840000</v>
      </c>
      <c r="J11" s="324"/>
      <c r="K11" s="324">
        <v>560800</v>
      </c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22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仙台港駅構内トラックスケール設置に伴う基礎工事</v>
      </c>
      <c r="G1" s="306"/>
      <c r="H1" s="190" t="s">
        <v>131</v>
      </c>
      <c r="I1" s="333">
        <v>71970000</v>
      </c>
      <c r="J1" s="339">
        <f>I4/I$1</f>
        <v>0.74622763651521462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719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352</v>
      </c>
      <c r="D4" s="340" t="s">
        <v>184</v>
      </c>
      <c r="E4" s="342"/>
      <c r="F4" s="345" t="s">
        <v>173</v>
      </c>
      <c r="G4" s="308">
        <v>1</v>
      </c>
      <c r="H4" s="309">
        <v>53706003</v>
      </c>
      <c r="I4" s="309">
        <v>53706003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734</v>
      </c>
      <c r="P4" s="347" t="s">
        <v>734</v>
      </c>
      <c r="Q4" s="347" t="s">
        <v>734</v>
      </c>
      <c r="R4" s="348" t="s">
        <v>734</v>
      </c>
      <c r="S4" s="349"/>
      <c r="T4" s="343" t="s">
        <v>735</v>
      </c>
      <c r="U4" s="343"/>
      <c r="V4" s="344"/>
      <c r="W4" s="346" t="s">
        <v>734</v>
      </c>
      <c r="X4" s="347" t="s">
        <v>734</v>
      </c>
      <c r="Y4" s="347" t="s">
        <v>734</v>
      </c>
      <c r="Z4" s="348" t="s">
        <v>734</v>
      </c>
      <c r="AA4" s="349"/>
      <c r="AB4" s="343" t="s">
        <v>735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353</v>
      </c>
      <c r="D5" s="340" t="s">
        <v>736</v>
      </c>
      <c r="E5" s="342"/>
      <c r="F5" s="345" t="s">
        <v>173</v>
      </c>
      <c r="G5" s="308">
        <v>1</v>
      </c>
      <c r="H5" s="309">
        <v>5194800</v>
      </c>
      <c r="I5" s="309">
        <v>5194800</v>
      </c>
      <c r="J5" s="211"/>
      <c r="K5" s="212" t="str">
        <f>IF(OR(J5="",G5=J5),"","*")</f>
        <v/>
      </c>
      <c r="L5" s="338">
        <f>IF($A5&lt;=L$1,I5/I$4,"")</f>
        <v>9.6726617320600089E-2</v>
      </c>
      <c r="M5" s="343"/>
      <c r="N5" s="344"/>
      <c r="O5" s="346" t="s">
        <v>734</v>
      </c>
      <c r="P5" s="347" t="s">
        <v>734</v>
      </c>
      <c r="Q5" s="347" t="s">
        <v>734</v>
      </c>
      <c r="R5" s="348" t="s">
        <v>734</v>
      </c>
      <c r="S5" s="349"/>
      <c r="T5" s="343" t="s">
        <v>735</v>
      </c>
      <c r="U5" s="343"/>
      <c r="V5" s="344"/>
      <c r="W5" s="346" t="s">
        <v>734</v>
      </c>
      <c r="X5" s="347" t="s">
        <v>734</v>
      </c>
      <c r="Y5" s="347" t="s">
        <v>734</v>
      </c>
      <c r="Z5" s="348" t="s">
        <v>734</v>
      </c>
      <c r="AA5" s="349"/>
      <c r="AB5" s="343" t="s">
        <v>735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355</v>
      </c>
      <c r="D6" s="340" t="s">
        <v>737</v>
      </c>
      <c r="E6" s="342"/>
      <c r="F6" s="345" t="s">
        <v>173</v>
      </c>
      <c r="G6" s="308">
        <v>1</v>
      </c>
      <c r="H6" s="309">
        <v>700000</v>
      </c>
      <c r="I6" s="309">
        <v>700000</v>
      </c>
      <c r="J6" s="211">
        <v>1</v>
      </c>
      <c r="K6" s="212" t="str">
        <f>IF(OR(J6="",G6=J6),"","*")</f>
        <v/>
      </c>
      <c r="L6" s="338">
        <f>IF($A6&lt;=L$1,I6/I$4,"")</f>
        <v>1.3033924717875579E-2</v>
      </c>
      <c r="M6" s="343"/>
      <c r="N6" s="344" t="s">
        <v>738</v>
      </c>
      <c r="O6" s="346" t="s">
        <v>734</v>
      </c>
      <c r="P6" s="347" t="s">
        <v>734</v>
      </c>
      <c r="Q6" s="347" t="s">
        <v>734</v>
      </c>
      <c r="R6" s="348" t="s">
        <v>734</v>
      </c>
      <c r="S6" s="349"/>
      <c r="T6" s="343" t="s">
        <v>735</v>
      </c>
      <c r="U6" s="343"/>
      <c r="V6" s="344"/>
      <c r="W6" s="346" t="s">
        <v>734</v>
      </c>
      <c r="X6" s="347" t="s">
        <v>734</v>
      </c>
      <c r="Y6" s="347" t="s">
        <v>734</v>
      </c>
      <c r="Z6" s="348" t="s">
        <v>734</v>
      </c>
      <c r="AA6" s="349"/>
      <c r="AB6" s="343" t="s">
        <v>735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178</v>
      </c>
      <c r="D7" s="340" t="s">
        <v>739</v>
      </c>
      <c r="E7" s="342"/>
      <c r="F7" s="345" t="s">
        <v>173</v>
      </c>
      <c r="G7" s="308">
        <v>1</v>
      </c>
      <c r="H7" s="309">
        <v>200000</v>
      </c>
      <c r="I7" s="309">
        <v>200000</v>
      </c>
      <c r="J7" s="211"/>
      <c r="K7" s="212" t="str">
        <f>IF(OR(J7="",G7=J7),"","*")</f>
        <v/>
      </c>
      <c r="L7" s="338">
        <f>IF($A7&lt;=L$1,I7/I$4,"")</f>
        <v>3.7239784908215941E-3</v>
      </c>
      <c r="M7" s="343"/>
      <c r="N7" s="344"/>
      <c r="O7" s="346" t="s">
        <v>734</v>
      </c>
      <c r="P7" s="347" t="s">
        <v>734</v>
      </c>
      <c r="Q7" s="347" t="s">
        <v>734</v>
      </c>
      <c r="R7" s="348" t="s">
        <v>734</v>
      </c>
      <c r="S7" s="349"/>
      <c r="T7" s="343" t="s">
        <v>735</v>
      </c>
      <c r="U7" s="343"/>
      <c r="V7" s="344"/>
      <c r="W7" s="346" t="s">
        <v>734</v>
      </c>
      <c r="X7" s="347" t="s">
        <v>734</v>
      </c>
      <c r="Y7" s="347" t="s">
        <v>734</v>
      </c>
      <c r="Z7" s="348" t="s">
        <v>734</v>
      </c>
      <c r="AA7" s="349"/>
      <c r="AB7" s="343" t="s">
        <v>735</v>
      </c>
      <c r="AC7" s="343"/>
      <c r="AD7" s="344"/>
      <c r="AE7" s="342" t="s">
        <v>427</v>
      </c>
      <c r="AF7" s="341"/>
    </row>
    <row r="8" spans="1:32">
      <c r="A8" s="307">
        <v>3</v>
      </c>
      <c r="B8" s="342"/>
      <c r="C8" s="342" t="s">
        <v>180</v>
      </c>
      <c r="D8" s="340" t="s">
        <v>740</v>
      </c>
      <c r="E8" s="342" t="s">
        <v>741</v>
      </c>
      <c r="F8" s="345" t="s">
        <v>582</v>
      </c>
      <c r="G8" s="308">
        <v>20</v>
      </c>
      <c r="H8" s="309">
        <v>25000</v>
      </c>
      <c r="I8" s="309">
        <v>500000</v>
      </c>
      <c r="J8" s="211"/>
      <c r="K8" s="212" t="str">
        <f>IF(OR(J8="",G8=J8),"","*")</f>
        <v/>
      </c>
      <c r="L8" s="338">
        <f>IF($A8&lt;=L$1,I8/I$4,"")</f>
        <v>9.3099462270539845E-3</v>
      </c>
      <c r="M8" s="343"/>
      <c r="N8" s="344"/>
      <c r="O8" s="346" t="s">
        <v>734</v>
      </c>
      <c r="P8" s="347" t="s">
        <v>734</v>
      </c>
      <c r="Q8" s="347" t="s">
        <v>734</v>
      </c>
      <c r="R8" s="348" t="s">
        <v>734</v>
      </c>
      <c r="S8" s="349"/>
      <c r="T8" s="343" t="s">
        <v>735</v>
      </c>
      <c r="U8" s="343"/>
      <c r="V8" s="344"/>
      <c r="W8" s="346" t="s">
        <v>734</v>
      </c>
      <c r="X8" s="347" t="s">
        <v>734</v>
      </c>
      <c r="Y8" s="347" t="s">
        <v>734</v>
      </c>
      <c r="Z8" s="348" t="s">
        <v>734</v>
      </c>
      <c r="AA8" s="349"/>
      <c r="AB8" s="343" t="s">
        <v>735</v>
      </c>
      <c r="AC8" s="343"/>
      <c r="AD8" s="344"/>
      <c r="AE8" s="342"/>
      <c r="AF8" s="341" t="s">
        <v>479</v>
      </c>
    </row>
    <row r="9" spans="1:32">
      <c r="A9" s="307">
        <v>2</v>
      </c>
      <c r="B9" s="342"/>
      <c r="C9" s="342" t="s">
        <v>355</v>
      </c>
      <c r="D9" s="340" t="s">
        <v>742</v>
      </c>
      <c r="E9" s="342" t="s">
        <v>743</v>
      </c>
      <c r="F9" s="345" t="s">
        <v>173</v>
      </c>
      <c r="G9" s="308">
        <v>1</v>
      </c>
      <c r="H9" s="309">
        <v>854800</v>
      </c>
      <c r="I9" s="309">
        <v>854800</v>
      </c>
      <c r="J9" s="211">
        <v>1</v>
      </c>
      <c r="K9" s="212" t="str">
        <f>IF(OR(J9="",G9=J9),"","*")</f>
        <v/>
      </c>
      <c r="L9" s="338">
        <f>IF($A9&lt;=L$1,I9/I$4,"")</f>
        <v>1.5916284069771493E-2</v>
      </c>
      <c r="M9" s="343"/>
      <c r="N9" s="344" t="s">
        <v>744</v>
      </c>
      <c r="O9" s="346" t="s">
        <v>734</v>
      </c>
      <c r="P9" s="347" t="s">
        <v>734</v>
      </c>
      <c r="Q9" s="347" t="s">
        <v>734</v>
      </c>
      <c r="R9" s="348" t="s">
        <v>734</v>
      </c>
      <c r="S9" s="349"/>
      <c r="T9" s="343" t="s">
        <v>735</v>
      </c>
      <c r="U9" s="343"/>
      <c r="V9" s="344"/>
      <c r="W9" s="346" t="s">
        <v>734</v>
      </c>
      <c r="X9" s="347" t="s">
        <v>734</v>
      </c>
      <c r="Y9" s="347" t="s">
        <v>734</v>
      </c>
      <c r="Z9" s="348" t="s">
        <v>734</v>
      </c>
      <c r="AA9" s="349"/>
      <c r="AB9" s="343" t="s">
        <v>735</v>
      </c>
      <c r="AC9" s="343"/>
      <c r="AD9" s="344"/>
      <c r="AE9" s="342"/>
      <c r="AF9" s="341"/>
    </row>
    <row r="10" spans="1:32">
      <c r="A10" s="307">
        <v>3</v>
      </c>
      <c r="B10" s="342"/>
      <c r="C10" s="342" t="s">
        <v>177</v>
      </c>
      <c r="D10" s="340" t="s">
        <v>745</v>
      </c>
      <c r="E10" s="342" t="s">
        <v>368</v>
      </c>
      <c r="F10" s="345" t="s">
        <v>369</v>
      </c>
      <c r="G10" s="308">
        <v>28</v>
      </c>
      <c r="H10" s="309">
        <v>23000</v>
      </c>
      <c r="I10" s="309">
        <v>644000</v>
      </c>
      <c r="J10" s="211"/>
      <c r="K10" s="212" t="str">
        <f>IF(OR(J10="",G10=J10),"","*")</f>
        <v/>
      </c>
      <c r="L10" s="338">
        <f>IF($A10&lt;=L$1,I10/I$4,"")</f>
        <v>1.1991210740445533E-2</v>
      </c>
      <c r="M10" s="343"/>
      <c r="N10" s="344"/>
      <c r="O10" s="346" t="s">
        <v>734</v>
      </c>
      <c r="P10" s="347" t="s">
        <v>734</v>
      </c>
      <c r="Q10" s="347" t="s">
        <v>734</v>
      </c>
      <c r="R10" s="348" t="s">
        <v>734</v>
      </c>
      <c r="S10" s="349"/>
      <c r="T10" s="343" t="s">
        <v>735</v>
      </c>
      <c r="U10" s="343"/>
      <c r="V10" s="344"/>
      <c r="W10" s="346" t="s">
        <v>734</v>
      </c>
      <c r="X10" s="347" t="s">
        <v>734</v>
      </c>
      <c r="Y10" s="347" t="s">
        <v>734</v>
      </c>
      <c r="Z10" s="348" t="s">
        <v>734</v>
      </c>
      <c r="AA10" s="349"/>
      <c r="AB10" s="343" t="s">
        <v>735</v>
      </c>
      <c r="AC10" s="343"/>
      <c r="AD10" s="344"/>
      <c r="AE10" s="342"/>
      <c r="AF10" s="341" t="s">
        <v>746</v>
      </c>
    </row>
    <row r="11" spans="1:32">
      <c r="A11" s="307">
        <v>3</v>
      </c>
      <c r="B11" s="342"/>
      <c r="C11" s="342" t="s">
        <v>180</v>
      </c>
      <c r="D11" s="340" t="s">
        <v>747</v>
      </c>
      <c r="E11" s="342"/>
      <c r="F11" s="345" t="s">
        <v>373</v>
      </c>
      <c r="G11" s="308">
        <v>8</v>
      </c>
      <c r="H11" s="309">
        <v>7600</v>
      </c>
      <c r="I11" s="309">
        <v>60800</v>
      </c>
      <c r="J11" s="211"/>
      <c r="K11" s="212" t="str">
        <f>IF(OR(J11="",G11=J11),"","*")</f>
        <v/>
      </c>
      <c r="L11" s="338">
        <f>IF($A11&lt;=L$1,I11/I$4,"")</f>
        <v>1.1320894612097646E-3</v>
      </c>
      <c r="M11" s="343"/>
      <c r="N11" s="344"/>
      <c r="O11" s="346" t="s">
        <v>734</v>
      </c>
      <c r="P11" s="347" t="s">
        <v>734</v>
      </c>
      <c r="Q11" s="347" t="s">
        <v>734</v>
      </c>
      <c r="R11" s="348" t="s">
        <v>734</v>
      </c>
      <c r="S11" s="349"/>
      <c r="T11" s="343" t="s">
        <v>735</v>
      </c>
      <c r="U11" s="343"/>
      <c r="V11" s="344"/>
      <c r="W11" s="346" t="s">
        <v>734</v>
      </c>
      <c r="X11" s="347" t="s">
        <v>734</v>
      </c>
      <c r="Y11" s="347" t="s">
        <v>734</v>
      </c>
      <c r="Z11" s="348" t="s">
        <v>734</v>
      </c>
      <c r="AA11" s="349"/>
      <c r="AB11" s="343" t="s">
        <v>735</v>
      </c>
      <c r="AC11" s="343"/>
      <c r="AD11" s="344"/>
      <c r="AE11" s="342"/>
      <c r="AF11" s="341" t="s">
        <v>748</v>
      </c>
    </row>
    <row r="12" spans="1:32">
      <c r="A12" s="307">
        <v>3</v>
      </c>
      <c r="B12" s="342"/>
      <c r="C12" s="342" t="s">
        <v>176</v>
      </c>
      <c r="D12" s="340" t="s">
        <v>436</v>
      </c>
      <c r="E12" s="342"/>
      <c r="F12" s="345" t="s">
        <v>173</v>
      </c>
      <c r="G12" s="308">
        <v>1</v>
      </c>
      <c r="H12" s="309">
        <v>150000</v>
      </c>
      <c r="I12" s="309">
        <v>150000</v>
      </c>
      <c r="J12" s="211"/>
      <c r="K12" s="212" t="str">
        <f>IF(OR(J12="",G12=J12),"","*")</f>
        <v/>
      </c>
      <c r="L12" s="338">
        <f>IF($A12&lt;=L$1,I12/I$4,"")</f>
        <v>2.7929838681161954E-3</v>
      </c>
      <c r="M12" s="343"/>
      <c r="N12" s="344"/>
      <c r="O12" s="346" t="s">
        <v>734</v>
      </c>
      <c r="P12" s="347" t="s">
        <v>734</v>
      </c>
      <c r="Q12" s="347" t="s">
        <v>734</v>
      </c>
      <c r="R12" s="348" t="s">
        <v>734</v>
      </c>
      <c r="S12" s="349"/>
      <c r="T12" s="343" t="s">
        <v>735</v>
      </c>
      <c r="U12" s="343"/>
      <c r="V12" s="344"/>
      <c r="W12" s="346" t="s">
        <v>734</v>
      </c>
      <c r="X12" s="347" t="s">
        <v>734</v>
      </c>
      <c r="Y12" s="347" t="s">
        <v>734</v>
      </c>
      <c r="Z12" s="348" t="s">
        <v>734</v>
      </c>
      <c r="AA12" s="349"/>
      <c r="AB12" s="343" t="s">
        <v>735</v>
      </c>
      <c r="AC12" s="343"/>
      <c r="AD12" s="344"/>
      <c r="AE12" s="342"/>
      <c r="AF12" s="341"/>
    </row>
    <row r="13" spans="1:32">
      <c r="A13" s="307">
        <v>2</v>
      </c>
      <c r="B13" s="342"/>
      <c r="C13" s="342" t="s">
        <v>355</v>
      </c>
      <c r="D13" s="340" t="s">
        <v>749</v>
      </c>
      <c r="E13" s="342" t="s">
        <v>750</v>
      </c>
      <c r="F13" s="345" t="s">
        <v>173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751</v>
      </c>
      <c r="O13" s="346" t="s">
        <v>734</v>
      </c>
      <c r="P13" s="347" t="s">
        <v>734</v>
      </c>
      <c r="Q13" s="347" t="s">
        <v>734</v>
      </c>
      <c r="R13" s="348" t="s">
        <v>734</v>
      </c>
      <c r="S13" s="349"/>
      <c r="T13" s="343" t="s">
        <v>735</v>
      </c>
      <c r="U13" s="343"/>
      <c r="V13" s="344"/>
      <c r="W13" s="346" t="s">
        <v>734</v>
      </c>
      <c r="X13" s="347" t="s">
        <v>734</v>
      </c>
      <c r="Y13" s="347" t="s">
        <v>734</v>
      </c>
      <c r="Z13" s="348" t="s">
        <v>734</v>
      </c>
      <c r="AA13" s="349"/>
      <c r="AB13" s="343" t="s">
        <v>735</v>
      </c>
      <c r="AC13" s="343"/>
      <c r="AD13" s="344"/>
      <c r="AE13" s="342"/>
      <c r="AF13" s="341"/>
    </row>
    <row r="14" spans="1:32">
      <c r="A14" s="307">
        <v>2</v>
      </c>
      <c r="B14" s="342"/>
      <c r="C14" s="342" t="s">
        <v>355</v>
      </c>
      <c r="D14" s="340" t="s">
        <v>752</v>
      </c>
      <c r="E14" s="342" t="s">
        <v>753</v>
      </c>
      <c r="F14" s="345" t="s">
        <v>173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754</v>
      </c>
      <c r="O14" s="346" t="s">
        <v>734</v>
      </c>
      <c r="P14" s="347" t="s">
        <v>734</v>
      </c>
      <c r="Q14" s="347" t="s">
        <v>734</v>
      </c>
      <c r="R14" s="348" t="s">
        <v>734</v>
      </c>
      <c r="S14" s="349"/>
      <c r="T14" s="343" t="s">
        <v>735</v>
      </c>
      <c r="U14" s="343"/>
      <c r="V14" s="344"/>
      <c r="W14" s="346" t="s">
        <v>734</v>
      </c>
      <c r="X14" s="347" t="s">
        <v>734</v>
      </c>
      <c r="Y14" s="347" t="s">
        <v>734</v>
      </c>
      <c r="Z14" s="348" t="s">
        <v>734</v>
      </c>
      <c r="AA14" s="349"/>
      <c r="AB14" s="343" t="s">
        <v>735</v>
      </c>
      <c r="AC14" s="343"/>
      <c r="AD14" s="344"/>
      <c r="AE14" s="342"/>
      <c r="AF14" s="341"/>
    </row>
    <row r="15" spans="1:32">
      <c r="A15" s="307">
        <v>2</v>
      </c>
      <c r="B15" s="342"/>
      <c r="C15" s="342" t="s">
        <v>355</v>
      </c>
      <c r="D15" s="340" t="s">
        <v>755</v>
      </c>
      <c r="E15" s="342" t="s">
        <v>756</v>
      </c>
      <c r="F15" s="345" t="s">
        <v>173</v>
      </c>
      <c r="G15" s="308">
        <v>1</v>
      </c>
      <c r="H15" s="309">
        <v>2640000</v>
      </c>
      <c r="I15" s="309">
        <v>2640000</v>
      </c>
      <c r="J15" s="211">
        <v>1</v>
      </c>
      <c r="K15" s="212" t="str">
        <f>IF(OR(J15="",G15=J15),"","*")</f>
        <v/>
      </c>
      <c r="L15" s="338">
        <f>IF($A15&lt;=L$1,I15/I$4,"")</f>
        <v>4.9156516078845039E-2</v>
      </c>
      <c r="M15" s="343"/>
      <c r="N15" s="344" t="s">
        <v>757</v>
      </c>
      <c r="O15" s="346" t="s">
        <v>734</v>
      </c>
      <c r="P15" s="347" t="s">
        <v>734</v>
      </c>
      <c r="Q15" s="347" t="s">
        <v>734</v>
      </c>
      <c r="R15" s="348" t="s">
        <v>734</v>
      </c>
      <c r="S15" s="349"/>
      <c r="T15" s="343" t="s">
        <v>735</v>
      </c>
      <c r="U15" s="343"/>
      <c r="V15" s="344"/>
      <c r="W15" s="346" t="s">
        <v>734</v>
      </c>
      <c r="X15" s="347" t="s">
        <v>734</v>
      </c>
      <c r="Y15" s="347" t="s">
        <v>734</v>
      </c>
      <c r="Z15" s="348" t="s">
        <v>734</v>
      </c>
      <c r="AA15" s="349"/>
      <c r="AB15" s="343" t="s">
        <v>735</v>
      </c>
      <c r="AC15" s="343"/>
      <c r="AD15" s="344"/>
      <c r="AE15" s="342"/>
      <c r="AF15" s="341"/>
    </row>
    <row r="16" spans="1:32">
      <c r="A16" s="307">
        <v>3</v>
      </c>
      <c r="B16" s="342"/>
      <c r="C16" s="342" t="s">
        <v>178</v>
      </c>
      <c r="D16" s="340" t="s">
        <v>758</v>
      </c>
      <c r="E16" s="342"/>
      <c r="F16" s="345" t="s">
        <v>369</v>
      </c>
      <c r="G16" s="308">
        <v>120</v>
      </c>
      <c r="H16" s="309">
        <v>17000</v>
      </c>
      <c r="I16" s="309">
        <v>2040000</v>
      </c>
      <c r="J16" s="211"/>
      <c r="K16" s="212" t="str">
        <f>IF(OR(J16="",G16=J16),"","*")</f>
        <v/>
      </c>
      <c r="L16" s="338">
        <f>IF($A16&lt;=L$1,I16/I$4,"")</f>
        <v>3.7984580606380255E-2</v>
      </c>
      <c r="M16" s="343"/>
      <c r="N16" s="344"/>
      <c r="O16" s="346" t="s">
        <v>734</v>
      </c>
      <c r="P16" s="347" t="s">
        <v>734</v>
      </c>
      <c r="Q16" s="347" t="s">
        <v>734</v>
      </c>
      <c r="R16" s="348" t="s">
        <v>734</v>
      </c>
      <c r="S16" s="349"/>
      <c r="T16" s="343" t="s">
        <v>735</v>
      </c>
      <c r="U16" s="343"/>
      <c r="V16" s="344"/>
      <c r="W16" s="346" t="s">
        <v>734</v>
      </c>
      <c r="X16" s="347" t="s">
        <v>734</v>
      </c>
      <c r="Y16" s="347" t="s">
        <v>734</v>
      </c>
      <c r="Z16" s="348" t="s">
        <v>734</v>
      </c>
      <c r="AA16" s="349"/>
      <c r="AB16" s="343" t="s">
        <v>735</v>
      </c>
      <c r="AC16" s="343"/>
      <c r="AD16" s="344"/>
      <c r="AE16" s="342" t="s">
        <v>759</v>
      </c>
      <c r="AF16" s="341"/>
    </row>
    <row r="17" spans="1:32">
      <c r="A17" s="307">
        <v>3</v>
      </c>
      <c r="B17" s="342"/>
      <c r="C17" s="342" t="s">
        <v>178</v>
      </c>
      <c r="D17" s="340" t="s">
        <v>760</v>
      </c>
      <c r="E17" s="342" t="s">
        <v>761</v>
      </c>
      <c r="F17" s="345" t="s">
        <v>762</v>
      </c>
      <c r="G17" s="308">
        <v>3</v>
      </c>
      <c r="H17" s="309">
        <v>200000</v>
      </c>
      <c r="I17" s="309">
        <v>600000</v>
      </c>
      <c r="J17" s="211"/>
      <c r="K17" s="212" t="str">
        <f>IF(OR(J17="",G17=J17),"","*")</f>
        <v/>
      </c>
      <c r="L17" s="338">
        <f>IF($A17&lt;=L$1,I17/I$4,"")</f>
        <v>1.1171935472464782E-2</v>
      </c>
      <c r="M17" s="343"/>
      <c r="N17" s="344"/>
      <c r="O17" s="346" t="s">
        <v>734</v>
      </c>
      <c r="P17" s="347" t="s">
        <v>734</v>
      </c>
      <c r="Q17" s="347" t="s">
        <v>734</v>
      </c>
      <c r="R17" s="348" t="s">
        <v>734</v>
      </c>
      <c r="S17" s="349"/>
      <c r="T17" s="343" t="s">
        <v>735</v>
      </c>
      <c r="U17" s="343"/>
      <c r="V17" s="344"/>
      <c r="W17" s="346" t="s">
        <v>734</v>
      </c>
      <c r="X17" s="347" t="s">
        <v>734</v>
      </c>
      <c r="Y17" s="347" t="s">
        <v>734</v>
      </c>
      <c r="Z17" s="348" t="s">
        <v>734</v>
      </c>
      <c r="AA17" s="349"/>
      <c r="AB17" s="343" t="s">
        <v>735</v>
      </c>
      <c r="AC17" s="343"/>
      <c r="AD17" s="344"/>
      <c r="AE17" s="342" t="s">
        <v>759</v>
      </c>
      <c r="AF17" s="341"/>
    </row>
    <row r="18" spans="1:32">
      <c r="A18" s="307">
        <v>2</v>
      </c>
      <c r="B18" s="342"/>
      <c r="C18" s="342" t="s">
        <v>355</v>
      </c>
      <c r="D18" s="340" t="s">
        <v>763</v>
      </c>
      <c r="E18" s="342" t="s">
        <v>764</v>
      </c>
      <c r="F18" s="345" t="s">
        <v>173</v>
      </c>
      <c r="G18" s="308">
        <v>1</v>
      </c>
      <c r="H18" s="309">
        <v>1000000</v>
      </c>
      <c r="I18" s="309">
        <v>1000000</v>
      </c>
      <c r="J18" s="211">
        <v>1</v>
      </c>
      <c r="K18" s="212" t="str">
        <f>IF(OR(J18="",G18=J18),"","*")</f>
        <v/>
      </c>
      <c r="L18" s="338">
        <f>IF($A18&lt;=L$1,I18/I$4,"")</f>
        <v>1.8619892454107969E-2</v>
      </c>
      <c r="M18" s="343"/>
      <c r="N18" s="344" t="s">
        <v>765</v>
      </c>
      <c r="O18" s="346" t="s">
        <v>734</v>
      </c>
      <c r="P18" s="347" t="s">
        <v>734</v>
      </c>
      <c r="Q18" s="347" t="s">
        <v>734</v>
      </c>
      <c r="R18" s="348" t="s">
        <v>734</v>
      </c>
      <c r="S18" s="349"/>
      <c r="T18" s="343" t="s">
        <v>735</v>
      </c>
      <c r="U18" s="343"/>
      <c r="V18" s="344"/>
      <c r="W18" s="346" t="s">
        <v>734</v>
      </c>
      <c r="X18" s="347" t="s">
        <v>734</v>
      </c>
      <c r="Y18" s="347" t="s">
        <v>734</v>
      </c>
      <c r="Z18" s="348" t="s">
        <v>734</v>
      </c>
      <c r="AA18" s="349"/>
      <c r="AB18" s="343" t="s">
        <v>735</v>
      </c>
      <c r="AC18" s="343"/>
      <c r="AD18" s="344"/>
      <c r="AE18" s="342"/>
      <c r="AF18" s="341"/>
    </row>
    <row r="19" spans="1:32">
      <c r="A19" s="307">
        <v>3</v>
      </c>
      <c r="B19" s="342"/>
      <c r="C19" s="342" t="s">
        <v>178</v>
      </c>
      <c r="D19" s="340" t="s">
        <v>766</v>
      </c>
      <c r="E19" s="342"/>
      <c r="F19" s="345" t="s">
        <v>173</v>
      </c>
      <c r="G19" s="308">
        <v>1</v>
      </c>
      <c r="H19" s="309">
        <v>150000</v>
      </c>
      <c r="I19" s="309">
        <v>150000</v>
      </c>
      <c r="J19" s="211"/>
      <c r="K19" s="212" t="str">
        <f>IF(OR(J19="",G19=J19),"","*")</f>
        <v/>
      </c>
      <c r="L19" s="338">
        <f>IF($A19&lt;=L$1,I19/I$4,"")</f>
        <v>2.7929838681161954E-3</v>
      </c>
      <c r="M19" s="343"/>
      <c r="N19" s="344"/>
      <c r="O19" s="346" t="s">
        <v>734</v>
      </c>
      <c r="P19" s="347" t="s">
        <v>734</v>
      </c>
      <c r="Q19" s="347" t="s">
        <v>734</v>
      </c>
      <c r="R19" s="348" t="s">
        <v>734</v>
      </c>
      <c r="S19" s="349"/>
      <c r="T19" s="343" t="s">
        <v>735</v>
      </c>
      <c r="U19" s="343"/>
      <c r="V19" s="344"/>
      <c r="W19" s="346" t="s">
        <v>734</v>
      </c>
      <c r="X19" s="347" t="s">
        <v>734</v>
      </c>
      <c r="Y19" s="347" t="s">
        <v>734</v>
      </c>
      <c r="Z19" s="348" t="s">
        <v>734</v>
      </c>
      <c r="AA19" s="349"/>
      <c r="AB19" s="343" t="s">
        <v>735</v>
      </c>
      <c r="AC19" s="343"/>
      <c r="AD19" s="344"/>
      <c r="AE19" s="342"/>
      <c r="AF19" s="341"/>
    </row>
    <row r="20" spans="1:32">
      <c r="A20" s="307">
        <v>3</v>
      </c>
      <c r="B20" s="342"/>
      <c r="C20" s="342" t="s">
        <v>178</v>
      </c>
      <c r="D20" s="340" t="s">
        <v>767</v>
      </c>
      <c r="E20" s="342" t="s">
        <v>768</v>
      </c>
      <c r="F20" s="345" t="s">
        <v>173</v>
      </c>
      <c r="G20" s="308">
        <v>1</v>
      </c>
      <c r="H20" s="309">
        <v>350000</v>
      </c>
      <c r="I20" s="309">
        <v>350000</v>
      </c>
      <c r="J20" s="211"/>
      <c r="K20" s="212" t="str">
        <f>IF(OR(J20="",G20=J20),"","*")</f>
        <v/>
      </c>
      <c r="L20" s="338">
        <f>IF($A20&lt;=L$1,I20/I$4,"")</f>
        <v>6.5169623589377895E-3</v>
      </c>
      <c r="M20" s="343"/>
      <c r="N20" s="344"/>
      <c r="O20" s="346" t="s">
        <v>734</v>
      </c>
      <c r="P20" s="347" t="s">
        <v>734</v>
      </c>
      <c r="Q20" s="347" t="s">
        <v>734</v>
      </c>
      <c r="R20" s="348" t="s">
        <v>734</v>
      </c>
      <c r="S20" s="349"/>
      <c r="T20" s="343" t="s">
        <v>735</v>
      </c>
      <c r="U20" s="343"/>
      <c r="V20" s="344"/>
      <c r="W20" s="346" t="s">
        <v>734</v>
      </c>
      <c r="X20" s="347" t="s">
        <v>734</v>
      </c>
      <c r="Y20" s="347" t="s">
        <v>734</v>
      </c>
      <c r="Z20" s="348" t="s">
        <v>734</v>
      </c>
      <c r="AA20" s="349"/>
      <c r="AB20" s="343" t="s">
        <v>735</v>
      </c>
      <c r="AC20" s="343"/>
      <c r="AD20" s="344"/>
      <c r="AE20" s="342"/>
      <c r="AF20" s="341"/>
    </row>
    <row r="21" spans="1:32">
      <c r="A21" s="307">
        <v>3</v>
      </c>
      <c r="B21" s="342"/>
      <c r="C21" s="342" t="s">
        <v>178</v>
      </c>
      <c r="D21" s="340" t="s">
        <v>769</v>
      </c>
      <c r="E21" s="342" t="s">
        <v>770</v>
      </c>
      <c r="F21" s="345" t="s">
        <v>173</v>
      </c>
      <c r="G21" s="308">
        <v>1</v>
      </c>
      <c r="H21" s="309">
        <v>500000</v>
      </c>
      <c r="I21" s="309">
        <v>500000</v>
      </c>
      <c r="J21" s="211"/>
      <c r="K21" s="212" t="str">
        <f>IF(OR(J21="",G21=J21),"","*")</f>
        <v/>
      </c>
      <c r="L21" s="338">
        <f>IF($A21&lt;=L$1,I21/I$4,"")</f>
        <v>9.3099462270539845E-3</v>
      </c>
      <c r="M21" s="343"/>
      <c r="N21" s="344"/>
      <c r="O21" s="346" t="s">
        <v>734</v>
      </c>
      <c r="P21" s="347" t="s">
        <v>734</v>
      </c>
      <c r="Q21" s="347" t="s">
        <v>734</v>
      </c>
      <c r="R21" s="348" t="s">
        <v>734</v>
      </c>
      <c r="S21" s="349"/>
      <c r="T21" s="343" t="s">
        <v>735</v>
      </c>
      <c r="U21" s="343"/>
      <c r="V21" s="344"/>
      <c r="W21" s="346" t="s">
        <v>734</v>
      </c>
      <c r="X21" s="347" t="s">
        <v>734</v>
      </c>
      <c r="Y21" s="347" t="s">
        <v>734</v>
      </c>
      <c r="Z21" s="348" t="s">
        <v>734</v>
      </c>
      <c r="AA21" s="349"/>
      <c r="AB21" s="343" t="s">
        <v>735</v>
      </c>
      <c r="AC21" s="343"/>
      <c r="AD21" s="344"/>
      <c r="AE21" s="342"/>
      <c r="AF21" s="341"/>
    </row>
    <row r="22" spans="1:32">
      <c r="A22" s="217"/>
      <c r="B22" s="217"/>
      <c r="C22" s="312"/>
      <c r="D22" s="217"/>
      <c r="E22" s="217"/>
      <c r="F22" s="218"/>
      <c r="G22" s="217"/>
      <c r="H22" s="217"/>
      <c r="I22" s="217"/>
      <c r="J22" s="217"/>
      <c r="K22" s="218"/>
      <c r="L22" s="217"/>
      <c r="M22" s="217"/>
      <c r="N22" s="217"/>
      <c r="O22" s="217"/>
      <c r="P22" s="217"/>
      <c r="Q22" s="217"/>
      <c r="R22" s="217"/>
      <c r="S22" s="218"/>
      <c r="T22" s="217"/>
      <c r="U22" s="217"/>
      <c r="V22" s="217"/>
      <c r="W22" s="217"/>
      <c r="X22" s="217"/>
      <c r="Y22" s="217"/>
      <c r="Z22" s="217"/>
      <c r="AA22" s="218"/>
      <c r="AB22" s="217"/>
      <c r="AC22" s="217"/>
      <c r="AD22" s="217"/>
      <c r="AE22" s="217"/>
      <c r="AF22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21 AF4:AF21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21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721</v>
      </c>
      <c r="C3" s="561"/>
      <c r="D3" s="563" t="s">
        <v>173</v>
      </c>
      <c r="E3" s="565">
        <v>1</v>
      </c>
      <c r="F3" s="521">
        <v>6695000</v>
      </c>
      <c r="G3" s="557">
        <v>6695000</v>
      </c>
      <c r="H3" s="138" t="s">
        <v>771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194</v>
      </c>
      <c r="I4" s="69"/>
    </row>
    <row r="5" spans="1:9" ht="15.75" customHeight="1">
      <c r="A5" s="69"/>
      <c r="B5" s="559" t="s">
        <v>723</v>
      </c>
      <c r="C5" s="561" t="s">
        <v>772</v>
      </c>
      <c r="D5" s="563" t="s">
        <v>173</v>
      </c>
      <c r="E5" s="565">
        <v>1</v>
      </c>
      <c r="F5" s="521"/>
      <c r="G5" s="557"/>
      <c r="H5" s="138" t="s">
        <v>773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194</v>
      </c>
      <c r="I6" s="69"/>
    </row>
    <row r="7" spans="1:9" ht="15.75" customHeight="1">
      <c r="A7" s="69"/>
      <c r="B7" s="559" t="s">
        <v>725</v>
      </c>
      <c r="C7" s="561"/>
      <c r="D7" s="563" t="s">
        <v>173</v>
      </c>
      <c r="E7" s="565">
        <v>1</v>
      </c>
      <c r="F7" s="521"/>
      <c r="G7" s="557"/>
      <c r="H7" s="138" t="s">
        <v>774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194</v>
      </c>
      <c r="I8" s="69"/>
    </row>
    <row r="9" spans="1:9" ht="15.75" customHeight="1">
      <c r="A9" s="69"/>
      <c r="B9" s="559" t="s">
        <v>727</v>
      </c>
      <c r="C9" s="561" t="s">
        <v>775</v>
      </c>
      <c r="D9" s="563" t="s">
        <v>173</v>
      </c>
      <c r="E9" s="565">
        <v>1</v>
      </c>
      <c r="F9" s="521"/>
      <c r="G9" s="557"/>
      <c r="H9" s="138" t="s">
        <v>776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194</v>
      </c>
      <c r="I10" s="69"/>
    </row>
    <row r="11" spans="1:9" ht="15.75" customHeight="1">
      <c r="A11" s="69"/>
      <c r="B11" s="559" t="s">
        <v>729</v>
      </c>
      <c r="C11" s="561" t="s">
        <v>777</v>
      </c>
      <c r="D11" s="563" t="s">
        <v>173</v>
      </c>
      <c r="E11" s="565">
        <v>1</v>
      </c>
      <c r="F11" s="521"/>
      <c r="G11" s="557"/>
      <c r="H11" s="138" t="s">
        <v>778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194</v>
      </c>
      <c r="I12" s="69"/>
    </row>
    <row r="13" spans="1:9" ht="15.75" customHeight="1">
      <c r="A13" s="69"/>
      <c r="B13" s="559" t="s">
        <v>731</v>
      </c>
      <c r="C13" s="561" t="s">
        <v>779</v>
      </c>
      <c r="D13" s="563" t="s">
        <v>173</v>
      </c>
      <c r="E13" s="565">
        <v>1</v>
      </c>
      <c r="F13" s="521"/>
      <c r="G13" s="557"/>
      <c r="H13" s="138" t="s">
        <v>780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194</v>
      </c>
      <c r="I14" s="69"/>
    </row>
    <row r="15" spans="1:9" ht="15.75" customHeight="1">
      <c r="A15" s="69"/>
      <c r="B15" s="559" t="s">
        <v>732</v>
      </c>
      <c r="C15" s="561" t="s">
        <v>781</v>
      </c>
      <c r="D15" s="563" t="s">
        <v>173</v>
      </c>
      <c r="E15" s="565">
        <v>1</v>
      </c>
      <c r="F15" s="521"/>
      <c r="G15" s="557"/>
      <c r="H15" s="138" t="s">
        <v>782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194</v>
      </c>
      <c r="I16" s="69"/>
    </row>
    <row r="17" spans="1:9" ht="15.75" customHeight="1">
      <c r="A17" s="69"/>
      <c r="B17" s="559" t="s">
        <v>733</v>
      </c>
      <c r="C17" s="561" t="s">
        <v>783</v>
      </c>
      <c r="D17" s="563" t="s">
        <v>173</v>
      </c>
      <c r="E17" s="565">
        <v>1</v>
      </c>
      <c r="F17" s="521"/>
      <c r="G17" s="557"/>
      <c r="H17" s="138" t="s">
        <v>784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194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350</v>
      </c>
      <c r="C21" s="561"/>
      <c r="D21" s="563"/>
      <c r="E21" s="565"/>
      <c r="F21" s="521"/>
      <c r="G21" s="557">
        <v>6695000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8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仙台港駅構内トラックスケール設置に伴う基礎工事</v>
      </c>
      <c r="G1" s="306"/>
      <c r="H1" s="190" t="s">
        <v>131</v>
      </c>
      <c r="I1" s="333">
        <v>71970000</v>
      </c>
      <c r="J1" s="339">
        <f>I4/I$1</f>
        <v>0.74622763651521462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719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352</v>
      </c>
      <c r="D4" s="340" t="s">
        <v>184</v>
      </c>
      <c r="E4" s="342"/>
      <c r="F4" s="345" t="s">
        <v>173</v>
      </c>
      <c r="G4" s="308">
        <v>1</v>
      </c>
      <c r="H4" s="309">
        <v>53706003</v>
      </c>
      <c r="I4" s="309">
        <v>53706003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734</v>
      </c>
      <c r="P4" s="347" t="s">
        <v>734</v>
      </c>
      <c r="Q4" s="347" t="s">
        <v>734</v>
      </c>
      <c r="R4" s="348" t="s">
        <v>734</v>
      </c>
      <c r="S4" s="349"/>
      <c r="T4" s="343" t="s">
        <v>735</v>
      </c>
      <c r="U4" s="343"/>
      <c r="V4" s="344"/>
      <c r="W4" s="346" t="s">
        <v>734</v>
      </c>
      <c r="X4" s="347" t="s">
        <v>734</v>
      </c>
      <c r="Y4" s="347" t="s">
        <v>734</v>
      </c>
      <c r="Z4" s="348" t="s">
        <v>734</v>
      </c>
      <c r="AA4" s="349"/>
      <c r="AB4" s="343" t="s">
        <v>735</v>
      </c>
      <c r="AC4" s="343"/>
      <c r="AD4" s="344"/>
      <c r="AE4" s="342"/>
      <c r="AF4" s="341" t="s">
        <v>117</v>
      </c>
    </row>
    <row r="5" spans="1:32">
      <c r="A5" s="307">
        <v>1</v>
      </c>
      <c r="B5" s="342"/>
      <c r="C5" s="342" t="s">
        <v>353</v>
      </c>
      <c r="D5" s="340" t="s">
        <v>785</v>
      </c>
      <c r="E5" s="342"/>
      <c r="F5" s="345" t="s">
        <v>173</v>
      </c>
      <c r="G5" s="308">
        <v>1</v>
      </c>
      <c r="H5" s="309">
        <v>6695000</v>
      </c>
      <c r="I5" s="309">
        <v>6695000</v>
      </c>
      <c r="J5" s="211"/>
      <c r="K5" s="212" t="str">
        <f>IF(OR(J5="",G5=J5),"","*")</f>
        <v/>
      </c>
      <c r="L5" s="338">
        <f>IF($A5&lt;=L$1,I5/I$4,"")</f>
        <v>0.12466017998025286</v>
      </c>
      <c r="M5" s="343"/>
      <c r="N5" s="344"/>
      <c r="O5" s="346" t="s">
        <v>734</v>
      </c>
      <c r="P5" s="347" t="s">
        <v>734</v>
      </c>
      <c r="Q5" s="347" t="s">
        <v>734</v>
      </c>
      <c r="R5" s="348" t="s">
        <v>734</v>
      </c>
      <c r="S5" s="349"/>
      <c r="T5" s="343" t="s">
        <v>735</v>
      </c>
      <c r="U5" s="343"/>
      <c r="V5" s="344"/>
      <c r="W5" s="346" t="s">
        <v>734</v>
      </c>
      <c r="X5" s="347" t="s">
        <v>734</v>
      </c>
      <c r="Y5" s="347" t="s">
        <v>734</v>
      </c>
      <c r="Z5" s="348" t="s">
        <v>734</v>
      </c>
      <c r="AA5" s="349"/>
      <c r="AB5" s="343" t="s">
        <v>735</v>
      </c>
      <c r="AC5" s="343"/>
      <c r="AD5" s="344"/>
      <c r="AE5" s="342"/>
      <c r="AF5" s="341" t="s">
        <v>117</v>
      </c>
    </row>
    <row r="6" spans="1:32">
      <c r="A6" s="307">
        <v>2</v>
      </c>
      <c r="B6" s="342"/>
      <c r="C6" s="342" t="s">
        <v>355</v>
      </c>
      <c r="D6" s="340" t="s">
        <v>786</v>
      </c>
      <c r="E6" s="342"/>
      <c r="F6" s="345" t="s">
        <v>173</v>
      </c>
      <c r="G6" s="308">
        <v>1</v>
      </c>
      <c r="H6" s="309">
        <v>6695000</v>
      </c>
      <c r="I6" s="309">
        <v>6695000</v>
      </c>
      <c r="J6" s="211">
        <v>1</v>
      </c>
      <c r="K6" s="212" t="str">
        <f>IF(OR(J6="",G6=J6),"","*")</f>
        <v/>
      </c>
      <c r="L6" s="338">
        <f>IF($A6&lt;=L$1,I6/I$4,"")</f>
        <v>0.12466017998025286</v>
      </c>
      <c r="M6" s="343"/>
      <c r="N6" s="344" t="s">
        <v>787</v>
      </c>
      <c r="O6" s="346" t="s">
        <v>734</v>
      </c>
      <c r="P6" s="347" t="s">
        <v>734</v>
      </c>
      <c r="Q6" s="347" t="s">
        <v>734</v>
      </c>
      <c r="R6" s="348" t="s">
        <v>734</v>
      </c>
      <c r="S6" s="349"/>
      <c r="T6" s="343" t="s">
        <v>735</v>
      </c>
      <c r="U6" s="343"/>
      <c r="V6" s="344"/>
      <c r="W6" s="346" t="s">
        <v>734</v>
      </c>
      <c r="X6" s="347" t="s">
        <v>734</v>
      </c>
      <c r="Y6" s="347" t="s">
        <v>734</v>
      </c>
      <c r="Z6" s="348" t="s">
        <v>734</v>
      </c>
      <c r="AA6" s="349"/>
      <c r="AB6" s="343" t="s">
        <v>735</v>
      </c>
      <c r="AC6" s="343"/>
      <c r="AD6" s="344"/>
      <c r="AE6" s="342"/>
      <c r="AF6" s="341" t="s">
        <v>117</v>
      </c>
    </row>
    <row r="7" spans="1:32">
      <c r="A7" s="307">
        <v>3</v>
      </c>
      <c r="B7" s="342"/>
      <c r="C7" s="342" t="s">
        <v>182</v>
      </c>
      <c r="D7" s="340" t="s">
        <v>788</v>
      </c>
      <c r="E7" s="342" t="s">
        <v>789</v>
      </c>
      <c r="F7" s="345" t="s">
        <v>762</v>
      </c>
      <c r="G7" s="308">
        <v>5</v>
      </c>
      <c r="H7" s="309">
        <v>1030000</v>
      </c>
      <c r="I7" s="309">
        <v>5150000</v>
      </c>
      <c r="J7" s="211"/>
      <c r="K7" s="212" t="str">
        <f>IF(OR(J7="",G7=J7),"","*")</f>
        <v/>
      </c>
      <c r="L7" s="338">
        <f>IF($A7&lt;=L$1,I7/I$4,"")</f>
        <v>9.5892446138656051E-2</v>
      </c>
      <c r="M7" s="343"/>
      <c r="N7" s="344"/>
      <c r="O7" s="346" t="s">
        <v>734</v>
      </c>
      <c r="P7" s="347" t="s">
        <v>734</v>
      </c>
      <c r="Q7" s="347" t="s">
        <v>734</v>
      </c>
      <c r="R7" s="348" t="s">
        <v>734</v>
      </c>
      <c r="S7" s="349"/>
      <c r="T7" s="343" t="s">
        <v>735</v>
      </c>
      <c r="U7" s="343"/>
      <c r="V7" s="344"/>
      <c r="W7" s="346" t="s">
        <v>734</v>
      </c>
      <c r="X7" s="347" t="s">
        <v>734</v>
      </c>
      <c r="Y7" s="347" t="s">
        <v>734</v>
      </c>
      <c r="Z7" s="348" t="s">
        <v>734</v>
      </c>
      <c r="AA7" s="349"/>
      <c r="AB7" s="343" t="s">
        <v>735</v>
      </c>
      <c r="AC7" s="343"/>
      <c r="AD7" s="344"/>
      <c r="AE7" s="342" t="s">
        <v>790</v>
      </c>
      <c r="AF7" s="341" t="s">
        <v>117</v>
      </c>
    </row>
    <row r="8" spans="1:32">
      <c r="A8" s="307">
        <v>3</v>
      </c>
      <c r="B8" s="342"/>
      <c r="C8" s="342" t="s">
        <v>182</v>
      </c>
      <c r="D8" s="340" t="s">
        <v>788</v>
      </c>
      <c r="E8" s="342" t="s">
        <v>791</v>
      </c>
      <c r="F8" s="345" t="s">
        <v>762</v>
      </c>
      <c r="G8" s="308">
        <v>2</v>
      </c>
      <c r="H8" s="309">
        <v>610000</v>
      </c>
      <c r="I8" s="309">
        <v>1220000</v>
      </c>
      <c r="J8" s="211"/>
      <c r="K8" s="212" t="str">
        <f>IF(OR(J8="",G8=J8),"","*")</f>
        <v/>
      </c>
      <c r="L8" s="338">
        <f>IF($A8&lt;=L$1,I8/I$4,"")</f>
        <v>2.2716268794011722E-2</v>
      </c>
      <c r="M8" s="343"/>
      <c r="N8" s="344"/>
      <c r="O8" s="346" t="s">
        <v>734</v>
      </c>
      <c r="P8" s="347" t="s">
        <v>734</v>
      </c>
      <c r="Q8" s="347" t="s">
        <v>734</v>
      </c>
      <c r="R8" s="348" t="s">
        <v>734</v>
      </c>
      <c r="S8" s="349"/>
      <c r="T8" s="343" t="s">
        <v>735</v>
      </c>
      <c r="U8" s="343"/>
      <c r="V8" s="344"/>
      <c r="W8" s="346" t="s">
        <v>734</v>
      </c>
      <c r="X8" s="347" t="s">
        <v>734</v>
      </c>
      <c r="Y8" s="347" t="s">
        <v>734</v>
      </c>
      <c r="Z8" s="348" t="s">
        <v>734</v>
      </c>
      <c r="AA8" s="349"/>
      <c r="AB8" s="343" t="s">
        <v>735</v>
      </c>
      <c r="AC8" s="343"/>
      <c r="AD8" s="344"/>
      <c r="AE8" s="342" t="s">
        <v>792</v>
      </c>
      <c r="AF8" s="341" t="s">
        <v>117</v>
      </c>
    </row>
    <row r="9" spans="1:32">
      <c r="A9" s="307">
        <v>3</v>
      </c>
      <c r="B9" s="342"/>
      <c r="C9" s="342" t="s">
        <v>182</v>
      </c>
      <c r="D9" s="340" t="s">
        <v>788</v>
      </c>
      <c r="E9" s="342" t="s">
        <v>793</v>
      </c>
      <c r="F9" s="345" t="s">
        <v>415</v>
      </c>
      <c r="G9" s="308">
        <v>5</v>
      </c>
      <c r="H9" s="309">
        <v>24500</v>
      </c>
      <c r="I9" s="309">
        <v>122500</v>
      </c>
      <c r="J9" s="211"/>
      <c r="K9" s="212" t="str">
        <f>IF(OR(J9="",G9=J9),"","*")</f>
        <v/>
      </c>
      <c r="L9" s="338">
        <f>IF($A9&lt;=L$1,I9/I$4,"")</f>
        <v>2.2809368256282263E-3</v>
      </c>
      <c r="M9" s="343"/>
      <c r="N9" s="344"/>
      <c r="O9" s="346" t="s">
        <v>734</v>
      </c>
      <c r="P9" s="347" t="s">
        <v>734</v>
      </c>
      <c r="Q9" s="347" t="s">
        <v>734</v>
      </c>
      <c r="R9" s="348" t="s">
        <v>734</v>
      </c>
      <c r="S9" s="349"/>
      <c r="T9" s="343" t="s">
        <v>735</v>
      </c>
      <c r="U9" s="343"/>
      <c r="V9" s="344"/>
      <c r="W9" s="346" t="s">
        <v>734</v>
      </c>
      <c r="X9" s="347" t="s">
        <v>734</v>
      </c>
      <c r="Y9" s="347" t="s">
        <v>734</v>
      </c>
      <c r="Z9" s="348" t="s">
        <v>734</v>
      </c>
      <c r="AA9" s="349"/>
      <c r="AB9" s="343" t="s">
        <v>735</v>
      </c>
      <c r="AC9" s="343"/>
      <c r="AD9" s="344"/>
      <c r="AE9" s="342" t="s">
        <v>794</v>
      </c>
      <c r="AF9" s="341" t="s">
        <v>117</v>
      </c>
    </row>
    <row r="10" spans="1:32">
      <c r="A10" s="307">
        <v>3</v>
      </c>
      <c r="B10" s="342"/>
      <c r="C10" s="342" t="s">
        <v>182</v>
      </c>
      <c r="D10" s="340" t="s">
        <v>788</v>
      </c>
      <c r="E10" s="342" t="s">
        <v>795</v>
      </c>
      <c r="F10" s="345" t="s">
        <v>415</v>
      </c>
      <c r="G10" s="308">
        <v>5</v>
      </c>
      <c r="H10" s="309">
        <v>40500</v>
      </c>
      <c r="I10" s="309">
        <v>202500</v>
      </c>
      <c r="J10" s="211"/>
      <c r="K10" s="212" t="str">
        <f>IF(OR(J10="",G10=J10),"","*")</f>
        <v/>
      </c>
      <c r="L10" s="338">
        <f>IF($A10&lt;=L$1,I10/I$4,"")</f>
        <v>3.7705282219568639E-3</v>
      </c>
      <c r="M10" s="343"/>
      <c r="N10" s="344"/>
      <c r="O10" s="346" t="s">
        <v>734</v>
      </c>
      <c r="P10" s="347" t="s">
        <v>734</v>
      </c>
      <c r="Q10" s="347" t="s">
        <v>734</v>
      </c>
      <c r="R10" s="348" t="s">
        <v>734</v>
      </c>
      <c r="S10" s="349"/>
      <c r="T10" s="343" t="s">
        <v>735</v>
      </c>
      <c r="U10" s="343"/>
      <c r="V10" s="344"/>
      <c r="W10" s="346" t="s">
        <v>734</v>
      </c>
      <c r="X10" s="347" t="s">
        <v>734</v>
      </c>
      <c r="Y10" s="347" t="s">
        <v>734</v>
      </c>
      <c r="Z10" s="348" t="s">
        <v>734</v>
      </c>
      <c r="AA10" s="349"/>
      <c r="AB10" s="343" t="s">
        <v>735</v>
      </c>
      <c r="AC10" s="343"/>
      <c r="AD10" s="344"/>
      <c r="AE10" s="342" t="s">
        <v>796</v>
      </c>
      <c r="AF10" s="341" t="s">
        <v>117</v>
      </c>
    </row>
    <row r="11" spans="1:32">
      <c r="A11" s="307">
        <v>2</v>
      </c>
      <c r="B11" s="342"/>
      <c r="C11" s="342" t="s">
        <v>355</v>
      </c>
      <c r="D11" s="340" t="s">
        <v>797</v>
      </c>
      <c r="E11" s="342" t="s">
        <v>772</v>
      </c>
      <c r="F11" s="345" t="s">
        <v>173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798</v>
      </c>
      <c r="O11" s="346" t="s">
        <v>734</v>
      </c>
      <c r="P11" s="347" t="s">
        <v>734</v>
      </c>
      <c r="Q11" s="347" t="s">
        <v>734</v>
      </c>
      <c r="R11" s="348" t="s">
        <v>734</v>
      </c>
      <c r="S11" s="349"/>
      <c r="T11" s="343" t="s">
        <v>735</v>
      </c>
      <c r="U11" s="343"/>
      <c r="V11" s="344"/>
      <c r="W11" s="346" t="s">
        <v>734</v>
      </c>
      <c r="X11" s="347" t="s">
        <v>734</v>
      </c>
      <c r="Y11" s="347" t="s">
        <v>734</v>
      </c>
      <c r="Z11" s="348" t="s">
        <v>734</v>
      </c>
      <c r="AA11" s="349"/>
      <c r="AB11" s="343" t="s">
        <v>735</v>
      </c>
      <c r="AC11" s="343"/>
      <c r="AD11" s="344"/>
      <c r="AE11" s="342"/>
      <c r="AF11" s="341" t="s">
        <v>117</v>
      </c>
    </row>
    <row r="12" spans="1:32">
      <c r="A12" s="307">
        <v>2</v>
      </c>
      <c r="B12" s="342"/>
      <c r="C12" s="342" t="s">
        <v>355</v>
      </c>
      <c r="D12" s="340" t="s">
        <v>799</v>
      </c>
      <c r="E12" s="342"/>
      <c r="F12" s="345" t="s">
        <v>173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800</v>
      </c>
      <c r="O12" s="346" t="s">
        <v>734</v>
      </c>
      <c r="P12" s="347" t="s">
        <v>734</v>
      </c>
      <c r="Q12" s="347" t="s">
        <v>734</v>
      </c>
      <c r="R12" s="348" t="s">
        <v>734</v>
      </c>
      <c r="S12" s="349"/>
      <c r="T12" s="343" t="s">
        <v>735</v>
      </c>
      <c r="U12" s="343"/>
      <c r="V12" s="344"/>
      <c r="W12" s="346" t="s">
        <v>734</v>
      </c>
      <c r="X12" s="347" t="s">
        <v>734</v>
      </c>
      <c r="Y12" s="347" t="s">
        <v>734</v>
      </c>
      <c r="Z12" s="348" t="s">
        <v>734</v>
      </c>
      <c r="AA12" s="349"/>
      <c r="AB12" s="343" t="s">
        <v>735</v>
      </c>
      <c r="AC12" s="343"/>
      <c r="AD12" s="344"/>
      <c r="AE12" s="342"/>
      <c r="AF12" s="341" t="s">
        <v>117</v>
      </c>
    </row>
    <row r="13" spans="1:32">
      <c r="A13" s="307">
        <v>2</v>
      </c>
      <c r="B13" s="342"/>
      <c r="C13" s="342" t="s">
        <v>355</v>
      </c>
      <c r="D13" s="340" t="s">
        <v>801</v>
      </c>
      <c r="E13" s="342" t="s">
        <v>775</v>
      </c>
      <c r="F13" s="345" t="s">
        <v>173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802</v>
      </c>
      <c r="O13" s="346" t="s">
        <v>734</v>
      </c>
      <c r="P13" s="347" t="s">
        <v>734</v>
      </c>
      <c r="Q13" s="347" t="s">
        <v>734</v>
      </c>
      <c r="R13" s="348" t="s">
        <v>734</v>
      </c>
      <c r="S13" s="349"/>
      <c r="T13" s="343" t="s">
        <v>735</v>
      </c>
      <c r="U13" s="343"/>
      <c r="V13" s="344"/>
      <c r="W13" s="346" t="s">
        <v>734</v>
      </c>
      <c r="X13" s="347" t="s">
        <v>734</v>
      </c>
      <c r="Y13" s="347" t="s">
        <v>734</v>
      </c>
      <c r="Z13" s="348" t="s">
        <v>734</v>
      </c>
      <c r="AA13" s="349"/>
      <c r="AB13" s="343" t="s">
        <v>735</v>
      </c>
      <c r="AC13" s="343"/>
      <c r="AD13" s="344"/>
      <c r="AE13" s="342"/>
      <c r="AF13" s="341" t="s">
        <v>117</v>
      </c>
    </row>
    <row r="14" spans="1:32">
      <c r="A14" s="307">
        <v>2</v>
      </c>
      <c r="B14" s="342"/>
      <c r="C14" s="342" t="s">
        <v>355</v>
      </c>
      <c r="D14" s="340" t="s">
        <v>803</v>
      </c>
      <c r="E14" s="342" t="s">
        <v>777</v>
      </c>
      <c r="F14" s="345" t="s">
        <v>173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804</v>
      </c>
      <c r="O14" s="346" t="s">
        <v>734</v>
      </c>
      <c r="P14" s="347" t="s">
        <v>734</v>
      </c>
      <c r="Q14" s="347" t="s">
        <v>734</v>
      </c>
      <c r="R14" s="348" t="s">
        <v>734</v>
      </c>
      <c r="S14" s="349"/>
      <c r="T14" s="343" t="s">
        <v>735</v>
      </c>
      <c r="U14" s="343"/>
      <c r="V14" s="344"/>
      <c r="W14" s="346" t="s">
        <v>734</v>
      </c>
      <c r="X14" s="347" t="s">
        <v>734</v>
      </c>
      <c r="Y14" s="347" t="s">
        <v>734</v>
      </c>
      <c r="Z14" s="348" t="s">
        <v>734</v>
      </c>
      <c r="AA14" s="349"/>
      <c r="AB14" s="343" t="s">
        <v>735</v>
      </c>
      <c r="AC14" s="343"/>
      <c r="AD14" s="344"/>
      <c r="AE14" s="342"/>
      <c r="AF14" s="341" t="s">
        <v>117</v>
      </c>
    </row>
    <row r="15" spans="1:32">
      <c r="A15" s="307">
        <v>2</v>
      </c>
      <c r="B15" s="342"/>
      <c r="C15" s="342" t="s">
        <v>355</v>
      </c>
      <c r="D15" s="340" t="s">
        <v>805</v>
      </c>
      <c r="E15" s="342" t="s">
        <v>779</v>
      </c>
      <c r="F15" s="345" t="s">
        <v>173</v>
      </c>
      <c r="G15" s="308">
        <v>1</v>
      </c>
      <c r="H15" s="309">
        <v>0</v>
      </c>
      <c r="I15" s="309">
        <v>0</v>
      </c>
      <c r="J15" s="211">
        <v>1</v>
      </c>
      <c r="K15" s="212" t="str">
        <f>IF(OR(J15="",G15=J15),"","*")</f>
        <v/>
      </c>
      <c r="L15" s="338">
        <f>IF($A15&lt;=L$1,I15/I$4,"")</f>
        <v>0</v>
      </c>
      <c r="M15" s="343"/>
      <c r="N15" s="344" t="s">
        <v>806</v>
      </c>
      <c r="O15" s="346" t="s">
        <v>734</v>
      </c>
      <c r="P15" s="347" t="s">
        <v>734</v>
      </c>
      <c r="Q15" s="347" t="s">
        <v>734</v>
      </c>
      <c r="R15" s="348" t="s">
        <v>734</v>
      </c>
      <c r="S15" s="349"/>
      <c r="T15" s="343" t="s">
        <v>735</v>
      </c>
      <c r="U15" s="343"/>
      <c r="V15" s="344"/>
      <c r="W15" s="346" t="s">
        <v>734</v>
      </c>
      <c r="X15" s="347" t="s">
        <v>734</v>
      </c>
      <c r="Y15" s="347" t="s">
        <v>734</v>
      </c>
      <c r="Z15" s="348" t="s">
        <v>734</v>
      </c>
      <c r="AA15" s="349"/>
      <c r="AB15" s="343" t="s">
        <v>735</v>
      </c>
      <c r="AC15" s="343"/>
      <c r="AD15" s="344"/>
      <c r="AE15" s="342"/>
      <c r="AF15" s="341" t="s">
        <v>117</v>
      </c>
    </row>
    <row r="16" spans="1:32">
      <c r="A16" s="307">
        <v>2</v>
      </c>
      <c r="B16" s="342"/>
      <c r="C16" s="342" t="s">
        <v>355</v>
      </c>
      <c r="D16" s="340" t="s">
        <v>807</v>
      </c>
      <c r="E16" s="342" t="s">
        <v>781</v>
      </c>
      <c r="F16" s="345" t="s">
        <v>173</v>
      </c>
      <c r="G16" s="308">
        <v>1</v>
      </c>
      <c r="H16" s="309">
        <v>0</v>
      </c>
      <c r="I16" s="309">
        <v>0</v>
      </c>
      <c r="J16" s="211">
        <v>1</v>
      </c>
      <c r="K16" s="212" t="str">
        <f>IF(OR(J16="",G16=J16),"","*")</f>
        <v/>
      </c>
      <c r="L16" s="338">
        <f>IF($A16&lt;=L$1,I16/I$4,"")</f>
        <v>0</v>
      </c>
      <c r="M16" s="343"/>
      <c r="N16" s="344" t="s">
        <v>808</v>
      </c>
      <c r="O16" s="346" t="s">
        <v>734</v>
      </c>
      <c r="P16" s="347" t="s">
        <v>734</v>
      </c>
      <c r="Q16" s="347" t="s">
        <v>734</v>
      </c>
      <c r="R16" s="348" t="s">
        <v>734</v>
      </c>
      <c r="S16" s="349"/>
      <c r="T16" s="343" t="s">
        <v>735</v>
      </c>
      <c r="U16" s="343"/>
      <c r="V16" s="344"/>
      <c r="W16" s="346" t="s">
        <v>734</v>
      </c>
      <c r="X16" s="347" t="s">
        <v>734</v>
      </c>
      <c r="Y16" s="347" t="s">
        <v>734</v>
      </c>
      <c r="Z16" s="348" t="s">
        <v>734</v>
      </c>
      <c r="AA16" s="349"/>
      <c r="AB16" s="343" t="s">
        <v>735</v>
      </c>
      <c r="AC16" s="343"/>
      <c r="AD16" s="344"/>
      <c r="AE16" s="342"/>
      <c r="AF16" s="341" t="s">
        <v>117</v>
      </c>
    </row>
    <row r="17" spans="1:32">
      <c r="A17" s="307">
        <v>2</v>
      </c>
      <c r="B17" s="342"/>
      <c r="C17" s="342" t="s">
        <v>355</v>
      </c>
      <c r="D17" s="340" t="s">
        <v>809</v>
      </c>
      <c r="E17" s="342" t="s">
        <v>783</v>
      </c>
      <c r="F17" s="345" t="s">
        <v>173</v>
      </c>
      <c r="G17" s="308">
        <v>1</v>
      </c>
      <c r="H17" s="309">
        <v>0</v>
      </c>
      <c r="I17" s="309">
        <v>0</v>
      </c>
      <c r="J17" s="211">
        <v>1</v>
      </c>
      <c r="K17" s="212" t="str">
        <f>IF(OR(J17="",G17=J17),"","*")</f>
        <v/>
      </c>
      <c r="L17" s="338">
        <f>IF($A17&lt;=L$1,I17/I$4,"")</f>
        <v>0</v>
      </c>
      <c r="M17" s="343"/>
      <c r="N17" s="344" t="s">
        <v>810</v>
      </c>
      <c r="O17" s="346" t="s">
        <v>734</v>
      </c>
      <c r="P17" s="347" t="s">
        <v>734</v>
      </c>
      <c r="Q17" s="347" t="s">
        <v>734</v>
      </c>
      <c r="R17" s="348" t="s">
        <v>734</v>
      </c>
      <c r="S17" s="349"/>
      <c r="T17" s="343" t="s">
        <v>735</v>
      </c>
      <c r="U17" s="343"/>
      <c r="V17" s="344"/>
      <c r="W17" s="346" t="s">
        <v>734</v>
      </c>
      <c r="X17" s="347" t="s">
        <v>734</v>
      </c>
      <c r="Y17" s="347" t="s">
        <v>734</v>
      </c>
      <c r="Z17" s="348" t="s">
        <v>734</v>
      </c>
      <c r="AA17" s="349"/>
      <c r="AB17" s="343" t="s">
        <v>735</v>
      </c>
      <c r="AC17" s="343"/>
      <c r="AD17" s="344"/>
      <c r="AE17" s="342"/>
      <c r="AF17" s="341" t="s">
        <v>117</v>
      </c>
    </row>
    <row r="18" spans="1:32">
      <c r="A18" s="217"/>
      <c r="B18" s="217"/>
      <c r="C18" s="312"/>
      <c r="D18" s="217"/>
      <c r="E18" s="217"/>
      <c r="F18" s="218"/>
      <c r="G18" s="217"/>
      <c r="H18" s="217"/>
      <c r="I18" s="217"/>
      <c r="J18" s="217"/>
      <c r="K18" s="218"/>
      <c r="L18" s="217"/>
      <c r="M18" s="217"/>
      <c r="N18" s="217"/>
      <c r="O18" s="217"/>
      <c r="P18" s="217"/>
      <c r="Q18" s="217"/>
      <c r="R18" s="217"/>
      <c r="S18" s="218"/>
      <c r="T18" s="217"/>
      <c r="U18" s="217"/>
      <c r="V18" s="217"/>
      <c r="W18" s="217"/>
      <c r="X18" s="217"/>
      <c r="Y18" s="217"/>
      <c r="Z18" s="217"/>
      <c r="AA18" s="218"/>
      <c r="AB18" s="217"/>
      <c r="AC18" s="217"/>
      <c r="AD18" s="217"/>
      <c r="AE18" s="217"/>
      <c r="AF18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7 AF4:AF17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7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147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811</v>
      </c>
      <c r="C3" s="146" t="s">
        <v>812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813</v>
      </c>
      <c r="K4" s="69"/>
    </row>
    <row r="5" spans="1:11" ht="18" customHeight="1">
      <c r="A5" s="69"/>
      <c r="B5" s="574" t="s">
        <v>814</v>
      </c>
      <c r="C5" s="575"/>
      <c r="D5" s="153" t="s">
        <v>85</v>
      </c>
      <c r="E5" s="153" t="s">
        <v>815</v>
      </c>
      <c r="F5" s="153" t="s">
        <v>816</v>
      </c>
      <c r="G5" s="153" t="s">
        <v>817</v>
      </c>
      <c r="H5" s="154" t="s">
        <v>818</v>
      </c>
      <c r="I5" s="153" t="s">
        <v>819</v>
      </c>
      <c r="J5" s="155" t="s">
        <v>820</v>
      </c>
      <c r="K5" s="69"/>
    </row>
    <row r="6" spans="1:11" ht="10.5" customHeight="1">
      <c r="A6" s="69"/>
      <c r="B6" s="156" t="s">
        <v>821</v>
      </c>
      <c r="C6" s="157"/>
      <c r="D6" s="576" t="s">
        <v>822</v>
      </c>
      <c r="E6" s="578">
        <v>70</v>
      </c>
      <c r="F6" s="580">
        <v>220</v>
      </c>
      <c r="G6" s="582">
        <v>15400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823</v>
      </c>
      <c r="J7" s="161"/>
      <c r="K7" s="69" t="s">
        <v>96</v>
      </c>
    </row>
    <row r="8" spans="1:11" ht="10.5" customHeight="1">
      <c r="A8" s="69"/>
      <c r="B8" s="156" t="s">
        <v>824</v>
      </c>
      <c r="C8" s="157"/>
      <c r="D8" s="576" t="s">
        <v>825</v>
      </c>
      <c r="E8" s="578">
        <v>322.43400000000003</v>
      </c>
      <c r="F8" s="580">
        <v>2300</v>
      </c>
      <c r="G8" s="582">
        <v>741598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826</v>
      </c>
      <c r="C9" s="160"/>
      <c r="D9" s="577"/>
      <c r="E9" s="579"/>
      <c r="F9" s="581"/>
      <c r="G9" s="583"/>
      <c r="H9" s="356"/>
      <c r="I9" s="356" t="s">
        <v>823</v>
      </c>
      <c r="J9" s="162"/>
      <c r="K9" s="69" t="s">
        <v>96</v>
      </c>
    </row>
    <row r="10" spans="1:11" ht="10.5" customHeight="1">
      <c r="A10" s="69"/>
      <c r="B10" s="156" t="s">
        <v>827</v>
      </c>
      <c r="C10" s="157"/>
      <c r="D10" s="576" t="s">
        <v>828</v>
      </c>
      <c r="E10" s="578">
        <v>299</v>
      </c>
      <c r="F10" s="580">
        <v>103</v>
      </c>
      <c r="G10" s="582">
        <v>30797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823</v>
      </c>
      <c r="J11" s="161"/>
      <c r="K11" s="69" t="s">
        <v>96</v>
      </c>
    </row>
    <row r="12" spans="1:11" ht="10.5" customHeight="1">
      <c r="A12" s="69"/>
      <c r="B12" s="156" t="s">
        <v>829</v>
      </c>
      <c r="C12" s="157"/>
      <c r="D12" s="576" t="s">
        <v>830</v>
      </c>
      <c r="E12" s="584">
        <v>8</v>
      </c>
      <c r="F12" s="580">
        <v>18700</v>
      </c>
      <c r="G12" s="582">
        <v>149600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823</v>
      </c>
      <c r="J13" s="161"/>
      <c r="K13" s="69" t="s">
        <v>96</v>
      </c>
    </row>
    <row r="14" spans="1:11" ht="10.5" customHeight="1">
      <c r="A14" s="69"/>
      <c r="B14" s="156" t="s">
        <v>831</v>
      </c>
      <c r="C14" s="157"/>
      <c r="D14" s="576" t="s">
        <v>832</v>
      </c>
      <c r="E14" s="584">
        <v>583.67340000000002</v>
      </c>
      <c r="F14" s="580">
        <v>165</v>
      </c>
      <c r="G14" s="582">
        <v>96306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823</v>
      </c>
      <c r="J15" s="161"/>
      <c r="K15" s="69" t="s">
        <v>96</v>
      </c>
    </row>
    <row r="16" spans="1:11" ht="10.5" customHeight="1">
      <c r="A16" s="69"/>
      <c r="B16" s="156" t="s">
        <v>833</v>
      </c>
      <c r="C16" s="157"/>
      <c r="D16" s="576" t="s">
        <v>822</v>
      </c>
      <c r="E16" s="584">
        <v>3</v>
      </c>
      <c r="F16" s="580">
        <v>23000</v>
      </c>
      <c r="G16" s="582">
        <v>69000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823</v>
      </c>
      <c r="J17" s="161"/>
      <c r="K17" s="69" t="s">
        <v>96</v>
      </c>
    </row>
    <row r="18" spans="1:11" ht="10.5" customHeight="1">
      <c r="A18" s="69"/>
      <c r="B18" s="156" t="s">
        <v>834</v>
      </c>
      <c r="C18" s="157"/>
      <c r="D18" s="576" t="s">
        <v>835</v>
      </c>
      <c r="E18" s="584">
        <v>171</v>
      </c>
      <c r="F18" s="580">
        <v>2600</v>
      </c>
      <c r="G18" s="582">
        <v>444600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823</v>
      </c>
      <c r="J19" s="161"/>
      <c r="K19" s="69" t="s">
        <v>96</v>
      </c>
    </row>
    <row r="20" spans="1:11" ht="10.5" customHeight="1">
      <c r="A20" s="69"/>
      <c r="B20" s="156" t="s">
        <v>836</v>
      </c>
      <c r="C20" s="157"/>
      <c r="D20" s="576" t="s">
        <v>830</v>
      </c>
      <c r="E20" s="584">
        <v>3</v>
      </c>
      <c r="F20" s="580">
        <v>100000</v>
      </c>
      <c r="G20" s="582">
        <v>300000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823</v>
      </c>
      <c r="J21" s="161"/>
      <c r="K21" s="69" t="s">
        <v>96</v>
      </c>
    </row>
    <row r="22" spans="1:11" ht="10.5" customHeight="1">
      <c r="A22" s="69"/>
      <c r="B22" s="156" t="s">
        <v>837</v>
      </c>
      <c r="C22" s="157"/>
      <c r="D22" s="576" t="s">
        <v>830</v>
      </c>
      <c r="E22" s="584">
        <v>20</v>
      </c>
      <c r="F22" s="580">
        <v>6000</v>
      </c>
      <c r="G22" s="582">
        <v>120000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823</v>
      </c>
      <c r="J23" s="161"/>
      <c r="K23" s="69" t="s">
        <v>96</v>
      </c>
    </row>
    <row r="24" spans="1:11" ht="10.5" customHeight="1">
      <c r="A24" s="69"/>
      <c r="B24" s="156" t="s">
        <v>838</v>
      </c>
      <c r="C24" s="157"/>
      <c r="D24" s="576" t="s">
        <v>839</v>
      </c>
      <c r="E24" s="578"/>
      <c r="F24" s="580">
        <v>20000</v>
      </c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840</v>
      </c>
      <c r="C25" s="160"/>
      <c r="D25" s="577"/>
      <c r="E25" s="579"/>
      <c r="F25" s="581"/>
      <c r="G25" s="583"/>
      <c r="H25" s="356"/>
      <c r="I25" s="356" t="s">
        <v>823</v>
      </c>
      <c r="J25" s="161"/>
      <c r="K25" s="69" t="s">
        <v>96</v>
      </c>
    </row>
    <row r="26" spans="1:11" ht="10.5" customHeight="1">
      <c r="A26" s="69"/>
      <c r="B26" s="156" t="s">
        <v>841</v>
      </c>
      <c r="C26" s="157"/>
      <c r="D26" s="576" t="s">
        <v>828</v>
      </c>
      <c r="E26" s="584">
        <v>852.36</v>
      </c>
      <c r="F26" s="580">
        <v>210</v>
      </c>
      <c r="G26" s="582">
        <v>178995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823</v>
      </c>
      <c r="J27" s="161"/>
      <c r="K27" s="69" t="s">
        <v>96</v>
      </c>
    </row>
    <row r="28" spans="1:11" ht="10.5" customHeight="1">
      <c r="A28" s="69"/>
      <c r="B28" s="156" t="s">
        <v>842</v>
      </c>
      <c r="C28" s="157"/>
      <c r="D28" s="576" t="s">
        <v>835</v>
      </c>
      <c r="E28" s="584">
        <v>8</v>
      </c>
      <c r="F28" s="580">
        <v>19300</v>
      </c>
      <c r="G28" s="582">
        <v>154400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823</v>
      </c>
      <c r="J29" s="161"/>
      <c r="K29" s="69" t="s">
        <v>96</v>
      </c>
    </row>
    <row r="30" spans="1:11" ht="10.5" customHeight="1">
      <c r="A30" s="69"/>
      <c r="B30" s="156" t="s">
        <v>843</v>
      </c>
      <c r="C30" s="157"/>
      <c r="D30" s="576" t="s">
        <v>825</v>
      </c>
      <c r="E30" s="584"/>
      <c r="F30" s="580">
        <v>15000</v>
      </c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 t="s">
        <v>844</v>
      </c>
      <c r="C31" s="160"/>
      <c r="D31" s="577"/>
      <c r="E31" s="585"/>
      <c r="F31" s="581"/>
      <c r="G31" s="583"/>
      <c r="H31" s="356"/>
      <c r="I31" s="356" t="s">
        <v>823</v>
      </c>
      <c r="J31" s="161"/>
      <c r="K31" s="69" t="s">
        <v>96</v>
      </c>
    </row>
    <row r="32" spans="1:11" ht="10.5" customHeight="1">
      <c r="A32" s="69"/>
      <c r="B32" s="156" t="s">
        <v>845</v>
      </c>
      <c r="C32" s="157"/>
      <c r="D32" s="576" t="s">
        <v>830</v>
      </c>
      <c r="E32" s="584"/>
      <c r="F32" s="580">
        <v>118000</v>
      </c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 t="s">
        <v>846</v>
      </c>
      <c r="C33" s="160"/>
      <c r="D33" s="577"/>
      <c r="E33" s="585"/>
      <c r="F33" s="581"/>
      <c r="G33" s="583"/>
      <c r="H33" s="356"/>
      <c r="I33" s="356" t="s">
        <v>823</v>
      </c>
      <c r="J33" s="161"/>
      <c r="K33" s="69" t="s">
        <v>96</v>
      </c>
    </row>
    <row r="34" spans="1:11" ht="10.5" customHeight="1">
      <c r="A34" s="69"/>
      <c r="B34" s="156" t="s">
        <v>847</v>
      </c>
      <c r="C34" s="157"/>
      <c r="D34" s="576" t="s">
        <v>822</v>
      </c>
      <c r="E34" s="584"/>
      <c r="F34" s="580">
        <v>175000</v>
      </c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 t="s">
        <v>848</v>
      </c>
      <c r="C35" s="160"/>
      <c r="D35" s="577"/>
      <c r="E35" s="585"/>
      <c r="F35" s="581"/>
      <c r="G35" s="583"/>
      <c r="H35" s="356"/>
      <c r="I35" s="356" t="s">
        <v>823</v>
      </c>
      <c r="J35" s="161"/>
      <c r="K35" s="69" t="s">
        <v>96</v>
      </c>
    </row>
    <row r="36" spans="1:11" ht="10.5" customHeight="1">
      <c r="A36" s="69"/>
      <c r="B36" s="156" t="s">
        <v>849</v>
      </c>
      <c r="C36" s="157"/>
      <c r="D36" s="576" t="s">
        <v>850</v>
      </c>
      <c r="E36" s="584">
        <v>1</v>
      </c>
      <c r="F36" s="580">
        <v>30000</v>
      </c>
      <c r="G36" s="582">
        <v>30000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823</v>
      </c>
      <c r="J37" s="161"/>
      <c r="K37" s="69" t="s">
        <v>96</v>
      </c>
    </row>
    <row r="38" spans="1:11" ht="10.5" customHeight="1">
      <c r="A38" s="69"/>
      <c r="B38" s="156" t="s">
        <v>851</v>
      </c>
      <c r="C38" s="157"/>
      <c r="D38" s="576" t="s">
        <v>832</v>
      </c>
      <c r="E38" s="584">
        <v>1465.5101999999999</v>
      </c>
      <c r="F38" s="580">
        <v>145</v>
      </c>
      <c r="G38" s="582">
        <v>212498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823</v>
      </c>
      <c r="J39" s="161"/>
      <c r="K39" s="69" t="s">
        <v>96</v>
      </c>
    </row>
    <row r="40" spans="1:11" ht="10.5" customHeight="1">
      <c r="A40" s="69"/>
      <c r="B40" s="156" t="s">
        <v>851</v>
      </c>
      <c r="C40" s="157"/>
      <c r="D40" s="576" t="s">
        <v>828</v>
      </c>
      <c r="E40" s="584">
        <v>900</v>
      </c>
      <c r="F40" s="580">
        <v>145</v>
      </c>
      <c r="G40" s="582">
        <v>130500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823</v>
      </c>
      <c r="J41" s="161"/>
      <c r="K41" s="69" t="s">
        <v>96</v>
      </c>
    </row>
    <row r="42" spans="1:11" ht="10.5" customHeight="1">
      <c r="A42" s="69"/>
      <c r="B42" s="156" t="s">
        <v>851</v>
      </c>
      <c r="C42" s="157"/>
      <c r="D42" s="576" t="s">
        <v>828</v>
      </c>
      <c r="E42" s="584">
        <v>100</v>
      </c>
      <c r="F42" s="580">
        <v>145</v>
      </c>
      <c r="G42" s="582">
        <v>14500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823</v>
      </c>
      <c r="J43" s="161"/>
      <c r="K43" s="69" t="s">
        <v>96</v>
      </c>
    </row>
    <row r="44" spans="1:11" ht="10.5" customHeight="1">
      <c r="A44" s="69"/>
      <c r="B44" s="156" t="s">
        <v>852</v>
      </c>
      <c r="C44" s="157"/>
      <c r="D44" s="576" t="s">
        <v>853</v>
      </c>
      <c r="E44" s="584"/>
      <c r="F44" s="580">
        <v>9870</v>
      </c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 t="s">
        <v>854</v>
      </c>
      <c r="C45" s="160"/>
      <c r="D45" s="577"/>
      <c r="E45" s="585"/>
      <c r="F45" s="581"/>
      <c r="G45" s="583"/>
      <c r="H45" s="356"/>
      <c r="I45" s="356" t="s">
        <v>823</v>
      </c>
      <c r="J45" s="161"/>
      <c r="K45" s="69" t="s">
        <v>96</v>
      </c>
    </row>
    <row r="46" spans="1:11" ht="10.5" customHeight="1">
      <c r="A46" s="69"/>
      <c r="B46" s="156" t="s">
        <v>855</v>
      </c>
      <c r="C46" s="157"/>
      <c r="D46" s="586" t="s">
        <v>853</v>
      </c>
      <c r="E46" s="588"/>
      <c r="F46" s="590">
        <v>11900</v>
      </c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 t="s">
        <v>856</v>
      </c>
      <c r="C47" s="164"/>
      <c r="D47" s="587"/>
      <c r="E47" s="589"/>
      <c r="F47" s="591"/>
      <c r="G47" s="593"/>
      <c r="H47" s="357"/>
      <c r="I47" s="357" t="s">
        <v>823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857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811</v>
      </c>
      <c r="C52" s="146" t="s">
        <v>812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813</v>
      </c>
      <c r="K53" s="69"/>
    </row>
    <row r="54" spans="1:11" ht="18" customHeight="1">
      <c r="A54" s="69"/>
      <c r="B54" s="574" t="s">
        <v>814</v>
      </c>
      <c r="C54" s="575"/>
      <c r="D54" s="153" t="s">
        <v>85</v>
      </c>
      <c r="E54" s="153" t="s">
        <v>815</v>
      </c>
      <c r="F54" s="153" t="s">
        <v>816</v>
      </c>
      <c r="G54" s="153" t="s">
        <v>817</v>
      </c>
      <c r="H54" s="154" t="s">
        <v>818</v>
      </c>
      <c r="I54" s="153" t="s">
        <v>819</v>
      </c>
      <c r="J54" s="155" t="s">
        <v>820</v>
      </c>
      <c r="K54" s="69"/>
    </row>
    <row r="55" spans="1:11" ht="10.5" customHeight="1">
      <c r="A55" s="69"/>
      <c r="B55" s="156" t="s">
        <v>858</v>
      </c>
      <c r="C55" s="157"/>
      <c r="D55" s="576" t="s">
        <v>825</v>
      </c>
      <c r="E55" s="578">
        <v>5.4050000000000002</v>
      </c>
      <c r="F55" s="580">
        <v>4000</v>
      </c>
      <c r="G55" s="582">
        <v>21620</v>
      </c>
      <c r="H55" s="355"/>
      <c r="I55" s="355"/>
      <c r="J55" s="158"/>
      <c r="K55" s="69" t="s">
        <v>96</v>
      </c>
    </row>
    <row r="56" spans="1:11" ht="10.5" customHeight="1">
      <c r="A56" s="69"/>
      <c r="B56" s="159"/>
      <c r="C56" s="160"/>
      <c r="D56" s="577"/>
      <c r="E56" s="579"/>
      <c r="F56" s="581"/>
      <c r="G56" s="583"/>
      <c r="H56" s="356"/>
      <c r="I56" s="356" t="s">
        <v>823</v>
      </c>
      <c r="J56" s="161"/>
      <c r="K56" s="69" t="s">
        <v>96</v>
      </c>
    </row>
    <row r="57" spans="1:11" ht="10.5" customHeight="1">
      <c r="A57" s="69"/>
      <c r="B57" s="156" t="s">
        <v>859</v>
      </c>
      <c r="C57" s="157"/>
      <c r="D57" s="576" t="s">
        <v>839</v>
      </c>
      <c r="E57" s="578">
        <v>32</v>
      </c>
      <c r="F57" s="580">
        <v>9200</v>
      </c>
      <c r="G57" s="582">
        <v>294400</v>
      </c>
      <c r="H57" s="355"/>
      <c r="I57" s="355"/>
      <c r="J57" s="162"/>
      <c r="K57" s="69" t="s">
        <v>96</v>
      </c>
    </row>
    <row r="58" spans="1:11" ht="10.5" customHeight="1">
      <c r="A58" s="69"/>
      <c r="B58" s="159"/>
      <c r="C58" s="160"/>
      <c r="D58" s="577"/>
      <c r="E58" s="579"/>
      <c r="F58" s="581"/>
      <c r="G58" s="583"/>
      <c r="H58" s="356"/>
      <c r="I58" s="356" t="s">
        <v>823</v>
      </c>
      <c r="J58" s="162"/>
      <c r="K58" s="69" t="s">
        <v>96</v>
      </c>
    </row>
    <row r="59" spans="1:11" ht="10.5" customHeight="1">
      <c r="A59" s="69"/>
      <c r="B59" s="156" t="s">
        <v>860</v>
      </c>
      <c r="C59" s="157"/>
      <c r="D59" s="576" t="s">
        <v>861</v>
      </c>
      <c r="E59" s="578">
        <v>28</v>
      </c>
      <c r="F59" s="580">
        <v>10100</v>
      </c>
      <c r="G59" s="582">
        <v>282800</v>
      </c>
      <c r="H59" s="355"/>
      <c r="I59" s="355"/>
      <c r="J59" s="158"/>
      <c r="K59" s="69" t="s">
        <v>96</v>
      </c>
    </row>
    <row r="60" spans="1:11" ht="10.5" customHeight="1">
      <c r="A60" s="69"/>
      <c r="B60" s="159" t="s">
        <v>826</v>
      </c>
      <c r="C60" s="160"/>
      <c r="D60" s="577"/>
      <c r="E60" s="579"/>
      <c r="F60" s="581"/>
      <c r="G60" s="583"/>
      <c r="H60" s="356"/>
      <c r="I60" s="356" t="s">
        <v>823</v>
      </c>
      <c r="J60" s="161"/>
      <c r="K60" s="69" t="s">
        <v>96</v>
      </c>
    </row>
    <row r="61" spans="1:11" ht="10.5" customHeight="1">
      <c r="A61" s="69"/>
      <c r="B61" s="156" t="s">
        <v>860</v>
      </c>
      <c r="C61" s="157"/>
      <c r="D61" s="576" t="s">
        <v>861</v>
      </c>
      <c r="E61" s="584"/>
      <c r="F61" s="580">
        <v>9700</v>
      </c>
      <c r="G61" s="582"/>
      <c r="H61" s="355"/>
      <c r="I61" s="355"/>
      <c r="J61" s="158"/>
      <c r="K61" s="69" t="s">
        <v>96</v>
      </c>
    </row>
    <row r="62" spans="1:11" ht="10.5" customHeight="1">
      <c r="A62" s="69"/>
      <c r="B62" s="159" t="s">
        <v>826</v>
      </c>
      <c r="C62" s="160"/>
      <c r="D62" s="577"/>
      <c r="E62" s="585"/>
      <c r="F62" s="581"/>
      <c r="G62" s="583"/>
      <c r="H62" s="356"/>
      <c r="I62" s="356" t="s">
        <v>823</v>
      </c>
      <c r="J62" s="161"/>
      <c r="K62" s="69" t="s">
        <v>96</v>
      </c>
    </row>
    <row r="63" spans="1:11" ht="10.5" customHeight="1">
      <c r="A63" s="69"/>
      <c r="B63" s="156" t="s">
        <v>862</v>
      </c>
      <c r="C63" s="157"/>
      <c r="D63" s="576" t="s">
        <v>861</v>
      </c>
      <c r="E63" s="584">
        <v>32</v>
      </c>
      <c r="F63" s="580">
        <v>11000</v>
      </c>
      <c r="G63" s="582">
        <v>352000</v>
      </c>
      <c r="H63" s="355"/>
      <c r="I63" s="355"/>
      <c r="J63" s="158"/>
      <c r="K63" s="69" t="s">
        <v>96</v>
      </c>
    </row>
    <row r="64" spans="1:11" ht="10.5" customHeight="1">
      <c r="A64" s="69"/>
      <c r="B64" s="159" t="s">
        <v>826</v>
      </c>
      <c r="C64" s="160"/>
      <c r="D64" s="577"/>
      <c r="E64" s="585"/>
      <c r="F64" s="581"/>
      <c r="G64" s="583"/>
      <c r="H64" s="356"/>
      <c r="I64" s="356" t="s">
        <v>823</v>
      </c>
      <c r="J64" s="161"/>
      <c r="K64" s="69" t="s">
        <v>96</v>
      </c>
    </row>
    <row r="65" spans="1:11" ht="10.5" customHeight="1">
      <c r="A65" s="69"/>
      <c r="B65" s="156" t="s">
        <v>862</v>
      </c>
      <c r="C65" s="157"/>
      <c r="D65" s="576" t="s">
        <v>861</v>
      </c>
      <c r="E65" s="584"/>
      <c r="F65" s="580">
        <v>10800</v>
      </c>
      <c r="G65" s="582"/>
      <c r="H65" s="355"/>
      <c r="I65" s="355"/>
      <c r="J65" s="158"/>
      <c r="K65" s="69" t="s">
        <v>96</v>
      </c>
    </row>
    <row r="66" spans="1:11" ht="10.5" customHeight="1">
      <c r="A66" s="69"/>
      <c r="B66" s="159" t="s">
        <v>826</v>
      </c>
      <c r="C66" s="160"/>
      <c r="D66" s="577"/>
      <c r="E66" s="585"/>
      <c r="F66" s="581"/>
      <c r="G66" s="583"/>
      <c r="H66" s="356"/>
      <c r="I66" s="356" t="s">
        <v>823</v>
      </c>
      <c r="J66" s="161"/>
      <c r="K66" s="69" t="s">
        <v>96</v>
      </c>
    </row>
    <row r="67" spans="1:11" ht="10.5" customHeight="1">
      <c r="A67" s="69"/>
      <c r="B67" s="156" t="s">
        <v>863</v>
      </c>
      <c r="C67" s="157"/>
      <c r="D67" s="576" t="s">
        <v>861</v>
      </c>
      <c r="E67" s="584"/>
      <c r="F67" s="580">
        <v>9200</v>
      </c>
      <c r="G67" s="582"/>
      <c r="H67" s="355"/>
      <c r="I67" s="355"/>
      <c r="J67" s="158"/>
      <c r="K67" s="69" t="s">
        <v>96</v>
      </c>
    </row>
    <row r="68" spans="1:11" ht="10.5" customHeight="1">
      <c r="A68" s="69"/>
      <c r="B68" s="159" t="s">
        <v>826</v>
      </c>
      <c r="C68" s="160"/>
      <c r="D68" s="577"/>
      <c r="E68" s="585"/>
      <c r="F68" s="581"/>
      <c r="G68" s="583"/>
      <c r="H68" s="356"/>
      <c r="I68" s="356" t="s">
        <v>823</v>
      </c>
      <c r="J68" s="161"/>
      <c r="K68" s="69" t="s">
        <v>96</v>
      </c>
    </row>
    <row r="69" spans="1:11" ht="10.5" customHeight="1">
      <c r="A69" s="69"/>
      <c r="B69" s="156" t="s">
        <v>864</v>
      </c>
      <c r="C69" s="157"/>
      <c r="D69" s="576" t="s">
        <v>850</v>
      </c>
      <c r="E69" s="584">
        <v>1</v>
      </c>
      <c r="F69" s="580">
        <v>200000</v>
      </c>
      <c r="G69" s="582">
        <v>200000</v>
      </c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 t="s">
        <v>823</v>
      </c>
      <c r="J70" s="161"/>
      <c r="K70" s="69" t="s">
        <v>96</v>
      </c>
    </row>
    <row r="71" spans="1:11" ht="10.5" customHeight="1">
      <c r="A71" s="69"/>
      <c r="B71" s="156" t="s">
        <v>865</v>
      </c>
      <c r="C71" s="157"/>
      <c r="D71" s="576" t="s">
        <v>850</v>
      </c>
      <c r="E71" s="584">
        <v>1</v>
      </c>
      <c r="F71" s="580">
        <v>200000</v>
      </c>
      <c r="G71" s="582">
        <v>200000</v>
      </c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 t="s">
        <v>823</v>
      </c>
      <c r="J72" s="161"/>
      <c r="K72" s="69" t="s">
        <v>96</v>
      </c>
    </row>
    <row r="73" spans="1:11" ht="10.5" customHeight="1">
      <c r="A73" s="69"/>
      <c r="B73" s="156" t="s">
        <v>865</v>
      </c>
      <c r="C73" s="157"/>
      <c r="D73" s="576" t="s">
        <v>850</v>
      </c>
      <c r="E73" s="578">
        <v>1</v>
      </c>
      <c r="F73" s="580">
        <v>150000</v>
      </c>
      <c r="G73" s="582">
        <v>150000</v>
      </c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 t="s">
        <v>823</v>
      </c>
      <c r="J74" s="161"/>
      <c r="K74" s="69" t="s">
        <v>96</v>
      </c>
    </row>
    <row r="75" spans="1:11" ht="10.5" customHeight="1">
      <c r="A75" s="69"/>
      <c r="B75" s="156" t="s">
        <v>865</v>
      </c>
      <c r="C75" s="157"/>
      <c r="D75" s="576" t="s">
        <v>850</v>
      </c>
      <c r="E75" s="584">
        <v>1</v>
      </c>
      <c r="F75" s="580">
        <v>50000</v>
      </c>
      <c r="G75" s="582">
        <v>50000</v>
      </c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 t="s">
        <v>823</v>
      </c>
      <c r="J76" s="161"/>
      <c r="K76" s="69" t="s">
        <v>96</v>
      </c>
    </row>
    <row r="77" spans="1:11" ht="10.5" customHeight="1">
      <c r="A77" s="69"/>
      <c r="B77" s="156" t="s">
        <v>866</v>
      </c>
      <c r="C77" s="157"/>
      <c r="D77" s="576" t="s">
        <v>850</v>
      </c>
      <c r="E77" s="584">
        <v>1</v>
      </c>
      <c r="F77" s="580">
        <v>30000</v>
      </c>
      <c r="G77" s="582">
        <v>30000</v>
      </c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 t="s">
        <v>823</v>
      </c>
      <c r="J78" s="161"/>
      <c r="K78" s="69" t="s">
        <v>96</v>
      </c>
    </row>
    <row r="79" spans="1:11" ht="10.5" customHeight="1">
      <c r="A79" s="69"/>
      <c r="B79" s="156" t="s">
        <v>866</v>
      </c>
      <c r="C79" s="157"/>
      <c r="D79" s="576" t="s">
        <v>850</v>
      </c>
      <c r="E79" s="584">
        <v>1</v>
      </c>
      <c r="F79" s="580">
        <v>30000</v>
      </c>
      <c r="G79" s="582">
        <v>30000</v>
      </c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 t="s">
        <v>823</v>
      </c>
      <c r="J80" s="161"/>
      <c r="K80" s="69" t="s">
        <v>96</v>
      </c>
    </row>
    <row r="81" spans="1:11" ht="10.5" customHeight="1">
      <c r="A81" s="69"/>
      <c r="B81" s="156" t="s">
        <v>866</v>
      </c>
      <c r="C81" s="157"/>
      <c r="D81" s="576" t="s">
        <v>850</v>
      </c>
      <c r="E81" s="584">
        <v>1</v>
      </c>
      <c r="F81" s="580">
        <v>30000</v>
      </c>
      <c r="G81" s="582">
        <v>30000</v>
      </c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 t="s">
        <v>823</v>
      </c>
      <c r="J82" s="161"/>
      <c r="K82" s="69" t="s">
        <v>96</v>
      </c>
    </row>
    <row r="83" spans="1:11" ht="10.5" customHeight="1">
      <c r="A83" s="69"/>
      <c r="B83" s="156" t="s">
        <v>867</v>
      </c>
      <c r="C83" s="157"/>
      <c r="D83" s="576" t="s">
        <v>825</v>
      </c>
      <c r="E83" s="584"/>
      <c r="F83" s="580">
        <v>1500</v>
      </c>
      <c r="G83" s="582"/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 t="s">
        <v>823</v>
      </c>
      <c r="J84" s="161"/>
      <c r="K84" s="69" t="s">
        <v>96</v>
      </c>
    </row>
    <row r="85" spans="1:11" ht="10.5" customHeight="1">
      <c r="A85" s="69"/>
      <c r="B85" s="156" t="s">
        <v>868</v>
      </c>
      <c r="C85" s="157"/>
      <c r="D85" s="576" t="s">
        <v>830</v>
      </c>
      <c r="E85" s="584"/>
      <c r="F85" s="580">
        <v>128000</v>
      </c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 t="s">
        <v>823</v>
      </c>
      <c r="J86" s="161"/>
      <c r="K86" s="69" t="s">
        <v>96</v>
      </c>
    </row>
    <row r="87" spans="1:11" ht="10.5" customHeight="1">
      <c r="A87" s="69"/>
      <c r="B87" s="156" t="s">
        <v>869</v>
      </c>
      <c r="C87" s="157"/>
      <c r="D87" s="576" t="s">
        <v>850</v>
      </c>
      <c r="E87" s="584">
        <v>2</v>
      </c>
      <c r="F87" s="580">
        <v>5000</v>
      </c>
      <c r="G87" s="582">
        <v>10000</v>
      </c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 t="s">
        <v>823</v>
      </c>
      <c r="J88" s="161"/>
      <c r="K88" s="69" t="s">
        <v>96</v>
      </c>
    </row>
    <row r="89" spans="1:11" ht="10.5" customHeight="1">
      <c r="A89" s="69"/>
      <c r="B89" s="156" t="s">
        <v>870</v>
      </c>
      <c r="C89" s="157"/>
      <c r="D89" s="576" t="s">
        <v>871</v>
      </c>
      <c r="E89" s="584">
        <v>9.44</v>
      </c>
      <c r="F89" s="580">
        <v>22000</v>
      </c>
      <c r="G89" s="582">
        <v>207680</v>
      </c>
      <c r="H89" s="355"/>
      <c r="I89" s="355"/>
      <c r="J89" s="158"/>
      <c r="K89" s="69" t="s">
        <v>96</v>
      </c>
    </row>
    <row r="90" spans="1:11" ht="10.5" customHeight="1">
      <c r="A90" s="69"/>
      <c r="B90" s="159" t="s">
        <v>872</v>
      </c>
      <c r="C90" s="160"/>
      <c r="D90" s="577"/>
      <c r="E90" s="585"/>
      <c r="F90" s="581"/>
      <c r="G90" s="583"/>
      <c r="H90" s="356"/>
      <c r="I90" s="356" t="s">
        <v>823</v>
      </c>
      <c r="J90" s="161"/>
      <c r="K90" s="69" t="s">
        <v>96</v>
      </c>
    </row>
    <row r="91" spans="1:11" ht="10.5" customHeight="1">
      <c r="A91" s="69"/>
      <c r="B91" s="156" t="s">
        <v>870</v>
      </c>
      <c r="C91" s="157"/>
      <c r="D91" s="576" t="s">
        <v>825</v>
      </c>
      <c r="E91" s="584"/>
      <c r="F91" s="580">
        <v>22000</v>
      </c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 t="s">
        <v>872</v>
      </c>
      <c r="C92" s="160"/>
      <c r="D92" s="577"/>
      <c r="E92" s="585"/>
      <c r="F92" s="581"/>
      <c r="G92" s="583"/>
      <c r="H92" s="356"/>
      <c r="I92" s="356" t="s">
        <v>823</v>
      </c>
      <c r="J92" s="161"/>
      <c r="K92" s="69" t="s">
        <v>96</v>
      </c>
    </row>
    <row r="93" spans="1:11" ht="10.5" customHeight="1">
      <c r="A93" s="69"/>
      <c r="B93" s="156" t="s">
        <v>870</v>
      </c>
      <c r="C93" s="157"/>
      <c r="D93" s="576" t="s">
        <v>825</v>
      </c>
      <c r="E93" s="584">
        <v>44.652000000000001</v>
      </c>
      <c r="F93" s="580">
        <v>24000</v>
      </c>
      <c r="G93" s="582">
        <v>1071648</v>
      </c>
      <c r="H93" s="355"/>
      <c r="I93" s="355"/>
      <c r="J93" s="158"/>
      <c r="K93" s="69" t="s">
        <v>96</v>
      </c>
    </row>
    <row r="94" spans="1:11" ht="10.5" customHeight="1">
      <c r="A94" s="69"/>
      <c r="B94" s="159" t="s">
        <v>873</v>
      </c>
      <c r="C94" s="160"/>
      <c r="D94" s="577"/>
      <c r="E94" s="585"/>
      <c r="F94" s="581"/>
      <c r="G94" s="583"/>
      <c r="H94" s="356"/>
      <c r="I94" s="356" t="s">
        <v>823</v>
      </c>
      <c r="J94" s="161"/>
      <c r="K94" s="69" t="s">
        <v>96</v>
      </c>
    </row>
    <row r="95" spans="1:11" ht="10.5" customHeight="1">
      <c r="A95" s="69"/>
      <c r="B95" s="156" t="s">
        <v>874</v>
      </c>
      <c r="C95" s="157"/>
      <c r="D95" s="586" t="s">
        <v>825</v>
      </c>
      <c r="E95" s="588">
        <v>48</v>
      </c>
      <c r="F95" s="590">
        <v>4500</v>
      </c>
      <c r="G95" s="592">
        <v>216000</v>
      </c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 t="s">
        <v>823</v>
      </c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  <row r="99" spans="1:11" ht="26.1" customHeight="1" thickBot="1">
      <c r="B99" s="142"/>
      <c r="C99" s="142"/>
      <c r="D99" s="533" t="s">
        <v>857</v>
      </c>
      <c r="E99" s="533"/>
      <c r="F99" s="533"/>
      <c r="G99" s="533"/>
      <c r="H99" s="69"/>
      <c r="I99" s="69"/>
      <c r="J99" s="69"/>
      <c r="K99" s="69"/>
    </row>
    <row r="100" spans="1:11" ht="13.5" customHeight="1">
      <c r="A100" s="143"/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</row>
    <row r="101" spans="1:11" ht="21" customHeight="1">
      <c r="A101" s="144"/>
      <c r="B101" s="145" t="s">
        <v>811</v>
      </c>
      <c r="C101" s="146" t="s">
        <v>812</v>
      </c>
      <c r="D101" s="147"/>
      <c r="E101" s="148"/>
      <c r="F101" s="149"/>
      <c r="G101" s="149"/>
      <c r="H101" s="149"/>
      <c r="I101" s="149"/>
      <c r="J101" s="150"/>
      <c r="K101" s="144"/>
    </row>
    <row r="102" spans="1:11" ht="12.75" customHeight="1" thickBot="1">
      <c r="A102" s="69"/>
      <c r="B102" s="151"/>
      <c r="C102" s="151"/>
      <c r="D102" s="151"/>
      <c r="E102" s="151"/>
      <c r="F102" s="151"/>
      <c r="G102" s="151"/>
      <c r="H102" s="151"/>
      <c r="I102" s="151"/>
      <c r="J102" s="152" t="s">
        <v>813</v>
      </c>
      <c r="K102" s="69"/>
    </row>
    <row r="103" spans="1:11" ht="18" customHeight="1">
      <c r="A103" s="69"/>
      <c r="B103" s="574" t="s">
        <v>814</v>
      </c>
      <c r="C103" s="575"/>
      <c r="D103" s="153" t="s">
        <v>85</v>
      </c>
      <c r="E103" s="153" t="s">
        <v>815</v>
      </c>
      <c r="F103" s="153" t="s">
        <v>816</v>
      </c>
      <c r="G103" s="153" t="s">
        <v>817</v>
      </c>
      <c r="H103" s="154" t="s">
        <v>818</v>
      </c>
      <c r="I103" s="153" t="s">
        <v>819</v>
      </c>
      <c r="J103" s="155" t="s">
        <v>820</v>
      </c>
      <c r="K103" s="69"/>
    </row>
    <row r="104" spans="1:11" ht="10.5" customHeight="1">
      <c r="A104" s="69"/>
      <c r="B104" s="156" t="s">
        <v>875</v>
      </c>
      <c r="C104" s="157"/>
      <c r="D104" s="576" t="s">
        <v>835</v>
      </c>
      <c r="E104" s="578">
        <v>10</v>
      </c>
      <c r="F104" s="580">
        <v>15000</v>
      </c>
      <c r="G104" s="582">
        <v>150000</v>
      </c>
      <c r="H104" s="355"/>
      <c r="I104" s="355"/>
      <c r="J104" s="158"/>
      <c r="K104" s="69" t="s">
        <v>96</v>
      </c>
    </row>
    <row r="105" spans="1:11" ht="10.5" customHeight="1">
      <c r="A105" s="69"/>
      <c r="B105" s="159"/>
      <c r="C105" s="160"/>
      <c r="D105" s="577"/>
      <c r="E105" s="579"/>
      <c r="F105" s="581"/>
      <c r="G105" s="583"/>
      <c r="H105" s="356"/>
      <c r="I105" s="356" t="s">
        <v>823</v>
      </c>
      <c r="J105" s="161"/>
      <c r="K105" s="69" t="s">
        <v>96</v>
      </c>
    </row>
    <row r="106" spans="1:11" ht="10.5" customHeight="1">
      <c r="A106" s="69"/>
      <c r="B106" s="156" t="s">
        <v>876</v>
      </c>
      <c r="C106" s="157"/>
      <c r="D106" s="576" t="s">
        <v>835</v>
      </c>
      <c r="E106" s="578">
        <v>20</v>
      </c>
      <c r="F106" s="580">
        <v>2000</v>
      </c>
      <c r="G106" s="582">
        <v>40000</v>
      </c>
      <c r="H106" s="355"/>
      <c r="I106" s="355"/>
      <c r="J106" s="162"/>
      <c r="K106" s="69" t="s">
        <v>96</v>
      </c>
    </row>
    <row r="107" spans="1:11" ht="10.5" customHeight="1">
      <c r="A107" s="69"/>
      <c r="B107" s="159"/>
      <c r="C107" s="160"/>
      <c r="D107" s="577"/>
      <c r="E107" s="579"/>
      <c r="F107" s="581"/>
      <c r="G107" s="583"/>
      <c r="H107" s="356"/>
      <c r="I107" s="356" t="s">
        <v>823</v>
      </c>
      <c r="J107" s="162"/>
      <c r="K107" s="69" t="s">
        <v>96</v>
      </c>
    </row>
    <row r="108" spans="1:11" ht="10.5" customHeight="1">
      <c r="A108" s="69"/>
      <c r="B108" s="156" t="s">
        <v>877</v>
      </c>
      <c r="C108" s="157"/>
      <c r="D108" s="576" t="s">
        <v>830</v>
      </c>
      <c r="E108" s="578"/>
      <c r="F108" s="580">
        <v>1450</v>
      </c>
      <c r="G108" s="582"/>
      <c r="H108" s="355"/>
      <c r="I108" s="355"/>
      <c r="J108" s="158"/>
      <c r="K108" s="69" t="s">
        <v>96</v>
      </c>
    </row>
    <row r="109" spans="1:11" ht="10.5" customHeight="1">
      <c r="A109" s="69"/>
      <c r="B109" s="159" t="s">
        <v>878</v>
      </c>
      <c r="C109" s="160"/>
      <c r="D109" s="577"/>
      <c r="E109" s="579"/>
      <c r="F109" s="581"/>
      <c r="G109" s="583"/>
      <c r="H109" s="356"/>
      <c r="I109" s="356" t="s">
        <v>823</v>
      </c>
      <c r="J109" s="161"/>
      <c r="K109" s="69" t="s">
        <v>96</v>
      </c>
    </row>
    <row r="110" spans="1:11" ht="10.5" customHeight="1">
      <c r="A110" s="69"/>
      <c r="B110" s="156" t="s">
        <v>879</v>
      </c>
      <c r="C110" s="157"/>
      <c r="D110" s="576" t="s">
        <v>850</v>
      </c>
      <c r="E110" s="584">
        <v>1.8367</v>
      </c>
      <c r="F110" s="580">
        <v>255000</v>
      </c>
      <c r="G110" s="582">
        <v>468367</v>
      </c>
      <c r="H110" s="355"/>
      <c r="I110" s="355"/>
      <c r="J110" s="158"/>
      <c r="K110" s="69" t="s">
        <v>96</v>
      </c>
    </row>
    <row r="111" spans="1:11" ht="10.5" customHeight="1">
      <c r="A111" s="69"/>
      <c r="B111" s="159"/>
      <c r="C111" s="160"/>
      <c r="D111" s="577"/>
      <c r="E111" s="585"/>
      <c r="F111" s="581"/>
      <c r="G111" s="583"/>
      <c r="H111" s="356"/>
      <c r="I111" s="356" t="s">
        <v>823</v>
      </c>
      <c r="J111" s="161"/>
      <c r="K111" s="69" t="s">
        <v>96</v>
      </c>
    </row>
    <row r="112" spans="1:11" ht="10.5" customHeight="1">
      <c r="A112" s="69"/>
      <c r="B112" s="156" t="s">
        <v>880</v>
      </c>
      <c r="C112" s="157"/>
      <c r="D112" s="576" t="s">
        <v>861</v>
      </c>
      <c r="E112" s="584">
        <v>246.04599999999999</v>
      </c>
      <c r="F112" s="580">
        <v>9600</v>
      </c>
      <c r="G112" s="582">
        <v>2362041</v>
      </c>
      <c r="H112" s="355"/>
      <c r="I112" s="355"/>
      <c r="J112" s="158"/>
      <c r="K112" s="69" t="s">
        <v>96</v>
      </c>
    </row>
    <row r="113" spans="1:11" ht="10.5" customHeight="1">
      <c r="A113" s="69"/>
      <c r="B113" s="159" t="s">
        <v>826</v>
      </c>
      <c r="C113" s="160"/>
      <c r="D113" s="577"/>
      <c r="E113" s="585"/>
      <c r="F113" s="581"/>
      <c r="G113" s="583"/>
      <c r="H113" s="356"/>
      <c r="I113" s="356" t="s">
        <v>823</v>
      </c>
      <c r="J113" s="161"/>
      <c r="K113" s="69" t="s">
        <v>96</v>
      </c>
    </row>
    <row r="114" spans="1:11" ht="10.5" customHeight="1">
      <c r="A114" s="69"/>
      <c r="B114" s="156" t="s">
        <v>881</v>
      </c>
      <c r="C114" s="157"/>
      <c r="D114" s="576" t="s">
        <v>850</v>
      </c>
      <c r="E114" s="584">
        <v>1</v>
      </c>
      <c r="F114" s="580">
        <v>100000</v>
      </c>
      <c r="G114" s="582">
        <v>100000</v>
      </c>
      <c r="H114" s="355"/>
      <c r="I114" s="355"/>
      <c r="J114" s="158"/>
      <c r="K114" s="69" t="s">
        <v>96</v>
      </c>
    </row>
    <row r="115" spans="1:11" ht="10.5" customHeight="1">
      <c r="A115" s="69"/>
      <c r="B115" s="159"/>
      <c r="C115" s="160"/>
      <c r="D115" s="577"/>
      <c r="E115" s="585"/>
      <c r="F115" s="581"/>
      <c r="G115" s="583"/>
      <c r="H115" s="356"/>
      <c r="I115" s="356" t="s">
        <v>823</v>
      </c>
      <c r="J115" s="161"/>
      <c r="K115" s="69" t="s">
        <v>96</v>
      </c>
    </row>
    <row r="116" spans="1:11" ht="10.5" customHeight="1">
      <c r="A116" s="69"/>
      <c r="B116" s="156"/>
      <c r="C116" s="157"/>
      <c r="D116" s="576"/>
      <c r="E116" s="584"/>
      <c r="F116" s="580"/>
      <c r="G116" s="582"/>
      <c r="H116" s="355"/>
      <c r="I116" s="355"/>
      <c r="J116" s="158"/>
      <c r="K116" s="69" t="s">
        <v>96</v>
      </c>
    </row>
    <row r="117" spans="1:11" ht="10.5" customHeight="1">
      <c r="A117" s="69"/>
      <c r="B117" s="159"/>
      <c r="C117" s="160"/>
      <c r="D117" s="577"/>
      <c r="E117" s="585"/>
      <c r="F117" s="581"/>
      <c r="G117" s="583"/>
      <c r="H117" s="356"/>
      <c r="I117" s="356"/>
      <c r="J117" s="161"/>
      <c r="K117" s="69" t="s">
        <v>96</v>
      </c>
    </row>
    <row r="118" spans="1:11" ht="10.5" customHeight="1">
      <c r="A118" s="69"/>
      <c r="B118" s="156" t="s">
        <v>882</v>
      </c>
      <c r="C118" s="157"/>
      <c r="D118" s="576"/>
      <c r="E118" s="584"/>
      <c r="F118" s="580"/>
      <c r="G118" s="582">
        <v>8954750</v>
      </c>
      <c r="H118" s="355"/>
      <c r="I118" s="355"/>
      <c r="J118" s="158"/>
      <c r="K118" s="69" t="s">
        <v>96</v>
      </c>
    </row>
    <row r="119" spans="1:11" ht="10.5" customHeight="1">
      <c r="A119" s="69"/>
      <c r="B119" s="159"/>
      <c r="C119" s="160"/>
      <c r="D119" s="577"/>
      <c r="E119" s="585"/>
      <c r="F119" s="581"/>
      <c r="G119" s="583"/>
      <c r="H119" s="356"/>
      <c r="I119" s="356"/>
      <c r="J119" s="161"/>
      <c r="K119" s="69" t="s">
        <v>96</v>
      </c>
    </row>
    <row r="120" spans="1:11" ht="10.5" customHeight="1">
      <c r="A120" s="69"/>
      <c r="B120" s="156"/>
      <c r="C120" s="157"/>
      <c r="D120" s="576"/>
      <c r="E120" s="584"/>
      <c r="F120" s="580"/>
      <c r="G120" s="582"/>
      <c r="H120" s="355"/>
      <c r="I120" s="355"/>
      <c r="J120" s="158"/>
      <c r="K120" s="69" t="s">
        <v>96</v>
      </c>
    </row>
    <row r="121" spans="1:11" ht="10.5" customHeight="1">
      <c r="A121" s="69"/>
      <c r="B121" s="159"/>
      <c r="C121" s="160"/>
      <c r="D121" s="577"/>
      <c r="E121" s="585"/>
      <c r="F121" s="581"/>
      <c r="G121" s="583"/>
      <c r="H121" s="356"/>
      <c r="I121" s="356"/>
      <c r="J121" s="161"/>
      <c r="K121" s="69" t="s">
        <v>96</v>
      </c>
    </row>
    <row r="122" spans="1:11" ht="10.5" customHeight="1">
      <c r="A122" s="69"/>
      <c r="B122" s="156"/>
      <c r="C122" s="157"/>
      <c r="D122" s="576"/>
      <c r="E122" s="578"/>
      <c r="F122" s="580"/>
      <c r="G122" s="582"/>
      <c r="H122" s="355"/>
      <c r="I122" s="355"/>
      <c r="J122" s="158"/>
      <c r="K122" s="69" t="s">
        <v>96</v>
      </c>
    </row>
    <row r="123" spans="1:11" ht="10.5" customHeight="1">
      <c r="A123" s="69"/>
      <c r="B123" s="159"/>
      <c r="C123" s="160"/>
      <c r="D123" s="577"/>
      <c r="E123" s="579"/>
      <c r="F123" s="581"/>
      <c r="G123" s="583"/>
      <c r="H123" s="356"/>
      <c r="I123" s="356"/>
      <c r="J123" s="161"/>
      <c r="K123" s="69" t="s">
        <v>96</v>
      </c>
    </row>
    <row r="124" spans="1:11" ht="10.5" customHeight="1">
      <c r="A124" s="69"/>
      <c r="B124" s="156"/>
      <c r="C124" s="157"/>
      <c r="D124" s="576"/>
      <c r="E124" s="584"/>
      <c r="F124" s="580"/>
      <c r="G124" s="582"/>
      <c r="H124" s="355"/>
      <c r="I124" s="355"/>
      <c r="J124" s="158"/>
      <c r="K124" s="69" t="s">
        <v>96</v>
      </c>
    </row>
    <row r="125" spans="1:11" ht="10.5" customHeight="1">
      <c r="A125" s="69"/>
      <c r="B125" s="159"/>
      <c r="C125" s="160"/>
      <c r="D125" s="577"/>
      <c r="E125" s="585"/>
      <c r="F125" s="581"/>
      <c r="G125" s="583"/>
      <c r="H125" s="356"/>
      <c r="I125" s="356"/>
      <c r="J125" s="161"/>
      <c r="K125" s="69" t="s">
        <v>96</v>
      </c>
    </row>
    <row r="126" spans="1:11" ht="10.5" customHeight="1">
      <c r="A126" s="69"/>
      <c r="B126" s="156"/>
      <c r="C126" s="157"/>
      <c r="D126" s="576"/>
      <c r="E126" s="584"/>
      <c r="F126" s="580"/>
      <c r="G126" s="582"/>
      <c r="H126" s="355"/>
      <c r="I126" s="355"/>
      <c r="J126" s="158"/>
      <c r="K126" s="69" t="s">
        <v>96</v>
      </c>
    </row>
    <row r="127" spans="1:11" ht="10.5" customHeight="1">
      <c r="A127" s="69"/>
      <c r="B127" s="159"/>
      <c r="C127" s="160"/>
      <c r="D127" s="577"/>
      <c r="E127" s="585"/>
      <c r="F127" s="581"/>
      <c r="G127" s="583"/>
      <c r="H127" s="356"/>
      <c r="I127" s="356"/>
      <c r="J127" s="161"/>
      <c r="K127" s="69" t="s">
        <v>96</v>
      </c>
    </row>
    <row r="128" spans="1:11" ht="10.5" customHeight="1">
      <c r="A128" s="69"/>
      <c r="B128" s="156"/>
      <c r="C128" s="157"/>
      <c r="D128" s="576"/>
      <c r="E128" s="584"/>
      <c r="F128" s="580"/>
      <c r="G128" s="582"/>
      <c r="H128" s="355"/>
      <c r="I128" s="355"/>
      <c r="J128" s="158"/>
      <c r="K128" s="69" t="s">
        <v>96</v>
      </c>
    </row>
    <row r="129" spans="1:11" ht="10.5" customHeight="1">
      <c r="A129" s="69"/>
      <c r="B129" s="159"/>
      <c r="C129" s="160"/>
      <c r="D129" s="577"/>
      <c r="E129" s="585"/>
      <c r="F129" s="581"/>
      <c r="G129" s="583"/>
      <c r="H129" s="356"/>
      <c r="I129" s="356"/>
      <c r="J129" s="161"/>
      <c r="K129" s="69" t="s">
        <v>96</v>
      </c>
    </row>
    <row r="130" spans="1:11" ht="10.5" customHeight="1">
      <c r="A130" s="69"/>
      <c r="B130" s="156"/>
      <c r="C130" s="157"/>
      <c r="D130" s="576"/>
      <c r="E130" s="584"/>
      <c r="F130" s="580"/>
      <c r="G130" s="582"/>
      <c r="H130" s="355"/>
      <c r="I130" s="355"/>
      <c r="J130" s="158"/>
      <c r="K130" s="69" t="s">
        <v>96</v>
      </c>
    </row>
    <row r="131" spans="1:11" ht="10.5" customHeight="1">
      <c r="A131" s="69"/>
      <c r="B131" s="159"/>
      <c r="C131" s="160"/>
      <c r="D131" s="577"/>
      <c r="E131" s="585"/>
      <c r="F131" s="581"/>
      <c r="G131" s="583"/>
      <c r="H131" s="356"/>
      <c r="I131" s="356"/>
      <c r="J131" s="161"/>
      <c r="K131" s="69" t="s">
        <v>96</v>
      </c>
    </row>
    <row r="132" spans="1:11" ht="10.5" customHeight="1">
      <c r="A132" s="69"/>
      <c r="B132" s="156"/>
      <c r="C132" s="157"/>
      <c r="D132" s="576"/>
      <c r="E132" s="584"/>
      <c r="F132" s="580"/>
      <c r="G132" s="582"/>
      <c r="H132" s="355"/>
      <c r="I132" s="355"/>
      <c r="J132" s="158"/>
      <c r="K132" s="69" t="s">
        <v>96</v>
      </c>
    </row>
    <row r="133" spans="1:11" ht="10.5" customHeight="1">
      <c r="A133" s="69"/>
      <c r="B133" s="159"/>
      <c r="C133" s="160"/>
      <c r="D133" s="577"/>
      <c r="E133" s="585"/>
      <c r="F133" s="581"/>
      <c r="G133" s="583"/>
      <c r="H133" s="356"/>
      <c r="I133" s="356"/>
      <c r="J133" s="161"/>
      <c r="K133" s="69" t="s">
        <v>96</v>
      </c>
    </row>
    <row r="134" spans="1:11" ht="10.5" customHeight="1">
      <c r="A134" s="69"/>
      <c r="B134" s="156"/>
      <c r="C134" s="157"/>
      <c r="D134" s="576"/>
      <c r="E134" s="584"/>
      <c r="F134" s="580"/>
      <c r="G134" s="582"/>
      <c r="H134" s="355"/>
      <c r="I134" s="355"/>
      <c r="J134" s="158"/>
      <c r="K134" s="69" t="s">
        <v>96</v>
      </c>
    </row>
    <row r="135" spans="1:11" ht="10.5" customHeight="1">
      <c r="A135" s="69"/>
      <c r="B135" s="159"/>
      <c r="C135" s="160"/>
      <c r="D135" s="577"/>
      <c r="E135" s="585"/>
      <c r="F135" s="581"/>
      <c r="G135" s="583"/>
      <c r="H135" s="356"/>
      <c r="I135" s="356"/>
      <c r="J135" s="161"/>
      <c r="K135" s="69" t="s">
        <v>96</v>
      </c>
    </row>
    <row r="136" spans="1:11" ht="10.5" customHeight="1">
      <c r="A136" s="69"/>
      <c r="B136" s="156"/>
      <c r="C136" s="157"/>
      <c r="D136" s="576"/>
      <c r="E136" s="584"/>
      <c r="F136" s="580"/>
      <c r="G136" s="582"/>
      <c r="H136" s="355"/>
      <c r="I136" s="355"/>
      <c r="J136" s="158"/>
      <c r="K136" s="69" t="s">
        <v>96</v>
      </c>
    </row>
    <row r="137" spans="1:11" ht="10.5" customHeight="1">
      <c r="A137" s="69"/>
      <c r="B137" s="159"/>
      <c r="C137" s="160"/>
      <c r="D137" s="577"/>
      <c r="E137" s="585"/>
      <c r="F137" s="581"/>
      <c r="G137" s="583"/>
      <c r="H137" s="356"/>
      <c r="I137" s="356"/>
      <c r="J137" s="161"/>
      <c r="K137" s="69" t="s">
        <v>96</v>
      </c>
    </row>
    <row r="138" spans="1:11" ht="10.5" customHeight="1">
      <c r="A138" s="69"/>
      <c r="B138" s="156"/>
      <c r="C138" s="157"/>
      <c r="D138" s="576"/>
      <c r="E138" s="584"/>
      <c r="F138" s="580"/>
      <c r="G138" s="582"/>
      <c r="H138" s="355"/>
      <c r="I138" s="355"/>
      <c r="J138" s="158"/>
      <c r="K138" s="69" t="s">
        <v>96</v>
      </c>
    </row>
    <row r="139" spans="1:11" ht="10.5" customHeight="1">
      <c r="A139" s="69"/>
      <c r="B139" s="159"/>
      <c r="C139" s="160"/>
      <c r="D139" s="577"/>
      <c r="E139" s="585"/>
      <c r="F139" s="581"/>
      <c r="G139" s="583"/>
      <c r="H139" s="356"/>
      <c r="I139" s="356"/>
      <c r="J139" s="161"/>
      <c r="K139" s="69" t="s">
        <v>96</v>
      </c>
    </row>
    <row r="140" spans="1:11" ht="10.5" customHeight="1">
      <c r="A140" s="69"/>
      <c r="B140" s="156"/>
      <c r="C140" s="157"/>
      <c r="D140" s="576"/>
      <c r="E140" s="584"/>
      <c r="F140" s="580"/>
      <c r="G140" s="582"/>
      <c r="H140" s="355"/>
      <c r="I140" s="355"/>
      <c r="J140" s="158"/>
      <c r="K140" s="69" t="s">
        <v>96</v>
      </c>
    </row>
    <row r="141" spans="1:11" ht="10.5" customHeight="1">
      <c r="A141" s="69"/>
      <c r="B141" s="159"/>
      <c r="C141" s="160"/>
      <c r="D141" s="577"/>
      <c r="E141" s="585"/>
      <c r="F141" s="581"/>
      <c r="G141" s="583"/>
      <c r="H141" s="356"/>
      <c r="I141" s="356"/>
      <c r="J141" s="161"/>
      <c r="K141" s="69" t="s">
        <v>96</v>
      </c>
    </row>
    <row r="142" spans="1:11" ht="10.5" customHeight="1">
      <c r="A142" s="69"/>
      <c r="B142" s="156"/>
      <c r="C142" s="157"/>
      <c r="D142" s="576"/>
      <c r="E142" s="584"/>
      <c r="F142" s="580"/>
      <c r="G142" s="582"/>
      <c r="H142" s="355"/>
      <c r="I142" s="355"/>
      <c r="J142" s="158"/>
      <c r="K142" s="69" t="s">
        <v>96</v>
      </c>
    </row>
    <row r="143" spans="1:11" ht="10.5" customHeight="1">
      <c r="A143" s="69"/>
      <c r="B143" s="159"/>
      <c r="C143" s="160"/>
      <c r="D143" s="577"/>
      <c r="E143" s="585"/>
      <c r="F143" s="581"/>
      <c r="G143" s="583"/>
      <c r="H143" s="356"/>
      <c r="I143" s="356"/>
      <c r="J143" s="161"/>
      <c r="K143" s="69" t="s">
        <v>96</v>
      </c>
    </row>
    <row r="144" spans="1:11" ht="10.5" customHeight="1">
      <c r="A144" s="69"/>
      <c r="B144" s="156"/>
      <c r="C144" s="157"/>
      <c r="D144" s="586"/>
      <c r="E144" s="588"/>
      <c r="F144" s="590"/>
      <c r="G144" s="592"/>
      <c r="H144" s="355"/>
      <c r="I144" s="355"/>
      <c r="J144" s="162"/>
      <c r="K144" s="69" t="s">
        <v>96</v>
      </c>
    </row>
    <row r="145" spans="1:11" ht="10.5" customHeight="1" thickBot="1">
      <c r="A145" s="69"/>
      <c r="B145" s="163"/>
      <c r="C145" s="164"/>
      <c r="D145" s="587"/>
      <c r="E145" s="589"/>
      <c r="F145" s="591"/>
      <c r="G145" s="593"/>
      <c r="H145" s="357"/>
      <c r="I145" s="357"/>
      <c r="J145" s="165"/>
      <c r="K145" s="69" t="s">
        <v>96</v>
      </c>
    </row>
    <row r="146" spans="1:11" s="103" customFormat="1" ht="18" customHeight="1">
      <c r="A146" s="101"/>
      <c r="B146" s="166"/>
      <c r="C146" s="101"/>
      <c r="D146" s="101"/>
      <c r="E146" s="101"/>
      <c r="F146" s="101"/>
      <c r="G146" s="101"/>
      <c r="H146" s="101"/>
      <c r="I146" s="115"/>
      <c r="J146" s="115"/>
      <c r="K146" s="101"/>
    </row>
    <row r="147" spans="1:11" s="103" customFormat="1" ht="13.5" customHeight="1">
      <c r="A147" s="101"/>
      <c r="B147" s="166"/>
      <c r="C147" s="101"/>
      <c r="D147" s="101"/>
      <c r="E147" s="101"/>
      <c r="F147" s="101"/>
      <c r="G147" s="101"/>
      <c r="H147" s="101"/>
      <c r="I147" s="115"/>
      <c r="J147" s="115"/>
      <c r="K147" s="101"/>
    </row>
  </sheetData>
  <mergeCells count="258">
    <mergeCell ref="D142:D143"/>
    <mergeCell ref="E142:E143"/>
    <mergeCell ref="F142:F143"/>
    <mergeCell ref="G142:G143"/>
    <mergeCell ref="D144:D145"/>
    <mergeCell ref="E144:E145"/>
    <mergeCell ref="F144:F145"/>
    <mergeCell ref="G144:G145"/>
    <mergeCell ref="D138:D139"/>
    <mergeCell ref="E138:E139"/>
    <mergeCell ref="F138:F139"/>
    <mergeCell ref="G138:G139"/>
    <mergeCell ref="D140:D141"/>
    <mergeCell ref="E140:E141"/>
    <mergeCell ref="F140:F141"/>
    <mergeCell ref="G140:G141"/>
    <mergeCell ref="D134:D135"/>
    <mergeCell ref="E134:E135"/>
    <mergeCell ref="F134:F135"/>
    <mergeCell ref="G134:G135"/>
    <mergeCell ref="D136:D137"/>
    <mergeCell ref="E136:E137"/>
    <mergeCell ref="F136:F137"/>
    <mergeCell ref="G136:G137"/>
    <mergeCell ref="D130:D131"/>
    <mergeCell ref="E130:E131"/>
    <mergeCell ref="F130:F131"/>
    <mergeCell ref="G130:G131"/>
    <mergeCell ref="D132:D133"/>
    <mergeCell ref="E132:E133"/>
    <mergeCell ref="F132:F133"/>
    <mergeCell ref="G132:G133"/>
    <mergeCell ref="D126:D127"/>
    <mergeCell ref="E126:E127"/>
    <mergeCell ref="F126:F127"/>
    <mergeCell ref="G126:G127"/>
    <mergeCell ref="D128:D129"/>
    <mergeCell ref="E128:E129"/>
    <mergeCell ref="F128:F129"/>
    <mergeCell ref="G128:G129"/>
    <mergeCell ref="D122:D123"/>
    <mergeCell ref="E122:E123"/>
    <mergeCell ref="F122:F123"/>
    <mergeCell ref="G122:G123"/>
    <mergeCell ref="D124:D125"/>
    <mergeCell ref="E124:E125"/>
    <mergeCell ref="F124:F125"/>
    <mergeCell ref="G124:G125"/>
    <mergeCell ref="D118:D119"/>
    <mergeCell ref="E118:E119"/>
    <mergeCell ref="F118:F119"/>
    <mergeCell ref="G118:G119"/>
    <mergeCell ref="D120:D121"/>
    <mergeCell ref="E120:E121"/>
    <mergeCell ref="F120:F121"/>
    <mergeCell ref="G120:G121"/>
    <mergeCell ref="D114:D115"/>
    <mergeCell ref="E114:E115"/>
    <mergeCell ref="F114:F115"/>
    <mergeCell ref="G114:G115"/>
    <mergeCell ref="D116:D117"/>
    <mergeCell ref="E116:E117"/>
    <mergeCell ref="F116:F117"/>
    <mergeCell ref="G116:G117"/>
    <mergeCell ref="D110:D111"/>
    <mergeCell ref="E110:E111"/>
    <mergeCell ref="F110:F111"/>
    <mergeCell ref="G110:G111"/>
    <mergeCell ref="D112:D113"/>
    <mergeCell ref="E112:E113"/>
    <mergeCell ref="F112:F113"/>
    <mergeCell ref="G112:G113"/>
    <mergeCell ref="D106:D107"/>
    <mergeCell ref="E106:E107"/>
    <mergeCell ref="F106:F107"/>
    <mergeCell ref="G106:G107"/>
    <mergeCell ref="D108:D109"/>
    <mergeCell ref="E108:E109"/>
    <mergeCell ref="F108:F109"/>
    <mergeCell ref="G108:G109"/>
    <mergeCell ref="D99:G99"/>
    <mergeCell ref="B103:C103"/>
    <mergeCell ref="D104:D105"/>
    <mergeCell ref="E104:E105"/>
    <mergeCell ref="F104:F105"/>
    <mergeCell ref="G104:G105"/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811</v>
      </c>
      <c r="C3" s="146" t="s">
        <v>812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813</v>
      </c>
      <c r="K4" s="69"/>
    </row>
    <row r="5" spans="1:11" ht="18" customHeight="1">
      <c r="A5" s="69"/>
      <c r="B5" s="574" t="s">
        <v>814</v>
      </c>
      <c r="C5" s="575"/>
      <c r="D5" s="153" t="s">
        <v>85</v>
      </c>
      <c r="E5" s="153" t="s">
        <v>815</v>
      </c>
      <c r="F5" s="153" t="s">
        <v>816</v>
      </c>
      <c r="G5" s="153" t="s">
        <v>817</v>
      </c>
      <c r="H5" s="154" t="s">
        <v>818</v>
      </c>
      <c r="I5" s="153" t="s">
        <v>819</v>
      </c>
      <c r="J5" s="155" t="s">
        <v>820</v>
      </c>
      <c r="K5" s="69"/>
    </row>
    <row r="6" spans="1:11" ht="10.5" customHeight="1">
      <c r="A6" s="69"/>
      <c r="B6" s="156" t="s">
        <v>883</v>
      </c>
      <c r="C6" s="157"/>
      <c r="D6" s="576" t="s">
        <v>884</v>
      </c>
      <c r="E6" s="578">
        <v>158.55099999999999</v>
      </c>
      <c r="F6" s="580">
        <v>23000</v>
      </c>
      <c r="G6" s="582">
        <v>3646673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885</v>
      </c>
      <c r="C7" s="160"/>
      <c r="D7" s="577"/>
      <c r="E7" s="579"/>
      <c r="F7" s="581"/>
      <c r="G7" s="583"/>
      <c r="H7" s="356"/>
      <c r="I7" s="356" t="s">
        <v>886</v>
      </c>
      <c r="J7" s="161"/>
      <c r="K7" s="69" t="s">
        <v>96</v>
      </c>
    </row>
    <row r="8" spans="1:11" ht="10.5" customHeight="1">
      <c r="A8" s="69"/>
      <c r="B8" s="156" t="s">
        <v>883</v>
      </c>
      <c r="C8" s="157"/>
      <c r="D8" s="576" t="s">
        <v>884</v>
      </c>
      <c r="E8" s="578">
        <v>83</v>
      </c>
      <c r="F8" s="580">
        <v>23000</v>
      </c>
      <c r="G8" s="582">
        <v>1909000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885</v>
      </c>
      <c r="C9" s="160"/>
      <c r="D9" s="577"/>
      <c r="E9" s="579"/>
      <c r="F9" s="581"/>
      <c r="G9" s="583"/>
      <c r="H9" s="356"/>
      <c r="I9" s="356" t="s">
        <v>886</v>
      </c>
      <c r="J9" s="162"/>
      <c r="K9" s="69" t="s">
        <v>96</v>
      </c>
    </row>
    <row r="10" spans="1:11" ht="10.5" customHeight="1">
      <c r="A10" s="69"/>
      <c r="B10" s="156" t="s">
        <v>883</v>
      </c>
      <c r="C10" s="157"/>
      <c r="D10" s="576" t="s">
        <v>884</v>
      </c>
      <c r="E10" s="578">
        <v>20</v>
      </c>
      <c r="F10" s="580">
        <v>28000</v>
      </c>
      <c r="G10" s="582">
        <v>560000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885</v>
      </c>
      <c r="C11" s="160"/>
      <c r="D11" s="577"/>
      <c r="E11" s="579"/>
      <c r="F11" s="581"/>
      <c r="G11" s="583"/>
      <c r="H11" s="356"/>
      <c r="I11" s="356" t="s">
        <v>886</v>
      </c>
      <c r="J11" s="161"/>
      <c r="K11" s="69" t="s">
        <v>96</v>
      </c>
    </row>
    <row r="12" spans="1:11" ht="10.5" customHeight="1">
      <c r="A12" s="69"/>
      <c r="B12" s="156" t="s">
        <v>887</v>
      </c>
      <c r="C12" s="157"/>
      <c r="D12" s="576" t="s">
        <v>884</v>
      </c>
      <c r="E12" s="584">
        <v>28</v>
      </c>
      <c r="F12" s="580">
        <v>23000</v>
      </c>
      <c r="G12" s="582">
        <v>644000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885</v>
      </c>
      <c r="C13" s="160"/>
      <c r="D13" s="577"/>
      <c r="E13" s="585"/>
      <c r="F13" s="581"/>
      <c r="G13" s="583"/>
      <c r="H13" s="356"/>
      <c r="I13" s="356" t="s">
        <v>886</v>
      </c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 t="s">
        <v>882</v>
      </c>
      <c r="C16" s="157"/>
      <c r="D16" s="576"/>
      <c r="E16" s="584"/>
      <c r="F16" s="580"/>
      <c r="G16" s="582">
        <v>6759673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98"/>
  <sheetViews>
    <sheetView topLeftCell="A54"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811</v>
      </c>
      <c r="C3" s="146" t="s">
        <v>812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813</v>
      </c>
      <c r="K4" s="69"/>
    </row>
    <row r="5" spans="1:11" ht="18" customHeight="1">
      <c r="A5" s="69"/>
      <c r="B5" s="574" t="s">
        <v>814</v>
      </c>
      <c r="C5" s="575"/>
      <c r="D5" s="153" t="s">
        <v>85</v>
      </c>
      <c r="E5" s="153" t="s">
        <v>815</v>
      </c>
      <c r="F5" s="153" t="s">
        <v>816</v>
      </c>
      <c r="G5" s="153" t="s">
        <v>817</v>
      </c>
      <c r="H5" s="154" t="s">
        <v>818</v>
      </c>
      <c r="I5" s="153" t="s">
        <v>819</v>
      </c>
      <c r="J5" s="155" t="s">
        <v>820</v>
      </c>
      <c r="K5" s="69"/>
    </row>
    <row r="6" spans="1:11" ht="10.5" customHeight="1">
      <c r="A6" s="69"/>
      <c r="B6" s="156" t="s">
        <v>888</v>
      </c>
      <c r="C6" s="157"/>
      <c r="D6" s="576" t="s">
        <v>822</v>
      </c>
      <c r="E6" s="578">
        <v>90</v>
      </c>
      <c r="F6" s="580">
        <v>800</v>
      </c>
      <c r="G6" s="582">
        <v>72000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889</v>
      </c>
      <c r="J7" s="161"/>
      <c r="K7" s="69" t="s">
        <v>96</v>
      </c>
    </row>
    <row r="8" spans="1:11" ht="10.5" customHeight="1">
      <c r="A8" s="69"/>
      <c r="B8" s="156" t="s">
        <v>890</v>
      </c>
      <c r="C8" s="157"/>
      <c r="D8" s="576" t="s">
        <v>891</v>
      </c>
      <c r="E8" s="578">
        <v>90.2</v>
      </c>
      <c r="F8" s="580">
        <v>800</v>
      </c>
      <c r="G8" s="582">
        <v>72160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892</v>
      </c>
      <c r="C9" s="160"/>
      <c r="D9" s="577"/>
      <c r="E9" s="579"/>
      <c r="F9" s="581"/>
      <c r="G9" s="583"/>
      <c r="H9" s="356"/>
      <c r="I9" s="356" t="s">
        <v>889</v>
      </c>
      <c r="J9" s="162"/>
      <c r="K9" s="69" t="s">
        <v>96</v>
      </c>
    </row>
    <row r="10" spans="1:11" ht="10.5" customHeight="1">
      <c r="A10" s="69"/>
      <c r="B10" s="156" t="s">
        <v>893</v>
      </c>
      <c r="C10" s="157"/>
      <c r="D10" s="576" t="s">
        <v>850</v>
      </c>
      <c r="E10" s="578">
        <v>1</v>
      </c>
      <c r="F10" s="580">
        <v>150000</v>
      </c>
      <c r="G10" s="582">
        <v>150000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889</v>
      </c>
      <c r="J11" s="161"/>
      <c r="K11" s="69" t="s">
        <v>96</v>
      </c>
    </row>
    <row r="12" spans="1:11" ht="10.5" customHeight="1">
      <c r="A12" s="69"/>
      <c r="B12" s="156" t="s">
        <v>894</v>
      </c>
      <c r="C12" s="157"/>
      <c r="D12" s="576" t="s">
        <v>835</v>
      </c>
      <c r="E12" s="584">
        <v>136</v>
      </c>
      <c r="F12" s="580">
        <v>17000</v>
      </c>
      <c r="G12" s="582">
        <v>2312000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889</v>
      </c>
      <c r="J13" s="161"/>
      <c r="K13" s="69" t="s">
        <v>96</v>
      </c>
    </row>
    <row r="14" spans="1:11" ht="10.5" customHeight="1">
      <c r="A14" s="69"/>
      <c r="B14" s="156" t="s">
        <v>895</v>
      </c>
      <c r="C14" s="157"/>
      <c r="D14" s="576" t="s">
        <v>896</v>
      </c>
      <c r="E14" s="584">
        <v>1</v>
      </c>
      <c r="F14" s="580">
        <v>45000</v>
      </c>
      <c r="G14" s="582">
        <v>45000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889</v>
      </c>
      <c r="J15" s="161"/>
      <c r="K15" s="69" t="s">
        <v>96</v>
      </c>
    </row>
    <row r="16" spans="1:11" ht="10.5" customHeight="1">
      <c r="A16" s="69"/>
      <c r="B16" s="156" t="s">
        <v>897</v>
      </c>
      <c r="C16" s="157"/>
      <c r="D16" s="576" t="s">
        <v>850</v>
      </c>
      <c r="E16" s="584">
        <v>1</v>
      </c>
      <c r="F16" s="580">
        <v>300000</v>
      </c>
      <c r="G16" s="582">
        <v>300000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898</v>
      </c>
      <c r="C17" s="160"/>
      <c r="D17" s="577"/>
      <c r="E17" s="585"/>
      <c r="F17" s="581"/>
      <c r="G17" s="583"/>
      <c r="H17" s="356"/>
      <c r="I17" s="356" t="s">
        <v>889</v>
      </c>
      <c r="J17" s="161"/>
      <c r="K17" s="69" t="s">
        <v>96</v>
      </c>
    </row>
    <row r="18" spans="1:11" ht="10.5" customHeight="1">
      <c r="A18" s="69"/>
      <c r="B18" s="156" t="s">
        <v>899</v>
      </c>
      <c r="C18" s="157"/>
      <c r="D18" s="576" t="s">
        <v>884</v>
      </c>
      <c r="E18" s="584">
        <v>10</v>
      </c>
      <c r="F18" s="580">
        <v>20000</v>
      </c>
      <c r="G18" s="582">
        <v>200000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889</v>
      </c>
      <c r="J19" s="161"/>
      <c r="K19" s="69" t="s">
        <v>96</v>
      </c>
    </row>
    <row r="20" spans="1:11" ht="10.5" customHeight="1">
      <c r="A20" s="69"/>
      <c r="B20" s="156" t="s">
        <v>900</v>
      </c>
      <c r="C20" s="157"/>
      <c r="D20" s="576" t="s">
        <v>850</v>
      </c>
      <c r="E20" s="584">
        <v>1</v>
      </c>
      <c r="F20" s="580">
        <v>500000</v>
      </c>
      <c r="G20" s="582">
        <v>500000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901</v>
      </c>
      <c r="C21" s="160"/>
      <c r="D21" s="577"/>
      <c r="E21" s="585"/>
      <c r="F21" s="581"/>
      <c r="G21" s="583"/>
      <c r="H21" s="356"/>
      <c r="I21" s="356" t="s">
        <v>889</v>
      </c>
      <c r="J21" s="161"/>
      <c r="K21" s="69" t="s">
        <v>96</v>
      </c>
    </row>
    <row r="22" spans="1:11" ht="10.5" customHeight="1">
      <c r="A22" s="69"/>
      <c r="B22" s="156" t="s">
        <v>902</v>
      </c>
      <c r="C22" s="157"/>
      <c r="D22" s="576" t="s">
        <v>850</v>
      </c>
      <c r="E22" s="584">
        <v>1</v>
      </c>
      <c r="F22" s="580">
        <v>200000</v>
      </c>
      <c r="G22" s="582">
        <v>200000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889</v>
      </c>
      <c r="J23" s="161"/>
      <c r="K23" s="69" t="s">
        <v>96</v>
      </c>
    </row>
    <row r="24" spans="1:11" ht="10.5" customHeight="1">
      <c r="A24" s="69"/>
      <c r="B24" s="156" t="s">
        <v>903</v>
      </c>
      <c r="C24" s="157"/>
      <c r="D24" s="576" t="s">
        <v>904</v>
      </c>
      <c r="E24" s="578">
        <v>1</v>
      </c>
      <c r="F24" s="580">
        <v>50000</v>
      </c>
      <c r="G24" s="582">
        <v>50000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889</v>
      </c>
      <c r="J25" s="161"/>
      <c r="K25" s="69" t="s">
        <v>96</v>
      </c>
    </row>
    <row r="26" spans="1:11" ht="10.5" customHeight="1">
      <c r="A26" s="69"/>
      <c r="B26" s="156" t="s">
        <v>905</v>
      </c>
      <c r="C26" s="157"/>
      <c r="D26" s="576" t="s">
        <v>904</v>
      </c>
      <c r="E26" s="584">
        <v>2</v>
      </c>
      <c r="F26" s="580">
        <v>50000</v>
      </c>
      <c r="G26" s="582">
        <v>100000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889</v>
      </c>
      <c r="J27" s="161"/>
      <c r="K27" s="69" t="s">
        <v>96</v>
      </c>
    </row>
    <row r="28" spans="1:11" ht="10.5" customHeight="1">
      <c r="A28" s="69"/>
      <c r="B28" s="156" t="s">
        <v>906</v>
      </c>
      <c r="C28" s="157"/>
      <c r="D28" s="576" t="s">
        <v>853</v>
      </c>
      <c r="E28" s="584">
        <v>15</v>
      </c>
      <c r="F28" s="580">
        <v>27500</v>
      </c>
      <c r="G28" s="582">
        <v>412500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907</v>
      </c>
      <c r="C29" s="160"/>
      <c r="D29" s="577"/>
      <c r="E29" s="585"/>
      <c r="F29" s="581"/>
      <c r="G29" s="583"/>
      <c r="H29" s="356"/>
      <c r="I29" s="356" t="s">
        <v>889</v>
      </c>
      <c r="J29" s="161"/>
      <c r="K29" s="69" t="s">
        <v>96</v>
      </c>
    </row>
    <row r="30" spans="1:11" ht="10.5" customHeight="1">
      <c r="A30" s="69"/>
      <c r="B30" s="156" t="s">
        <v>906</v>
      </c>
      <c r="C30" s="157"/>
      <c r="D30" s="576" t="s">
        <v>853</v>
      </c>
      <c r="E30" s="584">
        <v>5</v>
      </c>
      <c r="F30" s="580">
        <v>32000</v>
      </c>
      <c r="G30" s="582">
        <v>160000</v>
      </c>
      <c r="H30" s="355"/>
      <c r="I30" s="355"/>
      <c r="J30" s="158"/>
      <c r="K30" s="69" t="s">
        <v>96</v>
      </c>
    </row>
    <row r="31" spans="1:11" ht="10.5" customHeight="1">
      <c r="A31" s="69"/>
      <c r="B31" s="159" t="s">
        <v>907</v>
      </c>
      <c r="C31" s="160"/>
      <c r="D31" s="577"/>
      <c r="E31" s="585"/>
      <c r="F31" s="581"/>
      <c r="G31" s="583"/>
      <c r="H31" s="356"/>
      <c r="I31" s="356" t="s">
        <v>889</v>
      </c>
      <c r="J31" s="161"/>
      <c r="K31" s="69" t="s">
        <v>96</v>
      </c>
    </row>
    <row r="32" spans="1:11" ht="10.5" customHeight="1">
      <c r="A32" s="69"/>
      <c r="B32" s="156" t="s">
        <v>906</v>
      </c>
      <c r="C32" s="157"/>
      <c r="D32" s="576" t="s">
        <v>853</v>
      </c>
      <c r="E32" s="584">
        <v>5</v>
      </c>
      <c r="F32" s="580">
        <v>30500</v>
      </c>
      <c r="G32" s="582">
        <v>152500</v>
      </c>
      <c r="H32" s="355"/>
      <c r="I32" s="355"/>
      <c r="J32" s="158"/>
      <c r="K32" s="69" t="s">
        <v>96</v>
      </c>
    </row>
    <row r="33" spans="1:11" ht="10.5" customHeight="1">
      <c r="A33" s="69"/>
      <c r="B33" s="159" t="s">
        <v>908</v>
      </c>
      <c r="C33" s="160"/>
      <c r="D33" s="577"/>
      <c r="E33" s="585"/>
      <c r="F33" s="581"/>
      <c r="G33" s="583"/>
      <c r="H33" s="356"/>
      <c r="I33" s="356" t="s">
        <v>889</v>
      </c>
      <c r="J33" s="161"/>
      <c r="K33" s="69" t="s">
        <v>96</v>
      </c>
    </row>
    <row r="34" spans="1:11" ht="10.5" customHeight="1">
      <c r="A34" s="69"/>
      <c r="B34" s="156" t="s">
        <v>909</v>
      </c>
      <c r="C34" s="157"/>
      <c r="D34" s="576" t="s">
        <v>822</v>
      </c>
      <c r="E34" s="584">
        <v>38</v>
      </c>
      <c r="F34" s="580">
        <v>1100</v>
      </c>
      <c r="G34" s="582">
        <v>41800</v>
      </c>
      <c r="H34" s="355"/>
      <c r="I34" s="355"/>
      <c r="J34" s="158"/>
      <c r="K34" s="69" t="s">
        <v>96</v>
      </c>
    </row>
    <row r="35" spans="1:11" ht="10.5" customHeight="1">
      <c r="A35" s="69"/>
      <c r="B35" s="159" t="s">
        <v>910</v>
      </c>
      <c r="C35" s="160"/>
      <c r="D35" s="577"/>
      <c r="E35" s="585"/>
      <c r="F35" s="581"/>
      <c r="G35" s="583"/>
      <c r="H35" s="356"/>
      <c r="I35" s="356" t="s">
        <v>889</v>
      </c>
      <c r="J35" s="161"/>
      <c r="K35" s="69" t="s">
        <v>96</v>
      </c>
    </row>
    <row r="36" spans="1:11" ht="10.5" customHeight="1">
      <c r="A36" s="69"/>
      <c r="B36" s="156" t="s">
        <v>911</v>
      </c>
      <c r="C36" s="157"/>
      <c r="D36" s="576" t="s">
        <v>912</v>
      </c>
      <c r="E36" s="584">
        <v>1</v>
      </c>
      <c r="F36" s="580">
        <v>122000</v>
      </c>
      <c r="G36" s="582">
        <v>122000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889</v>
      </c>
      <c r="J37" s="161"/>
      <c r="K37" s="69" t="s">
        <v>96</v>
      </c>
    </row>
    <row r="38" spans="1:11" ht="10.5" customHeight="1">
      <c r="A38" s="69"/>
      <c r="B38" s="156" t="s">
        <v>913</v>
      </c>
      <c r="C38" s="157"/>
      <c r="D38" s="576" t="s">
        <v>914</v>
      </c>
      <c r="E38" s="584">
        <v>3</v>
      </c>
      <c r="F38" s="580">
        <v>200000</v>
      </c>
      <c r="G38" s="582">
        <v>600000</v>
      </c>
      <c r="H38" s="355"/>
      <c r="I38" s="355"/>
      <c r="J38" s="158"/>
      <c r="K38" s="69" t="s">
        <v>96</v>
      </c>
    </row>
    <row r="39" spans="1:11" ht="10.5" customHeight="1">
      <c r="A39" s="69"/>
      <c r="B39" s="159" t="s">
        <v>915</v>
      </c>
      <c r="C39" s="160"/>
      <c r="D39" s="577"/>
      <c r="E39" s="585"/>
      <c r="F39" s="581"/>
      <c r="G39" s="583"/>
      <c r="H39" s="356"/>
      <c r="I39" s="356" t="s">
        <v>889</v>
      </c>
      <c r="J39" s="161"/>
      <c r="K39" s="69" t="s">
        <v>96</v>
      </c>
    </row>
    <row r="40" spans="1:11" ht="10.5" customHeight="1">
      <c r="A40" s="69"/>
      <c r="B40" s="156" t="s">
        <v>916</v>
      </c>
      <c r="C40" s="157"/>
      <c r="D40" s="576" t="s">
        <v>835</v>
      </c>
      <c r="E40" s="584">
        <v>136</v>
      </c>
      <c r="F40" s="580">
        <v>7000</v>
      </c>
      <c r="G40" s="582">
        <v>952000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889</v>
      </c>
      <c r="J41" s="161"/>
      <c r="K41" s="69" t="s">
        <v>96</v>
      </c>
    </row>
    <row r="42" spans="1:11" ht="10.5" customHeight="1">
      <c r="A42" s="69"/>
      <c r="B42" s="156" t="s">
        <v>917</v>
      </c>
      <c r="C42" s="157"/>
      <c r="D42" s="576" t="s">
        <v>912</v>
      </c>
      <c r="E42" s="584">
        <v>1</v>
      </c>
      <c r="F42" s="580">
        <v>51000</v>
      </c>
      <c r="G42" s="582">
        <v>51000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889</v>
      </c>
      <c r="J43" s="161"/>
      <c r="K43" s="69" t="s">
        <v>96</v>
      </c>
    </row>
    <row r="44" spans="1:11" ht="10.5" customHeight="1">
      <c r="A44" s="69"/>
      <c r="B44" s="156" t="s">
        <v>918</v>
      </c>
      <c r="C44" s="157"/>
      <c r="D44" s="576" t="s">
        <v>850</v>
      </c>
      <c r="E44" s="584">
        <v>1</v>
      </c>
      <c r="F44" s="580">
        <v>20000</v>
      </c>
      <c r="G44" s="582">
        <v>20000</v>
      </c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 t="s">
        <v>889</v>
      </c>
      <c r="J45" s="161"/>
      <c r="K45" s="69" t="s">
        <v>96</v>
      </c>
    </row>
    <row r="46" spans="1:11" ht="10.5" customHeight="1">
      <c r="A46" s="69"/>
      <c r="B46" s="156" t="s">
        <v>919</v>
      </c>
      <c r="C46" s="157"/>
      <c r="D46" s="586" t="s">
        <v>850</v>
      </c>
      <c r="E46" s="588">
        <v>1</v>
      </c>
      <c r="F46" s="590">
        <v>1430000</v>
      </c>
      <c r="G46" s="592">
        <v>1430000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 t="s">
        <v>902</v>
      </c>
      <c r="C47" s="164"/>
      <c r="D47" s="587"/>
      <c r="E47" s="589"/>
      <c r="F47" s="591"/>
      <c r="G47" s="593"/>
      <c r="H47" s="357"/>
      <c r="I47" s="357" t="s">
        <v>889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920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811</v>
      </c>
      <c r="C52" s="146" t="s">
        <v>812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813</v>
      </c>
      <c r="K53" s="69"/>
    </row>
    <row r="54" spans="1:11" ht="18" customHeight="1">
      <c r="A54" s="69"/>
      <c r="B54" s="574" t="s">
        <v>814</v>
      </c>
      <c r="C54" s="575"/>
      <c r="D54" s="153" t="s">
        <v>85</v>
      </c>
      <c r="E54" s="153" t="s">
        <v>815</v>
      </c>
      <c r="F54" s="153" t="s">
        <v>816</v>
      </c>
      <c r="G54" s="153" t="s">
        <v>817</v>
      </c>
      <c r="H54" s="154" t="s">
        <v>818</v>
      </c>
      <c r="I54" s="153" t="s">
        <v>819</v>
      </c>
      <c r="J54" s="155" t="s">
        <v>820</v>
      </c>
      <c r="K54" s="69"/>
    </row>
    <row r="55" spans="1:11" ht="10.5" customHeight="1">
      <c r="A55" s="69"/>
      <c r="B55" s="156" t="s">
        <v>921</v>
      </c>
      <c r="C55" s="157"/>
      <c r="D55" s="576" t="s">
        <v>850</v>
      </c>
      <c r="E55" s="578">
        <v>0.27</v>
      </c>
      <c r="F55" s="580">
        <v>11500000</v>
      </c>
      <c r="G55" s="582">
        <v>3105000</v>
      </c>
      <c r="H55" s="355"/>
      <c r="I55" s="355"/>
      <c r="J55" s="158"/>
      <c r="K55" s="69" t="s">
        <v>96</v>
      </c>
    </row>
    <row r="56" spans="1:11" ht="10.5" customHeight="1">
      <c r="A56" s="69"/>
      <c r="B56" s="159" t="s">
        <v>922</v>
      </c>
      <c r="C56" s="160"/>
      <c r="D56" s="577"/>
      <c r="E56" s="579"/>
      <c r="F56" s="581"/>
      <c r="G56" s="583"/>
      <c r="H56" s="356"/>
      <c r="I56" s="356" t="s">
        <v>889</v>
      </c>
      <c r="J56" s="161"/>
      <c r="K56" s="69" t="s">
        <v>96</v>
      </c>
    </row>
    <row r="57" spans="1:11" ht="10.5" customHeight="1">
      <c r="A57" s="69"/>
      <c r="B57" s="156" t="s">
        <v>923</v>
      </c>
      <c r="C57" s="157"/>
      <c r="D57" s="576" t="s">
        <v>912</v>
      </c>
      <c r="E57" s="578">
        <v>2</v>
      </c>
      <c r="F57" s="580">
        <v>70000</v>
      </c>
      <c r="G57" s="582">
        <v>140000</v>
      </c>
      <c r="H57" s="355"/>
      <c r="I57" s="355"/>
      <c r="J57" s="162"/>
      <c r="K57" s="69" t="s">
        <v>96</v>
      </c>
    </row>
    <row r="58" spans="1:11" ht="10.5" customHeight="1">
      <c r="A58" s="69"/>
      <c r="B58" s="159" t="s">
        <v>924</v>
      </c>
      <c r="C58" s="160"/>
      <c r="D58" s="577"/>
      <c r="E58" s="579"/>
      <c r="F58" s="581"/>
      <c r="G58" s="583"/>
      <c r="H58" s="356"/>
      <c r="I58" s="356" t="s">
        <v>889</v>
      </c>
      <c r="J58" s="162"/>
      <c r="K58" s="69" t="s">
        <v>96</v>
      </c>
    </row>
    <row r="59" spans="1:11" ht="10.5" customHeight="1">
      <c r="A59" s="69"/>
      <c r="B59" s="156" t="s">
        <v>925</v>
      </c>
      <c r="C59" s="157"/>
      <c r="D59" s="576" t="s">
        <v>850</v>
      </c>
      <c r="E59" s="578">
        <v>1</v>
      </c>
      <c r="F59" s="580">
        <v>1750000</v>
      </c>
      <c r="G59" s="582">
        <v>1750000</v>
      </c>
      <c r="H59" s="355"/>
      <c r="I59" s="355"/>
      <c r="J59" s="158"/>
      <c r="K59" s="69" t="s">
        <v>96</v>
      </c>
    </row>
    <row r="60" spans="1:11" ht="10.5" customHeight="1">
      <c r="A60" s="69"/>
      <c r="B60" s="159" t="s">
        <v>898</v>
      </c>
      <c r="C60" s="160"/>
      <c r="D60" s="577"/>
      <c r="E60" s="579"/>
      <c r="F60" s="581"/>
      <c r="G60" s="583"/>
      <c r="H60" s="356"/>
      <c r="I60" s="356" t="s">
        <v>889</v>
      </c>
      <c r="J60" s="161"/>
      <c r="K60" s="69" t="s">
        <v>96</v>
      </c>
    </row>
    <row r="61" spans="1:11" ht="10.5" customHeight="1">
      <c r="A61" s="69"/>
      <c r="B61" s="156" t="s">
        <v>926</v>
      </c>
      <c r="C61" s="157"/>
      <c r="D61" s="576" t="s">
        <v>850</v>
      </c>
      <c r="E61" s="584">
        <v>1</v>
      </c>
      <c r="F61" s="580">
        <v>338000</v>
      </c>
      <c r="G61" s="582">
        <v>338000</v>
      </c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 t="s">
        <v>889</v>
      </c>
      <c r="J62" s="161"/>
      <c r="K62" s="69" t="s">
        <v>96</v>
      </c>
    </row>
    <row r="63" spans="1:11" ht="10.5" customHeight="1">
      <c r="A63" s="69"/>
      <c r="B63" s="156" t="s">
        <v>927</v>
      </c>
      <c r="C63" s="157"/>
      <c r="D63" s="576" t="s">
        <v>884</v>
      </c>
      <c r="E63" s="584">
        <v>120</v>
      </c>
      <c r="F63" s="580">
        <v>17000</v>
      </c>
      <c r="G63" s="582">
        <v>2040000</v>
      </c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 t="s">
        <v>889</v>
      </c>
      <c r="J64" s="161"/>
      <c r="K64" s="69" t="s">
        <v>96</v>
      </c>
    </row>
    <row r="65" spans="1:11" ht="10.5" customHeight="1">
      <c r="A65" s="69"/>
      <c r="B65" s="156" t="s">
        <v>928</v>
      </c>
      <c r="C65" s="157"/>
      <c r="D65" s="576" t="s">
        <v>850</v>
      </c>
      <c r="E65" s="584">
        <v>1</v>
      </c>
      <c r="F65" s="580">
        <v>1170000</v>
      </c>
      <c r="G65" s="582">
        <v>1170000</v>
      </c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 t="s">
        <v>889</v>
      </c>
      <c r="J66" s="161"/>
      <c r="K66" s="69" t="s">
        <v>96</v>
      </c>
    </row>
    <row r="67" spans="1:11" ht="10.5" customHeight="1">
      <c r="A67" s="69"/>
      <c r="B67" s="156" t="s">
        <v>929</v>
      </c>
      <c r="C67" s="157"/>
      <c r="D67" s="576" t="s">
        <v>839</v>
      </c>
      <c r="E67" s="584">
        <v>53</v>
      </c>
      <c r="F67" s="580">
        <v>700</v>
      </c>
      <c r="G67" s="582">
        <v>37100</v>
      </c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 t="s">
        <v>889</v>
      </c>
      <c r="J68" s="161"/>
      <c r="K68" s="69" t="s">
        <v>96</v>
      </c>
    </row>
    <row r="69" spans="1:11" ht="10.5" customHeight="1">
      <c r="A69" s="69"/>
      <c r="B69" s="156" t="s">
        <v>930</v>
      </c>
      <c r="C69" s="157"/>
      <c r="D69" s="576" t="s">
        <v>839</v>
      </c>
      <c r="E69" s="584">
        <v>53</v>
      </c>
      <c r="F69" s="580">
        <v>700</v>
      </c>
      <c r="G69" s="582">
        <v>37100</v>
      </c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 t="s">
        <v>889</v>
      </c>
      <c r="J70" s="161"/>
      <c r="K70" s="69" t="s">
        <v>96</v>
      </c>
    </row>
    <row r="71" spans="1:11" ht="10.5" customHeight="1">
      <c r="A71" s="69"/>
      <c r="B71" s="156" t="s">
        <v>931</v>
      </c>
      <c r="C71" s="157"/>
      <c r="D71" s="576" t="s">
        <v>850</v>
      </c>
      <c r="E71" s="584">
        <v>1</v>
      </c>
      <c r="F71" s="580">
        <v>300000</v>
      </c>
      <c r="G71" s="582">
        <v>300000</v>
      </c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 t="s">
        <v>889</v>
      </c>
      <c r="J72" s="161"/>
      <c r="K72" s="69" t="s">
        <v>96</v>
      </c>
    </row>
    <row r="73" spans="1:11" ht="10.5" customHeight="1">
      <c r="A73" s="69"/>
      <c r="B73" s="156" t="s">
        <v>932</v>
      </c>
      <c r="C73" s="157"/>
      <c r="D73" s="576" t="s">
        <v>850</v>
      </c>
      <c r="E73" s="578">
        <v>1</v>
      </c>
      <c r="F73" s="580">
        <v>4700000</v>
      </c>
      <c r="G73" s="582">
        <v>4700000</v>
      </c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 t="s">
        <v>889</v>
      </c>
      <c r="J74" s="161"/>
      <c r="K74" s="69" t="s">
        <v>96</v>
      </c>
    </row>
    <row r="75" spans="1:11" ht="10.5" customHeight="1">
      <c r="A75" s="69"/>
      <c r="B75" s="156" t="s">
        <v>933</v>
      </c>
      <c r="C75" s="157"/>
      <c r="D75" s="576" t="s">
        <v>839</v>
      </c>
      <c r="E75" s="584">
        <v>78</v>
      </c>
      <c r="F75" s="580">
        <v>300</v>
      </c>
      <c r="G75" s="582">
        <v>23400</v>
      </c>
      <c r="H75" s="355"/>
      <c r="I75" s="355"/>
      <c r="J75" s="158"/>
      <c r="K75" s="69" t="s">
        <v>96</v>
      </c>
    </row>
    <row r="76" spans="1:11" ht="10.5" customHeight="1">
      <c r="A76" s="69"/>
      <c r="B76" s="159" t="s">
        <v>934</v>
      </c>
      <c r="C76" s="160"/>
      <c r="D76" s="577"/>
      <c r="E76" s="585"/>
      <c r="F76" s="581"/>
      <c r="G76" s="583"/>
      <c r="H76" s="356"/>
      <c r="I76" s="356" t="s">
        <v>889</v>
      </c>
      <c r="J76" s="161"/>
      <c r="K76" s="69" t="s">
        <v>96</v>
      </c>
    </row>
    <row r="77" spans="1:11" ht="10.5" customHeight="1">
      <c r="A77" s="69"/>
      <c r="B77" s="156" t="s">
        <v>935</v>
      </c>
      <c r="C77" s="157"/>
      <c r="D77" s="576" t="s">
        <v>850</v>
      </c>
      <c r="E77" s="584">
        <v>1</v>
      </c>
      <c r="F77" s="580">
        <v>1250000</v>
      </c>
      <c r="G77" s="582">
        <v>1250000</v>
      </c>
      <c r="H77" s="355"/>
      <c r="I77" s="355"/>
      <c r="J77" s="158"/>
      <c r="K77" s="69" t="s">
        <v>96</v>
      </c>
    </row>
    <row r="78" spans="1:11" ht="10.5" customHeight="1">
      <c r="A78" s="69"/>
      <c r="B78" s="159" t="s">
        <v>898</v>
      </c>
      <c r="C78" s="160"/>
      <c r="D78" s="577"/>
      <c r="E78" s="585"/>
      <c r="F78" s="581"/>
      <c r="G78" s="583"/>
      <c r="H78" s="356"/>
      <c r="I78" s="356" t="s">
        <v>889</v>
      </c>
      <c r="J78" s="161"/>
      <c r="K78" s="69" t="s">
        <v>96</v>
      </c>
    </row>
    <row r="79" spans="1:11" ht="10.5" customHeight="1">
      <c r="A79" s="69"/>
      <c r="B79" s="156" t="s">
        <v>936</v>
      </c>
      <c r="C79" s="157"/>
      <c r="D79" s="576" t="s">
        <v>850</v>
      </c>
      <c r="E79" s="584">
        <v>1</v>
      </c>
      <c r="F79" s="580">
        <v>600000</v>
      </c>
      <c r="G79" s="582">
        <v>600000</v>
      </c>
      <c r="H79" s="355"/>
      <c r="I79" s="355"/>
      <c r="J79" s="158"/>
      <c r="K79" s="69" t="s">
        <v>96</v>
      </c>
    </row>
    <row r="80" spans="1:11" ht="10.5" customHeight="1">
      <c r="A80" s="69"/>
      <c r="B80" s="159" t="s">
        <v>898</v>
      </c>
      <c r="C80" s="160"/>
      <c r="D80" s="577"/>
      <c r="E80" s="585"/>
      <c r="F80" s="581"/>
      <c r="G80" s="583"/>
      <c r="H80" s="356"/>
      <c r="I80" s="356" t="s">
        <v>889</v>
      </c>
      <c r="J80" s="161"/>
      <c r="K80" s="69" t="s">
        <v>96</v>
      </c>
    </row>
    <row r="81" spans="1:11" ht="10.5" customHeight="1">
      <c r="A81" s="69"/>
      <c r="B81" s="156" t="s">
        <v>937</v>
      </c>
      <c r="C81" s="157"/>
      <c r="D81" s="576" t="s">
        <v>850</v>
      </c>
      <c r="E81" s="584">
        <v>1</v>
      </c>
      <c r="F81" s="580">
        <v>450000</v>
      </c>
      <c r="G81" s="582">
        <v>450000</v>
      </c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 t="s">
        <v>889</v>
      </c>
      <c r="J82" s="161"/>
      <c r="K82" s="69" t="s">
        <v>96</v>
      </c>
    </row>
    <row r="83" spans="1:11" ht="10.5" customHeight="1">
      <c r="A83" s="69"/>
      <c r="B83" s="156" t="s">
        <v>938</v>
      </c>
      <c r="C83" s="157"/>
      <c r="D83" s="576" t="s">
        <v>850</v>
      </c>
      <c r="E83" s="584">
        <v>1</v>
      </c>
      <c r="F83" s="580">
        <v>350000</v>
      </c>
      <c r="G83" s="582">
        <v>350000</v>
      </c>
      <c r="H83" s="355"/>
      <c r="I83" s="355"/>
      <c r="J83" s="158"/>
      <c r="K83" s="69" t="s">
        <v>96</v>
      </c>
    </row>
    <row r="84" spans="1:11" ht="10.5" customHeight="1">
      <c r="A84" s="69"/>
      <c r="B84" s="159" t="s">
        <v>939</v>
      </c>
      <c r="C84" s="160"/>
      <c r="D84" s="577"/>
      <c r="E84" s="585"/>
      <c r="F84" s="581"/>
      <c r="G84" s="583"/>
      <c r="H84" s="356"/>
      <c r="I84" s="356" t="s">
        <v>889</v>
      </c>
      <c r="J84" s="161"/>
      <c r="K84" s="69" t="s">
        <v>96</v>
      </c>
    </row>
    <row r="85" spans="1:11" ht="10.5" customHeight="1">
      <c r="A85" s="69"/>
      <c r="B85" s="156" t="s">
        <v>940</v>
      </c>
      <c r="C85" s="157"/>
      <c r="D85" s="576" t="s">
        <v>850</v>
      </c>
      <c r="E85" s="584">
        <v>1</v>
      </c>
      <c r="F85" s="580">
        <v>207000</v>
      </c>
      <c r="G85" s="582">
        <v>207000</v>
      </c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 t="s">
        <v>889</v>
      </c>
      <c r="J86" s="161"/>
      <c r="K86" s="69" t="s">
        <v>96</v>
      </c>
    </row>
    <row r="87" spans="1:11" ht="10.5" customHeight="1">
      <c r="A87" s="69"/>
      <c r="B87" s="156" t="s">
        <v>940</v>
      </c>
      <c r="C87" s="157"/>
      <c r="D87" s="576" t="s">
        <v>850</v>
      </c>
      <c r="E87" s="584">
        <v>1</v>
      </c>
      <c r="F87" s="580">
        <v>200000</v>
      </c>
      <c r="G87" s="582">
        <v>200000</v>
      </c>
      <c r="H87" s="355"/>
      <c r="I87" s="355"/>
      <c r="J87" s="158"/>
      <c r="K87" s="69" t="s">
        <v>96</v>
      </c>
    </row>
    <row r="88" spans="1:11" ht="10.5" customHeight="1">
      <c r="A88" s="69"/>
      <c r="B88" s="159" t="s">
        <v>902</v>
      </c>
      <c r="C88" s="160"/>
      <c r="D88" s="577"/>
      <c r="E88" s="585"/>
      <c r="F88" s="581"/>
      <c r="G88" s="583"/>
      <c r="H88" s="356"/>
      <c r="I88" s="356" t="s">
        <v>889</v>
      </c>
      <c r="J88" s="161"/>
      <c r="K88" s="69" t="s">
        <v>96</v>
      </c>
    </row>
    <row r="89" spans="1:11" ht="10.5" customHeight="1">
      <c r="A89" s="69"/>
      <c r="B89" s="156"/>
      <c r="C89" s="157"/>
      <c r="D89" s="576"/>
      <c r="E89" s="584"/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/>
      <c r="J90" s="161"/>
      <c r="K90" s="69" t="s">
        <v>96</v>
      </c>
    </row>
    <row r="91" spans="1:11" ht="10.5" customHeight="1">
      <c r="A91" s="69"/>
      <c r="B91" s="156" t="s">
        <v>882</v>
      </c>
      <c r="C91" s="157"/>
      <c r="D91" s="576"/>
      <c r="E91" s="584"/>
      <c r="F91" s="580"/>
      <c r="G91" s="582">
        <v>24640560</v>
      </c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/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/>
      <c r="C95" s="157"/>
      <c r="D95" s="586"/>
      <c r="E95" s="588"/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98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811</v>
      </c>
      <c r="C3" s="146" t="s">
        <v>812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813</v>
      </c>
      <c r="K4" s="69"/>
    </row>
    <row r="5" spans="1:11" ht="18" customHeight="1">
      <c r="A5" s="69"/>
      <c r="B5" s="574" t="s">
        <v>814</v>
      </c>
      <c r="C5" s="575"/>
      <c r="D5" s="153" t="s">
        <v>85</v>
      </c>
      <c r="E5" s="153" t="s">
        <v>815</v>
      </c>
      <c r="F5" s="153" t="s">
        <v>816</v>
      </c>
      <c r="G5" s="153" t="s">
        <v>817</v>
      </c>
      <c r="H5" s="154" t="s">
        <v>818</v>
      </c>
      <c r="I5" s="153" t="s">
        <v>819</v>
      </c>
      <c r="J5" s="155" t="s">
        <v>820</v>
      </c>
      <c r="K5" s="69"/>
    </row>
    <row r="6" spans="1:11" ht="10.5" customHeight="1">
      <c r="A6" s="69"/>
      <c r="B6" s="156" t="s">
        <v>941</v>
      </c>
      <c r="C6" s="157"/>
      <c r="D6" s="576" t="s">
        <v>904</v>
      </c>
      <c r="E6" s="578"/>
      <c r="F6" s="580">
        <v>45800</v>
      </c>
      <c r="G6" s="582"/>
      <c r="H6" s="355"/>
      <c r="I6" s="355"/>
      <c r="J6" s="158"/>
      <c r="K6" s="69" t="s">
        <v>96</v>
      </c>
    </row>
    <row r="7" spans="1:11" ht="10.5" customHeight="1">
      <c r="A7" s="69"/>
      <c r="B7" s="159" t="s">
        <v>942</v>
      </c>
      <c r="C7" s="160"/>
      <c r="D7" s="577"/>
      <c r="E7" s="579"/>
      <c r="F7" s="581"/>
      <c r="G7" s="583"/>
      <c r="H7" s="356"/>
      <c r="I7" s="356" t="s">
        <v>943</v>
      </c>
      <c r="J7" s="161"/>
      <c r="K7" s="69" t="s">
        <v>96</v>
      </c>
    </row>
    <row r="8" spans="1:11" ht="10.5" customHeight="1">
      <c r="A8" s="69"/>
      <c r="B8" s="156" t="s">
        <v>941</v>
      </c>
      <c r="C8" s="157"/>
      <c r="D8" s="576" t="s">
        <v>904</v>
      </c>
      <c r="E8" s="578">
        <v>7</v>
      </c>
      <c r="F8" s="580">
        <v>60800</v>
      </c>
      <c r="G8" s="582">
        <v>425600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944</v>
      </c>
      <c r="C9" s="160"/>
      <c r="D9" s="577"/>
      <c r="E9" s="579"/>
      <c r="F9" s="581"/>
      <c r="G9" s="583"/>
      <c r="H9" s="356"/>
      <c r="I9" s="356" t="s">
        <v>943</v>
      </c>
      <c r="J9" s="162"/>
      <c r="K9" s="69" t="s">
        <v>96</v>
      </c>
    </row>
    <row r="10" spans="1:11" ht="10.5" customHeight="1">
      <c r="A10" s="69"/>
      <c r="B10" s="156" t="s">
        <v>945</v>
      </c>
      <c r="C10" s="157"/>
      <c r="D10" s="576" t="s">
        <v>904</v>
      </c>
      <c r="E10" s="578">
        <v>9.1836000000000002</v>
      </c>
      <c r="F10" s="580">
        <v>3550</v>
      </c>
      <c r="G10" s="582">
        <v>32602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946</v>
      </c>
      <c r="C11" s="160"/>
      <c r="D11" s="577"/>
      <c r="E11" s="579"/>
      <c r="F11" s="581"/>
      <c r="G11" s="583"/>
      <c r="H11" s="356"/>
      <c r="I11" s="356" t="s">
        <v>943</v>
      </c>
      <c r="J11" s="161"/>
      <c r="K11" s="69" t="s">
        <v>96</v>
      </c>
    </row>
    <row r="12" spans="1:11" ht="10.5" customHeight="1">
      <c r="A12" s="69"/>
      <c r="B12" s="156" t="s">
        <v>947</v>
      </c>
      <c r="C12" s="157"/>
      <c r="D12" s="576" t="s">
        <v>904</v>
      </c>
      <c r="E12" s="584">
        <v>1</v>
      </c>
      <c r="F12" s="580">
        <v>4050</v>
      </c>
      <c r="G12" s="582">
        <v>4050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943</v>
      </c>
      <c r="J13" s="161"/>
      <c r="K13" s="69" t="s">
        <v>96</v>
      </c>
    </row>
    <row r="14" spans="1:11" ht="10.5" customHeight="1">
      <c r="A14" s="69"/>
      <c r="B14" s="156" t="s">
        <v>948</v>
      </c>
      <c r="C14" s="157"/>
      <c r="D14" s="576" t="s">
        <v>949</v>
      </c>
      <c r="E14" s="584">
        <v>6</v>
      </c>
      <c r="F14" s="580">
        <v>40000</v>
      </c>
      <c r="G14" s="582">
        <v>240000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943</v>
      </c>
      <c r="J15" s="161"/>
      <c r="K15" s="69" t="s">
        <v>96</v>
      </c>
    </row>
    <row r="16" spans="1:11" ht="10.5" customHeight="1">
      <c r="A16" s="69"/>
      <c r="B16" s="156" t="s">
        <v>950</v>
      </c>
      <c r="C16" s="157"/>
      <c r="D16" s="576" t="s">
        <v>904</v>
      </c>
      <c r="E16" s="584">
        <v>13</v>
      </c>
      <c r="F16" s="580">
        <v>4600</v>
      </c>
      <c r="G16" s="582">
        <v>59800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951</v>
      </c>
      <c r="C17" s="160"/>
      <c r="D17" s="577"/>
      <c r="E17" s="585"/>
      <c r="F17" s="581"/>
      <c r="G17" s="583"/>
      <c r="H17" s="356"/>
      <c r="I17" s="356" t="s">
        <v>943</v>
      </c>
      <c r="J17" s="161"/>
      <c r="K17" s="69" t="s">
        <v>96</v>
      </c>
    </row>
    <row r="18" spans="1:11" ht="10.5" customHeight="1">
      <c r="A18" s="69"/>
      <c r="B18" s="156" t="s">
        <v>952</v>
      </c>
      <c r="C18" s="157"/>
      <c r="D18" s="576" t="s">
        <v>904</v>
      </c>
      <c r="E18" s="584">
        <v>7</v>
      </c>
      <c r="F18" s="580">
        <v>6600</v>
      </c>
      <c r="G18" s="582">
        <v>46200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953</v>
      </c>
      <c r="C19" s="160"/>
      <c r="D19" s="577"/>
      <c r="E19" s="585"/>
      <c r="F19" s="581"/>
      <c r="G19" s="583"/>
      <c r="H19" s="356"/>
      <c r="I19" s="356" t="s">
        <v>943</v>
      </c>
      <c r="J19" s="161"/>
      <c r="K19" s="69" t="s">
        <v>96</v>
      </c>
    </row>
    <row r="20" spans="1:11" ht="10.5" customHeight="1">
      <c r="A20" s="69"/>
      <c r="B20" s="156" t="s">
        <v>954</v>
      </c>
      <c r="C20" s="157"/>
      <c r="D20" s="576" t="s">
        <v>904</v>
      </c>
      <c r="E20" s="584">
        <v>3</v>
      </c>
      <c r="F20" s="580">
        <v>6800</v>
      </c>
      <c r="G20" s="582">
        <v>20400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955</v>
      </c>
      <c r="C21" s="160"/>
      <c r="D21" s="577"/>
      <c r="E21" s="585"/>
      <c r="F21" s="581"/>
      <c r="G21" s="583"/>
      <c r="H21" s="356"/>
      <c r="I21" s="356" t="s">
        <v>943</v>
      </c>
      <c r="J21" s="161"/>
      <c r="K21" s="69" t="s">
        <v>96</v>
      </c>
    </row>
    <row r="22" spans="1:11" ht="10.5" customHeight="1">
      <c r="A22" s="69"/>
      <c r="B22" s="156" t="s">
        <v>956</v>
      </c>
      <c r="C22" s="157"/>
      <c r="D22" s="576" t="s">
        <v>957</v>
      </c>
      <c r="E22" s="584">
        <v>2</v>
      </c>
      <c r="F22" s="580">
        <v>45000</v>
      </c>
      <c r="G22" s="582">
        <v>90000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943</v>
      </c>
      <c r="J23" s="161"/>
      <c r="K23" s="69" t="s">
        <v>96</v>
      </c>
    </row>
    <row r="24" spans="1:11" ht="10.5" customHeight="1">
      <c r="A24" s="69"/>
      <c r="B24" s="156" t="s">
        <v>958</v>
      </c>
      <c r="C24" s="157"/>
      <c r="D24" s="576" t="s">
        <v>904</v>
      </c>
      <c r="E24" s="578">
        <v>1</v>
      </c>
      <c r="F24" s="580">
        <v>40000</v>
      </c>
      <c r="G24" s="582">
        <v>40000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959</v>
      </c>
      <c r="C25" s="160"/>
      <c r="D25" s="577"/>
      <c r="E25" s="579"/>
      <c r="F25" s="581"/>
      <c r="G25" s="583"/>
      <c r="H25" s="356"/>
      <c r="I25" s="356" t="s">
        <v>943</v>
      </c>
      <c r="J25" s="161"/>
      <c r="K25" s="69" t="s">
        <v>96</v>
      </c>
    </row>
    <row r="26" spans="1:11" ht="10.5" customHeight="1">
      <c r="A26" s="69"/>
      <c r="B26" s="156" t="s">
        <v>960</v>
      </c>
      <c r="C26" s="157"/>
      <c r="D26" s="576" t="s">
        <v>904</v>
      </c>
      <c r="E26" s="584">
        <v>2</v>
      </c>
      <c r="F26" s="580">
        <v>55000</v>
      </c>
      <c r="G26" s="582">
        <v>110000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959</v>
      </c>
      <c r="C27" s="160"/>
      <c r="D27" s="577"/>
      <c r="E27" s="585"/>
      <c r="F27" s="581"/>
      <c r="G27" s="583"/>
      <c r="H27" s="356"/>
      <c r="I27" s="356" t="s">
        <v>943</v>
      </c>
      <c r="J27" s="161"/>
      <c r="K27" s="69" t="s">
        <v>96</v>
      </c>
    </row>
    <row r="28" spans="1:11" ht="10.5" customHeight="1">
      <c r="A28" s="69"/>
      <c r="B28" s="156" t="s">
        <v>961</v>
      </c>
      <c r="C28" s="157"/>
      <c r="D28" s="576" t="s">
        <v>904</v>
      </c>
      <c r="E28" s="584">
        <v>12</v>
      </c>
      <c r="F28" s="580">
        <v>8700</v>
      </c>
      <c r="G28" s="582">
        <v>104400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962</v>
      </c>
      <c r="C29" s="160"/>
      <c r="D29" s="577"/>
      <c r="E29" s="585"/>
      <c r="F29" s="581"/>
      <c r="G29" s="583"/>
      <c r="H29" s="356"/>
      <c r="I29" s="356" t="s">
        <v>943</v>
      </c>
      <c r="J29" s="161"/>
      <c r="K29" s="69" t="s">
        <v>96</v>
      </c>
    </row>
    <row r="30" spans="1:11" ht="10.5" customHeight="1">
      <c r="A30" s="69"/>
      <c r="B30" s="156" t="s">
        <v>961</v>
      </c>
      <c r="C30" s="157"/>
      <c r="D30" s="576" t="s">
        <v>904</v>
      </c>
      <c r="E30" s="584">
        <v>15.1836</v>
      </c>
      <c r="F30" s="580">
        <v>6000</v>
      </c>
      <c r="G30" s="582">
        <v>91102</v>
      </c>
      <c r="H30" s="355"/>
      <c r="I30" s="355"/>
      <c r="J30" s="158"/>
      <c r="K30" s="69" t="s">
        <v>96</v>
      </c>
    </row>
    <row r="31" spans="1:11" ht="10.5" customHeight="1">
      <c r="A31" s="69"/>
      <c r="B31" s="159" t="s">
        <v>962</v>
      </c>
      <c r="C31" s="160"/>
      <c r="D31" s="577"/>
      <c r="E31" s="585"/>
      <c r="F31" s="581"/>
      <c r="G31" s="583"/>
      <c r="H31" s="356"/>
      <c r="I31" s="356" t="s">
        <v>943</v>
      </c>
      <c r="J31" s="161"/>
      <c r="K31" s="69" t="s">
        <v>96</v>
      </c>
    </row>
    <row r="32" spans="1:11" ht="10.5" customHeight="1">
      <c r="A32" s="69"/>
      <c r="B32" s="156" t="s">
        <v>961</v>
      </c>
      <c r="C32" s="157"/>
      <c r="D32" s="576" t="s">
        <v>904</v>
      </c>
      <c r="E32" s="584">
        <v>6</v>
      </c>
      <c r="F32" s="580">
        <v>8000</v>
      </c>
      <c r="G32" s="582">
        <v>48000</v>
      </c>
      <c r="H32" s="355"/>
      <c r="I32" s="355"/>
      <c r="J32" s="158"/>
      <c r="K32" s="69" t="s">
        <v>96</v>
      </c>
    </row>
    <row r="33" spans="1:11" ht="10.5" customHeight="1">
      <c r="A33" s="69"/>
      <c r="B33" s="159" t="s">
        <v>963</v>
      </c>
      <c r="C33" s="160"/>
      <c r="D33" s="577"/>
      <c r="E33" s="585"/>
      <c r="F33" s="581"/>
      <c r="G33" s="583"/>
      <c r="H33" s="356"/>
      <c r="I33" s="356" t="s">
        <v>943</v>
      </c>
      <c r="J33" s="161"/>
      <c r="K33" s="69" t="s">
        <v>96</v>
      </c>
    </row>
    <row r="34" spans="1:11" ht="10.5" customHeight="1">
      <c r="A34" s="69"/>
      <c r="B34" s="156" t="s">
        <v>961</v>
      </c>
      <c r="C34" s="157"/>
      <c r="D34" s="576" t="s">
        <v>904</v>
      </c>
      <c r="E34" s="584">
        <v>9</v>
      </c>
      <c r="F34" s="580">
        <v>10800</v>
      </c>
      <c r="G34" s="582">
        <v>97200</v>
      </c>
      <c r="H34" s="355"/>
      <c r="I34" s="355"/>
      <c r="J34" s="158"/>
      <c r="K34" s="69" t="s">
        <v>96</v>
      </c>
    </row>
    <row r="35" spans="1:11" ht="10.5" customHeight="1">
      <c r="A35" s="69"/>
      <c r="B35" s="159" t="s">
        <v>953</v>
      </c>
      <c r="C35" s="160"/>
      <c r="D35" s="577"/>
      <c r="E35" s="585"/>
      <c r="F35" s="581"/>
      <c r="G35" s="583"/>
      <c r="H35" s="356"/>
      <c r="I35" s="356" t="s">
        <v>943</v>
      </c>
      <c r="J35" s="161"/>
      <c r="K35" s="69" t="s">
        <v>96</v>
      </c>
    </row>
    <row r="36" spans="1:11" ht="10.5" customHeight="1">
      <c r="A36" s="69"/>
      <c r="B36" s="156" t="s">
        <v>961</v>
      </c>
      <c r="C36" s="157"/>
      <c r="D36" s="576" t="s">
        <v>904</v>
      </c>
      <c r="E36" s="584">
        <v>9</v>
      </c>
      <c r="F36" s="580">
        <v>10800</v>
      </c>
      <c r="G36" s="582">
        <v>97200</v>
      </c>
      <c r="H36" s="355"/>
      <c r="I36" s="355"/>
      <c r="J36" s="158"/>
      <c r="K36" s="69" t="s">
        <v>96</v>
      </c>
    </row>
    <row r="37" spans="1:11" ht="10.5" customHeight="1">
      <c r="A37" s="69"/>
      <c r="B37" s="159" t="s">
        <v>953</v>
      </c>
      <c r="C37" s="160"/>
      <c r="D37" s="577"/>
      <c r="E37" s="585"/>
      <c r="F37" s="581"/>
      <c r="G37" s="583"/>
      <c r="H37" s="356"/>
      <c r="I37" s="356" t="s">
        <v>943</v>
      </c>
      <c r="J37" s="161"/>
      <c r="K37" s="69" t="s">
        <v>96</v>
      </c>
    </row>
    <row r="38" spans="1:11" ht="10.5" customHeight="1">
      <c r="A38" s="69"/>
      <c r="B38" s="156" t="s">
        <v>964</v>
      </c>
      <c r="C38" s="157"/>
      <c r="D38" s="576" t="s">
        <v>904</v>
      </c>
      <c r="E38" s="584">
        <v>19</v>
      </c>
      <c r="F38" s="580">
        <v>1500</v>
      </c>
      <c r="G38" s="582">
        <v>28500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943</v>
      </c>
      <c r="J39" s="161"/>
      <c r="K39" s="69" t="s">
        <v>96</v>
      </c>
    </row>
    <row r="40" spans="1:11" ht="10.5" customHeight="1">
      <c r="A40" s="69"/>
      <c r="B40" s="156" t="s">
        <v>965</v>
      </c>
      <c r="C40" s="157"/>
      <c r="D40" s="576" t="s">
        <v>904</v>
      </c>
      <c r="E40" s="584">
        <v>38.183599999999998</v>
      </c>
      <c r="F40" s="580">
        <v>700</v>
      </c>
      <c r="G40" s="582">
        <v>26728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943</v>
      </c>
      <c r="J41" s="161"/>
      <c r="K41" s="69" t="s">
        <v>96</v>
      </c>
    </row>
    <row r="42" spans="1:11" ht="10.5" customHeight="1">
      <c r="A42" s="69"/>
      <c r="B42" s="156" t="s">
        <v>966</v>
      </c>
      <c r="C42" s="157"/>
      <c r="D42" s="576" t="s">
        <v>904</v>
      </c>
      <c r="E42" s="584">
        <v>3</v>
      </c>
      <c r="F42" s="580">
        <v>6800</v>
      </c>
      <c r="G42" s="582">
        <v>20400</v>
      </c>
      <c r="H42" s="355"/>
      <c r="I42" s="355"/>
      <c r="J42" s="158"/>
      <c r="K42" s="69" t="s">
        <v>96</v>
      </c>
    </row>
    <row r="43" spans="1:11" ht="10.5" customHeight="1">
      <c r="A43" s="69"/>
      <c r="B43" s="159" t="s">
        <v>955</v>
      </c>
      <c r="C43" s="160"/>
      <c r="D43" s="577"/>
      <c r="E43" s="585"/>
      <c r="F43" s="581"/>
      <c r="G43" s="583"/>
      <c r="H43" s="356"/>
      <c r="I43" s="356" t="s">
        <v>943</v>
      </c>
      <c r="J43" s="161"/>
      <c r="K43" s="69" t="s">
        <v>96</v>
      </c>
    </row>
    <row r="44" spans="1:11" ht="10.5" customHeight="1">
      <c r="A44" s="69"/>
      <c r="B44" s="156" t="s">
        <v>967</v>
      </c>
      <c r="C44" s="157"/>
      <c r="D44" s="576" t="s">
        <v>904</v>
      </c>
      <c r="E44" s="584">
        <v>24</v>
      </c>
      <c r="F44" s="580">
        <v>700</v>
      </c>
      <c r="G44" s="582">
        <v>16800</v>
      </c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 t="s">
        <v>943</v>
      </c>
      <c r="J45" s="161"/>
      <c r="K45" s="69" t="s">
        <v>96</v>
      </c>
    </row>
    <row r="46" spans="1:11" ht="10.5" customHeight="1">
      <c r="A46" s="69"/>
      <c r="B46" s="156" t="s">
        <v>968</v>
      </c>
      <c r="C46" s="157"/>
      <c r="D46" s="586" t="s">
        <v>904</v>
      </c>
      <c r="E46" s="588">
        <v>6</v>
      </c>
      <c r="F46" s="590">
        <v>1250</v>
      </c>
      <c r="G46" s="592">
        <v>7500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 t="s">
        <v>943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969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811</v>
      </c>
      <c r="C52" s="146" t="s">
        <v>812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813</v>
      </c>
      <c r="K53" s="69"/>
    </row>
    <row r="54" spans="1:11" ht="18" customHeight="1">
      <c r="A54" s="69"/>
      <c r="B54" s="574" t="s">
        <v>814</v>
      </c>
      <c r="C54" s="575"/>
      <c r="D54" s="153" t="s">
        <v>85</v>
      </c>
      <c r="E54" s="153" t="s">
        <v>815</v>
      </c>
      <c r="F54" s="153" t="s">
        <v>816</v>
      </c>
      <c r="G54" s="153" t="s">
        <v>817</v>
      </c>
      <c r="H54" s="154" t="s">
        <v>818</v>
      </c>
      <c r="I54" s="153" t="s">
        <v>819</v>
      </c>
      <c r="J54" s="155" t="s">
        <v>820</v>
      </c>
      <c r="K54" s="69"/>
    </row>
    <row r="55" spans="1:11" ht="10.5" customHeight="1">
      <c r="A55" s="69"/>
      <c r="B55" s="156" t="s">
        <v>970</v>
      </c>
      <c r="C55" s="157"/>
      <c r="D55" s="576" t="s">
        <v>904</v>
      </c>
      <c r="E55" s="578">
        <v>8</v>
      </c>
      <c r="F55" s="580">
        <v>12800</v>
      </c>
      <c r="G55" s="582">
        <v>102400</v>
      </c>
      <c r="H55" s="355"/>
      <c r="I55" s="355"/>
      <c r="J55" s="158"/>
      <c r="K55" s="69" t="s">
        <v>96</v>
      </c>
    </row>
    <row r="56" spans="1:11" ht="10.5" customHeight="1">
      <c r="A56" s="69"/>
      <c r="B56" s="159" t="s">
        <v>951</v>
      </c>
      <c r="C56" s="160"/>
      <c r="D56" s="577"/>
      <c r="E56" s="579"/>
      <c r="F56" s="581"/>
      <c r="G56" s="583"/>
      <c r="H56" s="356"/>
      <c r="I56" s="356" t="s">
        <v>943</v>
      </c>
      <c r="J56" s="161"/>
      <c r="K56" s="69" t="s">
        <v>96</v>
      </c>
    </row>
    <row r="57" spans="1:11" ht="10.5" customHeight="1">
      <c r="A57" s="69"/>
      <c r="B57" s="156" t="s">
        <v>869</v>
      </c>
      <c r="C57" s="157"/>
      <c r="D57" s="576" t="s">
        <v>904</v>
      </c>
      <c r="E57" s="578"/>
      <c r="F57" s="580">
        <v>5000</v>
      </c>
      <c r="G57" s="582"/>
      <c r="H57" s="355"/>
      <c r="I57" s="355"/>
      <c r="J57" s="162"/>
      <c r="K57" s="69" t="s">
        <v>96</v>
      </c>
    </row>
    <row r="58" spans="1:11" ht="10.5" customHeight="1">
      <c r="A58" s="69"/>
      <c r="B58" s="159"/>
      <c r="C58" s="160"/>
      <c r="D58" s="577"/>
      <c r="E58" s="579"/>
      <c r="F58" s="581"/>
      <c r="G58" s="583"/>
      <c r="H58" s="356"/>
      <c r="I58" s="356" t="s">
        <v>943</v>
      </c>
      <c r="J58" s="162"/>
      <c r="K58" s="69" t="s">
        <v>96</v>
      </c>
    </row>
    <row r="59" spans="1:11" ht="10.5" customHeight="1">
      <c r="A59" s="69"/>
      <c r="B59" s="156" t="s">
        <v>971</v>
      </c>
      <c r="C59" s="157"/>
      <c r="D59" s="576" t="s">
        <v>904</v>
      </c>
      <c r="E59" s="578">
        <v>8</v>
      </c>
      <c r="F59" s="580">
        <v>1050</v>
      </c>
      <c r="G59" s="582">
        <v>8400</v>
      </c>
      <c r="H59" s="355"/>
      <c r="I59" s="355"/>
      <c r="J59" s="158"/>
      <c r="K59" s="69" t="s">
        <v>96</v>
      </c>
    </row>
    <row r="60" spans="1:11" ht="10.5" customHeight="1">
      <c r="A60" s="69"/>
      <c r="B60" s="159" t="s">
        <v>972</v>
      </c>
      <c r="C60" s="160"/>
      <c r="D60" s="577"/>
      <c r="E60" s="579"/>
      <c r="F60" s="581"/>
      <c r="G60" s="583"/>
      <c r="H60" s="356"/>
      <c r="I60" s="356" t="s">
        <v>943</v>
      </c>
      <c r="J60" s="161"/>
      <c r="K60" s="69" t="s">
        <v>96</v>
      </c>
    </row>
    <row r="61" spans="1:11" ht="10.5" customHeight="1">
      <c r="A61" s="69"/>
      <c r="B61" s="156" t="s">
        <v>973</v>
      </c>
      <c r="C61" s="157"/>
      <c r="D61" s="576" t="s">
        <v>904</v>
      </c>
      <c r="E61" s="584">
        <v>1</v>
      </c>
      <c r="F61" s="580">
        <v>70000</v>
      </c>
      <c r="G61" s="582">
        <v>70000</v>
      </c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 t="s">
        <v>943</v>
      </c>
      <c r="J62" s="161"/>
      <c r="K62" s="69" t="s">
        <v>96</v>
      </c>
    </row>
    <row r="63" spans="1:11" ht="10.5" customHeight="1">
      <c r="A63" s="69"/>
      <c r="B63" s="156"/>
      <c r="C63" s="157"/>
      <c r="D63" s="576"/>
      <c r="E63" s="584"/>
      <c r="F63" s="580"/>
      <c r="G63" s="582"/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/>
      <c r="J64" s="161"/>
      <c r="K64" s="69" t="s">
        <v>96</v>
      </c>
    </row>
    <row r="65" spans="1:11" ht="10.5" customHeight="1">
      <c r="A65" s="69"/>
      <c r="B65" s="156" t="s">
        <v>882</v>
      </c>
      <c r="C65" s="157"/>
      <c r="D65" s="576"/>
      <c r="E65" s="584"/>
      <c r="F65" s="580"/>
      <c r="G65" s="582">
        <v>1787282</v>
      </c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/>
      <c r="J66" s="161"/>
      <c r="K66" s="69" t="s">
        <v>96</v>
      </c>
    </row>
    <row r="67" spans="1:11" ht="10.5" customHeight="1">
      <c r="A67" s="69"/>
      <c r="B67" s="156"/>
      <c r="C67" s="157"/>
      <c r="D67" s="576"/>
      <c r="E67" s="584"/>
      <c r="F67" s="580"/>
      <c r="G67" s="582"/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/>
      <c r="J68" s="161"/>
      <c r="K68" s="69" t="s">
        <v>96</v>
      </c>
    </row>
    <row r="69" spans="1:11" ht="10.5" customHeight="1">
      <c r="A69" s="69"/>
      <c r="B69" s="156"/>
      <c r="C69" s="157"/>
      <c r="D69" s="576"/>
      <c r="E69" s="584"/>
      <c r="F69" s="580"/>
      <c r="G69" s="582"/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/>
      <c r="J70" s="161"/>
      <c r="K70" s="69" t="s">
        <v>96</v>
      </c>
    </row>
    <row r="71" spans="1:11" ht="10.5" customHeight="1">
      <c r="A71" s="69"/>
      <c r="B71" s="156"/>
      <c r="C71" s="157"/>
      <c r="D71" s="576"/>
      <c r="E71" s="584"/>
      <c r="F71" s="580"/>
      <c r="G71" s="582"/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/>
      <c r="J72" s="161"/>
      <c r="K72" s="69" t="s">
        <v>96</v>
      </c>
    </row>
    <row r="73" spans="1:11" ht="10.5" customHeight="1">
      <c r="A73" s="69"/>
      <c r="B73" s="156"/>
      <c r="C73" s="157"/>
      <c r="D73" s="576"/>
      <c r="E73" s="578"/>
      <c r="F73" s="580"/>
      <c r="G73" s="582"/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/>
      <c r="J74" s="161"/>
      <c r="K74" s="69" t="s">
        <v>96</v>
      </c>
    </row>
    <row r="75" spans="1:11" ht="10.5" customHeight="1">
      <c r="A75" s="69"/>
      <c r="B75" s="156"/>
      <c r="C75" s="157"/>
      <c r="D75" s="576"/>
      <c r="E75" s="584"/>
      <c r="F75" s="580"/>
      <c r="G75" s="582"/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/>
      <c r="J76" s="161"/>
      <c r="K76" s="69" t="s">
        <v>96</v>
      </c>
    </row>
    <row r="77" spans="1:11" ht="10.5" customHeight="1">
      <c r="A77" s="69"/>
      <c r="B77" s="156"/>
      <c r="C77" s="157"/>
      <c r="D77" s="576"/>
      <c r="E77" s="584"/>
      <c r="F77" s="580"/>
      <c r="G77" s="582"/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/>
      <c r="J78" s="161"/>
      <c r="K78" s="69" t="s">
        <v>96</v>
      </c>
    </row>
    <row r="79" spans="1:11" ht="10.5" customHeight="1">
      <c r="A79" s="69"/>
      <c r="B79" s="156"/>
      <c r="C79" s="157"/>
      <c r="D79" s="576"/>
      <c r="E79" s="584"/>
      <c r="F79" s="580"/>
      <c r="G79" s="582"/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/>
      <c r="J80" s="161"/>
      <c r="K80" s="69" t="s">
        <v>96</v>
      </c>
    </row>
    <row r="81" spans="1:11" ht="10.5" customHeight="1">
      <c r="A81" s="69"/>
      <c r="B81" s="156"/>
      <c r="C81" s="157"/>
      <c r="D81" s="576"/>
      <c r="E81" s="584"/>
      <c r="F81" s="580"/>
      <c r="G81" s="582"/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/>
      <c r="J82" s="161"/>
      <c r="K82" s="69" t="s">
        <v>96</v>
      </c>
    </row>
    <row r="83" spans="1:11" ht="10.5" customHeight="1">
      <c r="A83" s="69"/>
      <c r="B83" s="156"/>
      <c r="C83" s="157"/>
      <c r="D83" s="576"/>
      <c r="E83" s="584"/>
      <c r="F83" s="580"/>
      <c r="G83" s="582"/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/>
      <c r="J84" s="161"/>
      <c r="K84" s="69" t="s">
        <v>96</v>
      </c>
    </row>
    <row r="85" spans="1:11" ht="10.5" customHeight="1">
      <c r="A85" s="69"/>
      <c r="B85" s="156"/>
      <c r="C85" s="157"/>
      <c r="D85" s="576"/>
      <c r="E85" s="584"/>
      <c r="F85" s="580"/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/>
      <c r="J86" s="161"/>
      <c r="K86" s="69" t="s">
        <v>96</v>
      </c>
    </row>
    <row r="87" spans="1:11" ht="10.5" customHeight="1">
      <c r="A87" s="69"/>
      <c r="B87" s="156"/>
      <c r="C87" s="157"/>
      <c r="D87" s="576"/>
      <c r="E87" s="584"/>
      <c r="F87" s="580"/>
      <c r="G87" s="582"/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/>
      <c r="J88" s="161"/>
      <c r="K88" s="69" t="s">
        <v>96</v>
      </c>
    </row>
    <row r="89" spans="1:11" ht="10.5" customHeight="1">
      <c r="A89" s="69"/>
      <c r="B89" s="156"/>
      <c r="C89" s="157"/>
      <c r="D89" s="576"/>
      <c r="E89" s="584"/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/>
      <c r="J90" s="161"/>
      <c r="K90" s="69" t="s">
        <v>96</v>
      </c>
    </row>
    <row r="91" spans="1:11" ht="10.5" customHeight="1">
      <c r="A91" s="69"/>
      <c r="B91" s="156"/>
      <c r="C91" s="157"/>
      <c r="D91" s="576"/>
      <c r="E91" s="584"/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/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/>
      <c r="C95" s="157"/>
      <c r="D95" s="586"/>
      <c r="E95" s="588"/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811</v>
      </c>
      <c r="C3" s="146" t="s">
        <v>812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813</v>
      </c>
      <c r="K4" s="69"/>
    </row>
    <row r="5" spans="1:11" ht="18" customHeight="1">
      <c r="A5" s="69"/>
      <c r="B5" s="574" t="s">
        <v>814</v>
      </c>
      <c r="C5" s="575"/>
      <c r="D5" s="153" t="s">
        <v>85</v>
      </c>
      <c r="E5" s="153" t="s">
        <v>815</v>
      </c>
      <c r="F5" s="153" t="s">
        <v>816</v>
      </c>
      <c r="G5" s="153" t="s">
        <v>817</v>
      </c>
      <c r="H5" s="154" t="s">
        <v>818</v>
      </c>
      <c r="I5" s="153" t="s">
        <v>819</v>
      </c>
      <c r="J5" s="155" t="s">
        <v>820</v>
      </c>
      <c r="K5" s="69"/>
    </row>
    <row r="6" spans="1:11" ht="10.5" customHeight="1">
      <c r="A6" s="69"/>
      <c r="B6" s="156" t="s">
        <v>974</v>
      </c>
      <c r="C6" s="157"/>
      <c r="D6" s="576" t="s">
        <v>904</v>
      </c>
      <c r="E6" s="578">
        <v>15</v>
      </c>
      <c r="F6" s="580">
        <v>40000</v>
      </c>
      <c r="G6" s="582">
        <v>600000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959</v>
      </c>
      <c r="C7" s="160"/>
      <c r="D7" s="577"/>
      <c r="E7" s="579"/>
      <c r="F7" s="581"/>
      <c r="G7" s="583"/>
      <c r="H7" s="356"/>
      <c r="I7" s="356" t="s">
        <v>975</v>
      </c>
      <c r="J7" s="161"/>
      <c r="K7" s="69" t="s">
        <v>96</v>
      </c>
    </row>
    <row r="8" spans="1:11" ht="10.5" customHeight="1">
      <c r="A8" s="69"/>
      <c r="B8" s="156" t="s">
        <v>974</v>
      </c>
      <c r="C8" s="157"/>
      <c r="D8" s="576" t="s">
        <v>904</v>
      </c>
      <c r="E8" s="578">
        <v>2</v>
      </c>
      <c r="F8" s="580">
        <v>40000</v>
      </c>
      <c r="G8" s="582">
        <v>80000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959</v>
      </c>
      <c r="C9" s="160"/>
      <c r="D9" s="577"/>
      <c r="E9" s="579"/>
      <c r="F9" s="581"/>
      <c r="G9" s="583"/>
      <c r="H9" s="356"/>
      <c r="I9" s="356" t="s">
        <v>975</v>
      </c>
      <c r="J9" s="162"/>
      <c r="K9" s="69" t="s">
        <v>96</v>
      </c>
    </row>
    <row r="10" spans="1:11" ht="10.5" customHeight="1">
      <c r="A10" s="69"/>
      <c r="B10" s="156" t="s">
        <v>974</v>
      </c>
      <c r="C10" s="157"/>
      <c r="D10" s="576" t="s">
        <v>904</v>
      </c>
      <c r="E10" s="578">
        <v>2</v>
      </c>
      <c r="F10" s="580">
        <v>39000</v>
      </c>
      <c r="G10" s="582">
        <v>78000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959</v>
      </c>
      <c r="C11" s="160"/>
      <c r="D11" s="577"/>
      <c r="E11" s="579"/>
      <c r="F11" s="581"/>
      <c r="G11" s="583"/>
      <c r="H11" s="356"/>
      <c r="I11" s="356" t="s">
        <v>975</v>
      </c>
      <c r="J11" s="161"/>
      <c r="K11" s="69" t="s">
        <v>96</v>
      </c>
    </row>
    <row r="12" spans="1:11" ht="10.5" customHeight="1">
      <c r="A12" s="69"/>
      <c r="B12" s="156" t="s">
        <v>976</v>
      </c>
      <c r="C12" s="157"/>
      <c r="D12" s="576" t="s">
        <v>912</v>
      </c>
      <c r="E12" s="584">
        <v>20</v>
      </c>
      <c r="F12" s="580">
        <v>25000</v>
      </c>
      <c r="G12" s="582">
        <v>500000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977</v>
      </c>
      <c r="C13" s="160"/>
      <c r="D13" s="577"/>
      <c r="E13" s="585"/>
      <c r="F13" s="581"/>
      <c r="G13" s="583"/>
      <c r="H13" s="356"/>
      <c r="I13" s="356" t="s">
        <v>975</v>
      </c>
      <c r="J13" s="161"/>
      <c r="K13" s="69" t="s">
        <v>96</v>
      </c>
    </row>
    <row r="14" spans="1:11" ht="10.5" customHeight="1">
      <c r="A14" s="69"/>
      <c r="B14" s="156" t="s">
        <v>978</v>
      </c>
      <c r="C14" s="157"/>
      <c r="D14" s="576" t="s">
        <v>904</v>
      </c>
      <c r="E14" s="584">
        <v>8</v>
      </c>
      <c r="F14" s="580">
        <v>7600</v>
      </c>
      <c r="G14" s="582">
        <v>60800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975</v>
      </c>
      <c r="J15" s="161"/>
      <c r="K15" s="69" t="s">
        <v>96</v>
      </c>
    </row>
    <row r="16" spans="1:11" ht="10.5" customHeight="1">
      <c r="A16" s="69"/>
      <c r="B16" s="156" t="s">
        <v>979</v>
      </c>
      <c r="C16" s="157"/>
      <c r="D16" s="576" t="s">
        <v>904</v>
      </c>
      <c r="E16" s="584">
        <v>20.183599999999998</v>
      </c>
      <c r="F16" s="580">
        <v>9800</v>
      </c>
      <c r="G16" s="582">
        <v>197800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975</v>
      </c>
      <c r="J17" s="161"/>
      <c r="K17" s="69" t="s">
        <v>96</v>
      </c>
    </row>
    <row r="18" spans="1:11" ht="10.5" customHeight="1">
      <c r="A18" s="69"/>
      <c r="B18" s="156" t="s">
        <v>979</v>
      </c>
      <c r="C18" s="157"/>
      <c r="D18" s="576" t="s">
        <v>904</v>
      </c>
      <c r="E18" s="584">
        <v>13.205</v>
      </c>
      <c r="F18" s="580">
        <v>9800</v>
      </c>
      <c r="G18" s="582">
        <v>129409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975</v>
      </c>
      <c r="J19" s="161"/>
      <c r="K19" s="69" t="s">
        <v>96</v>
      </c>
    </row>
    <row r="20" spans="1:11" ht="10.5" customHeight="1">
      <c r="A20" s="69"/>
      <c r="B20" s="156" t="s">
        <v>980</v>
      </c>
      <c r="C20" s="157"/>
      <c r="D20" s="576" t="s">
        <v>850</v>
      </c>
      <c r="E20" s="584">
        <v>1</v>
      </c>
      <c r="F20" s="580">
        <v>30000</v>
      </c>
      <c r="G20" s="582">
        <v>30000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975</v>
      </c>
      <c r="J21" s="161"/>
      <c r="K21" s="69" t="s">
        <v>96</v>
      </c>
    </row>
    <row r="22" spans="1:11" ht="10.5" customHeight="1">
      <c r="A22" s="69"/>
      <c r="B22" s="156" t="s">
        <v>981</v>
      </c>
      <c r="C22" s="157"/>
      <c r="D22" s="576" t="s">
        <v>839</v>
      </c>
      <c r="E22" s="584">
        <v>104</v>
      </c>
      <c r="F22" s="580">
        <v>300</v>
      </c>
      <c r="G22" s="582">
        <v>31200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975</v>
      </c>
      <c r="J23" s="161"/>
      <c r="K23" s="69" t="s">
        <v>96</v>
      </c>
    </row>
    <row r="24" spans="1:11" ht="10.5" customHeight="1">
      <c r="A24" s="69"/>
      <c r="B24" s="156" t="s">
        <v>982</v>
      </c>
      <c r="C24" s="157"/>
      <c r="D24" s="576" t="s">
        <v>904</v>
      </c>
      <c r="E24" s="578">
        <v>43</v>
      </c>
      <c r="F24" s="580">
        <v>7000</v>
      </c>
      <c r="G24" s="582">
        <v>301000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983</v>
      </c>
      <c r="C25" s="160"/>
      <c r="D25" s="577"/>
      <c r="E25" s="579"/>
      <c r="F25" s="581"/>
      <c r="G25" s="583"/>
      <c r="H25" s="356"/>
      <c r="I25" s="356" t="s">
        <v>975</v>
      </c>
      <c r="J25" s="161"/>
      <c r="K25" s="69" t="s">
        <v>96</v>
      </c>
    </row>
    <row r="26" spans="1:11" ht="10.5" customHeight="1">
      <c r="A26" s="69"/>
      <c r="B26" s="156" t="s">
        <v>984</v>
      </c>
      <c r="C26" s="157"/>
      <c r="D26" s="576" t="s">
        <v>839</v>
      </c>
      <c r="E26" s="584">
        <v>10</v>
      </c>
      <c r="F26" s="580">
        <v>2500</v>
      </c>
      <c r="G26" s="582">
        <v>25000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975</v>
      </c>
      <c r="J27" s="161"/>
      <c r="K27" s="69" t="s">
        <v>96</v>
      </c>
    </row>
    <row r="28" spans="1:11" ht="10.5" customHeight="1">
      <c r="A28" s="69"/>
      <c r="B28" s="156" t="s">
        <v>985</v>
      </c>
      <c r="C28" s="157"/>
      <c r="D28" s="576" t="s">
        <v>904</v>
      </c>
      <c r="E28" s="584">
        <v>41.183599999999998</v>
      </c>
      <c r="F28" s="580">
        <v>4000</v>
      </c>
      <c r="G28" s="582">
        <v>164734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986</v>
      </c>
      <c r="C29" s="160"/>
      <c r="D29" s="577"/>
      <c r="E29" s="585"/>
      <c r="F29" s="581"/>
      <c r="G29" s="583"/>
      <c r="H29" s="356"/>
      <c r="I29" s="356" t="s">
        <v>975</v>
      </c>
      <c r="J29" s="161"/>
      <c r="K29" s="69" t="s">
        <v>96</v>
      </c>
    </row>
    <row r="30" spans="1:11" ht="10.5" customHeight="1">
      <c r="A30" s="69"/>
      <c r="B30" s="156" t="s">
        <v>985</v>
      </c>
      <c r="C30" s="157"/>
      <c r="D30" s="576" t="s">
        <v>904</v>
      </c>
      <c r="E30" s="584">
        <v>24</v>
      </c>
      <c r="F30" s="580">
        <v>4000</v>
      </c>
      <c r="G30" s="582">
        <v>96000</v>
      </c>
      <c r="H30" s="355"/>
      <c r="I30" s="355"/>
      <c r="J30" s="158"/>
      <c r="K30" s="69" t="s">
        <v>96</v>
      </c>
    </row>
    <row r="31" spans="1:11" ht="10.5" customHeight="1">
      <c r="A31" s="69"/>
      <c r="B31" s="159" t="s">
        <v>986</v>
      </c>
      <c r="C31" s="160"/>
      <c r="D31" s="577"/>
      <c r="E31" s="585"/>
      <c r="F31" s="581"/>
      <c r="G31" s="583"/>
      <c r="H31" s="356"/>
      <c r="I31" s="356" t="s">
        <v>975</v>
      </c>
      <c r="J31" s="161"/>
      <c r="K31" s="69" t="s">
        <v>96</v>
      </c>
    </row>
    <row r="32" spans="1:11" ht="10.5" customHeight="1">
      <c r="A32" s="69"/>
      <c r="B32" s="156" t="s">
        <v>985</v>
      </c>
      <c r="C32" s="157"/>
      <c r="D32" s="576" t="s">
        <v>904</v>
      </c>
      <c r="E32" s="584">
        <v>6</v>
      </c>
      <c r="F32" s="580">
        <v>4000</v>
      </c>
      <c r="G32" s="582">
        <v>24000</v>
      </c>
      <c r="H32" s="355"/>
      <c r="I32" s="355"/>
      <c r="J32" s="158"/>
      <c r="K32" s="69" t="s">
        <v>96</v>
      </c>
    </row>
    <row r="33" spans="1:11" ht="10.5" customHeight="1">
      <c r="A33" s="69"/>
      <c r="B33" s="159" t="s">
        <v>986</v>
      </c>
      <c r="C33" s="160"/>
      <c r="D33" s="577"/>
      <c r="E33" s="585"/>
      <c r="F33" s="581"/>
      <c r="G33" s="583"/>
      <c r="H33" s="356"/>
      <c r="I33" s="356" t="s">
        <v>975</v>
      </c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 t="s">
        <v>882</v>
      </c>
      <c r="C36" s="157"/>
      <c r="D36" s="576"/>
      <c r="E36" s="584"/>
      <c r="F36" s="580"/>
      <c r="G36" s="582">
        <v>2317943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2026-02-05T05:13:59Z</dcterms:modified>
  <cp:category/>
  <cp:contentStatus/>
</cp:coreProperties>
</file>