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74B9B4DC-F1B4-415A-B696-1675E8E16981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'工事費一覧表(共通仮設費)'!$A$1:$AF$15</definedName>
    <definedName name="_xlnm.Print_Area" localSheetId="11">'工事費一覧表(現場経費)'!$A$1:$AF$16</definedName>
    <definedName name="_xlnm.Print_Area" localSheetId="6">'工事費一覧表(直接工事費)'!$A$1:$AF$46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O22" i="25" s="1"/>
  <c r="Q26" i="25"/>
  <c r="Q21" i="25" s="1"/>
  <c r="Q22" i="25" s="1"/>
  <c r="D10" i="25"/>
  <c r="D18" i="25"/>
  <c r="H26" i="25"/>
  <c r="H21" i="25" s="1"/>
  <c r="P26" i="25"/>
  <c r="P21" i="25" s="1"/>
  <c r="P22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<sst xmlns="http://schemas.openxmlformats.org/spreadsheetml/2006/main" count="1496" uniqueCount="422">
  <si>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</si>
  <si>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</si>
  <si>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</si>
  <si>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</si>
  <si>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</si>
  <si>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</si>
  <si>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</si>
  <si>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</si>
  <si>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</si>
  <si>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</si>
  <si>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</si>
  <si>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</si>
  <si>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</si>
  <si>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</si>
  <si>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</si>
  <si>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</si>
  <si>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</si>
  <si>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</si>
  <si>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</si>
  <si>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</si>
  <si>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</si>
  <si>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</si>
  <si>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</si>
  <si>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</si>
  <si>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</si>
  <si>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</si>
  <si>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</si>
  <si>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</si>
  <si>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</si>
  <si>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</si>
  <si>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</si>
  <si>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</si>
  <si>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</si>
  <si>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</si>
  <si>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</si>
  <si>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</si>
  <si>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</si>
  <si>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</si>
  <si>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</si>
  <si>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</si>
  <si>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</si>
  <si>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</si>
  <si>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</si>
  <si>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</si>
  <si>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</si>
  <si>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</si>
  <si>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</si>
  <si>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</si>
  <si>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</si>
  <si>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</si>
  <si>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</si>
  <si>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</si>
  <si>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</si>
  <si>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</si>
  <si>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</si>
  <si>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</si>
  <si>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</si>
  <si>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</si>
  <si>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</si>
  <si>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</si>
  <si>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</si>
  <si>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</si>
  <si>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</si>
  <si>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</si>
  <si>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</si>
  <si>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</si>
  <si>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</si>
  <si>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</si>
  <si>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</si>
  <si>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</si>
  <si>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</si>
  <si>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</si>
  <si>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</si>
  <si>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</si>
  <si>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</si>
  <si>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</si>
  <si>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</si>
  <si>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</si>
  <si>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</si>
  <si>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</si>
  <si>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</si>
  <si>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</si>
  <si>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</si>
  <si>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</si>
  <si>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</si>
  <si>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</si>
  <si>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</si>
  <si>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</si>
  <si>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</si>
  <si>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</si>
  <si>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</si>
  <si>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</si>
  <si>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</si>
  <si>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</si>
  <si>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</si>
  <si>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</si>
  <si>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</si>
  <si>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</si>
  <si>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</si>
  <si>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</si>
  <si>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</si>
  <si>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</si>
  <si>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</si>
  <si>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</si>
  <si>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</si>
  <si>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</si>
  <si>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</si>
  <si>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</si>
  <si>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</si>
  <si>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</si>
  <si>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</si>
  <si>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</si>
  <si>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</si>
  <si>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</si>
  <si>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</si>
  <si>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</si>
  <si>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</si>
  <si>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</si>
  <si>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</si>
  <si>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</si>
  <si>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</si>
  <si>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</si>
  <si>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</si>
  <si>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</si>
  <si>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</si>
  <si>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</si>
  <si>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</si>
  <si>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</si>
  <si>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</si>
  <si>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</si>
  <si>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</si>
  <si>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</si>
  <si>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</si>
  <si>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</si>
  <si>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</si>
  <si>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</si>
  <si>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</si>
  <si>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</si>
  <si>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</si>
  <si>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</si>
  <si>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</si>
  <si>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</si>
  <si>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</si>
  <si>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</si>
  <si>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</si>
  <si>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2310340042E E</t>
  </si>
  <si>
    <t>（当　初）</t>
  </si>
  <si>
    <t>若生　健斗</t>
  </si>
  <si>
    <t>宮城蔵王リゾートⅠ‐１</t>
  </si>
  <si>
    <t>大和ハウス工業　株式会社</t>
  </si>
  <si>
    <t>宮城支店</t>
  </si>
  <si>
    <t>宮城県刈田郡蔵王町　地内</t>
  </si>
  <si>
    <t>2023年5月22日</t>
  </si>
  <si>
    <t>2024年3月31日</t>
  </si>
  <si>
    <t>舗装版切断工</t>
  </si>
  <si>
    <t>舗装打換工</t>
  </si>
  <si>
    <t>オーバーレイ工</t>
  </si>
  <si>
    <t>外注経費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</si>
  <si>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</si>
  <si>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</si>
  <si>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</si>
  <si>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</si>
  <si>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</si>
  <si>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</si>
  <si>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</si>
  <si>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</si>
  <si>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>電力用水光熱費</t>
  </si>
  <si>
    <t>通信費</t>
  </si>
  <si>
    <t>旅費交通費</t>
  </si>
  <si>
    <t xml:space="preserve">舗装打換工　オーバーレイ工_x000D_
</t>
  </si>
  <si>
    <t>式</t>
  </si>
  <si>
    <t>個所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</si>
  <si>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</si>
  <si>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</si>
  <si>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</si>
  <si>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</si>
  <si>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</si>
  <si>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</si>
  <si>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(携帯通話料、ネット回線契約、電話回線契約　等)</t>
  </si>
  <si>
    <t>(出張、移動旅費等)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</si>
  <si>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</si>
  <si>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</si>
  <si>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</si>
  <si>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</si>
  <si>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</si>
  <si>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</si>
  <si>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</si>
  <si>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</si>
  <si>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宮城蔵王リゾート舗装補修</t>
  </si>
  <si>
    <t>東北支社</t>
  </si>
  <si>
    <t>単独</t>
  </si>
  <si>
    <t>E</t>
  </si>
  <si>
    <t>2023年5月22日 ～ 2024年3月31日</t>
  </si>
  <si>
    <t xml:space="preserve">舗装打換工　オーバーレイ工_x000D_
</t>
    <phoneticPr fontId="4"/>
  </si>
  <si>
    <t>直接工事費</t>
  </si>
  <si>
    <t xml:space="preserve">  舗装版切断工</t>
  </si>
  <si>
    <t xml:space="preserve">  </t>
  </si>
  <si>
    <t>15号</t>
  </si>
  <si>
    <t>内訳書</t>
  </si>
  <si>
    <t xml:space="preserve">  舗装打換工</t>
  </si>
  <si>
    <t>16号</t>
  </si>
  <si>
    <t xml:space="preserve">  オーバーレイ工</t>
  </si>
  <si>
    <t>17号</t>
  </si>
  <si>
    <t xml:space="preserve">  外注経費</t>
  </si>
  <si>
    <t>18号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</si>
  <si>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</si>
  <si>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</si>
  <si>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</si>
  <si>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</si>
  <si>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</si>
  <si>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</si>
  <si>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</si>
  <si>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</si>
  <si>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宮城蔵王リゾートⅠ‐１</t>
    <phoneticPr fontId="4"/>
  </si>
  <si>
    <t>総括</t>
  </si>
  <si>
    <t>集計行</t>
  </si>
  <si>
    <t>｜直接工事費</t>
  </si>
  <si>
    <t>内訳代価</t>
  </si>
  <si>
    <t>｜｜舗装版切断工</t>
  </si>
  <si>
    <t>15号内訳書</t>
  </si>
  <si>
    <t>｜｜｜舗装版切断</t>
  </si>
  <si>
    <t>一式工事（1日）</t>
  </si>
  <si>
    <t xml:space="preserve">g0012 </t>
  </si>
  <si>
    <t>｜｜舗装打換工</t>
  </si>
  <si>
    <t>16号内訳書</t>
  </si>
  <si>
    <t>｜｜｜軽油</t>
  </si>
  <si>
    <t>ℓ</t>
  </si>
  <si>
    <t xml:space="preserve">s5001 </t>
  </si>
  <si>
    <t xml:space="preserve">60×4日 </t>
  </si>
  <si>
    <t>｜｜｜ｶﾞｿﾘﾝ</t>
  </si>
  <si>
    <t xml:space="preserve">s5002 </t>
  </si>
  <si>
    <t>｜｜｜RC-40</t>
  </si>
  <si>
    <t>現着</t>
  </si>
  <si>
    <t>m3</t>
  </si>
  <si>
    <t xml:space="preserve">s0002 </t>
  </si>
  <si>
    <t xml:space="preserve">120×0.02×1.35 </t>
  </si>
  <si>
    <t>｜｜｜RSK-3・4</t>
  </si>
  <si>
    <t>t</t>
  </si>
  <si>
    <t xml:space="preserve">s1002 </t>
  </si>
  <si>
    <t xml:space="preserve">120×1.0 </t>
  </si>
  <si>
    <t>｜｜｜再生密粒度As13 F</t>
  </si>
  <si>
    <t>引取</t>
  </si>
  <si>
    <t xml:space="preserve">s2020 </t>
  </si>
  <si>
    <t xml:space="preserve">120×0.05×2.35×1.08 </t>
  </si>
  <si>
    <t>｜｜｜技工</t>
  </si>
  <si>
    <t>直営作業員</t>
  </si>
  <si>
    <t>人</t>
  </si>
  <si>
    <t xml:space="preserve">r0002 </t>
  </si>
  <si>
    <t xml:space="preserve">12人×4日 </t>
  </si>
  <si>
    <t>｜｜｜ｺﾝﾊﾞｲﾝﾄﾞﾛｰﾗ</t>
  </si>
  <si>
    <t>4t</t>
  </si>
  <si>
    <t>台</t>
  </si>
  <si>
    <t xml:space="preserve">k0006 </t>
  </si>
  <si>
    <t xml:space="preserve">1台×4日 </t>
  </si>
  <si>
    <t>｜｜｜ﾊﾞｯｸﾎｳ</t>
  </si>
  <si>
    <t>0.15m3</t>
  </si>
  <si>
    <t xml:space="preserve">k0012 </t>
  </si>
  <si>
    <t xml:space="preserve">2台×4日 </t>
  </si>
  <si>
    <t>0.25m3</t>
  </si>
  <si>
    <t xml:space="preserve">k0011 </t>
  </si>
  <si>
    <t xml:space="preserve">1台×1日 </t>
  </si>
  <si>
    <t>｜｜｜ﾊﾝﾄﾞｶﾞｲﾄﾞﾛｰﾗ</t>
  </si>
  <si>
    <t xml:space="preserve">k0013 </t>
  </si>
  <si>
    <t>｜｜｜ﾌﾟﾚｰﾄ</t>
  </si>
  <si>
    <t xml:space="preserve">k0015 </t>
  </si>
  <si>
    <t>｜｜｜散水車</t>
  </si>
  <si>
    <t xml:space="preserve">k0016 </t>
  </si>
  <si>
    <t>｜｜｜2tﾀﾞﾝﾌﾟ</t>
  </si>
  <si>
    <t xml:space="preserve">u0001 </t>
  </si>
  <si>
    <t>｜｜｜3tﾀﾞﾝﾌﾟ</t>
  </si>
  <si>
    <t xml:space="preserve">u0002 </t>
  </si>
  <si>
    <t>｜｜｜4tﾀﾞﾝﾌﾟ</t>
  </si>
  <si>
    <t xml:space="preserve">u0003 </t>
  </si>
  <si>
    <t>｜｜｜連絡車</t>
  </si>
  <si>
    <t>Wﾋﾟｯｸ</t>
  </si>
  <si>
    <t xml:space="preserve">u0006 </t>
  </si>
  <si>
    <t xml:space="preserve">4台×4日 </t>
  </si>
  <si>
    <t>｜｜｜10tﾀﾞﾝﾌﾟ常用</t>
  </si>
  <si>
    <t>昼間</t>
  </si>
  <si>
    <t xml:space="preserve">u0009 </t>
  </si>
  <si>
    <t xml:space="preserve">1日×1日 </t>
  </si>
  <si>
    <t>｜｜｜AS魂処理費</t>
  </si>
  <si>
    <t>ｔ</t>
  </si>
  <si>
    <t xml:space="preserve">s10348098 </t>
  </si>
  <si>
    <t xml:space="preserve">120×0.05×2.35 </t>
  </si>
  <si>
    <t>｜｜オーバーレイ工</t>
  </si>
  <si>
    <t>17号内訳書</t>
  </si>
  <si>
    <t xml:space="preserve">60×3日 </t>
  </si>
  <si>
    <t xml:space="preserve">176×0.4 </t>
  </si>
  <si>
    <t>｜｜｜細粒度As13F</t>
  </si>
  <si>
    <t xml:space="preserve">s2026 </t>
  </si>
  <si>
    <t xml:space="preserve">176×0.02×2.35×1.08 </t>
  </si>
  <si>
    <t xml:space="preserve">12人×3日 </t>
  </si>
  <si>
    <t xml:space="preserve">2台×3日 </t>
  </si>
  <si>
    <t xml:space="preserve">1台×3日 </t>
  </si>
  <si>
    <t>｜｜｜発電機</t>
  </si>
  <si>
    <t>900ｗ</t>
  </si>
  <si>
    <t xml:space="preserve">s10348071 </t>
  </si>
  <si>
    <t>｜｜｜ピック</t>
  </si>
  <si>
    <t xml:space="preserve">4台×3日 </t>
  </si>
  <si>
    <t>｜｜外注経費</t>
  </si>
  <si>
    <t>18号内訳書</t>
  </si>
  <si>
    <t>｜｜｜諸経費</t>
  </si>
  <si>
    <t xml:space="preserve">414000×0.15 </t>
  </si>
  <si>
    <t>｜｜｜法定福利費</t>
  </si>
  <si>
    <t xml:space="preserve">414000×0.16 </t>
  </si>
  <si>
    <t>予算</t>
    <phoneticPr fontId="6"/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</si>
  <si>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</si>
  <si>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</si>
  <si>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</si>
  <si>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</si>
  <si>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</si>
  <si>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</si>
  <si>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</si>
  <si>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1号内訳書</t>
  </si>
  <si>
    <t>｜｜｜10t車回送</t>
  </si>
  <si>
    <t>回</t>
  </si>
  <si>
    <t xml:space="preserve">u0012 </t>
  </si>
  <si>
    <t>｜｜準備費</t>
  </si>
  <si>
    <t>2号内訳書</t>
  </si>
  <si>
    <t>｜｜｜準備測量等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</si>
  <si>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</si>
  <si>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</si>
  <si>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</si>
  <si>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</si>
  <si>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</si>
  <si>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</si>
  <si>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｜｜｜カラーコーン等</t>
  </si>
  <si>
    <t>｜｜技術管理費</t>
  </si>
  <si>
    <t>6号内訳書</t>
  </si>
  <si>
    <t>7号</t>
  </si>
  <si>
    <t>8号</t>
  </si>
  <si>
    <t>9号</t>
  </si>
  <si>
    <t>10号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</si>
  <si>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</si>
  <si>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</si>
  <si>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</si>
  <si>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</si>
  <si>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</si>
  <si>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</si>
  <si>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</si>
  <si>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</si>
  <si>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</si>
  <si>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</si>
  <si>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｜｜｜社員給料</t>
  </si>
  <si>
    <t>総合1級　昼間</t>
  </si>
  <si>
    <t>日</t>
  </si>
  <si>
    <t xml:space="preserve">m0002 </t>
  </si>
  <si>
    <t xml:space="preserve">分かれて施工の為1日2名×7日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</si>
  <si>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</si>
  <si>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</si>
  <si>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</si>
  <si>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</si>
  <si>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</si>
  <si>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</si>
  <si>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</si>
  <si>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</si>
  <si>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</si>
  <si>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</si>
  <si>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</si>
  <si>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</si>
  <si>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</si>
  <si>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</si>
  <si>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</si>
  <si>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宮城蔵王リゾートⅠ‐１</t>
    <phoneticPr fontId="6"/>
  </si>
  <si>
    <t>2310340042E E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</si>
  <si>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</si>
  <si>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</si>
  <si>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</si>
  <si>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</si>
  <si>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</si>
  <si>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</si>
  <si>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</si>
  <si>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</t>
    <phoneticPr fontId="6"/>
  </si>
  <si>
    <t>m3</t>
    <phoneticPr fontId="6"/>
  </si>
  <si>
    <t>現着</t>
    <phoneticPr fontId="6"/>
  </si>
  <si>
    <t>材料費</t>
    <phoneticPr fontId="6"/>
  </si>
  <si>
    <t>RSK-3・4</t>
    <phoneticPr fontId="6"/>
  </si>
  <si>
    <t>t</t>
    <phoneticPr fontId="6"/>
  </si>
  <si>
    <t>ｶﾞｿﾘﾝ</t>
    <phoneticPr fontId="6"/>
  </si>
  <si>
    <t>ℓ</t>
    <phoneticPr fontId="6"/>
  </si>
  <si>
    <t>軽油</t>
    <phoneticPr fontId="6"/>
  </si>
  <si>
    <t>再生密粒度As13 F</t>
    <phoneticPr fontId="6"/>
  </si>
  <si>
    <t>引取</t>
    <phoneticPr fontId="6"/>
  </si>
  <si>
    <t>細粒度As13F</t>
    <phoneticPr fontId="6"/>
  </si>
  <si>
    <t>準備測量等</t>
    <phoneticPr fontId="6"/>
  </si>
  <si>
    <t>式</t>
    <phoneticPr fontId="6"/>
  </si>
  <si>
    <t>計</t>
    <phoneticPr fontId="6"/>
  </si>
  <si>
    <t>技工</t>
    <phoneticPr fontId="6"/>
  </si>
  <si>
    <t>人</t>
    <phoneticPr fontId="6"/>
  </si>
  <si>
    <t>直営作業員</t>
    <phoneticPr fontId="6"/>
  </si>
  <si>
    <t>労務費</t>
    <phoneticPr fontId="6"/>
  </si>
  <si>
    <t>諸経費</t>
    <phoneticPr fontId="6"/>
  </si>
  <si>
    <t>外注費</t>
    <phoneticPr fontId="6"/>
  </si>
  <si>
    <t>舗装版切断</t>
    <phoneticPr fontId="6"/>
  </si>
  <si>
    <t>一式工事（1日）</t>
    <phoneticPr fontId="6"/>
  </si>
  <si>
    <t>法定福利費</t>
    <phoneticPr fontId="6"/>
  </si>
  <si>
    <t>ｺﾝﾊﾞｲﾝﾄﾞﾛｰﾗ</t>
    <phoneticPr fontId="6"/>
  </si>
  <si>
    <t>台</t>
    <phoneticPr fontId="6"/>
  </si>
  <si>
    <t>4t</t>
    <phoneticPr fontId="6"/>
  </si>
  <si>
    <t>機械費</t>
    <phoneticPr fontId="6"/>
  </si>
  <si>
    <t>ﾊﾞｯｸﾎｳ</t>
    <phoneticPr fontId="6"/>
  </si>
  <si>
    <t>0.15m3</t>
    <phoneticPr fontId="6"/>
  </si>
  <si>
    <t>0.25m3</t>
    <phoneticPr fontId="6"/>
  </si>
  <si>
    <t>ﾊﾝﾄﾞｶﾞｲﾄﾞﾛｰﾗ</t>
    <phoneticPr fontId="6"/>
  </si>
  <si>
    <t>ピック</t>
    <phoneticPr fontId="6"/>
  </si>
  <si>
    <t>ﾌﾟﾚｰﾄ</t>
    <phoneticPr fontId="6"/>
  </si>
  <si>
    <t>散水車</t>
    <phoneticPr fontId="6"/>
  </si>
  <si>
    <t>発電機</t>
    <phoneticPr fontId="6"/>
  </si>
  <si>
    <t>900ｗ</t>
    <phoneticPr fontId="6"/>
  </si>
  <si>
    <t>10tﾀﾞﾝﾌﾟ常用</t>
    <phoneticPr fontId="6"/>
  </si>
  <si>
    <t>昼間</t>
    <phoneticPr fontId="6"/>
  </si>
  <si>
    <t>運搬費</t>
    <phoneticPr fontId="6"/>
  </si>
  <si>
    <t>10t車回送</t>
    <phoneticPr fontId="6"/>
  </si>
  <si>
    <t>回</t>
    <phoneticPr fontId="6"/>
  </si>
  <si>
    <t>2tﾀﾞﾝﾌﾟ</t>
    <phoneticPr fontId="6"/>
  </si>
  <si>
    <t>3tﾀﾞﾝﾌﾟ</t>
    <phoneticPr fontId="6"/>
  </si>
  <si>
    <t>4tﾀﾞﾝﾌﾟ</t>
    <phoneticPr fontId="6"/>
  </si>
  <si>
    <t>AS魂処理費</t>
    <phoneticPr fontId="6"/>
  </si>
  <si>
    <t>ｔ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</si>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</sst>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4880000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3610000</v>
      </c>
      <c r="J16" s="420"/>
      <c r="K16" s="420"/>
      <c r="L16" s="420"/>
      <c r="M16" s="420"/>
      <c r="N16" s="420"/>
      <c r="O16" s="420"/>
      <c r="P16" s="420"/>
      <c r="Q16" s="416">
        <v>0.73980000000000001</v>
      </c>
      <c r="R16" s="416"/>
      <c r="S16" s="416"/>
      <c r="U16" s="417" t="s">
        <v>16</v>
      </c>
      <c r="V16" s="418"/>
      <c r="W16" s="418"/>
      <c r="X16" s="418"/>
      <c r="Y16" s="419">
        <v>1270000</v>
      </c>
      <c r="Z16" s="420"/>
      <c r="AA16" s="420"/>
      <c r="AB16" s="420"/>
      <c r="AC16" s="420"/>
      <c r="AD16" s="420"/>
      <c r="AE16" s="420"/>
      <c r="AF16" s="420"/>
      <c r="AG16" s="416">
        <v>0.26019999999999999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topLeftCell="A6"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45068</v>
      </c>
      <c r="D3" s="458"/>
      <c r="E3" s="272" t="s">
        <v>139</v>
      </c>
      <c r="F3" s="459">
        <v>45382</v>
      </c>
      <c r="G3" s="459"/>
      <c r="H3" s="459"/>
      <c r="I3" s="273"/>
      <c r="J3" s="273"/>
      <c r="K3" s="460" t="s">
        <v>30</v>
      </c>
      <c r="L3" s="461"/>
      <c r="M3" s="462"/>
      <c r="N3" s="449">
        <v>4880000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80000</v>
      </c>
      <c r="D5" s="335">
        <f>IF(C5&lt;&gt;"",C5/$C$20,"")</f>
        <v>2.2160664819944598E-2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1746900</v>
      </c>
      <c r="D6" s="336">
        <f t="shared" ref="D6:D17" si="0">IF(C6&lt;&gt;"",C6/$C$20,"")</f>
        <v>0.48390581717451525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1211188</v>
      </c>
      <c r="D7" s="336">
        <f t="shared" si="0"/>
        <v>0.33550914127423825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130000</v>
      </c>
      <c r="D8" s="336">
        <f t="shared" si="0"/>
        <v>3.6011080332409975E-2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100000</v>
      </c>
      <c r="D9" s="336">
        <f t="shared" si="0"/>
        <v>2.7700831024930747E-2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9912</v>
      </c>
      <c r="D10" s="336">
        <f t="shared" si="0"/>
        <v>2.7457063711911357E-3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0</v>
      </c>
      <c r="D11" s="336">
        <f t="shared" si="0"/>
        <v>0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10000</v>
      </c>
      <c r="D13" s="336">
        <f t="shared" si="0"/>
        <v>2.7700831024930748E-3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0</v>
      </c>
      <c r="D14" s="336">
        <f t="shared" si="0"/>
        <v>0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322000</v>
      </c>
      <c r="D15" s="336">
        <f t="shared" si="0"/>
        <v>8.9196675900277009E-2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167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168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3610000</v>
      </c>
      <c r="D20" s="337">
        <f>SUM(D5:D19)</f>
        <v>0.99999999999999989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 t="s">
        <v>169</v>
      </c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/>
      <c r="L5" s="283" t="s">
        <v>170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171</v>
      </c>
      <c r="M6" s="291">
        <v>30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171</v>
      </c>
      <c r="M7" s="291">
        <v>44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170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170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 t="s">
        <v>172</v>
      </c>
      <c r="L10" s="290" t="s">
        <v>170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 t="s">
        <v>173</v>
      </c>
      <c r="L11" s="290" t="s">
        <v>170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 t="s">
        <v>174</v>
      </c>
      <c r="L12" s="290" t="s">
        <v>170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 t="s">
        <v>175</v>
      </c>
      <c r="L13" s="290" t="s">
        <v>170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 t="s">
        <v>176</v>
      </c>
      <c r="L14" s="290" t="s">
        <v>170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/>
      <c r="L15" s="290" t="s">
        <v>170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 t="s">
        <v>177</v>
      </c>
      <c r="L16" s="290" t="s">
        <v>170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/>
      <c r="L17" s="290" t="s">
        <v>170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167</v>
      </c>
      <c r="K18" s="289" t="s">
        <v>178</v>
      </c>
      <c r="L18" s="290" t="s">
        <v>170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168</v>
      </c>
      <c r="K19" s="295" t="s">
        <v>179</v>
      </c>
      <c r="L19" s="296" t="s">
        <v>170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topLeftCell="A3"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188</v>
      </c>
      <c r="D5" s="512"/>
      <c r="E5" s="246" t="s">
        <v>133</v>
      </c>
      <c r="F5" s="513" t="s">
        <v>189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180</v>
      </c>
      <c r="I6" s="110" t="s">
        <v>181</v>
      </c>
      <c r="J6" s="110" t="s">
        <v>182</v>
      </c>
      <c r="K6" s="110" t="s">
        <v>183</v>
      </c>
      <c r="L6" s="110" t="s">
        <v>184</v>
      </c>
      <c r="M6" s="111" t="s">
        <v>185</v>
      </c>
      <c r="N6" s="110" t="s">
        <v>186</v>
      </c>
      <c r="O6" s="112" t="s">
        <v>187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4880000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3610000</v>
      </c>
      <c r="G8" s="334">
        <v>0.73980000000000001</v>
      </c>
      <c r="H8" s="250">
        <v>371135</v>
      </c>
      <c r="I8" s="251">
        <v>1932000</v>
      </c>
      <c r="J8" s="251">
        <v>210000</v>
      </c>
      <c r="K8" s="251">
        <v>243000</v>
      </c>
      <c r="L8" s="252">
        <v>521900</v>
      </c>
      <c r="M8" s="252">
        <v>10000</v>
      </c>
      <c r="N8" s="253">
        <v>322000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3168088</v>
      </c>
      <c r="G9" s="334">
        <v>0.6492</v>
      </c>
      <c r="H9" s="250">
        <v>361223</v>
      </c>
      <c r="I9" s="251">
        <v>1932000</v>
      </c>
      <c r="J9" s="251">
        <v>210000</v>
      </c>
      <c r="K9" s="251">
        <v>243000</v>
      </c>
      <c r="L9" s="252">
        <v>421900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119912</v>
      </c>
      <c r="G10" s="334">
        <v>2.46E-2</v>
      </c>
      <c r="H10" s="250">
        <v>9912</v>
      </c>
      <c r="I10" s="253"/>
      <c r="J10" s="253"/>
      <c r="K10" s="253"/>
      <c r="L10" s="251">
        <v>100000</v>
      </c>
      <c r="M10" s="252">
        <v>10000</v>
      </c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322000</v>
      </c>
      <c r="G11" s="334">
        <v>6.6000000000000003E-2</v>
      </c>
      <c r="H11" s="250"/>
      <c r="I11" s="253"/>
      <c r="J11" s="253"/>
      <c r="K11" s="253"/>
      <c r="L11" s="251"/>
      <c r="M11" s="252"/>
      <c r="N11" s="253">
        <v>322000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190</v>
      </c>
      <c r="D12" s="492"/>
      <c r="E12" s="113" t="s">
        <v>66</v>
      </c>
      <c r="F12" s="249">
        <v>1270000</v>
      </c>
      <c r="G12" s="334">
        <v>0.26019999999999999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191</v>
      </c>
      <c r="D13" s="492"/>
      <c r="E13" s="169" t="s">
        <v>110</v>
      </c>
      <c r="F13" s="249">
        <v>317200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152</v>
      </c>
      <c r="D14" s="493"/>
      <c r="E14" s="114" t="s">
        <v>111</v>
      </c>
      <c r="F14" s="249">
        <v>229360</v>
      </c>
      <c r="G14" s="334">
        <v>4.7E-2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192</v>
      </c>
      <c r="D15" s="495"/>
      <c r="E15" s="114" t="s">
        <v>112</v>
      </c>
      <c r="F15" s="249">
        <v>87840</v>
      </c>
      <c r="G15" s="334">
        <v>1.7999999999999999E-2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192</v>
      </c>
      <c r="D16" s="493"/>
      <c r="E16" s="113" t="s">
        <v>113</v>
      </c>
      <c r="F16" s="249">
        <v>952800</v>
      </c>
      <c r="G16" s="334">
        <v>0.19520000000000001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 t="s">
        <v>193</v>
      </c>
      <c r="D17" s="500"/>
      <c r="E17" s="113" t="s">
        <v>114</v>
      </c>
      <c r="F17" s="249">
        <v>73200</v>
      </c>
      <c r="G17" s="334">
        <v>1.4999999999999999E-2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879600</v>
      </c>
      <c r="G18" s="334">
        <v>0.1802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topLeftCell="A20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194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195</v>
      </c>
      <c r="C8" s="166"/>
      <c r="D8" s="517" t="s">
        <v>170</v>
      </c>
      <c r="E8" s="519">
        <v>1</v>
      </c>
      <c r="F8" s="521">
        <v>80000</v>
      </c>
      <c r="G8" s="523">
        <v>80000</v>
      </c>
      <c r="H8" s="351" t="s">
        <v>197</v>
      </c>
      <c r="I8" s="525">
        <v>1.6299999999999999E-2</v>
      </c>
      <c r="J8" s="227"/>
      <c r="K8" s="69" t="s">
        <v>96</v>
      </c>
    </row>
    <row r="9" spans="1:11" ht="15.6" customHeight="1">
      <c r="A9" s="69"/>
      <c r="B9" s="224" t="s">
        <v>196</v>
      </c>
      <c r="C9" s="225"/>
      <c r="D9" s="518"/>
      <c r="E9" s="520"/>
      <c r="F9" s="522"/>
      <c r="G9" s="524"/>
      <c r="H9" s="352" t="s">
        <v>198</v>
      </c>
      <c r="I9" s="526"/>
      <c r="J9" s="227"/>
      <c r="K9" s="69" t="s">
        <v>96</v>
      </c>
    </row>
    <row r="10" spans="1:11" ht="15.6" customHeight="1">
      <c r="A10" s="69"/>
      <c r="B10" s="222" t="s">
        <v>199</v>
      </c>
      <c r="C10" s="166"/>
      <c r="D10" s="517" t="s">
        <v>171</v>
      </c>
      <c r="E10" s="519">
        <v>30</v>
      </c>
      <c r="F10" s="521">
        <v>58230</v>
      </c>
      <c r="G10" s="523">
        <v>1746900</v>
      </c>
      <c r="H10" s="351" t="s">
        <v>200</v>
      </c>
      <c r="I10" s="525">
        <v>0.3579</v>
      </c>
      <c r="J10" s="223"/>
      <c r="K10" s="69" t="s">
        <v>96</v>
      </c>
    </row>
    <row r="11" spans="1:11" ht="15.6" customHeight="1">
      <c r="A11" s="69"/>
      <c r="B11" s="224" t="s">
        <v>196</v>
      </c>
      <c r="C11" s="225"/>
      <c r="D11" s="518"/>
      <c r="E11" s="520"/>
      <c r="F11" s="522"/>
      <c r="G11" s="524"/>
      <c r="H11" s="352" t="s">
        <v>198</v>
      </c>
      <c r="I11" s="526"/>
      <c r="J11" s="226"/>
      <c r="K11" s="69" t="s">
        <v>96</v>
      </c>
    </row>
    <row r="12" spans="1:11" ht="15.6" customHeight="1">
      <c r="A12" s="69"/>
      <c r="B12" s="222" t="s">
        <v>201</v>
      </c>
      <c r="C12" s="166"/>
      <c r="D12" s="517" t="s">
        <v>171</v>
      </c>
      <c r="E12" s="519">
        <v>44</v>
      </c>
      <c r="F12" s="521">
        <v>27527</v>
      </c>
      <c r="G12" s="523">
        <v>1211188</v>
      </c>
      <c r="H12" s="351" t="s">
        <v>202</v>
      </c>
      <c r="I12" s="525">
        <v>0.24809999999999999</v>
      </c>
      <c r="J12" s="223"/>
      <c r="K12" s="69" t="s">
        <v>96</v>
      </c>
    </row>
    <row r="13" spans="1:11" ht="15.6" customHeight="1">
      <c r="A13" s="69"/>
      <c r="B13" s="224" t="s">
        <v>196</v>
      </c>
      <c r="C13" s="225"/>
      <c r="D13" s="518"/>
      <c r="E13" s="520"/>
      <c r="F13" s="522"/>
      <c r="G13" s="524"/>
      <c r="H13" s="352" t="s">
        <v>198</v>
      </c>
      <c r="I13" s="526"/>
      <c r="J13" s="226"/>
      <c r="K13" s="69" t="s">
        <v>96</v>
      </c>
    </row>
    <row r="14" spans="1:11" ht="15.6" customHeight="1">
      <c r="A14" s="69"/>
      <c r="B14" s="222" t="s">
        <v>203</v>
      </c>
      <c r="C14" s="166"/>
      <c r="D14" s="517" t="s">
        <v>170</v>
      </c>
      <c r="E14" s="519">
        <v>1</v>
      </c>
      <c r="F14" s="521">
        <v>130000</v>
      </c>
      <c r="G14" s="523">
        <v>130000</v>
      </c>
      <c r="H14" s="351" t="s">
        <v>204</v>
      </c>
      <c r="I14" s="525">
        <v>2.6599999999999999E-2</v>
      </c>
      <c r="J14" s="223"/>
      <c r="K14" s="69" t="s">
        <v>96</v>
      </c>
    </row>
    <row r="15" spans="1:11" ht="15.6" customHeight="1">
      <c r="A15" s="69"/>
      <c r="B15" s="224" t="s">
        <v>196</v>
      </c>
      <c r="C15" s="225"/>
      <c r="D15" s="518"/>
      <c r="E15" s="520"/>
      <c r="F15" s="522"/>
      <c r="G15" s="524"/>
      <c r="H15" s="352" t="s">
        <v>198</v>
      </c>
      <c r="I15" s="526"/>
      <c r="J15" s="226"/>
      <c r="K15" s="69" t="s">
        <v>96</v>
      </c>
    </row>
    <row r="16" spans="1:11" ht="15.6" customHeight="1">
      <c r="A16" s="69"/>
      <c r="B16" s="222" t="s">
        <v>205</v>
      </c>
      <c r="C16" s="166"/>
      <c r="D16" s="517"/>
      <c r="E16" s="519"/>
      <c r="F16" s="521"/>
      <c r="G16" s="523">
        <v>3168088</v>
      </c>
      <c r="H16" s="351"/>
      <c r="I16" s="525">
        <v>0.6492</v>
      </c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526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525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 t="s">
        <v>206</v>
      </c>
      <c r="C20" s="166"/>
      <c r="D20" s="517"/>
      <c r="E20" s="519"/>
      <c r="F20" s="521"/>
      <c r="G20" s="523"/>
      <c r="H20" s="351"/>
      <c r="I20" s="525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 t="s">
        <v>207</v>
      </c>
      <c r="C22" s="166"/>
      <c r="D22" s="517" t="s">
        <v>170</v>
      </c>
      <c r="E22" s="519">
        <v>1</v>
      </c>
      <c r="F22" s="521">
        <v>119912</v>
      </c>
      <c r="G22" s="523">
        <v>119912</v>
      </c>
      <c r="H22" s="351"/>
      <c r="I22" s="525">
        <v>2.46E-2</v>
      </c>
      <c r="J22" s="223"/>
      <c r="K22" s="69" t="s">
        <v>96</v>
      </c>
    </row>
    <row r="23" spans="1:11" ht="15.6" customHeight="1">
      <c r="A23" s="69"/>
      <c r="B23" s="224" t="s">
        <v>196</v>
      </c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 t="s">
        <v>208</v>
      </c>
      <c r="C24" s="166"/>
      <c r="D24" s="517" t="s">
        <v>170</v>
      </c>
      <c r="E24" s="519">
        <v>1</v>
      </c>
      <c r="F24" s="521">
        <v>322000</v>
      </c>
      <c r="G24" s="523">
        <v>322000</v>
      </c>
      <c r="H24" s="351"/>
      <c r="I24" s="525">
        <v>6.6000000000000003E-2</v>
      </c>
      <c r="J24" s="223"/>
      <c r="K24" s="69" t="s">
        <v>96</v>
      </c>
    </row>
    <row r="25" spans="1:11" ht="15.6" customHeight="1">
      <c r="A25" s="69"/>
      <c r="B25" s="224" t="s">
        <v>196</v>
      </c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209</v>
      </c>
      <c r="C26" s="166"/>
      <c r="D26" s="517"/>
      <c r="E26" s="519"/>
      <c r="F26" s="521"/>
      <c r="G26" s="523">
        <v>441912</v>
      </c>
      <c r="H26" s="351"/>
      <c r="I26" s="525">
        <v>9.0499999999999997E-2</v>
      </c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210</v>
      </c>
      <c r="C30" s="166"/>
      <c r="D30" s="517"/>
      <c r="E30" s="519"/>
      <c r="F30" s="521"/>
      <c r="G30" s="523">
        <v>3610000</v>
      </c>
      <c r="H30" s="351"/>
      <c r="I30" s="525">
        <v>0.73980000000000001</v>
      </c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211</v>
      </c>
      <c r="C34" s="166"/>
      <c r="D34" s="517"/>
      <c r="E34" s="519"/>
      <c r="F34" s="521"/>
      <c r="G34" s="523">
        <v>1270000</v>
      </c>
      <c r="H34" s="351"/>
      <c r="I34" s="525">
        <v>0.26019999999999999</v>
      </c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131</v>
      </c>
      <c r="C43" s="166"/>
      <c r="D43" s="517"/>
      <c r="E43" s="519"/>
      <c r="F43" s="521"/>
      <c r="G43" s="523">
        <v>4880000</v>
      </c>
      <c r="H43" s="351"/>
      <c r="I43" s="525">
        <v>1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F97D2-DCAC-427A-8DBA-38433D15F9A4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213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170</v>
      </c>
      <c r="E6" s="519">
        <v>1</v>
      </c>
      <c r="F6" s="521">
        <v>80000</v>
      </c>
      <c r="G6" s="523">
        <v>80000</v>
      </c>
      <c r="H6" s="351" t="s">
        <v>197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198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171</v>
      </c>
      <c r="E8" s="519">
        <v>30</v>
      </c>
      <c r="F8" s="521">
        <v>58230</v>
      </c>
      <c r="G8" s="523">
        <v>1746900</v>
      </c>
      <c r="H8" s="351" t="s">
        <v>200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198</v>
      </c>
      <c r="I9" s="352"/>
      <c r="J9" s="227"/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171</v>
      </c>
      <c r="E10" s="519">
        <v>44</v>
      </c>
      <c r="F10" s="521">
        <v>27527</v>
      </c>
      <c r="G10" s="523">
        <v>1211188</v>
      </c>
      <c r="H10" s="351" t="s">
        <v>202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198</v>
      </c>
      <c r="I11" s="352"/>
      <c r="J11" s="226"/>
      <c r="K11" s="69" t="s">
        <v>96</v>
      </c>
    </row>
    <row r="12" spans="1:11" ht="15.6" customHeight="1">
      <c r="A12" s="69"/>
      <c r="B12" s="222" t="s">
        <v>157</v>
      </c>
      <c r="C12" s="166"/>
      <c r="D12" s="517" t="s">
        <v>170</v>
      </c>
      <c r="E12" s="519">
        <v>1</v>
      </c>
      <c r="F12" s="521">
        <v>130000</v>
      </c>
      <c r="G12" s="523">
        <v>130000</v>
      </c>
      <c r="H12" s="351" t="s">
        <v>204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198</v>
      </c>
      <c r="I13" s="352"/>
      <c r="J13" s="226"/>
      <c r="K13" s="69" t="s">
        <v>96</v>
      </c>
    </row>
    <row r="14" spans="1:11" ht="15.6" customHeight="1">
      <c r="A14" s="69"/>
      <c r="B14" s="222"/>
      <c r="C14" s="166"/>
      <c r="D14" s="517"/>
      <c r="E14" s="519"/>
      <c r="F14" s="521"/>
      <c r="G14" s="523"/>
      <c r="H14" s="351"/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/>
      <c r="I15" s="352"/>
      <c r="J15" s="226"/>
      <c r="K15" s="69" t="s">
        <v>96</v>
      </c>
    </row>
    <row r="16" spans="1:11" ht="15.6" customHeight="1">
      <c r="A16" s="69"/>
      <c r="B16" s="222" t="s">
        <v>212</v>
      </c>
      <c r="C16" s="166"/>
      <c r="D16" s="517"/>
      <c r="E16" s="519"/>
      <c r="F16" s="521"/>
      <c r="G16" s="523">
        <v>3168088</v>
      </c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46"/>
  <sheetViews>
    <sheetView zoomScaleNormal="100" zoomScaleSheetLayoutView="85" workbookViewId="0">
      <pane xSplit="4" ySplit="4" topLeftCell="E29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宮城蔵王リゾートⅠ‐１</v>
      </c>
      <c r="G1" s="306"/>
      <c r="H1" s="190" t="s">
        <v>140</v>
      </c>
      <c r="I1" s="333">
        <v>4880000</v>
      </c>
      <c r="J1" s="339">
        <f>I4/I$1</f>
        <v>0.73975409836065575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214</v>
      </c>
      <c r="D4" s="340" t="s">
        <v>188</v>
      </c>
      <c r="E4" s="342"/>
      <c r="F4" s="345" t="s">
        <v>170</v>
      </c>
      <c r="G4" s="308">
        <v>1</v>
      </c>
      <c r="H4" s="309">
        <v>3610000</v>
      </c>
      <c r="I4" s="309">
        <v>3610000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215</v>
      </c>
      <c r="D5" s="340" t="s">
        <v>216</v>
      </c>
      <c r="E5" s="342"/>
      <c r="F5" s="345" t="s">
        <v>170</v>
      </c>
      <c r="G5" s="308">
        <v>1</v>
      </c>
      <c r="H5" s="309">
        <v>3168088</v>
      </c>
      <c r="I5" s="309">
        <v>3168088</v>
      </c>
      <c r="J5" s="211"/>
      <c r="K5" s="212" t="str">
        <f>IF(OR(J5="",G5=J5),"","*")</f>
        <v/>
      </c>
      <c r="L5" s="338">
        <f>IF($A5&lt;=L$1,I5/I$4,"")</f>
        <v>0.87758670360110802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217</v>
      </c>
      <c r="D6" s="340" t="s">
        <v>218</v>
      </c>
      <c r="E6" s="342"/>
      <c r="F6" s="345" t="s">
        <v>170</v>
      </c>
      <c r="G6" s="308">
        <v>1</v>
      </c>
      <c r="H6" s="309">
        <v>80000</v>
      </c>
      <c r="I6" s="309">
        <v>80000</v>
      </c>
      <c r="J6" s="211">
        <v>1</v>
      </c>
      <c r="K6" s="212" t="str">
        <f>IF(OR(J6="",G6=J6),"","*")</f>
        <v/>
      </c>
      <c r="L6" s="338">
        <f>IF($A6&lt;=L$1,I6/I$4,"")</f>
        <v>2.2160664819944598E-2</v>
      </c>
      <c r="M6" s="343"/>
      <c r="N6" s="344" t="s">
        <v>219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182</v>
      </c>
      <c r="D7" s="340" t="s">
        <v>220</v>
      </c>
      <c r="E7" s="342" t="s">
        <v>221</v>
      </c>
      <c r="F7" s="345" t="s">
        <v>170</v>
      </c>
      <c r="G7" s="308">
        <v>1</v>
      </c>
      <c r="H7" s="309">
        <v>80000</v>
      </c>
      <c r="I7" s="309">
        <v>80000</v>
      </c>
      <c r="J7" s="211"/>
      <c r="K7" s="212" t="str">
        <f>IF(OR(J7="",G7=J7),"","*")</f>
        <v/>
      </c>
      <c r="L7" s="338">
        <f>IF($A7&lt;=L$1,I7/I$4,"")</f>
        <v>2.2160664819944598E-2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222</v>
      </c>
      <c r="AF7" s="341"/>
    </row>
    <row r="8" spans="1:32">
      <c r="A8" s="307">
        <v>2</v>
      </c>
      <c r="B8" s="342"/>
      <c r="C8" s="342" t="s">
        <v>217</v>
      </c>
      <c r="D8" s="340" t="s">
        <v>223</v>
      </c>
      <c r="E8" s="342"/>
      <c r="F8" s="345" t="s">
        <v>171</v>
      </c>
      <c r="G8" s="308">
        <v>30</v>
      </c>
      <c r="H8" s="309">
        <v>58230</v>
      </c>
      <c r="I8" s="309">
        <v>1746900</v>
      </c>
      <c r="J8" s="211">
        <v>30</v>
      </c>
      <c r="K8" s="212" t="str">
        <f>IF(OR(J8="",G8=J8),"","*")</f>
        <v/>
      </c>
      <c r="L8" s="338">
        <f>IF($A8&lt;=L$1,I8/I$4,"")</f>
        <v>0.48390581717451525</v>
      </c>
      <c r="M8" s="343"/>
      <c r="N8" s="344" t="s">
        <v>224</v>
      </c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/>
    </row>
    <row r="9" spans="1:32">
      <c r="A9" s="307">
        <v>3</v>
      </c>
      <c r="B9" s="342"/>
      <c r="C9" s="342" t="s">
        <v>180</v>
      </c>
      <c r="D9" s="340" t="s">
        <v>225</v>
      </c>
      <c r="E9" s="342"/>
      <c r="F9" s="345" t="s">
        <v>226</v>
      </c>
      <c r="G9" s="308">
        <v>240</v>
      </c>
      <c r="H9" s="309">
        <v>145</v>
      </c>
      <c r="I9" s="309">
        <v>34800</v>
      </c>
      <c r="J9" s="211"/>
      <c r="K9" s="212" t="str">
        <f>IF(OR(J9="",G9=J9),"","*")</f>
        <v/>
      </c>
      <c r="L9" s="338">
        <f>IF($A9&lt;=L$1,I9/I$4,"")</f>
        <v>9.6398891966759E-3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227</v>
      </c>
      <c r="AF9" s="341" t="s">
        <v>228</v>
      </c>
    </row>
    <row r="10" spans="1:32">
      <c r="A10" s="307">
        <v>3</v>
      </c>
      <c r="B10" s="342"/>
      <c r="C10" s="342" t="s">
        <v>180</v>
      </c>
      <c r="D10" s="340" t="s">
        <v>229</v>
      </c>
      <c r="E10" s="342"/>
      <c r="F10" s="345" t="s">
        <v>226</v>
      </c>
      <c r="G10" s="308">
        <v>20</v>
      </c>
      <c r="H10" s="309">
        <v>165</v>
      </c>
      <c r="I10" s="309">
        <v>3300</v>
      </c>
      <c r="J10" s="211"/>
      <c r="K10" s="212" t="str">
        <f>IF(OR(J10="",G10=J10),"","*")</f>
        <v/>
      </c>
      <c r="L10" s="338">
        <f>IF($A10&lt;=L$1,I10/I$4,"")</f>
        <v>9.141274238227147E-4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230</v>
      </c>
      <c r="AF10" s="341"/>
    </row>
    <row r="11" spans="1:32">
      <c r="A11" s="307">
        <v>3</v>
      </c>
      <c r="B11" s="342"/>
      <c r="C11" s="342" t="s">
        <v>180</v>
      </c>
      <c r="D11" s="340" t="s">
        <v>231</v>
      </c>
      <c r="E11" s="342" t="s">
        <v>232</v>
      </c>
      <c r="F11" s="345" t="s">
        <v>233</v>
      </c>
      <c r="G11" s="308">
        <v>3.5</v>
      </c>
      <c r="H11" s="309">
        <v>2300</v>
      </c>
      <c r="I11" s="309">
        <v>8050</v>
      </c>
      <c r="J11" s="211"/>
      <c r="K11" s="212" t="str">
        <f>IF(OR(J11="",G11=J11),"","*")</f>
        <v/>
      </c>
      <c r="L11" s="338">
        <f>IF($A11&lt;=L$1,I11/I$4,"")</f>
        <v>2.2299168975069253E-3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234</v>
      </c>
      <c r="AF11" s="341" t="s">
        <v>235</v>
      </c>
    </row>
    <row r="12" spans="1:32">
      <c r="A12" s="307">
        <v>3</v>
      </c>
      <c r="B12" s="342"/>
      <c r="C12" s="342" t="s">
        <v>180</v>
      </c>
      <c r="D12" s="340" t="s">
        <v>236</v>
      </c>
      <c r="E12" s="342"/>
      <c r="F12" s="345" t="s">
        <v>237</v>
      </c>
      <c r="G12" s="308">
        <v>120</v>
      </c>
      <c r="H12" s="309">
        <v>103</v>
      </c>
      <c r="I12" s="309">
        <v>12360</v>
      </c>
      <c r="J12" s="211"/>
      <c r="K12" s="212" t="str">
        <f>IF(OR(J12="",G12=J12),"","*")</f>
        <v/>
      </c>
      <c r="L12" s="338">
        <f>IF($A12&lt;=L$1,I12/I$4,"")</f>
        <v>3.4238227146814403E-3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238</v>
      </c>
      <c r="AF12" s="341" t="s">
        <v>239</v>
      </c>
    </row>
    <row r="13" spans="1:32">
      <c r="A13" s="307">
        <v>3</v>
      </c>
      <c r="B13" s="342"/>
      <c r="C13" s="342" t="s">
        <v>180</v>
      </c>
      <c r="D13" s="340" t="s">
        <v>240</v>
      </c>
      <c r="E13" s="342" t="s">
        <v>241</v>
      </c>
      <c r="F13" s="345" t="s">
        <v>237</v>
      </c>
      <c r="G13" s="308">
        <v>17</v>
      </c>
      <c r="H13" s="309">
        <v>9400</v>
      </c>
      <c r="I13" s="309">
        <v>159800</v>
      </c>
      <c r="J13" s="211"/>
      <c r="K13" s="212" t="str">
        <f>IF(OR(J13="",G13=J13),"","*")</f>
        <v/>
      </c>
      <c r="L13" s="338">
        <f>IF($A13&lt;=L$1,I13/I$4,"")</f>
        <v>4.4265927977839334E-2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242</v>
      </c>
      <c r="AF13" s="341" t="s">
        <v>243</v>
      </c>
    </row>
    <row r="14" spans="1:32">
      <c r="A14" s="307">
        <v>3</v>
      </c>
      <c r="B14" s="342"/>
      <c r="C14" s="342" t="s">
        <v>181</v>
      </c>
      <c r="D14" s="340" t="s">
        <v>244</v>
      </c>
      <c r="E14" s="342" t="s">
        <v>245</v>
      </c>
      <c r="F14" s="345" t="s">
        <v>246</v>
      </c>
      <c r="G14" s="308">
        <v>48</v>
      </c>
      <c r="H14" s="309">
        <v>23000</v>
      </c>
      <c r="I14" s="309">
        <v>1104000</v>
      </c>
      <c r="J14" s="211"/>
      <c r="K14" s="212" t="str">
        <f>IF(OR(J14="",G14=J14),"","*")</f>
        <v/>
      </c>
      <c r="L14" s="338">
        <f>IF($A14&lt;=L$1,I14/I$4,"")</f>
        <v>0.30581717451523543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247</v>
      </c>
      <c r="AF14" s="341" t="s">
        <v>248</v>
      </c>
    </row>
    <row r="15" spans="1:32">
      <c r="A15" s="307">
        <v>3</v>
      </c>
      <c r="B15" s="342"/>
      <c r="C15" s="342" t="s">
        <v>183</v>
      </c>
      <c r="D15" s="340" t="s">
        <v>249</v>
      </c>
      <c r="E15" s="342" t="s">
        <v>250</v>
      </c>
      <c r="F15" s="345" t="s">
        <v>251</v>
      </c>
      <c r="G15" s="308">
        <v>4</v>
      </c>
      <c r="H15" s="309">
        <v>4500</v>
      </c>
      <c r="I15" s="309">
        <v>18000</v>
      </c>
      <c r="J15" s="211"/>
      <c r="K15" s="212" t="str">
        <f>IF(OR(J15="",G15=J15),"","*")</f>
        <v/>
      </c>
      <c r="L15" s="338">
        <f>IF($A15&lt;=L$1,I15/I$4,"")</f>
        <v>4.9861495844875344E-3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252</v>
      </c>
      <c r="AF15" s="341" t="s">
        <v>253</v>
      </c>
    </row>
    <row r="16" spans="1:32">
      <c r="A16" s="307">
        <v>3</v>
      </c>
      <c r="B16" s="342"/>
      <c r="C16" s="342" t="s">
        <v>183</v>
      </c>
      <c r="D16" s="340" t="s">
        <v>254</v>
      </c>
      <c r="E16" s="342" t="s">
        <v>255</v>
      </c>
      <c r="F16" s="345" t="s">
        <v>251</v>
      </c>
      <c r="G16" s="308">
        <v>8</v>
      </c>
      <c r="H16" s="309">
        <v>8000</v>
      </c>
      <c r="I16" s="309">
        <v>64000</v>
      </c>
      <c r="J16" s="211"/>
      <c r="K16" s="212" t="str">
        <f>IF(OR(J16="",G16=J16),"","*")</f>
        <v/>
      </c>
      <c r="L16" s="338">
        <f>IF($A16&lt;=L$1,I16/I$4,"")</f>
        <v>1.772853185595568E-2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256</v>
      </c>
      <c r="AF16" s="341" t="s">
        <v>257</v>
      </c>
    </row>
    <row r="17" spans="1:32">
      <c r="A17" s="307">
        <v>3</v>
      </c>
      <c r="B17" s="342"/>
      <c r="C17" s="342" t="s">
        <v>183</v>
      </c>
      <c r="D17" s="340" t="s">
        <v>254</v>
      </c>
      <c r="E17" s="342" t="s">
        <v>258</v>
      </c>
      <c r="F17" s="345" t="s">
        <v>251</v>
      </c>
      <c r="G17" s="308">
        <v>1</v>
      </c>
      <c r="H17" s="309">
        <v>10000</v>
      </c>
      <c r="I17" s="309">
        <v>10000</v>
      </c>
      <c r="J17" s="211"/>
      <c r="K17" s="212" t="str">
        <f>IF(OR(J17="",G17=J17),"","*")</f>
        <v/>
      </c>
      <c r="L17" s="338">
        <f>IF($A17&lt;=L$1,I17/I$4,"")</f>
        <v>2.7700831024930748E-3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259</v>
      </c>
      <c r="AF17" s="341" t="s">
        <v>260</v>
      </c>
    </row>
    <row r="18" spans="1:32">
      <c r="A18" s="307">
        <v>3</v>
      </c>
      <c r="B18" s="342"/>
      <c r="C18" s="342" t="s">
        <v>183</v>
      </c>
      <c r="D18" s="340" t="s">
        <v>261</v>
      </c>
      <c r="E18" s="342"/>
      <c r="F18" s="345" t="s">
        <v>251</v>
      </c>
      <c r="G18" s="308">
        <v>4</v>
      </c>
      <c r="H18" s="309">
        <v>2500</v>
      </c>
      <c r="I18" s="309">
        <v>10000</v>
      </c>
      <c r="J18" s="211"/>
      <c r="K18" s="212" t="str">
        <f>IF(OR(J18="",G18=J18),"","*")</f>
        <v/>
      </c>
      <c r="L18" s="338">
        <f>IF($A18&lt;=L$1,I18/I$4,"")</f>
        <v>2.7700831024930748E-3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262</v>
      </c>
      <c r="AF18" s="341" t="s">
        <v>253</v>
      </c>
    </row>
    <row r="19" spans="1:32">
      <c r="A19" s="307">
        <v>3</v>
      </c>
      <c r="B19" s="342"/>
      <c r="C19" s="342" t="s">
        <v>183</v>
      </c>
      <c r="D19" s="340" t="s">
        <v>263</v>
      </c>
      <c r="E19" s="342"/>
      <c r="F19" s="345" t="s">
        <v>251</v>
      </c>
      <c r="G19" s="308">
        <v>8</v>
      </c>
      <c r="H19" s="309">
        <v>1000</v>
      </c>
      <c r="I19" s="309">
        <v>8000</v>
      </c>
      <c r="J19" s="211"/>
      <c r="K19" s="212" t="str">
        <f>IF(OR(J19="",G19=J19),"","*")</f>
        <v/>
      </c>
      <c r="L19" s="338">
        <f>IF($A19&lt;=L$1,I19/I$4,"")</f>
        <v>2.21606648199446E-3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264</v>
      </c>
      <c r="AF19" s="341" t="s">
        <v>257</v>
      </c>
    </row>
    <row r="20" spans="1:32">
      <c r="A20" s="307">
        <v>3</v>
      </c>
      <c r="B20" s="342"/>
      <c r="C20" s="342" t="s">
        <v>183</v>
      </c>
      <c r="D20" s="340" t="s">
        <v>265</v>
      </c>
      <c r="E20" s="342" t="s">
        <v>250</v>
      </c>
      <c r="F20" s="345" t="s">
        <v>251</v>
      </c>
      <c r="G20" s="308">
        <v>4</v>
      </c>
      <c r="H20" s="309">
        <v>13000</v>
      </c>
      <c r="I20" s="309">
        <v>52000</v>
      </c>
      <c r="J20" s="211"/>
      <c r="K20" s="212" t="str">
        <f>IF(OR(J20="",G20=J20),"","*")</f>
        <v/>
      </c>
      <c r="L20" s="338">
        <f>IF($A20&lt;=L$1,I20/I$4,"")</f>
        <v>1.4404432132963989E-2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266</v>
      </c>
      <c r="AF20" s="341" t="s">
        <v>253</v>
      </c>
    </row>
    <row r="21" spans="1:32">
      <c r="A21" s="307">
        <v>3</v>
      </c>
      <c r="B21" s="342"/>
      <c r="C21" s="342" t="s">
        <v>184</v>
      </c>
      <c r="D21" s="340" t="s">
        <v>267</v>
      </c>
      <c r="E21" s="342"/>
      <c r="F21" s="345" t="s">
        <v>251</v>
      </c>
      <c r="G21" s="308">
        <v>4</v>
      </c>
      <c r="H21" s="309">
        <v>5500</v>
      </c>
      <c r="I21" s="309">
        <v>22000</v>
      </c>
      <c r="J21" s="211"/>
      <c r="K21" s="212" t="str">
        <f>IF(OR(J21="",G21=J21),"","*")</f>
        <v/>
      </c>
      <c r="L21" s="338">
        <f>IF($A21&lt;=L$1,I21/I$4,"")</f>
        <v>6.0941828254847648E-3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268</v>
      </c>
      <c r="AF21" s="341" t="s">
        <v>253</v>
      </c>
    </row>
    <row r="22" spans="1:32">
      <c r="A22" s="307">
        <v>3</v>
      </c>
      <c r="B22" s="342"/>
      <c r="C22" s="342" t="s">
        <v>184</v>
      </c>
      <c r="D22" s="340" t="s">
        <v>269</v>
      </c>
      <c r="E22" s="342"/>
      <c r="F22" s="345" t="s">
        <v>251</v>
      </c>
      <c r="G22" s="308">
        <v>4</v>
      </c>
      <c r="H22" s="309">
        <v>7600</v>
      </c>
      <c r="I22" s="309">
        <v>30400</v>
      </c>
      <c r="J22" s="211"/>
      <c r="K22" s="212" t="str">
        <f>IF(OR(J22="",G22=J22),"","*")</f>
        <v/>
      </c>
      <c r="L22" s="338">
        <f>IF($A22&lt;=L$1,I22/I$4,"")</f>
        <v>8.4210526315789472E-3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270</v>
      </c>
      <c r="AF22" s="341" t="s">
        <v>253</v>
      </c>
    </row>
    <row r="23" spans="1:32">
      <c r="A23" s="307">
        <v>3</v>
      </c>
      <c r="B23" s="342"/>
      <c r="C23" s="342" t="s">
        <v>184</v>
      </c>
      <c r="D23" s="340" t="s">
        <v>271</v>
      </c>
      <c r="E23" s="342"/>
      <c r="F23" s="345" t="s">
        <v>251</v>
      </c>
      <c r="G23" s="308">
        <v>8</v>
      </c>
      <c r="H23" s="309">
        <v>10000</v>
      </c>
      <c r="I23" s="309">
        <v>80000</v>
      </c>
      <c r="J23" s="211"/>
      <c r="K23" s="212" t="str">
        <f>IF(OR(J23="",G23=J23),"","*")</f>
        <v/>
      </c>
      <c r="L23" s="338">
        <f>IF($A23&lt;=L$1,I23/I$4,"")</f>
        <v>2.2160664819944598E-2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272</v>
      </c>
      <c r="AF23" s="341" t="s">
        <v>257</v>
      </c>
    </row>
    <row r="24" spans="1:32">
      <c r="A24" s="307">
        <v>3</v>
      </c>
      <c r="B24" s="342"/>
      <c r="C24" s="342" t="s">
        <v>184</v>
      </c>
      <c r="D24" s="340" t="s">
        <v>273</v>
      </c>
      <c r="E24" s="342" t="s">
        <v>274</v>
      </c>
      <c r="F24" s="345" t="s">
        <v>251</v>
      </c>
      <c r="G24" s="308">
        <v>16</v>
      </c>
      <c r="H24" s="309">
        <v>5000</v>
      </c>
      <c r="I24" s="309">
        <v>80000</v>
      </c>
      <c r="J24" s="211"/>
      <c r="K24" s="212" t="str">
        <f>IF(OR(J24="",G24=J24),"","*")</f>
        <v/>
      </c>
      <c r="L24" s="338">
        <f>IF($A24&lt;=L$1,I24/I$4,"")</f>
        <v>2.2160664819944598E-2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275</v>
      </c>
      <c r="AF24" s="341" t="s">
        <v>276</v>
      </c>
    </row>
    <row r="25" spans="1:32">
      <c r="A25" s="307">
        <v>3</v>
      </c>
      <c r="B25" s="342"/>
      <c r="C25" s="342" t="s">
        <v>184</v>
      </c>
      <c r="D25" s="340" t="s">
        <v>277</v>
      </c>
      <c r="E25" s="342" t="s">
        <v>278</v>
      </c>
      <c r="F25" s="345" t="s">
        <v>251</v>
      </c>
      <c r="G25" s="308">
        <v>1</v>
      </c>
      <c r="H25" s="309">
        <v>39000</v>
      </c>
      <c r="I25" s="309">
        <v>39000</v>
      </c>
      <c r="J25" s="211"/>
      <c r="K25" s="212" t="str">
        <f>IF(OR(J25="",G25=J25),"","*")</f>
        <v/>
      </c>
      <c r="L25" s="338">
        <f>IF($A25&lt;=L$1,I25/I$4,"")</f>
        <v>1.0803324099722992E-2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279</v>
      </c>
      <c r="AF25" s="341" t="s">
        <v>280</v>
      </c>
    </row>
    <row r="26" spans="1:32">
      <c r="A26" s="307">
        <v>3</v>
      </c>
      <c r="B26" s="342"/>
      <c r="C26" s="342" t="s">
        <v>184</v>
      </c>
      <c r="D26" s="340" t="s">
        <v>281</v>
      </c>
      <c r="E26" s="342"/>
      <c r="F26" s="345" t="s">
        <v>282</v>
      </c>
      <c r="G26" s="308">
        <v>14</v>
      </c>
      <c r="H26" s="309">
        <v>800</v>
      </c>
      <c r="I26" s="309">
        <v>11200</v>
      </c>
      <c r="J26" s="211"/>
      <c r="K26" s="212" t="str">
        <f>IF(OR(J26="",G26=J26),"","*")</f>
        <v/>
      </c>
      <c r="L26" s="338">
        <f>IF($A26&lt;=L$1,I26/I$4,"")</f>
        <v>3.1024930747922436E-3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283</v>
      </c>
      <c r="AF26" s="341" t="s">
        <v>284</v>
      </c>
    </row>
    <row r="27" spans="1:32">
      <c r="A27" s="307">
        <v>2</v>
      </c>
      <c r="B27" s="342"/>
      <c r="C27" s="342" t="s">
        <v>217</v>
      </c>
      <c r="D27" s="340" t="s">
        <v>285</v>
      </c>
      <c r="E27" s="342"/>
      <c r="F27" s="345" t="s">
        <v>171</v>
      </c>
      <c r="G27" s="308">
        <v>44</v>
      </c>
      <c r="H27" s="309">
        <v>27527</v>
      </c>
      <c r="I27" s="309">
        <v>1211188</v>
      </c>
      <c r="J27" s="211">
        <v>44</v>
      </c>
      <c r="K27" s="212" t="str">
        <f>IF(OR(J27="",G27=J27),"","*")</f>
        <v/>
      </c>
      <c r="L27" s="338">
        <f>IF($A27&lt;=L$1,I27/I$4,"")</f>
        <v>0.33550914127423825</v>
      </c>
      <c r="M27" s="343"/>
      <c r="N27" s="344" t="s">
        <v>286</v>
      </c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/>
    </row>
    <row r="28" spans="1:32">
      <c r="A28" s="307">
        <v>3</v>
      </c>
      <c r="B28" s="342"/>
      <c r="C28" s="342" t="s">
        <v>180</v>
      </c>
      <c r="D28" s="340" t="s">
        <v>225</v>
      </c>
      <c r="E28" s="342"/>
      <c r="F28" s="345" t="s">
        <v>226</v>
      </c>
      <c r="G28" s="308">
        <v>180</v>
      </c>
      <c r="H28" s="309">
        <v>145</v>
      </c>
      <c r="I28" s="309">
        <v>26100</v>
      </c>
      <c r="J28" s="211"/>
      <c r="K28" s="212" t="str">
        <f>IF(OR(J28="",G28=J28),"","*")</f>
        <v/>
      </c>
      <c r="L28" s="338">
        <f>IF($A28&lt;=L$1,I28/I$4,"")</f>
        <v>7.229916897506925E-3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227</v>
      </c>
      <c r="AF28" s="341" t="s">
        <v>287</v>
      </c>
    </row>
    <row r="29" spans="1:32">
      <c r="A29" s="307">
        <v>3</v>
      </c>
      <c r="B29" s="342"/>
      <c r="C29" s="342" t="s">
        <v>180</v>
      </c>
      <c r="D29" s="340" t="s">
        <v>229</v>
      </c>
      <c r="E29" s="342"/>
      <c r="F29" s="345" t="s">
        <v>226</v>
      </c>
      <c r="G29" s="308">
        <v>20</v>
      </c>
      <c r="H29" s="309">
        <v>165</v>
      </c>
      <c r="I29" s="309">
        <v>3300</v>
      </c>
      <c r="J29" s="211"/>
      <c r="K29" s="212" t="str">
        <f>IF(OR(J29="",G29=J29),"","*")</f>
        <v/>
      </c>
      <c r="L29" s="338">
        <f>IF($A29&lt;=L$1,I29/I$4,"")</f>
        <v>9.141274238227147E-4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230</v>
      </c>
      <c r="AF29" s="341"/>
    </row>
    <row r="30" spans="1:32">
      <c r="A30" s="307">
        <v>3</v>
      </c>
      <c r="B30" s="342"/>
      <c r="C30" s="342" t="s">
        <v>180</v>
      </c>
      <c r="D30" s="340" t="s">
        <v>236</v>
      </c>
      <c r="E30" s="342"/>
      <c r="F30" s="345" t="s">
        <v>237</v>
      </c>
      <c r="G30" s="308">
        <v>71</v>
      </c>
      <c r="H30" s="309">
        <v>103</v>
      </c>
      <c r="I30" s="309">
        <v>7313</v>
      </c>
      <c r="J30" s="211"/>
      <c r="K30" s="212" t="str">
        <f>IF(OR(J30="",G30=J30),"","*")</f>
        <v/>
      </c>
      <c r="L30" s="338">
        <f>IF($A30&lt;=L$1,I30/I$4,"")</f>
        <v>2.0257617728531856E-3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238</v>
      </c>
      <c r="AF30" s="341" t="s">
        <v>288</v>
      </c>
    </row>
    <row r="31" spans="1:32">
      <c r="A31" s="307">
        <v>3</v>
      </c>
      <c r="B31" s="342"/>
      <c r="C31" s="342" t="s">
        <v>180</v>
      </c>
      <c r="D31" s="340" t="s">
        <v>289</v>
      </c>
      <c r="E31" s="342" t="s">
        <v>241</v>
      </c>
      <c r="F31" s="345" t="s">
        <v>237</v>
      </c>
      <c r="G31" s="308">
        <v>9</v>
      </c>
      <c r="H31" s="309">
        <v>11800</v>
      </c>
      <c r="I31" s="309">
        <v>106200</v>
      </c>
      <c r="J31" s="211"/>
      <c r="K31" s="212" t="str">
        <f>IF(OR(J31="",G31=J31),"","*")</f>
        <v/>
      </c>
      <c r="L31" s="338">
        <f>IF($A31&lt;=L$1,I31/I$4,"")</f>
        <v>2.9418282548476456E-2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290</v>
      </c>
      <c r="AF31" s="341" t="s">
        <v>291</v>
      </c>
    </row>
    <row r="32" spans="1:32">
      <c r="A32" s="307">
        <v>3</v>
      </c>
      <c r="B32" s="342"/>
      <c r="C32" s="342" t="s">
        <v>181</v>
      </c>
      <c r="D32" s="340" t="s">
        <v>244</v>
      </c>
      <c r="E32" s="342" t="s">
        <v>245</v>
      </c>
      <c r="F32" s="345" t="s">
        <v>246</v>
      </c>
      <c r="G32" s="308">
        <v>36</v>
      </c>
      <c r="H32" s="309">
        <v>23000</v>
      </c>
      <c r="I32" s="309">
        <v>828000</v>
      </c>
      <c r="J32" s="211"/>
      <c r="K32" s="212" t="str">
        <f>IF(OR(J32="",G32=J32),"","*")</f>
        <v/>
      </c>
      <c r="L32" s="338">
        <f>IF($A32&lt;=L$1,I32/I$4,"")</f>
        <v>0.22936288088642659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247</v>
      </c>
      <c r="AF32" s="341" t="s">
        <v>292</v>
      </c>
    </row>
    <row r="33" spans="1:32">
      <c r="A33" s="307">
        <v>3</v>
      </c>
      <c r="B33" s="342"/>
      <c r="C33" s="342" t="s">
        <v>183</v>
      </c>
      <c r="D33" s="340" t="s">
        <v>254</v>
      </c>
      <c r="E33" s="342" t="s">
        <v>255</v>
      </c>
      <c r="F33" s="345" t="s">
        <v>251</v>
      </c>
      <c r="G33" s="308">
        <v>6</v>
      </c>
      <c r="H33" s="309">
        <v>8000</v>
      </c>
      <c r="I33" s="309">
        <v>48000</v>
      </c>
      <c r="J33" s="211"/>
      <c r="K33" s="212" t="str">
        <f>IF(OR(J33="",G33=J33),"","*")</f>
        <v/>
      </c>
      <c r="L33" s="338">
        <f>IF($A33&lt;=L$1,I33/I$4,"")</f>
        <v>1.3296398891966758E-2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256</v>
      </c>
      <c r="AF33" s="341" t="s">
        <v>293</v>
      </c>
    </row>
    <row r="34" spans="1:32">
      <c r="A34" s="307">
        <v>3</v>
      </c>
      <c r="B34" s="342"/>
      <c r="C34" s="342" t="s">
        <v>183</v>
      </c>
      <c r="D34" s="340" t="s">
        <v>249</v>
      </c>
      <c r="E34" s="342" t="s">
        <v>250</v>
      </c>
      <c r="F34" s="345" t="s">
        <v>251</v>
      </c>
      <c r="G34" s="308">
        <v>3</v>
      </c>
      <c r="H34" s="309">
        <v>4500</v>
      </c>
      <c r="I34" s="309">
        <v>13500</v>
      </c>
      <c r="J34" s="211"/>
      <c r="K34" s="212" t="str">
        <f>IF(OR(J34="",G34=J34),"","*")</f>
        <v/>
      </c>
      <c r="L34" s="338">
        <f>IF($A34&lt;=L$1,I34/I$4,"")</f>
        <v>3.739612188365651E-3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252</v>
      </c>
      <c r="AF34" s="341" t="s">
        <v>294</v>
      </c>
    </row>
    <row r="35" spans="1:32">
      <c r="A35" s="307">
        <v>3</v>
      </c>
      <c r="B35" s="342"/>
      <c r="C35" s="342" t="s">
        <v>183</v>
      </c>
      <c r="D35" s="340" t="s">
        <v>261</v>
      </c>
      <c r="E35" s="342"/>
      <c r="F35" s="345" t="s">
        <v>251</v>
      </c>
      <c r="G35" s="308">
        <v>3</v>
      </c>
      <c r="H35" s="309">
        <v>2500</v>
      </c>
      <c r="I35" s="309">
        <v>7500</v>
      </c>
      <c r="J35" s="211"/>
      <c r="K35" s="212" t="str">
        <f>IF(OR(J35="",G35=J35),"","*")</f>
        <v/>
      </c>
      <c r="L35" s="338">
        <f>IF($A35&lt;=L$1,I35/I$4,"")</f>
        <v>2.0775623268698062E-3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262</v>
      </c>
      <c r="AF35" s="341" t="s">
        <v>294</v>
      </c>
    </row>
    <row r="36" spans="1:32">
      <c r="A36" s="307">
        <v>3</v>
      </c>
      <c r="B36" s="342"/>
      <c r="C36" s="342" t="s">
        <v>183</v>
      </c>
      <c r="D36" s="340" t="s">
        <v>263</v>
      </c>
      <c r="E36" s="342"/>
      <c r="F36" s="345" t="s">
        <v>251</v>
      </c>
      <c r="G36" s="308">
        <v>6</v>
      </c>
      <c r="H36" s="309">
        <v>1000</v>
      </c>
      <c r="I36" s="309">
        <v>6000</v>
      </c>
      <c r="J36" s="211"/>
      <c r="K36" s="212" t="str">
        <f>IF(OR(J36="",G36=J36),"","*")</f>
        <v/>
      </c>
      <c r="L36" s="338">
        <f>IF($A36&lt;=L$1,I36/I$4,"")</f>
        <v>1.6620498614958448E-3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264</v>
      </c>
      <c r="AF36" s="341" t="s">
        <v>293</v>
      </c>
    </row>
    <row r="37" spans="1:32">
      <c r="A37" s="307">
        <v>3</v>
      </c>
      <c r="B37" s="342"/>
      <c r="C37" s="342" t="s">
        <v>183</v>
      </c>
      <c r="D37" s="340" t="s">
        <v>295</v>
      </c>
      <c r="E37" s="342" t="s">
        <v>296</v>
      </c>
      <c r="F37" s="345" t="s">
        <v>251</v>
      </c>
      <c r="G37" s="308">
        <v>3</v>
      </c>
      <c r="H37" s="309">
        <v>1000</v>
      </c>
      <c r="I37" s="309">
        <v>3000</v>
      </c>
      <c r="J37" s="211"/>
      <c r="K37" s="212" t="str">
        <f>IF(OR(J37="",G37=J37),"","*")</f>
        <v/>
      </c>
      <c r="L37" s="338">
        <f>IF($A37&lt;=L$1,I37/I$4,"")</f>
        <v>8.310249307479224E-4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297</v>
      </c>
      <c r="AF37" s="341" t="s">
        <v>294</v>
      </c>
    </row>
    <row r="38" spans="1:32">
      <c r="A38" s="307">
        <v>3</v>
      </c>
      <c r="B38" s="342"/>
      <c r="C38" s="342" t="s">
        <v>183</v>
      </c>
      <c r="D38" s="340" t="s">
        <v>298</v>
      </c>
      <c r="E38" s="342"/>
      <c r="F38" s="345" t="s">
        <v>251</v>
      </c>
      <c r="G38" s="308">
        <v>3</v>
      </c>
      <c r="H38" s="309">
        <v>1000</v>
      </c>
      <c r="I38" s="309">
        <v>3000</v>
      </c>
      <c r="J38" s="211"/>
      <c r="K38" s="212" t="str">
        <f>IF(OR(J38="",G38=J38),"","*")</f>
        <v/>
      </c>
      <c r="L38" s="338">
        <f>IF($A38&lt;=L$1,I38/I$4,"")</f>
        <v>8.310249307479224E-4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 t="s">
        <v>294</v>
      </c>
    </row>
    <row r="39" spans="1:32">
      <c r="A39" s="307">
        <v>3</v>
      </c>
      <c r="B39" s="342"/>
      <c r="C39" s="342" t="s">
        <v>184</v>
      </c>
      <c r="D39" s="340" t="s">
        <v>267</v>
      </c>
      <c r="E39" s="342"/>
      <c r="F39" s="345" t="s">
        <v>251</v>
      </c>
      <c r="G39" s="308">
        <v>3</v>
      </c>
      <c r="H39" s="309">
        <v>5500</v>
      </c>
      <c r="I39" s="309">
        <v>16500</v>
      </c>
      <c r="J39" s="211"/>
      <c r="K39" s="212" t="str">
        <f>IF(OR(J39="",G39=J39),"","*")</f>
        <v/>
      </c>
      <c r="L39" s="338">
        <f>IF($A39&lt;=L$1,I39/I$4,"")</f>
        <v>4.5706371191135738E-3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268</v>
      </c>
      <c r="AF39" s="341" t="s">
        <v>294</v>
      </c>
    </row>
    <row r="40" spans="1:32">
      <c r="A40" s="307">
        <v>3</v>
      </c>
      <c r="B40" s="342"/>
      <c r="C40" s="342" t="s">
        <v>184</v>
      </c>
      <c r="D40" s="340" t="s">
        <v>269</v>
      </c>
      <c r="E40" s="342"/>
      <c r="F40" s="345" t="s">
        <v>251</v>
      </c>
      <c r="G40" s="308">
        <v>3</v>
      </c>
      <c r="H40" s="309">
        <v>7600</v>
      </c>
      <c r="I40" s="309">
        <v>22800</v>
      </c>
      <c r="J40" s="211"/>
      <c r="K40" s="212" t="str">
        <f>IF(OR(J40="",G40=J40),"","*")</f>
        <v/>
      </c>
      <c r="L40" s="338">
        <f>IF($A40&lt;=L$1,I40/I$4,"")</f>
        <v>6.3157894736842104E-3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270</v>
      </c>
      <c r="AF40" s="341" t="s">
        <v>294</v>
      </c>
    </row>
    <row r="41" spans="1:32">
      <c r="A41" s="307">
        <v>3</v>
      </c>
      <c r="B41" s="342"/>
      <c r="C41" s="342" t="s">
        <v>184</v>
      </c>
      <c r="D41" s="340" t="s">
        <v>271</v>
      </c>
      <c r="E41" s="342"/>
      <c r="F41" s="345" t="s">
        <v>251</v>
      </c>
      <c r="G41" s="308">
        <v>6</v>
      </c>
      <c r="H41" s="309">
        <v>10000</v>
      </c>
      <c r="I41" s="309">
        <v>60000</v>
      </c>
      <c r="J41" s="211"/>
      <c r="K41" s="212" t="str">
        <f>IF(OR(J41="",G41=J41),"","*")</f>
        <v/>
      </c>
      <c r="L41" s="338">
        <f>IF($A41&lt;=L$1,I41/I$4,"")</f>
        <v>1.662049861495845E-2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272</v>
      </c>
      <c r="AF41" s="341" t="s">
        <v>293</v>
      </c>
    </row>
    <row r="42" spans="1:32">
      <c r="A42" s="307">
        <v>3</v>
      </c>
      <c r="B42" s="342"/>
      <c r="C42" s="342" t="s">
        <v>184</v>
      </c>
      <c r="D42" s="340" t="s">
        <v>273</v>
      </c>
      <c r="E42" s="342" t="s">
        <v>274</v>
      </c>
      <c r="F42" s="345" t="s">
        <v>251</v>
      </c>
      <c r="G42" s="308">
        <v>12</v>
      </c>
      <c r="H42" s="309">
        <v>5000</v>
      </c>
      <c r="I42" s="309">
        <v>60000</v>
      </c>
      <c r="J42" s="211"/>
      <c r="K42" s="212" t="str">
        <f>IF(OR(J42="",G42=J42),"","*")</f>
        <v/>
      </c>
      <c r="L42" s="338">
        <f>IF($A42&lt;=L$1,I42/I$4,"")</f>
        <v>1.662049861495845E-2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275</v>
      </c>
      <c r="AF42" s="341" t="s">
        <v>299</v>
      </c>
    </row>
    <row r="43" spans="1:32">
      <c r="A43" s="307">
        <v>2</v>
      </c>
      <c r="B43" s="342"/>
      <c r="C43" s="342" t="s">
        <v>217</v>
      </c>
      <c r="D43" s="340" t="s">
        <v>300</v>
      </c>
      <c r="E43" s="342"/>
      <c r="F43" s="345" t="s">
        <v>170</v>
      </c>
      <c r="G43" s="308">
        <v>1</v>
      </c>
      <c r="H43" s="309">
        <v>130000</v>
      </c>
      <c r="I43" s="309">
        <v>130000</v>
      </c>
      <c r="J43" s="211">
        <v>1</v>
      </c>
      <c r="K43" s="212" t="str">
        <f>IF(OR(J43="",G43=J43),"","*")</f>
        <v/>
      </c>
      <c r="L43" s="338">
        <f>IF($A43&lt;=L$1,I43/I$4,"")</f>
        <v>3.6011080332409975E-2</v>
      </c>
      <c r="M43" s="343"/>
      <c r="N43" s="344" t="s">
        <v>301</v>
      </c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/>
    </row>
    <row r="44" spans="1:32">
      <c r="A44" s="307">
        <v>3</v>
      </c>
      <c r="B44" s="342"/>
      <c r="C44" s="342" t="s">
        <v>182</v>
      </c>
      <c r="D44" s="340" t="s">
        <v>302</v>
      </c>
      <c r="E44" s="342"/>
      <c r="F44" s="345" t="s">
        <v>170</v>
      </c>
      <c r="G44" s="308">
        <v>1</v>
      </c>
      <c r="H44" s="309">
        <v>63000</v>
      </c>
      <c r="I44" s="309">
        <v>63000</v>
      </c>
      <c r="J44" s="211"/>
      <c r="K44" s="212" t="str">
        <f>IF(OR(J44="",G44=J44),"","*")</f>
        <v/>
      </c>
      <c r="L44" s="338">
        <f>IF($A44&lt;=L$1,I44/I$4,"")</f>
        <v>1.7451523545706372E-2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 t="s">
        <v>303</v>
      </c>
    </row>
    <row r="45" spans="1:32">
      <c r="A45" s="307">
        <v>3</v>
      </c>
      <c r="B45" s="342"/>
      <c r="C45" s="342" t="s">
        <v>182</v>
      </c>
      <c r="D45" s="340" t="s">
        <v>304</v>
      </c>
      <c r="E45" s="342"/>
      <c r="F45" s="345" t="s">
        <v>170</v>
      </c>
      <c r="G45" s="308">
        <v>1</v>
      </c>
      <c r="H45" s="309">
        <v>67000</v>
      </c>
      <c r="I45" s="309">
        <v>67000</v>
      </c>
      <c r="J45" s="211"/>
      <c r="K45" s="212" t="str">
        <f>IF(OR(J45="",G45=J45),"","*")</f>
        <v/>
      </c>
      <c r="L45" s="338">
        <f>IF($A45&lt;=L$1,I45/I$4,"")</f>
        <v>1.8559556786703599E-2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/>
      <c r="AF45" s="341" t="s">
        <v>305</v>
      </c>
    </row>
    <row r="46" spans="1:32">
      <c r="A46" s="217"/>
      <c r="B46" s="217"/>
      <c r="C46" s="312"/>
      <c r="D46" s="217"/>
      <c r="E46" s="217"/>
      <c r="F46" s="218"/>
      <c r="G46" s="217"/>
      <c r="H46" s="217"/>
      <c r="I46" s="217"/>
      <c r="J46" s="217"/>
      <c r="K46" s="218"/>
      <c r="L46" s="217"/>
      <c r="M46" s="217"/>
      <c r="N46" s="217"/>
      <c r="O46" s="217"/>
      <c r="P46" s="217"/>
      <c r="Q46" s="217"/>
      <c r="R46" s="217"/>
      <c r="S46" s="218"/>
      <c r="T46" s="217"/>
      <c r="U46" s="217"/>
      <c r="V46" s="217"/>
      <c r="W46" s="217"/>
      <c r="X46" s="217"/>
      <c r="Y46" s="217"/>
      <c r="Z46" s="217"/>
      <c r="AA46" s="218"/>
      <c r="AB46" s="217"/>
      <c r="AC46" s="217"/>
      <c r="AD46" s="217"/>
      <c r="AE46" s="217"/>
      <c r="AF46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45 AF4:AF45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45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158</v>
      </c>
      <c r="D4" s="315">
        <v>100000</v>
      </c>
      <c r="E4" s="120"/>
      <c r="F4" s="119" t="s">
        <v>164</v>
      </c>
      <c r="G4" s="316">
        <v>322000</v>
      </c>
      <c r="H4" s="69"/>
    </row>
    <row r="5" spans="1:8" ht="27" customHeight="1">
      <c r="A5" s="69"/>
      <c r="B5" s="118"/>
      <c r="C5" s="119" t="s">
        <v>159</v>
      </c>
      <c r="D5" s="315">
        <v>9912</v>
      </c>
      <c r="E5" s="120"/>
      <c r="F5" s="119" t="s">
        <v>165</v>
      </c>
      <c r="G5" s="316"/>
      <c r="H5" s="69"/>
    </row>
    <row r="6" spans="1:8" ht="27" customHeight="1">
      <c r="A6" s="69"/>
      <c r="B6" s="118"/>
      <c r="C6" s="119" t="s">
        <v>160</v>
      </c>
      <c r="D6" s="315"/>
      <c r="E6" s="120"/>
      <c r="F6" s="119" t="s">
        <v>166</v>
      </c>
      <c r="G6" s="316"/>
      <c r="H6" s="69"/>
    </row>
    <row r="7" spans="1:8" ht="27" customHeight="1">
      <c r="A7" s="69"/>
      <c r="B7" s="118"/>
      <c r="C7" s="119" t="s">
        <v>161</v>
      </c>
      <c r="D7" s="315"/>
      <c r="E7" s="120"/>
      <c r="F7" s="119" t="s">
        <v>167</v>
      </c>
      <c r="G7" s="316"/>
      <c r="H7" s="69"/>
    </row>
    <row r="8" spans="1:8" ht="27" customHeight="1">
      <c r="A8" s="69"/>
      <c r="B8" s="118"/>
      <c r="C8" s="119" t="s">
        <v>162</v>
      </c>
      <c r="D8" s="315">
        <v>10000</v>
      </c>
      <c r="E8" s="120"/>
      <c r="F8" s="119" t="s">
        <v>168</v>
      </c>
      <c r="G8" s="316"/>
      <c r="H8" s="69"/>
    </row>
    <row r="9" spans="1:8" ht="27" customHeight="1">
      <c r="A9" s="69"/>
      <c r="B9" s="118"/>
      <c r="C9" s="119" t="s">
        <v>163</v>
      </c>
      <c r="D9" s="315"/>
      <c r="E9" s="120"/>
      <c r="F9" s="119" t="s">
        <v>307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308</v>
      </c>
      <c r="G10" s="316"/>
      <c r="H10" s="69"/>
    </row>
    <row r="11" spans="1:8" ht="27" customHeight="1">
      <c r="A11" s="69"/>
      <c r="B11" s="118"/>
      <c r="C11" s="119" t="s">
        <v>212</v>
      </c>
      <c r="D11" s="315">
        <v>119912</v>
      </c>
      <c r="E11" s="120"/>
      <c r="F11" s="119" t="s">
        <v>309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212</v>
      </c>
      <c r="G13" s="316">
        <v>322000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180</v>
      </c>
      <c r="H3" s="128" t="s">
        <v>181</v>
      </c>
      <c r="I3" s="128" t="s">
        <v>182</v>
      </c>
      <c r="J3" s="128" t="s">
        <v>183</v>
      </c>
      <c r="K3" s="128" t="s">
        <v>184</v>
      </c>
      <c r="L3" s="128" t="s">
        <v>185</v>
      </c>
      <c r="M3" s="128" t="s">
        <v>186</v>
      </c>
      <c r="N3" s="129" t="s">
        <v>187</v>
      </c>
      <c r="O3" s="69"/>
    </row>
    <row r="4" spans="1:15" ht="30" customHeight="1">
      <c r="A4" s="69"/>
      <c r="B4" s="130" t="s">
        <v>158</v>
      </c>
      <c r="C4" s="131" t="s">
        <v>170</v>
      </c>
      <c r="D4" s="320">
        <v>1</v>
      </c>
      <c r="E4" s="321">
        <v>100000</v>
      </c>
      <c r="F4" s="322">
        <v>100000</v>
      </c>
      <c r="G4" s="323"/>
      <c r="H4" s="324"/>
      <c r="I4" s="324"/>
      <c r="J4" s="324"/>
      <c r="K4" s="324">
        <v>100000</v>
      </c>
      <c r="L4" s="324"/>
      <c r="M4" s="324"/>
      <c r="N4" s="325"/>
      <c r="O4" s="69"/>
    </row>
    <row r="5" spans="1:15" ht="30" customHeight="1">
      <c r="A5" s="69"/>
      <c r="B5" s="130" t="s">
        <v>159</v>
      </c>
      <c r="C5" s="131" t="s">
        <v>170</v>
      </c>
      <c r="D5" s="326">
        <v>1</v>
      </c>
      <c r="E5" s="321">
        <v>9912</v>
      </c>
      <c r="F5" s="322">
        <v>9912</v>
      </c>
      <c r="G5" s="323">
        <v>9912</v>
      </c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160</v>
      </c>
      <c r="C6" s="131" t="s">
        <v>170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161</v>
      </c>
      <c r="C7" s="131" t="s">
        <v>170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162</v>
      </c>
      <c r="C8" s="131" t="s">
        <v>170</v>
      </c>
      <c r="D8" s="326">
        <v>1</v>
      </c>
      <c r="E8" s="321">
        <v>10000</v>
      </c>
      <c r="F8" s="322">
        <v>10000</v>
      </c>
      <c r="G8" s="323"/>
      <c r="H8" s="324"/>
      <c r="I8" s="324"/>
      <c r="J8" s="324"/>
      <c r="K8" s="324"/>
      <c r="L8" s="324">
        <v>10000</v>
      </c>
      <c r="M8" s="324"/>
      <c r="N8" s="325"/>
      <c r="O8" s="69"/>
    </row>
    <row r="9" spans="1:15" ht="30" customHeight="1">
      <c r="A9" s="69"/>
      <c r="B9" s="130" t="s">
        <v>163</v>
      </c>
      <c r="C9" s="131" t="s">
        <v>170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212</v>
      </c>
      <c r="C11" s="131"/>
      <c r="D11" s="326"/>
      <c r="E11" s="321"/>
      <c r="F11" s="322">
        <v>119912</v>
      </c>
      <c r="G11" s="323">
        <v>9912</v>
      </c>
      <c r="H11" s="324"/>
      <c r="I11" s="324"/>
      <c r="J11" s="324"/>
      <c r="K11" s="324">
        <v>100000</v>
      </c>
      <c r="L11" s="324">
        <v>10000</v>
      </c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5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宮城蔵王リゾートⅠ‐１</v>
      </c>
      <c r="G1" s="306"/>
      <c r="H1" s="190" t="s">
        <v>131</v>
      </c>
      <c r="I1" s="333">
        <v>4880000</v>
      </c>
      <c r="J1" s="339">
        <f>I4/I$1</f>
        <v>0.73975409836065575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214</v>
      </c>
      <c r="D4" s="340" t="s">
        <v>188</v>
      </c>
      <c r="E4" s="342"/>
      <c r="F4" s="345" t="s">
        <v>170</v>
      </c>
      <c r="G4" s="308">
        <v>1</v>
      </c>
      <c r="H4" s="309">
        <v>3610000</v>
      </c>
      <c r="I4" s="309">
        <v>3610000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310</v>
      </c>
      <c r="P4" s="347" t="s">
        <v>310</v>
      </c>
      <c r="Q4" s="347" t="s">
        <v>310</v>
      </c>
      <c r="R4" s="348" t="s">
        <v>310</v>
      </c>
      <c r="S4" s="349"/>
      <c r="T4" s="343" t="s">
        <v>311</v>
      </c>
      <c r="U4" s="343"/>
      <c r="V4" s="344"/>
      <c r="W4" s="346" t="s">
        <v>310</v>
      </c>
      <c r="X4" s="347" t="s">
        <v>310</v>
      </c>
      <c r="Y4" s="347" t="s">
        <v>310</v>
      </c>
      <c r="Z4" s="348" t="s">
        <v>310</v>
      </c>
      <c r="AA4" s="349"/>
      <c r="AB4" s="343" t="s">
        <v>311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215</v>
      </c>
      <c r="D5" s="340" t="s">
        <v>312</v>
      </c>
      <c r="E5" s="342"/>
      <c r="F5" s="345" t="s">
        <v>170</v>
      </c>
      <c r="G5" s="308">
        <v>1</v>
      </c>
      <c r="H5" s="309">
        <v>119912</v>
      </c>
      <c r="I5" s="309">
        <v>119912</v>
      </c>
      <c r="J5" s="211"/>
      <c r="K5" s="212" t="str">
        <f>IF(OR(J5="",G5=J5),"","*")</f>
        <v/>
      </c>
      <c r="L5" s="338">
        <f>IF($A5&lt;=L$1,I5/I$4,"")</f>
        <v>3.3216620498614957E-2</v>
      </c>
      <c r="M5" s="343"/>
      <c r="N5" s="344"/>
      <c r="O5" s="346" t="s">
        <v>310</v>
      </c>
      <c r="P5" s="347" t="s">
        <v>310</v>
      </c>
      <c r="Q5" s="347" t="s">
        <v>310</v>
      </c>
      <c r="R5" s="348" t="s">
        <v>310</v>
      </c>
      <c r="S5" s="349"/>
      <c r="T5" s="343" t="s">
        <v>311</v>
      </c>
      <c r="U5" s="343"/>
      <c r="V5" s="344"/>
      <c r="W5" s="346" t="s">
        <v>310</v>
      </c>
      <c r="X5" s="347" t="s">
        <v>310</v>
      </c>
      <c r="Y5" s="347" t="s">
        <v>310</v>
      </c>
      <c r="Z5" s="348" t="s">
        <v>310</v>
      </c>
      <c r="AA5" s="349"/>
      <c r="AB5" s="343" t="s">
        <v>311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217</v>
      </c>
      <c r="D6" s="340" t="s">
        <v>313</v>
      </c>
      <c r="E6" s="342"/>
      <c r="F6" s="345" t="s">
        <v>170</v>
      </c>
      <c r="G6" s="308">
        <v>1</v>
      </c>
      <c r="H6" s="309">
        <v>100000</v>
      </c>
      <c r="I6" s="309">
        <v>100000</v>
      </c>
      <c r="J6" s="211">
        <v>1</v>
      </c>
      <c r="K6" s="212" t="str">
        <f>IF(OR(J6="",G6=J6),"","*")</f>
        <v/>
      </c>
      <c r="L6" s="338">
        <f>IF($A6&lt;=L$1,I6/I$4,"")</f>
        <v>2.7700831024930747E-2</v>
      </c>
      <c r="M6" s="343"/>
      <c r="N6" s="344" t="s">
        <v>314</v>
      </c>
      <c r="O6" s="346" t="s">
        <v>310</v>
      </c>
      <c r="P6" s="347" t="s">
        <v>310</v>
      </c>
      <c r="Q6" s="347" t="s">
        <v>310</v>
      </c>
      <c r="R6" s="348" t="s">
        <v>310</v>
      </c>
      <c r="S6" s="349"/>
      <c r="T6" s="343" t="s">
        <v>311</v>
      </c>
      <c r="U6" s="343"/>
      <c r="V6" s="344"/>
      <c r="W6" s="346" t="s">
        <v>310</v>
      </c>
      <c r="X6" s="347" t="s">
        <v>310</v>
      </c>
      <c r="Y6" s="347" t="s">
        <v>310</v>
      </c>
      <c r="Z6" s="348" t="s">
        <v>310</v>
      </c>
      <c r="AA6" s="349"/>
      <c r="AB6" s="343" t="s">
        <v>311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184</v>
      </c>
      <c r="D7" s="340" t="s">
        <v>315</v>
      </c>
      <c r="E7" s="342"/>
      <c r="F7" s="345" t="s">
        <v>316</v>
      </c>
      <c r="G7" s="308">
        <v>4</v>
      </c>
      <c r="H7" s="309">
        <v>25000</v>
      </c>
      <c r="I7" s="309">
        <v>100000</v>
      </c>
      <c r="J7" s="211"/>
      <c r="K7" s="212" t="str">
        <f>IF(OR(J7="",G7=J7),"","*")</f>
        <v/>
      </c>
      <c r="L7" s="338">
        <f>IF($A7&lt;=L$1,I7/I$4,"")</f>
        <v>2.7700831024930747E-2</v>
      </c>
      <c r="M7" s="343"/>
      <c r="N7" s="344"/>
      <c r="O7" s="346" t="s">
        <v>310</v>
      </c>
      <c r="P7" s="347" t="s">
        <v>310</v>
      </c>
      <c r="Q7" s="347" t="s">
        <v>310</v>
      </c>
      <c r="R7" s="348" t="s">
        <v>310</v>
      </c>
      <c r="S7" s="349"/>
      <c r="T7" s="343" t="s">
        <v>311</v>
      </c>
      <c r="U7" s="343"/>
      <c r="V7" s="344"/>
      <c r="W7" s="346" t="s">
        <v>310</v>
      </c>
      <c r="X7" s="347" t="s">
        <v>310</v>
      </c>
      <c r="Y7" s="347" t="s">
        <v>310</v>
      </c>
      <c r="Z7" s="348" t="s">
        <v>310</v>
      </c>
      <c r="AA7" s="349"/>
      <c r="AB7" s="343" t="s">
        <v>311</v>
      </c>
      <c r="AC7" s="343"/>
      <c r="AD7" s="344"/>
      <c r="AE7" s="342" t="s">
        <v>317</v>
      </c>
      <c r="AF7" s="341" t="s">
        <v>117</v>
      </c>
    </row>
    <row r="8" spans="1:32">
      <c r="A8" s="307">
        <v>2</v>
      </c>
      <c r="B8" s="342"/>
      <c r="C8" s="342" t="s">
        <v>217</v>
      </c>
      <c r="D8" s="340" t="s">
        <v>318</v>
      </c>
      <c r="E8" s="342" t="s">
        <v>172</v>
      </c>
      <c r="F8" s="345" t="s">
        <v>170</v>
      </c>
      <c r="G8" s="308">
        <v>1</v>
      </c>
      <c r="H8" s="309">
        <v>9912</v>
      </c>
      <c r="I8" s="309">
        <v>9912</v>
      </c>
      <c r="J8" s="211">
        <v>1</v>
      </c>
      <c r="K8" s="212" t="str">
        <f>IF(OR(J8="",G8=J8),"","*")</f>
        <v/>
      </c>
      <c r="L8" s="338">
        <f>IF($A8&lt;=L$1,I8/I$4,"")</f>
        <v>2.7457063711911357E-3</v>
      </c>
      <c r="M8" s="343"/>
      <c r="N8" s="344" t="s">
        <v>319</v>
      </c>
      <c r="O8" s="346" t="s">
        <v>310</v>
      </c>
      <c r="P8" s="347" t="s">
        <v>310</v>
      </c>
      <c r="Q8" s="347" t="s">
        <v>310</v>
      </c>
      <c r="R8" s="348" t="s">
        <v>310</v>
      </c>
      <c r="S8" s="349"/>
      <c r="T8" s="343" t="s">
        <v>311</v>
      </c>
      <c r="U8" s="343"/>
      <c r="V8" s="344"/>
      <c r="W8" s="346" t="s">
        <v>310</v>
      </c>
      <c r="X8" s="347" t="s">
        <v>310</v>
      </c>
      <c r="Y8" s="347" t="s">
        <v>310</v>
      </c>
      <c r="Z8" s="348" t="s">
        <v>310</v>
      </c>
      <c r="AA8" s="349"/>
      <c r="AB8" s="343" t="s">
        <v>311</v>
      </c>
      <c r="AC8" s="343"/>
      <c r="AD8" s="344"/>
      <c r="AE8" s="342"/>
      <c r="AF8" s="341" t="s">
        <v>117</v>
      </c>
    </row>
    <row r="9" spans="1:32">
      <c r="A9" s="307">
        <v>3</v>
      </c>
      <c r="B9" s="342"/>
      <c r="C9" s="342" t="s">
        <v>180</v>
      </c>
      <c r="D9" s="340" t="s">
        <v>320</v>
      </c>
      <c r="E9" s="342"/>
      <c r="F9" s="345" t="s">
        <v>170</v>
      </c>
      <c r="G9" s="308">
        <v>1</v>
      </c>
      <c r="H9" s="309">
        <v>9912</v>
      </c>
      <c r="I9" s="309">
        <v>9912</v>
      </c>
      <c r="J9" s="211"/>
      <c r="K9" s="212" t="str">
        <f>IF(OR(J9="",G9=J9),"","*")</f>
        <v/>
      </c>
      <c r="L9" s="338">
        <f>IF($A9&lt;=L$1,I9/I$4,"")</f>
        <v>2.7457063711911357E-3</v>
      </c>
      <c r="M9" s="343"/>
      <c r="N9" s="344"/>
      <c r="O9" s="346" t="s">
        <v>310</v>
      </c>
      <c r="P9" s="347" t="s">
        <v>310</v>
      </c>
      <c r="Q9" s="347" t="s">
        <v>310</v>
      </c>
      <c r="R9" s="348" t="s">
        <v>310</v>
      </c>
      <c r="S9" s="349"/>
      <c r="T9" s="343" t="s">
        <v>311</v>
      </c>
      <c r="U9" s="343"/>
      <c r="V9" s="344"/>
      <c r="W9" s="346" t="s">
        <v>310</v>
      </c>
      <c r="X9" s="347" t="s">
        <v>310</v>
      </c>
      <c r="Y9" s="347" t="s">
        <v>310</v>
      </c>
      <c r="Z9" s="348" t="s">
        <v>310</v>
      </c>
      <c r="AA9" s="349"/>
      <c r="AB9" s="343" t="s">
        <v>311</v>
      </c>
      <c r="AC9" s="343"/>
      <c r="AD9" s="344"/>
      <c r="AE9" s="342"/>
      <c r="AF9" s="341" t="s">
        <v>117</v>
      </c>
    </row>
    <row r="10" spans="1:32">
      <c r="A10" s="307">
        <v>2</v>
      </c>
      <c r="B10" s="342"/>
      <c r="C10" s="342" t="s">
        <v>217</v>
      </c>
      <c r="D10" s="340" t="s">
        <v>321</v>
      </c>
      <c r="E10" s="342" t="s">
        <v>173</v>
      </c>
      <c r="F10" s="345" t="s">
        <v>170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322</v>
      </c>
      <c r="O10" s="346" t="s">
        <v>310</v>
      </c>
      <c r="P10" s="347" t="s">
        <v>310</v>
      </c>
      <c r="Q10" s="347" t="s">
        <v>310</v>
      </c>
      <c r="R10" s="348" t="s">
        <v>310</v>
      </c>
      <c r="S10" s="349"/>
      <c r="T10" s="343" t="s">
        <v>311</v>
      </c>
      <c r="U10" s="343"/>
      <c r="V10" s="344"/>
      <c r="W10" s="346" t="s">
        <v>310</v>
      </c>
      <c r="X10" s="347" t="s">
        <v>310</v>
      </c>
      <c r="Y10" s="347" t="s">
        <v>310</v>
      </c>
      <c r="Z10" s="348" t="s">
        <v>310</v>
      </c>
      <c r="AA10" s="349"/>
      <c r="AB10" s="343" t="s">
        <v>311</v>
      </c>
      <c r="AC10" s="343"/>
      <c r="AD10" s="344"/>
      <c r="AE10" s="342"/>
      <c r="AF10" s="341" t="s">
        <v>117</v>
      </c>
    </row>
    <row r="11" spans="1:32">
      <c r="A11" s="307">
        <v>2</v>
      </c>
      <c r="B11" s="342"/>
      <c r="C11" s="342" t="s">
        <v>217</v>
      </c>
      <c r="D11" s="340" t="s">
        <v>323</v>
      </c>
      <c r="E11" s="342" t="s">
        <v>174</v>
      </c>
      <c r="F11" s="345" t="s">
        <v>170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324</v>
      </c>
      <c r="O11" s="346" t="s">
        <v>310</v>
      </c>
      <c r="P11" s="347" t="s">
        <v>310</v>
      </c>
      <c r="Q11" s="347" t="s">
        <v>310</v>
      </c>
      <c r="R11" s="348" t="s">
        <v>310</v>
      </c>
      <c r="S11" s="349"/>
      <c r="T11" s="343" t="s">
        <v>311</v>
      </c>
      <c r="U11" s="343"/>
      <c r="V11" s="344"/>
      <c r="W11" s="346" t="s">
        <v>310</v>
      </c>
      <c r="X11" s="347" t="s">
        <v>310</v>
      </c>
      <c r="Y11" s="347" t="s">
        <v>310</v>
      </c>
      <c r="Z11" s="348" t="s">
        <v>310</v>
      </c>
      <c r="AA11" s="349"/>
      <c r="AB11" s="343" t="s">
        <v>311</v>
      </c>
      <c r="AC11" s="343"/>
      <c r="AD11" s="344"/>
      <c r="AE11" s="342"/>
      <c r="AF11" s="341" t="s">
        <v>117</v>
      </c>
    </row>
    <row r="12" spans="1:32">
      <c r="A12" s="307">
        <v>2</v>
      </c>
      <c r="B12" s="342"/>
      <c r="C12" s="342" t="s">
        <v>217</v>
      </c>
      <c r="D12" s="340" t="s">
        <v>325</v>
      </c>
      <c r="E12" s="342" t="s">
        <v>175</v>
      </c>
      <c r="F12" s="345" t="s">
        <v>170</v>
      </c>
      <c r="G12" s="308">
        <v>1</v>
      </c>
      <c r="H12" s="309">
        <v>10000</v>
      </c>
      <c r="I12" s="309">
        <v>10000</v>
      </c>
      <c r="J12" s="211">
        <v>1</v>
      </c>
      <c r="K12" s="212" t="str">
        <f>IF(OR(J12="",G12=J12),"","*")</f>
        <v/>
      </c>
      <c r="L12" s="338">
        <f>IF($A12&lt;=L$1,I12/I$4,"")</f>
        <v>2.7700831024930748E-3</v>
      </c>
      <c r="M12" s="343"/>
      <c r="N12" s="344" t="s">
        <v>326</v>
      </c>
      <c r="O12" s="346" t="s">
        <v>310</v>
      </c>
      <c r="P12" s="347" t="s">
        <v>310</v>
      </c>
      <c r="Q12" s="347" t="s">
        <v>310</v>
      </c>
      <c r="R12" s="348" t="s">
        <v>310</v>
      </c>
      <c r="S12" s="349"/>
      <c r="T12" s="343" t="s">
        <v>311</v>
      </c>
      <c r="U12" s="343"/>
      <c r="V12" s="344"/>
      <c r="W12" s="346" t="s">
        <v>310</v>
      </c>
      <c r="X12" s="347" t="s">
        <v>310</v>
      </c>
      <c r="Y12" s="347" t="s">
        <v>310</v>
      </c>
      <c r="Z12" s="348" t="s">
        <v>310</v>
      </c>
      <c r="AA12" s="349"/>
      <c r="AB12" s="343" t="s">
        <v>311</v>
      </c>
      <c r="AC12" s="343"/>
      <c r="AD12" s="344"/>
      <c r="AE12" s="342"/>
      <c r="AF12" s="341" t="s">
        <v>117</v>
      </c>
    </row>
    <row r="13" spans="1:32">
      <c r="A13" s="307">
        <v>3</v>
      </c>
      <c r="B13" s="342"/>
      <c r="C13" s="342" t="s">
        <v>185</v>
      </c>
      <c r="D13" s="340" t="s">
        <v>327</v>
      </c>
      <c r="E13" s="342"/>
      <c r="F13" s="345" t="s">
        <v>170</v>
      </c>
      <c r="G13" s="308">
        <v>1</v>
      </c>
      <c r="H13" s="309">
        <v>10000</v>
      </c>
      <c r="I13" s="309">
        <v>10000</v>
      </c>
      <c r="J13" s="211"/>
      <c r="K13" s="212" t="str">
        <f>IF(OR(J13="",G13=J13),"","*")</f>
        <v/>
      </c>
      <c r="L13" s="338">
        <f>IF($A13&lt;=L$1,I13/I$4,"")</f>
        <v>2.7700831024930748E-3</v>
      </c>
      <c r="M13" s="343"/>
      <c r="N13" s="344"/>
      <c r="O13" s="346" t="s">
        <v>310</v>
      </c>
      <c r="P13" s="347" t="s">
        <v>310</v>
      </c>
      <c r="Q13" s="347" t="s">
        <v>310</v>
      </c>
      <c r="R13" s="348" t="s">
        <v>310</v>
      </c>
      <c r="S13" s="349"/>
      <c r="T13" s="343" t="s">
        <v>311</v>
      </c>
      <c r="U13" s="343"/>
      <c r="V13" s="344"/>
      <c r="W13" s="346" t="s">
        <v>310</v>
      </c>
      <c r="X13" s="347" t="s">
        <v>310</v>
      </c>
      <c r="Y13" s="347" t="s">
        <v>310</v>
      </c>
      <c r="Z13" s="348" t="s">
        <v>310</v>
      </c>
      <c r="AA13" s="349"/>
      <c r="AB13" s="343" t="s">
        <v>311</v>
      </c>
      <c r="AC13" s="343"/>
      <c r="AD13" s="344"/>
      <c r="AE13" s="342"/>
      <c r="AF13" s="341" t="s">
        <v>117</v>
      </c>
    </row>
    <row r="14" spans="1:32">
      <c r="A14" s="307">
        <v>2</v>
      </c>
      <c r="B14" s="342"/>
      <c r="C14" s="342" t="s">
        <v>217</v>
      </c>
      <c r="D14" s="340" t="s">
        <v>328</v>
      </c>
      <c r="E14" s="342" t="s">
        <v>176</v>
      </c>
      <c r="F14" s="345" t="s">
        <v>170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329</v>
      </c>
      <c r="O14" s="346" t="s">
        <v>310</v>
      </c>
      <c r="P14" s="347" t="s">
        <v>310</v>
      </c>
      <c r="Q14" s="347" t="s">
        <v>310</v>
      </c>
      <c r="R14" s="348" t="s">
        <v>310</v>
      </c>
      <c r="S14" s="349"/>
      <c r="T14" s="343" t="s">
        <v>311</v>
      </c>
      <c r="U14" s="343"/>
      <c r="V14" s="344"/>
      <c r="W14" s="346" t="s">
        <v>310</v>
      </c>
      <c r="X14" s="347" t="s">
        <v>310</v>
      </c>
      <c r="Y14" s="347" t="s">
        <v>310</v>
      </c>
      <c r="Z14" s="348" t="s">
        <v>310</v>
      </c>
      <c r="AA14" s="349"/>
      <c r="AB14" s="343" t="s">
        <v>311</v>
      </c>
      <c r="AC14" s="343"/>
      <c r="AD14" s="344"/>
      <c r="AE14" s="342"/>
      <c r="AF14" s="341" t="s">
        <v>117</v>
      </c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4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164</v>
      </c>
      <c r="C3" s="561"/>
      <c r="D3" s="563" t="s">
        <v>170</v>
      </c>
      <c r="E3" s="565">
        <v>1</v>
      </c>
      <c r="F3" s="521">
        <v>322000</v>
      </c>
      <c r="G3" s="557">
        <v>322000</v>
      </c>
      <c r="H3" s="138" t="s">
        <v>330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198</v>
      </c>
      <c r="I4" s="69"/>
    </row>
    <row r="5" spans="1:9" ht="15.75" customHeight="1">
      <c r="A5" s="69"/>
      <c r="B5" s="559" t="s">
        <v>165</v>
      </c>
      <c r="C5" s="561" t="s">
        <v>177</v>
      </c>
      <c r="D5" s="563" t="s">
        <v>170</v>
      </c>
      <c r="E5" s="565">
        <v>1</v>
      </c>
      <c r="F5" s="521"/>
      <c r="G5" s="557"/>
      <c r="H5" s="138" t="s">
        <v>331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198</v>
      </c>
      <c r="I6" s="69"/>
    </row>
    <row r="7" spans="1:9" ht="15.75" customHeight="1">
      <c r="A7" s="69"/>
      <c r="B7" s="559" t="s">
        <v>166</v>
      </c>
      <c r="C7" s="561"/>
      <c r="D7" s="563" t="s">
        <v>170</v>
      </c>
      <c r="E7" s="565">
        <v>1</v>
      </c>
      <c r="F7" s="521"/>
      <c r="G7" s="557"/>
      <c r="H7" s="138" t="s">
        <v>332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198</v>
      </c>
      <c r="I8" s="69"/>
    </row>
    <row r="9" spans="1:9" ht="15.75" customHeight="1">
      <c r="A9" s="69"/>
      <c r="B9" s="559" t="s">
        <v>167</v>
      </c>
      <c r="C9" s="561" t="s">
        <v>178</v>
      </c>
      <c r="D9" s="563" t="s">
        <v>170</v>
      </c>
      <c r="E9" s="565">
        <v>1</v>
      </c>
      <c r="F9" s="521"/>
      <c r="G9" s="557"/>
      <c r="H9" s="138" t="s">
        <v>333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198</v>
      </c>
      <c r="I10" s="69"/>
    </row>
    <row r="11" spans="1:9" ht="15.75" customHeight="1">
      <c r="A11" s="69"/>
      <c r="B11" s="559" t="s">
        <v>168</v>
      </c>
      <c r="C11" s="561" t="s">
        <v>179</v>
      </c>
      <c r="D11" s="563" t="s">
        <v>170</v>
      </c>
      <c r="E11" s="565">
        <v>1</v>
      </c>
      <c r="F11" s="521"/>
      <c r="G11" s="557"/>
      <c r="H11" s="138" t="s">
        <v>334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198</v>
      </c>
      <c r="I12" s="69"/>
    </row>
    <row r="13" spans="1:9" ht="15.75" customHeight="1">
      <c r="A13" s="69"/>
      <c r="B13" s="559" t="s">
        <v>307</v>
      </c>
      <c r="C13" s="561" t="s">
        <v>335</v>
      </c>
      <c r="D13" s="563" t="s">
        <v>170</v>
      </c>
      <c r="E13" s="565">
        <v>1</v>
      </c>
      <c r="F13" s="521"/>
      <c r="G13" s="557"/>
      <c r="H13" s="138" t="s">
        <v>336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198</v>
      </c>
      <c r="I14" s="69"/>
    </row>
    <row r="15" spans="1:9" ht="15.75" customHeight="1">
      <c r="A15" s="69"/>
      <c r="B15" s="559" t="s">
        <v>308</v>
      </c>
      <c r="C15" s="561" t="s">
        <v>337</v>
      </c>
      <c r="D15" s="563" t="s">
        <v>170</v>
      </c>
      <c r="E15" s="565">
        <v>1</v>
      </c>
      <c r="F15" s="521"/>
      <c r="G15" s="557"/>
      <c r="H15" s="138" t="s">
        <v>338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198</v>
      </c>
      <c r="I16" s="69"/>
    </row>
    <row r="17" spans="1:9" ht="15.75" customHeight="1">
      <c r="A17" s="69"/>
      <c r="B17" s="559" t="s">
        <v>309</v>
      </c>
      <c r="C17" s="561" t="s">
        <v>339</v>
      </c>
      <c r="D17" s="563" t="s">
        <v>170</v>
      </c>
      <c r="E17" s="565">
        <v>1</v>
      </c>
      <c r="F17" s="521"/>
      <c r="G17" s="557"/>
      <c r="H17" s="138" t="s">
        <v>340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198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212</v>
      </c>
      <c r="C21" s="561"/>
      <c r="D21" s="563"/>
      <c r="E21" s="565"/>
      <c r="F21" s="521"/>
      <c r="G21" s="557">
        <v>322000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6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宮城蔵王リゾートⅠ‐１</v>
      </c>
      <c r="G1" s="306"/>
      <c r="H1" s="190" t="s">
        <v>131</v>
      </c>
      <c r="I1" s="333">
        <v>4880000</v>
      </c>
      <c r="J1" s="339">
        <f>I4/I$1</f>
        <v>0.73975409836065575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214</v>
      </c>
      <c r="D4" s="340" t="s">
        <v>188</v>
      </c>
      <c r="E4" s="342"/>
      <c r="F4" s="345" t="s">
        <v>170</v>
      </c>
      <c r="G4" s="308">
        <v>1</v>
      </c>
      <c r="H4" s="309">
        <v>3610000</v>
      </c>
      <c r="I4" s="309">
        <v>3610000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310</v>
      </c>
      <c r="P4" s="347" t="s">
        <v>310</v>
      </c>
      <c r="Q4" s="347" t="s">
        <v>310</v>
      </c>
      <c r="R4" s="348" t="s">
        <v>310</v>
      </c>
      <c r="S4" s="349"/>
      <c r="T4" s="343" t="s">
        <v>311</v>
      </c>
      <c r="U4" s="343"/>
      <c r="V4" s="344"/>
      <c r="W4" s="346" t="s">
        <v>310</v>
      </c>
      <c r="X4" s="347" t="s">
        <v>310</v>
      </c>
      <c r="Y4" s="347" t="s">
        <v>310</v>
      </c>
      <c r="Z4" s="348" t="s">
        <v>310</v>
      </c>
      <c r="AA4" s="349"/>
      <c r="AB4" s="343" t="s">
        <v>311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215</v>
      </c>
      <c r="D5" s="340" t="s">
        <v>341</v>
      </c>
      <c r="E5" s="342"/>
      <c r="F5" s="345" t="s">
        <v>170</v>
      </c>
      <c r="G5" s="308">
        <v>1</v>
      </c>
      <c r="H5" s="309">
        <v>322000</v>
      </c>
      <c r="I5" s="309">
        <v>322000</v>
      </c>
      <c r="J5" s="211"/>
      <c r="K5" s="212" t="str">
        <f>IF(OR(J5="",G5=J5),"","*")</f>
        <v/>
      </c>
      <c r="L5" s="338">
        <f>IF($A5&lt;=L$1,I5/I$4,"")</f>
        <v>8.9196675900277009E-2</v>
      </c>
      <c r="M5" s="343"/>
      <c r="N5" s="344"/>
      <c r="O5" s="346" t="s">
        <v>310</v>
      </c>
      <c r="P5" s="347" t="s">
        <v>310</v>
      </c>
      <c r="Q5" s="347" t="s">
        <v>310</v>
      </c>
      <c r="R5" s="348" t="s">
        <v>310</v>
      </c>
      <c r="S5" s="349"/>
      <c r="T5" s="343" t="s">
        <v>311</v>
      </c>
      <c r="U5" s="343"/>
      <c r="V5" s="344"/>
      <c r="W5" s="346" t="s">
        <v>310</v>
      </c>
      <c r="X5" s="347" t="s">
        <v>310</v>
      </c>
      <c r="Y5" s="347" t="s">
        <v>310</v>
      </c>
      <c r="Z5" s="348" t="s">
        <v>310</v>
      </c>
      <c r="AA5" s="349"/>
      <c r="AB5" s="343" t="s">
        <v>311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217</v>
      </c>
      <c r="D6" s="340" t="s">
        <v>342</v>
      </c>
      <c r="E6" s="342"/>
      <c r="F6" s="345" t="s">
        <v>170</v>
      </c>
      <c r="G6" s="308">
        <v>1</v>
      </c>
      <c r="H6" s="309">
        <v>322000</v>
      </c>
      <c r="I6" s="309">
        <v>322000</v>
      </c>
      <c r="J6" s="211">
        <v>1</v>
      </c>
      <c r="K6" s="212" t="str">
        <f>IF(OR(J6="",G6=J6),"","*")</f>
        <v/>
      </c>
      <c r="L6" s="338">
        <f>IF($A6&lt;=L$1,I6/I$4,"")</f>
        <v>8.9196675900277009E-2</v>
      </c>
      <c r="M6" s="343"/>
      <c r="N6" s="344" t="s">
        <v>343</v>
      </c>
      <c r="O6" s="346" t="s">
        <v>310</v>
      </c>
      <c r="P6" s="347" t="s">
        <v>310</v>
      </c>
      <c r="Q6" s="347" t="s">
        <v>310</v>
      </c>
      <c r="R6" s="348" t="s">
        <v>310</v>
      </c>
      <c r="S6" s="349"/>
      <c r="T6" s="343" t="s">
        <v>311</v>
      </c>
      <c r="U6" s="343"/>
      <c r="V6" s="344"/>
      <c r="W6" s="346" t="s">
        <v>310</v>
      </c>
      <c r="X6" s="347" t="s">
        <v>310</v>
      </c>
      <c r="Y6" s="347" t="s">
        <v>310</v>
      </c>
      <c r="Z6" s="348" t="s">
        <v>310</v>
      </c>
      <c r="AA6" s="349"/>
      <c r="AB6" s="343" t="s">
        <v>311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186</v>
      </c>
      <c r="D7" s="340" t="s">
        <v>344</v>
      </c>
      <c r="E7" s="342" t="s">
        <v>345</v>
      </c>
      <c r="F7" s="345" t="s">
        <v>346</v>
      </c>
      <c r="G7" s="308">
        <v>7</v>
      </c>
      <c r="H7" s="309">
        <v>23000</v>
      </c>
      <c r="I7" s="309">
        <v>161000</v>
      </c>
      <c r="J7" s="211"/>
      <c r="K7" s="212" t="str">
        <f>IF(OR(J7="",G7=J7),"","*")</f>
        <v/>
      </c>
      <c r="L7" s="338">
        <f>IF($A7&lt;=L$1,I7/I$4,"")</f>
        <v>4.4598337950138504E-2</v>
      </c>
      <c r="M7" s="343"/>
      <c r="N7" s="344"/>
      <c r="O7" s="346" t="s">
        <v>310</v>
      </c>
      <c r="P7" s="347" t="s">
        <v>310</v>
      </c>
      <c r="Q7" s="347" t="s">
        <v>310</v>
      </c>
      <c r="R7" s="348" t="s">
        <v>310</v>
      </c>
      <c r="S7" s="349"/>
      <c r="T7" s="343" t="s">
        <v>311</v>
      </c>
      <c r="U7" s="343"/>
      <c r="V7" s="344"/>
      <c r="W7" s="346" t="s">
        <v>310</v>
      </c>
      <c r="X7" s="347" t="s">
        <v>310</v>
      </c>
      <c r="Y7" s="347" t="s">
        <v>310</v>
      </c>
      <c r="Z7" s="348" t="s">
        <v>310</v>
      </c>
      <c r="AA7" s="349"/>
      <c r="AB7" s="343" t="s">
        <v>311</v>
      </c>
      <c r="AC7" s="343"/>
      <c r="AD7" s="344"/>
      <c r="AE7" s="342" t="s">
        <v>347</v>
      </c>
      <c r="AF7" s="341" t="s">
        <v>348</v>
      </c>
    </row>
    <row r="8" spans="1:32">
      <c r="A8" s="307">
        <v>3</v>
      </c>
      <c r="B8" s="342"/>
      <c r="C8" s="342" t="s">
        <v>186</v>
      </c>
      <c r="D8" s="340" t="s">
        <v>344</v>
      </c>
      <c r="E8" s="342" t="s">
        <v>345</v>
      </c>
      <c r="F8" s="345" t="s">
        <v>346</v>
      </c>
      <c r="G8" s="308">
        <v>7</v>
      </c>
      <c r="H8" s="309">
        <v>23000</v>
      </c>
      <c r="I8" s="309">
        <v>161000</v>
      </c>
      <c r="J8" s="211"/>
      <c r="K8" s="212" t="str">
        <f>IF(OR(J8="",G8=J8),"","*")</f>
        <v/>
      </c>
      <c r="L8" s="338">
        <f>IF($A8&lt;=L$1,I8/I$4,"")</f>
        <v>4.4598337950138504E-2</v>
      </c>
      <c r="M8" s="343"/>
      <c r="N8" s="344"/>
      <c r="O8" s="346" t="s">
        <v>310</v>
      </c>
      <c r="P8" s="347" t="s">
        <v>310</v>
      </c>
      <c r="Q8" s="347" t="s">
        <v>310</v>
      </c>
      <c r="R8" s="348" t="s">
        <v>310</v>
      </c>
      <c r="S8" s="349"/>
      <c r="T8" s="343" t="s">
        <v>311</v>
      </c>
      <c r="U8" s="343"/>
      <c r="V8" s="344"/>
      <c r="W8" s="346" t="s">
        <v>310</v>
      </c>
      <c r="X8" s="347" t="s">
        <v>310</v>
      </c>
      <c r="Y8" s="347" t="s">
        <v>310</v>
      </c>
      <c r="Z8" s="348" t="s">
        <v>310</v>
      </c>
      <c r="AA8" s="349"/>
      <c r="AB8" s="343" t="s">
        <v>311</v>
      </c>
      <c r="AC8" s="343"/>
      <c r="AD8" s="344"/>
      <c r="AE8" s="342" t="s">
        <v>347</v>
      </c>
      <c r="AF8" s="341" t="s">
        <v>348</v>
      </c>
    </row>
    <row r="9" spans="1:32">
      <c r="A9" s="307">
        <v>2</v>
      </c>
      <c r="B9" s="342"/>
      <c r="C9" s="342" t="s">
        <v>217</v>
      </c>
      <c r="D9" s="340" t="s">
        <v>349</v>
      </c>
      <c r="E9" s="342" t="s">
        <v>177</v>
      </c>
      <c r="F9" s="345" t="s">
        <v>170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350</v>
      </c>
      <c r="O9" s="346" t="s">
        <v>310</v>
      </c>
      <c r="P9" s="347" t="s">
        <v>310</v>
      </c>
      <c r="Q9" s="347" t="s">
        <v>310</v>
      </c>
      <c r="R9" s="348" t="s">
        <v>310</v>
      </c>
      <c r="S9" s="349"/>
      <c r="T9" s="343" t="s">
        <v>311</v>
      </c>
      <c r="U9" s="343"/>
      <c r="V9" s="344"/>
      <c r="W9" s="346" t="s">
        <v>310</v>
      </c>
      <c r="X9" s="347" t="s">
        <v>310</v>
      </c>
      <c r="Y9" s="347" t="s">
        <v>310</v>
      </c>
      <c r="Z9" s="348" t="s">
        <v>310</v>
      </c>
      <c r="AA9" s="349"/>
      <c r="AB9" s="343" t="s">
        <v>311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217</v>
      </c>
      <c r="D10" s="340" t="s">
        <v>351</v>
      </c>
      <c r="E10" s="342"/>
      <c r="F10" s="345" t="s">
        <v>170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352</v>
      </c>
      <c r="O10" s="346" t="s">
        <v>310</v>
      </c>
      <c r="P10" s="347" t="s">
        <v>310</v>
      </c>
      <c r="Q10" s="347" t="s">
        <v>310</v>
      </c>
      <c r="R10" s="348" t="s">
        <v>310</v>
      </c>
      <c r="S10" s="349"/>
      <c r="T10" s="343" t="s">
        <v>311</v>
      </c>
      <c r="U10" s="343"/>
      <c r="V10" s="344"/>
      <c r="W10" s="346" t="s">
        <v>310</v>
      </c>
      <c r="X10" s="347" t="s">
        <v>310</v>
      </c>
      <c r="Y10" s="347" t="s">
        <v>310</v>
      </c>
      <c r="Z10" s="348" t="s">
        <v>310</v>
      </c>
      <c r="AA10" s="349"/>
      <c r="AB10" s="343" t="s">
        <v>311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217</v>
      </c>
      <c r="D11" s="340" t="s">
        <v>353</v>
      </c>
      <c r="E11" s="342" t="s">
        <v>178</v>
      </c>
      <c r="F11" s="345" t="s">
        <v>170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354</v>
      </c>
      <c r="O11" s="346" t="s">
        <v>310</v>
      </c>
      <c r="P11" s="347" t="s">
        <v>310</v>
      </c>
      <c r="Q11" s="347" t="s">
        <v>310</v>
      </c>
      <c r="R11" s="348" t="s">
        <v>310</v>
      </c>
      <c r="S11" s="349"/>
      <c r="T11" s="343" t="s">
        <v>311</v>
      </c>
      <c r="U11" s="343"/>
      <c r="V11" s="344"/>
      <c r="W11" s="346" t="s">
        <v>310</v>
      </c>
      <c r="X11" s="347" t="s">
        <v>310</v>
      </c>
      <c r="Y11" s="347" t="s">
        <v>310</v>
      </c>
      <c r="Z11" s="348" t="s">
        <v>310</v>
      </c>
      <c r="AA11" s="349"/>
      <c r="AB11" s="343" t="s">
        <v>311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217</v>
      </c>
      <c r="D12" s="340" t="s">
        <v>355</v>
      </c>
      <c r="E12" s="342" t="s">
        <v>179</v>
      </c>
      <c r="F12" s="345" t="s">
        <v>170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356</v>
      </c>
      <c r="O12" s="346" t="s">
        <v>310</v>
      </c>
      <c r="P12" s="347" t="s">
        <v>310</v>
      </c>
      <c r="Q12" s="347" t="s">
        <v>310</v>
      </c>
      <c r="R12" s="348" t="s">
        <v>310</v>
      </c>
      <c r="S12" s="349"/>
      <c r="T12" s="343" t="s">
        <v>311</v>
      </c>
      <c r="U12" s="343"/>
      <c r="V12" s="344"/>
      <c r="W12" s="346" t="s">
        <v>310</v>
      </c>
      <c r="X12" s="347" t="s">
        <v>310</v>
      </c>
      <c r="Y12" s="347" t="s">
        <v>310</v>
      </c>
      <c r="Z12" s="348" t="s">
        <v>310</v>
      </c>
      <c r="AA12" s="349"/>
      <c r="AB12" s="343" t="s">
        <v>311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217</v>
      </c>
      <c r="D13" s="340" t="s">
        <v>357</v>
      </c>
      <c r="E13" s="342" t="s">
        <v>335</v>
      </c>
      <c r="F13" s="345" t="s">
        <v>170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358</v>
      </c>
      <c r="O13" s="346" t="s">
        <v>310</v>
      </c>
      <c r="P13" s="347" t="s">
        <v>310</v>
      </c>
      <c r="Q13" s="347" t="s">
        <v>310</v>
      </c>
      <c r="R13" s="348" t="s">
        <v>310</v>
      </c>
      <c r="S13" s="349"/>
      <c r="T13" s="343" t="s">
        <v>311</v>
      </c>
      <c r="U13" s="343"/>
      <c r="V13" s="344"/>
      <c r="W13" s="346" t="s">
        <v>310</v>
      </c>
      <c r="X13" s="347" t="s">
        <v>310</v>
      </c>
      <c r="Y13" s="347" t="s">
        <v>310</v>
      </c>
      <c r="Z13" s="348" t="s">
        <v>310</v>
      </c>
      <c r="AA13" s="349"/>
      <c r="AB13" s="343" t="s">
        <v>311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217</v>
      </c>
      <c r="D14" s="340" t="s">
        <v>359</v>
      </c>
      <c r="E14" s="342" t="s">
        <v>337</v>
      </c>
      <c r="F14" s="345" t="s">
        <v>170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360</v>
      </c>
      <c r="O14" s="346" t="s">
        <v>310</v>
      </c>
      <c r="P14" s="347" t="s">
        <v>310</v>
      </c>
      <c r="Q14" s="347" t="s">
        <v>310</v>
      </c>
      <c r="R14" s="348" t="s">
        <v>310</v>
      </c>
      <c r="S14" s="349"/>
      <c r="T14" s="343" t="s">
        <v>311</v>
      </c>
      <c r="U14" s="343"/>
      <c r="V14" s="344"/>
      <c r="W14" s="346" t="s">
        <v>310</v>
      </c>
      <c r="X14" s="347" t="s">
        <v>310</v>
      </c>
      <c r="Y14" s="347" t="s">
        <v>310</v>
      </c>
      <c r="Z14" s="348" t="s">
        <v>310</v>
      </c>
      <c r="AA14" s="349"/>
      <c r="AB14" s="343" t="s">
        <v>311</v>
      </c>
      <c r="AC14" s="343"/>
      <c r="AD14" s="344"/>
      <c r="AE14" s="342"/>
      <c r="AF14" s="341"/>
    </row>
    <row r="15" spans="1:32">
      <c r="A15" s="307">
        <v>2</v>
      </c>
      <c r="B15" s="342"/>
      <c r="C15" s="342" t="s">
        <v>217</v>
      </c>
      <c r="D15" s="340" t="s">
        <v>361</v>
      </c>
      <c r="E15" s="342" t="s">
        <v>339</v>
      </c>
      <c r="F15" s="345" t="s">
        <v>170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362</v>
      </c>
      <c r="O15" s="346" t="s">
        <v>310</v>
      </c>
      <c r="P15" s="347" t="s">
        <v>310</v>
      </c>
      <c r="Q15" s="347" t="s">
        <v>310</v>
      </c>
      <c r="R15" s="348" t="s">
        <v>310</v>
      </c>
      <c r="S15" s="349"/>
      <c r="T15" s="343" t="s">
        <v>311</v>
      </c>
      <c r="U15" s="343"/>
      <c r="V15" s="344"/>
      <c r="W15" s="346" t="s">
        <v>310</v>
      </c>
      <c r="X15" s="347" t="s">
        <v>310</v>
      </c>
      <c r="Y15" s="347" t="s">
        <v>310</v>
      </c>
      <c r="Z15" s="348" t="s">
        <v>310</v>
      </c>
      <c r="AA15" s="349"/>
      <c r="AB15" s="343" t="s">
        <v>311</v>
      </c>
      <c r="AC15" s="343"/>
      <c r="AD15" s="344"/>
      <c r="AE15" s="342"/>
      <c r="AF15" s="341"/>
    </row>
    <row r="16" spans="1:32">
      <c r="A16" s="217"/>
      <c r="B16" s="217"/>
      <c r="C16" s="312"/>
      <c r="D16" s="217"/>
      <c r="E16" s="217"/>
      <c r="F16" s="218"/>
      <c r="G16" s="217"/>
      <c r="H16" s="217"/>
      <c r="I16" s="217"/>
      <c r="J16" s="217"/>
      <c r="K16" s="218"/>
      <c r="L16" s="217"/>
      <c r="M16" s="217"/>
      <c r="N16" s="217"/>
      <c r="O16" s="217"/>
      <c r="P16" s="217"/>
      <c r="Q16" s="217"/>
      <c r="R16" s="217"/>
      <c r="S16" s="218"/>
      <c r="T16" s="217"/>
      <c r="U16" s="217"/>
      <c r="V16" s="217"/>
      <c r="W16" s="217"/>
      <c r="X16" s="217"/>
      <c r="Y16" s="217"/>
      <c r="Z16" s="217"/>
      <c r="AA16" s="218"/>
      <c r="AB16" s="217"/>
      <c r="AC16" s="217"/>
      <c r="AD16" s="217"/>
      <c r="AE16" s="217"/>
      <c r="AF16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5 AF4:AF15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5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363</v>
      </c>
      <c r="C3" s="146" t="s">
        <v>364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365</v>
      </c>
      <c r="K4" s="69"/>
    </row>
    <row r="5" spans="1:11" ht="18" customHeight="1">
      <c r="A5" s="69"/>
      <c r="B5" s="574" t="s">
        <v>366</v>
      </c>
      <c r="C5" s="575"/>
      <c r="D5" s="153" t="s">
        <v>85</v>
      </c>
      <c r="E5" s="153" t="s">
        <v>367</v>
      </c>
      <c r="F5" s="153" t="s">
        <v>368</v>
      </c>
      <c r="G5" s="153" t="s">
        <v>369</v>
      </c>
      <c r="H5" s="154" t="s">
        <v>370</v>
      </c>
      <c r="I5" s="153" t="s">
        <v>371</v>
      </c>
      <c r="J5" s="155" t="s">
        <v>372</v>
      </c>
      <c r="K5" s="69"/>
    </row>
    <row r="6" spans="1:11" ht="10.5" customHeight="1">
      <c r="A6" s="69"/>
      <c r="B6" s="156" t="s">
        <v>373</v>
      </c>
      <c r="C6" s="157"/>
      <c r="D6" s="576" t="s">
        <v>374</v>
      </c>
      <c r="E6" s="578">
        <v>3.5</v>
      </c>
      <c r="F6" s="580">
        <v>2300</v>
      </c>
      <c r="G6" s="582">
        <v>8050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375</v>
      </c>
      <c r="C7" s="160"/>
      <c r="D7" s="577"/>
      <c r="E7" s="579"/>
      <c r="F7" s="581"/>
      <c r="G7" s="583"/>
      <c r="H7" s="356"/>
      <c r="I7" s="356" t="s">
        <v>376</v>
      </c>
      <c r="J7" s="161"/>
      <c r="K7" s="69" t="s">
        <v>96</v>
      </c>
    </row>
    <row r="8" spans="1:11" ht="10.5" customHeight="1">
      <c r="A8" s="69"/>
      <c r="B8" s="156" t="s">
        <v>377</v>
      </c>
      <c r="C8" s="157"/>
      <c r="D8" s="576" t="s">
        <v>378</v>
      </c>
      <c r="E8" s="578">
        <v>191</v>
      </c>
      <c r="F8" s="580">
        <v>103</v>
      </c>
      <c r="G8" s="582">
        <v>19673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376</v>
      </c>
      <c r="J9" s="162"/>
      <c r="K9" s="69" t="s">
        <v>96</v>
      </c>
    </row>
    <row r="10" spans="1:11" ht="10.5" customHeight="1">
      <c r="A10" s="69"/>
      <c r="B10" s="156" t="s">
        <v>379</v>
      </c>
      <c r="C10" s="157"/>
      <c r="D10" s="576" t="s">
        <v>380</v>
      </c>
      <c r="E10" s="578">
        <v>40</v>
      </c>
      <c r="F10" s="580">
        <v>165</v>
      </c>
      <c r="G10" s="582">
        <v>6600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376</v>
      </c>
      <c r="J11" s="161"/>
      <c r="K11" s="69" t="s">
        <v>96</v>
      </c>
    </row>
    <row r="12" spans="1:11" ht="10.5" customHeight="1">
      <c r="A12" s="69"/>
      <c r="B12" s="156" t="s">
        <v>381</v>
      </c>
      <c r="C12" s="157"/>
      <c r="D12" s="576" t="s">
        <v>380</v>
      </c>
      <c r="E12" s="584">
        <v>420</v>
      </c>
      <c r="F12" s="580">
        <v>145</v>
      </c>
      <c r="G12" s="582">
        <v>60900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376</v>
      </c>
      <c r="J13" s="161"/>
      <c r="K13" s="69" t="s">
        <v>96</v>
      </c>
    </row>
    <row r="14" spans="1:11" ht="10.5" customHeight="1">
      <c r="A14" s="69"/>
      <c r="B14" s="156" t="s">
        <v>382</v>
      </c>
      <c r="C14" s="157"/>
      <c r="D14" s="576" t="s">
        <v>378</v>
      </c>
      <c r="E14" s="584">
        <v>17</v>
      </c>
      <c r="F14" s="580">
        <v>9400</v>
      </c>
      <c r="G14" s="582">
        <v>159800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383</v>
      </c>
      <c r="C15" s="160"/>
      <c r="D15" s="577"/>
      <c r="E15" s="585"/>
      <c r="F15" s="581"/>
      <c r="G15" s="583"/>
      <c r="H15" s="356"/>
      <c r="I15" s="356" t="s">
        <v>376</v>
      </c>
      <c r="J15" s="161"/>
      <c r="K15" s="69" t="s">
        <v>96</v>
      </c>
    </row>
    <row r="16" spans="1:11" ht="10.5" customHeight="1">
      <c r="A16" s="69"/>
      <c r="B16" s="156" t="s">
        <v>384</v>
      </c>
      <c r="C16" s="157"/>
      <c r="D16" s="576" t="s">
        <v>378</v>
      </c>
      <c r="E16" s="584">
        <v>9</v>
      </c>
      <c r="F16" s="580">
        <v>11800</v>
      </c>
      <c r="G16" s="582">
        <v>106200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383</v>
      </c>
      <c r="C17" s="160"/>
      <c r="D17" s="577"/>
      <c r="E17" s="585"/>
      <c r="F17" s="581"/>
      <c r="G17" s="583"/>
      <c r="H17" s="356"/>
      <c r="I17" s="356" t="s">
        <v>376</v>
      </c>
      <c r="J17" s="161"/>
      <c r="K17" s="69" t="s">
        <v>96</v>
      </c>
    </row>
    <row r="18" spans="1:11" ht="10.5" customHeight="1">
      <c r="A18" s="69"/>
      <c r="B18" s="156" t="s">
        <v>385</v>
      </c>
      <c r="C18" s="157"/>
      <c r="D18" s="576" t="s">
        <v>386</v>
      </c>
      <c r="E18" s="584">
        <v>1</v>
      </c>
      <c r="F18" s="580">
        <v>9912</v>
      </c>
      <c r="G18" s="582">
        <v>9912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376</v>
      </c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 t="s">
        <v>387</v>
      </c>
      <c r="C22" s="157"/>
      <c r="D22" s="576"/>
      <c r="E22" s="584"/>
      <c r="F22" s="580"/>
      <c r="G22" s="582">
        <v>371135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363</v>
      </c>
      <c r="C3" s="146" t="s">
        <v>364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365</v>
      </c>
      <c r="K4" s="69"/>
    </row>
    <row r="5" spans="1:11" ht="18" customHeight="1">
      <c r="A5" s="69"/>
      <c r="B5" s="574" t="s">
        <v>366</v>
      </c>
      <c r="C5" s="575"/>
      <c r="D5" s="153" t="s">
        <v>85</v>
      </c>
      <c r="E5" s="153" t="s">
        <v>367</v>
      </c>
      <c r="F5" s="153" t="s">
        <v>368</v>
      </c>
      <c r="G5" s="153" t="s">
        <v>369</v>
      </c>
      <c r="H5" s="154" t="s">
        <v>370</v>
      </c>
      <c r="I5" s="153" t="s">
        <v>371</v>
      </c>
      <c r="J5" s="155" t="s">
        <v>372</v>
      </c>
      <c r="K5" s="69"/>
    </row>
    <row r="6" spans="1:11" ht="10.5" customHeight="1">
      <c r="A6" s="69"/>
      <c r="B6" s="156" t="s">
        <v>388</v>
      </c>
      <c r="C6" s="157"/>
      <c r="D6" s="576" t="s">
        <v>389</v>
      </c>
      <c r="E6" s="578">
        <v>84</v>
      </c>
      <c r="F6" s="580">
        <v>23000</v>
      </c>
      <c r="G6" s="582">
        <v>1932000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390</v>
      </c>
      <c r="C7" s="160"/>
      <c r="D7" s="577"/>
      <c r="E7" s="579"/>
      <c r="F7" s="581"/>
      <c r="G7" s="583"/>
      <c r="H7" s="356"/>
      <c r="I7" s="356" t="s">
        <v>391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387</v>
      </c>
      <c r="C10" s="157"/>
      <c r="D10" s="576"/>
      <c r="E10" s="578"/>
      <c r="F10" s="580"/>
      <c r="G10" s="582">
        <v>1932000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363</v>
      </c>
      <c r="C3" s="146" t="s">
        <v>364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365</v>
      </c>
      <c r="K4" s="69"/>
    </row>
    <row r="5" spans="1:11" ht="18" customHeight="1">
      <c r="A5" s="69"/>
      <c r="B5" s="574" t="s">
        <v>366</v>
      </c>
      <c r="C5" s="575"/>
      <c r="D5" s="153" t="s">
        <v>85</v>
      </c>
      <c r="E5" s="153" t="s">
        <v>367</v>
      </c>
      <c r="F5" s="153" t="s">
        <v>368</v>
      </c>
      <c r="G5" s="153" t="s">
        <v>369</v>
      </c>
      <c r="H5" s="154" t="s">
        <v>370</v>
      </c>
      <c r="I5" s="153" t="s">
        <v>371</v>
      </c>
      <c r="J5" s="155" t="s">
        <v>372</v>
      </c>
      <c r="K5" s="69"/>
    </row>
    <row r="6" spans="1:11" ht="10.5" customHeight="1">
      <c r="A6" s="69"/>
      <c r="B6" s="156" t="s">
        <v>392</v>
      </c>
      <c r="C6" s="157"/>
      <c r="D6" s="576" t="s">
        <v>386</v>
      </c>
      <c r="E6" s="578">
        <v>1</v>
      </c>
      <c r="F6" s="580">
        <v>63000</v>
      </c>
      <c r="G6" s="582">
        <v>63000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393</v>
      </c>
      <c r="J7" s="161"/>
      <c r="K7" s="69" t="s">
        <v>96</v>
      </c>
    </row>
    <row r="8" spans="1:11" ht="10.5" customHeight="1">
      <c r="A8" s="69"/>
      <c r="B8" s="156" t="s">
        <v>394</v>
      </c>
      <c r="C8" s="157"/>
      <c r="D8" s="576" t="s">
        <v>386</v>
      </c>
      <c r="E8" s="578">
        <v>1</v>
      </c>
      <c r="F8" s="580">
        <v>80000</v>
      </c>
      <c r="G8" s="582">
        <v>80000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395</v>
      </c>
      <c r="C9" s="160"/>
      <c r="D9" s="577"/>
      <c r="E9" s="579"/>
      <c r="F9" s="581"/>
      <c r="G9" s="583"/>
      <c r="H9" s="356"/>
      <c r="I9" s="356" t="s">
        <v>393</v>
      </c>
      <c r="J9" s="162"/>
      <c r="K9" s="69" t="s">
        <v>96</v>
      </c>
    </row>
    <row r="10" spans="1:11" ht="10.5" customHeight="1">
      <c r="A10" s="69"/>
      <c r="B10" s="156" t="s">
        <v>396</v>
      </c>
      <c r="C10" s="157"/>
      <c r="D10" s="576" t="s">
        <v>386</v>
      </c>
      <c r="E10" s="578">
        <v>1</v>
      </c>
      <c r="F10" s="580">
        <v>67000</v>
      </c>
      <c r="G10" s="582">
        <v>67000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393</v>
      </c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 t="s">
        <v>387</v>
      </c>
      <c r="C14" s="157"/>
      <c r="D14" s="576"/>
      <c r="E14" s="584"/>
      <c r="F14" s="580"/>
      <c r="G14" s="582">
        <v>210000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363</v>
      </c>
      <c r="C3" s="146" t="s">
        <v>364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365</v>
      </c>
      <c r="K4" s="69"/>
    </row>
    <row r="5" spans="1:11" ht="18" customHeight="1">
      <c r="A5" s="69"/>
      <c r="B5" s="574" t="s">
        <v>366</v>
      </c>
      <c r="C5" s="575"/>
      <c r="D5" s="153" t="s">
        <v>85</v>
      </c>
      <c r="E5" s="153" t="s">
        <v>367</v>
      </c>
      <c r="F5" s="153" t="s">
        <v>368</v>
      </c>
      <c r="G5" s="153" t="s">
        <v>369</v>
      </c>
      <c r="H5" s="154" t="s">
        <v>370</v>
      </c>
      <c r="I5" s="153" t="s">
        <v>371</v>
      </c>
      <c r="J5" s="155" t="s">
        <v>372</v>
      </c>
      <c r="K5" s="69"/>
    </row>
    <row r="6" spans="1:11" ht="10.5" customHeight="1">
      <c r="A6" s="69"/>
      <c r="B6" s="156" t="s">
        <v>397</v>
      </c>
      <c r="C6" s="157"/>
      <c r="D6" s="576" t="s">
        <v>398</v>
      </c>
      <c r="E6" s="578">
        <v>7</v>
      </c>
      <c r="F6" s="580">
        <v>4500</v>
      </c>
      <c r="G6" s="582">
        <v>31500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399</v>
      </c>
      <c r="C7" s="160"/>
      <c r="D7" s="577"/>
      <c r="E7" s="579"/>
      <c r="F7" s="581"/>
      <c r="G7" s="583"/>
      <c r="H7" s="356"/>
      <c r="I7" s="356" t="s">
        <v>400</v>
      </c>
      <c r="J7" s="161"/>
      <c r="K7" s="69" t="s">
        <v>96</v>
      </c>
    </row>
    <row r="8" spans="1:11" ht="10.5" customHeight="1">
      <c r="A8" s="69"/>
      <c r="B8" s="156" t="s">
        <v>401</v>
      </c>
      <c r="C8" s="157"/>
      <c r="D8" s="576" t="s">
        <v>398</v>
      </c>
      <c r="E8" s="578">
        <v>14</v>
      </c>
      <c r="F8" s="580">
        <v>8000</v>
      </c>
      <c r="G8" s="582">
        <v>112000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402</v>
      </c>
      <c r="C9" s="160"/>
      <c r="D9" s="577"/>
      <c r="E9" s="579"/>
      <c r="F9" s="581"/>
      <c r="G9" s="583"/>
      <c r="H9" s="356"/>
      <c r="I9" s="356" t="s">
        <v>400</v>
      </c>
      <c r="J9" s="162"/>
      <c r="K9" s="69" t="s">
        <v>96</v>
      </c>
    </row>
    <row r="10" spans="1:11" ht="10.5" customHeight="1">
      <c r="A10" s="69"/>
      <c r="B10" s="156" t="s">
        <v>401</v>
      </c>
      <c r="C10" s="157"/>
      <c r="D10" s="576" t="s">
        <v>398</v>
      </c>
      <c r="E10" s="578">
        <v>1</v>
      </c>
      <c r="F10" s="580">
        <v>10000</v>
      </c>
      <c r="G10" s="582">
        <v>10000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403</v>
      </c>
      <c r="C11" s="160"/>
      <c r="D11" s="577"/>
      <c r="E11" s="579"/>
      <c r="F11" s="581"/>
      <c r="G11" s="583"/>
      <c r="H11" s="356"/>
      <c r="I11" s="356" t="s">
        <v>400</v>
      </c>
      <c r="J11" s="161"/>
      <c r="K11" s="69" t="s">
        <v>96</v>
      </c>
    </row>
    <row r="12" spans="1:11" ht="10.5" customHeight="1">
      <c r="A12" s="69"/>
      <c r="B12" s="156" t="s">
        <v>404</v>
      </c>
      <c r="C12" s="157"/>
      <c r="D12" s="576" t="s">
        <v>398</v>
      </c>
      <c r="E12" s="584">
        <v>7</v>
      </c>
      <c r="F12" s="580">
        <v>2500</v>
      </c>
      <c r="G12" s="582">
        <v>17500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400</v>
      </c>
      <c r="J13" s="161"/>
      <c r="K13" s="69" t="s">
        <v>96</v>
      </c>
    </row>
    <row r="14" spans="1:11" ht="10.5" customHeight="1">
      <c r="A14" s="69"/>
      <c r="B14" s="156" t="s">
        <v>405</v>
      </c>
      <c r="C14" s="157"/>
      <c r="D14" s="576" t="s">
        <v>398</v>
      </c>
      <c r="E14" s="584">
        <v>3</v>
      </c>
      <c r="F14" s="580">
        <v>1000</v>
      </c>
      <c r="G14" s="582">
        <v>3000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400</v>
      </c>
      <c r="J15" s="161"/>
      <c r="K15" s="69" t="s">
        <v>96</v>
      </c>
    </row>
    <row r="16" spans="1:11" ht="10.5" customHeight="1">
      <c r="A16" s="69"/>
      <c r="B16" s="156" t="s">
        <v>406</v>
      </c>
      <c r="C16" s="157"/>
      <c r="D16" s="576" t="s">
        <v>398</v>
      </c>
      <c r="E16" s="584">
        <v>14</v>
      </c>
      <c r="F16" s="580">
        <v>1000</v>
      </c>
      <c r="G16" s="582">
        <v>14000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400</v>
      </c>
      <c r="J17" s="161"/>
      <c r="K17" s="69" t="s">
        <v>96</v>
      </c>
    </row>
    <row r="18" spans="1:11" ht="10.5" customHeight="1">
      <c r="A18" s="69"/>
      <c r="B18" s="156" t="s">
        <v>407</v>
      </c>
      <c r="C18" s="157"/>
      <c r="D18" s="576" t="s">
        <v>398</v>
      </c>
      <c r="E18" s="584">
        <v>4</v>
      </c>
      <c r="F18" s="580">
        <v>13000</v>
      </c>
      <c r="G18" s="582">
        <v>52000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399</v>
      </c>
      <c r="C19" s="160"/>
      <c r="D19" s="577"/>
      <c r="E19" s="585"/>
      <c r="F19" s="581"/>
      <c r="G19" s="583"/>
      <c r="H19" s="356"/>
      <c r="I19" s="356" t="s">
        <v>400</v>
      </c>
      <c r="J19" s="161"/>
      <c r="K19" s="69" t="s">
        <v>96</v>
      </c>
    </row>
    <row r="20" spans="1:11" ht="10.5" customHeight="1">
      <c r="A20" s="69"/>
      <c r="B20" s="156" t="s">
        <v>408</v>
      </c>
      <c r="C20" s="157"/>
      <c r="D20" s="576" t="s">
        <v>398</v>
      </c>
      <c r="E20" s="584">
        <v>3</v>
      </c>
      <c r="F20" s="580">
        <v>1000</v>
      </c>
      <c r="G20" s="582">
        <v>3000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409</v>
      </c>
      <c r="C21" s="160"/>
      <c r="D21" s="577"/>
      <c r="E21" s="585"/>
      <c r="F21" s="581"/>
      <c r="G21" s="583"/>
      <c r="H21" s="356"/>
      <c r="I21" s="356" t="s">
        <v>400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387</v>
      </c>
      <c r="C24" s="157"/>
      <c r="D24" s="576"/>
      <c r="E24" s="578"/>
      <c r="F24" s="580"/>
      <c r="G24" s="582">
        <v>243000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363</v>
      </c>
      <c r="C3" s="146" t="s">
        <v>364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365</v>
      </c>
      <c r="K4" s="69"/>
    </row>
    <row r="5" spans="1:11" ht="18" customHeight="1">
      <c r="A5" s="69"/>
      <c r="B5" s="574" t="s">
        <v>366</v>
      </c>
      <c r="C5" s="575"/>
      <c r="D5" s="153" t="s">
        <v>85</v>
      </c>
      <c r="E5" s="153" t="s">
        <v>367</v>
      </c>
      <c r="F5" s="153" t="s">
        <v>368</v>
      </c>
      <c r="G5" s="153" t="s">
        <v>369</v>
      </c>
      <c r="H5" s="154" t="s">
        <v>370</v>
      </c>
      <c r="I5" s="153" t="s">
        <v>371</v>
      </c>
      <c r="J5" s="155" t="s">
        <v>372</v>
      </c>
      <c r="K5" s="69"/>
    </row>
    <row r="6" spans="1:11" ht="10.5" customHeight="1">
      <c r="A6" s="69"/>
      <c r="B6" s="156" t="s">
        <v>410</v>
      </c>
      <c r="C6" s="157"/>
      <c r="D6" s="576" t="s">
        <v>398</v>
      </c>
      <c r="E6" s="578">
        <v>1</v>
      </c>
      <c r="F6" s="580">
        <v>39000</v>
      </c>
      <c r="G6" s="582">
        <v>39000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411</v>
      </c>
      <c r="C7" s="160"/>
      <c r="D7" s="577"/>
      <c r="E7" s="579"/>
      <c r="F7" s="581"/>
      <c r="G7" s="583"/>
      <c r="H7" s="356"/>
      <c r="I7" s="356" t="s">
        <v>412</v>
      </c>
      <c r="J7" s="161"/>
      <c r="K7" s="69" t="s">
        <v>96</v>
      </c>
    </row>
    <row r="8" spans="1:11" ht="10.5" customHeight="1">
      <c r="A8" s="69"/>
      <c r="B8" s="156" t="s">
        <v>413</v>
      </c>
      <c r="C8" s="157"/>
      <c r="D8" s="576" t="s">
        <v>414</v>
      </c>
      <c r="E8" s="578">
        <v>4</v>
      </c>
      <c r="F8" s="580">
        <v>25000</v>
      </c>
      <c r="G8" s="582">
        <v>100000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412</v>
      </c>
      <c r="J9" s="162"/>
      <c r="K9" s="69" t="s">
        <v>96</v>
      </c>
    </row>
    <row r="10" spans="1:11" ht="10.5" customHeight="1">
      <c r="A10" s="69"/>
      <c r="B10" s="156" t="s">
        <v>415</v>
      </c>
      <c r="C10" s="157"/>
      <c r="D10" s="576" t="s">
        <v>398</v>
      </c>
      <c r="E10" s="578">
        <v>7</v>
      </c>
      <c r="F10" s="580">
        <v>5500</v>
      </c>
      <c r="G10" s="582">
        <v>38500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412</v>
      </c>
      <c r="J11" s="161"/>
      <c r="K11" s="69" t="s">
        <v>96</v>
      </c>
    </row>
    <row r="12" spans="1:11" ht="10.5" customHeight="1">
      <c r="A12" s="69"/>
      <c r="B12" s="156" t="s">
        <v>416</v>
      </c>
      <c r="C12" s="157"/>
      <c r="D12" s="576" t="s">
        <v>398</v>
      </c>
      <c r="E12" s="584">
        <v>7</v>
      </c>
      <c r="F12" s="580">
        <v>7600</v>
      </c>
      <c r="G12" s="582">
        <v>53200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412</v>
      </c>
      <c r="J13" s="161"/>
      <c r="K13" s="69" t="s">
        <v>96</v>
      </c>
    </row>
    <row r="14" spans="1:11" ht="10.5" customHeight="1">
      <c r="A14" s="69"/>
      <c r="B14" s="156" t="s">
        <v>417</v>
      </c>
      <c r="C14" s="157"/>
      <c r="D14" s="576" t="s">
        <v>398</v>
      </c>
      <c r="E14" s="584">
        <v>14</v>
      </c>
      <c r="F14" s="580">
        <v>10000</v>
      </c>
      <c r="G14" s="582">
        <v>140000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412</v>
      </c>
      <c r="J15" s="161"/>
      <c r="K15" s="69" t="s">
        <v>96</v>
      </c>
    </row>
    <row r="16" spans="1:11" ht="10.5" customHeight="1">
      <c r="A16" s="69"/>
      <c r="B16" s="156" t="s">
        <v>418</v>
      </c>
      <c r="C16" s="157"/>
      <c r="D16" s="576" t="s">
        <v>419</v>
      </c>
      <c r="E16" s="584">
        <v>14</v>
      </c>
      <c r="F16" s="580">
        <v>800</v>
      </c>
      <c r="G16" s="582">
        <v>11200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412</v>
      </c>
      <c r="J17" s="161"/>
      <c r="K17" s="69" t="s">
        <v>96</v>
      </c>
    </row>
    <row r="18" spans="1:11" ht="10.5" customHeight="1">
      <c r="A18" s="69"/>
      <c r="B18" s="156" t="s">
        <v>420</v>
      </c>
      <c r="C18" s="157"/>
      <c r="D18" s="576" t="s">
        <v>398</v>
      </c>
      <c r="E18" s="584">
        <v>28</v>
      </c>
      <c r="F18" s="580">
        <v>5000</v>
      </c>
      <c r="G18" s="582">
        <v>140000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421</v>
      </c>
      <c r="C19" s="160"/>
      <c r="D19" s="577"/>
      <c r="E19" s="585"/>
      <c r="F19" s="581"/>
      <c r="G19" s="583"/>
      <c r="H19" s="356"/>
      <c r="I19" s="356" t="s">
        <v>412</v>
      </c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 t="s">
        <v>387</v>
      </c>
      <c r="C22" s="157"/>
      <c r="D22" s="576"/>
      <c r="E22" s="584"/>
      <c r="F22" s="580"/>
      <c r="G22" s="582">
        <v>521900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2026-02-05T07:22:36Z</dcterms:modified>
  <cp:category/>
  <cp:contentStatus/>
</cp:coreProperties>
</file>