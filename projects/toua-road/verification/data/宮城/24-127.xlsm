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0976959-5CFE-4FD8-9152-F00BC5C19445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'工事費一覧表(共通仮設費)'!$A$1:$AF$16</definedName>
    <definedName name="_xlnm.Print_Area" localSheetId="11">'工事費一覧表(現場経費)'!$A$1:$AF$15</definedName>
    <definedName name="_xlnm.Print_Area" localSheetId="6">'工事費一覧表(直接工事費)'!$A$1:$AF$54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<sst xmlns="http://schemas.openxmlformats.org/spreadsheetml/2006/main" count="1417" uniqueCount="394">
  <si>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</si>
  <si>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</si>
  <si>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</si>
  <si>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</si>
  <si>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</si>
  <si>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</si>
  <si>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</si>
  <si>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</si>
  <si>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</si>
  <si>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</si>
  <si>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</si>
  <si>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</si>
  <si>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</si>
  <si>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</si>
  <si>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</si>
  <si>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</si>
  <si>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</si>
  <si>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</si>
  <si>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</si>
  <si>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</si>
  <si>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</si>
  <si>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</si>
  <si>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</si>
  <si>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</si>
  <si>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</si>
  <si>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</si>
  <si>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</si>
  <si>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</si>
  <si>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</si>
  <si>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</si>
  <si>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</si>
  <si>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</si>
  <si>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</si>
  <si>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</si>
  <si>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</si>
  <si>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</si>
  <si>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</si>
  <si>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</si>
  <si>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</si>
  <si>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</si>
  <si>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</si>
  <si>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</si>
  <si>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</si>
  <si>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</si>
  <si>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</si>
  <si>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</si>
  <si>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</si>
  <si>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</si>
  <si>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</si>
  <si>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</si>
  <si>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</si>
  <si>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</si>
  <si>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</si>
  <si>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</si>
  <si>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</si>
  <si>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</si>
  <si>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</si>
  <si>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</si>
  <si>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</si>
  <si>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</si>
  <si>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</si>
  <si>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</si>
  <si>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</si>
  <si>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</si>
  <si>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</si>
  <si>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</si>
  <si>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</si>
  <si>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</si>
  <si>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</si>
  <si>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</si>
  <si>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</si>
  <si>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</si>
  <si>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</si>
  <si>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</si>
  <si>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</si>
  <si>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</si>
  <si>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</si>
  <si>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</si>
  <si>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</si>
  <si>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</si>
  <si>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</si>
  <si>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</si>
  <si>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</si>
  <si>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</si>
  <si>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</si>
  <si>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</si>
  <si>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</si>
  <si>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</si>
  <si>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</si>
  <si>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</si>
  <si>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</si>
  <si>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</si>
  <si>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</si>
  <si>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</si>
  <si>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</si>
  <si>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</si>
  <si>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</si>
  <si>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</si>
  <si>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</si>
  <si>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</si>
  <si>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</si>
  <si>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</si>
  <si>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</si>
  <si>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</si>
  <si>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</si>
  <si>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</si>
  <si>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</si>
  <si>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</si>
  <si>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</si>
  <si>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</si>
  <si>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</si>
  <si>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</si>
  <si>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</si>
  <si>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</si>
  <si>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</si>
  <si>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</si>
  <si>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</si>
  <si>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</si>
  <si>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</si>
  <si>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</si>
  <si>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</si>
  <si>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</si>
  <si>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</si>
  <si>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</si>
  <si>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</si>
  <si>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</si>
  <si>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</si>
  <si>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</si>
  <si>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</si>
  <si>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</si>
  <si>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</si>
  <si>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</si>
  <si>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</si>
  <si>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</si>
  <si>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</si>
  <si>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</si>
  <si>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</si>
  <si>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</si>
  <si>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</si>
  <si>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</si>
  <si>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</si>
  <si>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</si>
  <si>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</si>
  <si>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</si>
  <si>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</si>
  <si>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24-127 F</t>
  </si>
  <si>
    <t>（当　初）</t>
  </si>
  <si>
    <t>大久　雅道</t>
  </si>
  <si>
    <t>避難の丘（震災遺構荒浜小学校前）津波浸水対策工事</t>
  </si>
  <si>
    <t>㈱広瀬組</t>
  </si>
  <si>
    <t>宮城支店</t>
  </si>
  <si>
    <t>仙台市若林区荒浜新1丁目地内</t>
  </si>
  <si>
    <t>2024年10月7日</t>
  </si>
  <si>
    <t>2025年1月31日</t>
  </si>
  <si>
    <t>2024年11月18日</t>
  </si>
  <si>
    <t>2024年12月28日</t>
  </si>
  <si>
    <t>不陸整正工 補足材支給　t＝30mm</t>
  </si>
  <si>
    <t>表層工　開粒度AS13　t＝40mm</t>
  </si>
  <si>
    <t>薄層カラー舗装工(材料）</t>
  </si>
  <si>
    <t>薄層カラー舗装工(手間）</t>
  </si>
  <si>
    <t>出来形・品質管理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</si>
  <si>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</si>
  <si>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</si>
  <si>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</si>
  <si>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</si>
  <si>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</si>
  <si>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</si>
  <si>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</si>
  <si>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</si>
  <si>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</si>
  <si>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</si>
  <si>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</si>
  <si>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</si>
  <si>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</si>
  <si>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</si>
  <si>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</si>
  <si>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</si>
  <si>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</si>
  <si>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</si>
  <si>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</si>
  <si>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</si>
  <si>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</si>
  <si>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</si>
  <si>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</si>
  <si>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</si>
  <si>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</si>
  <si>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</si>
  <si>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</si>
  <si>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避難の丘津波浸水対策工事</t>
  </si>
  <si>
    <t>東北支社</t>
  </si>
  <si>
    <t>仙台市</t>
  </si>
  <si>
    <t>単独</t>
  </si>
  <si>
    <t>F</t>
  </si>
  <si>
    <t>2024年10月30日</t>
  </si>
  <si>
    <t>2024年10月7日 ～ 2025年1月31日</t>
  </si>
  <si>
    <t>2024年11月18日 ～ 2024年12月28日</t>
  </si>
  <si>
    <t>直接工事費</t>
  </si>
  <si>
    <t xml:space="preserve">  不陸整正工 補足材支給　t＝30mm</t>
  </si>
  <si>
    <t xml:space="preserve">  </t>
  </si>
  <si>
    <t>15号</t>
  </si>
  <si>
    <t>内訳書</t>
  </si>
  <si>
    <t xml:space="preserve">  表層工　開粒度AS13　t＝40mm</t>
  </si>
  <si>
    <t>16号</t>
  </si>
  <si>
    <t xml:space="preserve">  薄層カラー舗装工(材料）</t>
  </si>
  <si>
    <t>17号</t>
  </si>
  <si>
    <t xml:space="preserve">  薄層カラー舗装工(手間）</t>
  </si>
  <si>
    <t>18号</t>
  </si>
  <si>
    <t xml:space="preserve">  出来形・品質管理</t>
  </si>
  <si>
    <t>19号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</si>
  <si>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</si>
  <si>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</si>
  <si>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</si>
  <si>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</si>
  <si>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</si>
  <si>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</si>
  <si>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</si>
  <si>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</si>
  <si>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避難の丘（震災遺構荒浜小学校前）津波浸水対策工事</t>
    <phoneticPr fontId="4"/>
  </si>
  <si>
    <t>総括</t>
  </si>
  <si>
    <t>集計行</t>
  </si>
  <si>
    <t>｜直接工事費</t>
  </si>
  <si>
    <t>内訳代価</t>
  </si>
  <si>
    <t>｜｜不陸整正工 補足材支給　t＝30mm</t>
  </si>
  <si>
    <t>15号内訳書</t>
  </si>
  <si>
    <t>｜｜｜軽油</t>
  </si>
  <si>
    <t>リットル</t>
  </si>
  <si>
    <t>｜｜｜RC40-0</t>
  </si>
  <si>
    <t>m3</t>
  </si>
  <si>
    <t xml:space="preserve">{数量=6,320*0.03*1.28*1.05}材料支給 </t>
  </si>
  <si>
    <t>｜｜｜雑材</t>
  </si>
  <si>
    <t>｜｜｜普通作業員</t>
  </si>
  <si>
    <t>人</t>
  </si>
  <si>
    <t>｜｜｜モーターグレーダ3.1Ｍ</t>
  </si>
  <si>
    <t>台</t>
  </si>
  <si>
    <t>｜｜｜コンバインドローラ　４t</t>
  </si>
  <si>
    <t>｜｜｜タイヤローラ</t>
  </si>
  <si>
    <t>｜｜｜ハンドガイドローラ</t>
  </si>
  <si>
    <t>｜｜｜ランマー・プレート</t>
  </si>
  <si>
    <t>｜｜｜タイヤショベル0.4m３</t>
  </si>
  <si>
    <t>｜｜｜散水車</t>
  </si>
  <si>
    <t>｜｜｜2tダンプ</t>
  </si>
  <si>
    <t>｜｜｜4ｔダンプ</t>
  </si>
  <si>
    <t>｜｜｜ＷＰ</t>
  </si>
  <si>
    <t>｜｜表層工　開粒度AS13　t＝40mm</t>
  </si>
  <si>
    <t>16号内訳書</t>
  </si>
  <si>
    <t>｜｜｜開粒度As13　P引取</t>
  </si>
  <si>
    <t>ｔ</t>
  </si>
  <si>
    <t xml:space="preserve">{数量=6,320*0.04*2.2*1.05} </t>
  </si>
  <si>
    <t>｜｜｜ｱｽﾌｧﾙﾄﾌｨﾆｯｼｬ4.5ｍ</t>
  </si>
  <si>
    <t>｜｜｜散水車　４t</t>
  </si>
  <si>
    <t>｜｜｜4tダンプ</t>
  </si>
  <si>
    <t>｜｜｜油分除去ポリッシャー</t>
  </si>
  <si>
    <t>｜｜｜10tダンプ合材運搬</t>
  </si>
  <si>
    <t>｜｜薄層カラー舗装工(材料）</t>
  </si>
  <si>
    <t>17号内訳書</t>
  </si>
  <si>
    <t>｜｜｜スケッチカラー　A剤</t>
  </si>
  <si>
    <t>缶</t>
  </si>
  <si>
    <t xml:space="preserve">大成ﾌｧｲﾝｹﾐｶﾙ </t>
  </si>
  <si>
    <t>｜｜｜スケッチカラー　B剤</t>
  </si>
  <si>
    <t>大成ﾌｧｲﾝｹﾐｶﾙ</t>
  </si>
  <si>
    <t>｜｜｜スケッチカラー　色粉</t>
  </si>
  <si>
    <t>｜｜薄層カラー舗装工(手間）</t>
  </si>
  <si>
    <t>18号内訳書</t>
  </si>
  <si>
    <t>｜｜｜スケッチカラー施工手間</t>
  </si>
  <si>
    <t xml:space="preserve">TK塗装 </t>
  </si>
  <si>
    <t>｜｜｜養生費</t>
  </si>
  <si>
    <t>TK塗装</t>
  </si>
  <si>
    <t>｜｜｜機械費</t>
  </si>
  <si>
    <t>日</t>
  </si>
  <si>
    <t>｜｜｜諸経費　10％</t>
  </si>
  <si>
    <t>｜｜｜法定福利費</t>
  </si>
  <si>
    <t>132人*18000*16％</t>
  </si>
  <si>
    <t>｜｜出来形・品質管理</t>
  </si>
  <si>
    <t>19号内訳書</t>
  </si>
  <si>
    <t>｜｜｜現場透水試験</t>
  </si>
  <si>
    <t>｜｜｜すべり抵抗試験</t>
  </si>
  <si>
    <t>｜｜｜コアカッター</t>
  </si>
  <si>
    <t>｜｜｜同上運搬費</t>
  </si>
  <si>
    <t>｜｜｜現場密度試験器</t>
  </si>
  <si>
    <t>予算</t>
    <phoneticPr fontId="6"/>
  </si>
  <si>
    <t>旅費交通費</t>
  </si>
  <si>
    <t>保険料</t>
  </si>
  <si>
    <t>車両費</t>
  </si>
  <si>
    <t>雑費</t>
  </si>
  <si>
    <t>｜共通仮設費</t>
  </si>
  <si>
    <t>｜｜重機運搬費</t>
  </si>
  <si>
    <t>1号内訳書</t>
  </si>
  <si>
    <t>｜｜｜４ｔ車回送費　ＣＶＲ　ＴＳ</t>
  </si>
  <si>
    <t>回</t>
  </si>
  <si>
    <t>｜｜｜１０ｔ回送費　AF　MG　TR</t>
  </si>
  <si>
    <t>｜｜準備費</t>
  </si>
  <si>
    <t>2号内訳書</t>
  </si>
  <si>
    <t>｜｜｜雑費</t>
  </si>
  <si>
    <t>｜｜地代家賃</t>
  </si>
  <si>
    <t>3号内訳書</t>
  </si>
  <si>
    <t>｜｜仮設費</t>
  </si>
  <si>
    <t>4号内訳書</t>
  </si>
  <si>
    <t>｜｜｜４ｔユニック　積替用馬運搬古川～現場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</si>
  <si>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</si>
  <si>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</si>
  <si>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</si>
  <si>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</si>
  <si>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</si>
  <si>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</si>
  <si>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</si>
  <si>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</si>
  <si>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</si>
  <si>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</si>
  <si>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</si>
  <si>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</si>
  <si>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</si>
  <si>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</si>
  <si>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</si>
  <si>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</si>
  <si>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</si>
  <si>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</si>
  <si>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</si>
  <si>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｜｜｜現場代理人　5級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</si>
  <si>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</si>
  <si>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</si>
  <si>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</si>
  <si>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</si>
  <si>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</si>
  <si>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</si>
  <si>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</si>
  <si>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</si>
  <si>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</si>
  <si>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</si>
  <si>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</si>
  <si>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</si>
  <si>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</si>
  <si>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</si>
  <si>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</si>
  <si>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避難の丘（震災遺構荒浜小学校前）津波浸水対策工事</t>
    <phoneticPr fontId="6"/>
  </si>
  <si>
    <t>24-127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</si>
  <si>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</si>
  <si>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</si>
  <si>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</si>
  <si>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</si>
  <si>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</si>
  <si>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</si>
  <si>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</si>
  <si>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RC40-0</t>
    <phoneticPr fontId="6"/>
  </si>
  <si>
    <t>m3</t>
    <phoneticPr fontId="6"/>
  </si>
  <si>
    <t>材料費</t>
    <phoneticPr fontId="6"/>
  </si>
  <si>
    <t>スケッチカラー　A剤</t>
    <phoneticPr fontId="6"/>
  </si>
  <si>
    <t>缶</t>
    <phoneticPr fontId="6"/>
  </si>
  <si>
    <t>スケッチカラー　B剤</t>
    <phoneticPr fontId="6"/>
  </si>
  <si>
    <t>スケッチカラー　色粉</t>
    <phoneticPr fontId="6"/>
  </si>
  <si>
    <t>開粒度As13　P引取</t>
    <phoneticPr fontId="6"/>
  </si>
  <si>
    <t>ｔ</t>
    <phoneticPr fontId="6"/>
  </si>
  <si>
    <t>軽油</t>
    <phoneticPr fontId="6"/>
  </si>
  <si>
    <t>リットル</t>
    <phoneticPr fontId="6"/>
  </si>
  <si>
    <t>雑材</t>
    <phoneticPr fontId="6"/>
  </si>
  <si>
    <t>式</t>
    <phoneticPr fontId="6"/>
  </si>
  <si>
    <t>雑費</t>
    <phoneticPr fontId="6"/>
  </si>
  <si>
    <t>計</t>
    <phoneticPr fontId="6"/>
  </si>
  <si>
    <t>普通作業員</t>
    <phoneticPr fontId="6"/>
  </si>
  <si>
    <t>人</t>
    <phoneticPr fontId="6"/>
  </si>
  <si>
    <t>労務費</t>
    <phoneticPr fontId="6"/>
  </si>
  <si>
    <t>スケッチカラー施工手間</t>
    <phoneticPr fontId="6"/>
  </si>
  <si>
    <t>m2</t>
    <phoneticPr fontId="6"/>
  </si>
  <si>
    <t>外注費</t>
    <phoneticPr fontId="6"/>
  </si>
  <si>
    <t>機械費</t>
    <phoneticPr fontId="6"/>
  </si>
  <si>
    <t>日</t>
    <phoneticPr fontId="6"/>
  </si>
  <si>
    <t>諸経費　10％</t>
    <phoneticPr fontId="6"/>
  </si>
  <si>
    <t>法定福利費</t>
    <phoneticPr fontId="6"/>
  </si>
  <si>
    <t>132人*18000*16％</t>
    <phoneticPr fontId="6"/>
  </si>
  <si>
    <t>養生費</t>
    <phoneticPr fontId="6"/>
  </si>
  <si>
    <t>ｱｽﾌｧﾙﾄﾌｨﾆｯｼｬ4.5ｍ</t>
    <phoneticPr fontId="6"/>
  </si>
  <si>
    <t>台</t>
    <phoneticPr fontId="6"/>
  </si>
  <si>
    <t>コアカッター</t>
    <phoneticPr fontId="6"/>
  </si>
  <si>
    <t>コンバインドローラ　４t</t>
    <phoneticPr fontId="6"/>
  </si>
  <si>
    <t>すべり抵抗試験</t>
    <phoneticPr fontId="6"/>
  </si>
  <si>
    <t>タイヤショベル0.4m３</t>
    <phoneticPr fontId="6"/>
  </si>
  <si>
    <t>タイヤローラ</t>
    <phoneticPr fontId="6"/>
  </si>
  <si>
    <t>ハンドガイドローラ</t>
    <phoneticPr fontId="6"/>
  </si>
  <si>
    <t>モーターグレーダ3.1Ｍ</t>
    <phoneticPr fontId="6"/>
  </si>
  <si>
    <t>ランマー・プレート</t>
    <phoneticPr fontId="6"/>
  </si>
  <si>
    <t>現場透水試験</t>
    <phoneticPr fontId="6"/>
  </si>
  <si>
    <t>散水車</t>
    <phoneticPr fontId="6"/>
  </si>
  <si>
    <t>散水車　４t</t>
    <phoneticPr fontId="6"/>
  </si>
  <si>
    <t>油分除去ポリッシャー</t>
    <phoneticPr fontId="6"/>
  </si>
  <si>
    <t>10tダンプ合材運搬</t>
    <phoneticPr fontId="6"/>
  </si>
  <si>
    <t>運搬費</t>
    <phoneticPr fontId="6"/>
  </si>
  <si>
    <t>１０ｔ回送費　AF　MG　TR</t>
    <phoneticPr fontId="6"/>
  </si>
  <si>
    <t>回</t>
    <phoneticPr fontId="6"/>
  </si>
  <si>
    <t>2tダンプ</t>
    <phoneticPr fontId="6"/>
  </si>
  <si>
    <t>4tダンプ</t>
    <phoneticPr fontId="6"/>
  </si>
  <si>
    <t>4ｔダンプ</t>
    <phoneticPr fontId="6"/>
  </si>
  <si>
    <t>４ｔ車回送費　ＣＶＲ　ＴＳ</t>
    <phoneticPr fontId="6"/>
  </si>
  <si>
    <t>ＷＰ</t>
    <phoneticPr fontId="6"/>
  </si>
  <si>
    <t>現場密度試験器</t>
    <phoneticPr fontId="6"/>
  </si>
  <si>
    <t>同上運搬費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</si>
</sst>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34800000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27000000</v>
      </c>
      <c r="J16" s="420"/>
      <c r="K16" s="420"/>
      <c r="L16" s="420"/>
      <c r="M16" s="420"/>
      <c r="N16" s="420"/>
      <c r="O16" s="420"/>
      <c r="P16" s="420"/>
      <c r="Q16" s="416">
        <v>0.77590000000000003</v>
      </c>
      <c r="R16" s="416"/>
      <c r="S16" s="416"/>
      <c r="U16" s="417" t="s">
        <v>16</v>
      </c>
      <c r="V16" s="418"/>
      <c r="W16" s="418"/>
      <c r="X16" s="418"/>
      <c r="Y16" s="419">
        <v>7800000</v>
      </c>
      <c r="Z16" s="420"/>
      <c r="AA16" s="420"/>
      <c r="AB16" s="420"/>
      <c r="AC16" s="420"/>
      <c r="AD16" s="420"/>
      <c r="AE16" s="420"/>
      <c r="AF16" s="420"/>
      <c r="AG16" s="416">
        <v>0.22409999999999999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155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45572</v>
      </c>
      <c r="D3" s="458"/>
      <c r="E3" s="272" t="s">
        <v>139</v>
      </c>
      <c r="F3" s="459">
        <v>45688</v>
      </c>
      <c r="G3" s="459"/>
      <c r="H3" s="459"/>
      <c r="I3" s="273"/>
      <c r="J3" s="273"/>
      <c r="K3" s="460" t="s">
        <v>30</v>
      </c>
      <c r="L3" s="461"/>
      <c r="M3" s="462"/>
      <c r="N3" s="449">
        <v>34800000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156</v>
      </c>
      <c r="C5" s="276">
        <v>1598960</v>
      </c>
      <c r="D5" s="335">
        <f>IF(C5&lt;&gt;"",C5/$C$20,"")</f>
        <v>5.922074074074074E-2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157</v>
      </c>
      <c r="C6" s="277">
        <v>9897120</v>
      </c>
      <c r="D6" s="336">
        <f t="shared" ref="D6:D17" si="0">IF(C6&lt;&gt;"",C6/$C$20,"")</f>
        <v>0.36656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158</v>
      </c>
      <c r="C7" s="277">
        <v>6996240</v>
      </c>
      <c r="D7" s="336">
        <f t="shared" si="0"/>
        <v>0.25912000000000002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159</v>
      </c>
      <c r="C8" s="277">
        <v>4999120</v>
      </c>
      <c r="D8" s="336">
        <f t="shared" si="0"/>
        <v>0.18515259259259259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160</v>
      </c>
      <c r="C9" s="277">
        <v>150000</v>
      </c>
      <c r="D9" s="336">
        <f t="shared" si="0"/>
        <v>5.5555555555555558E-3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161</v>
      </c>
      <c r="C10" s="277">
        <v>230000</v>
      </c>
      <c r="D10" s="336">
        <f t="shared" si="0"/>
        <v>8.518518518518519E-3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162</v>
      </c>
      <c r="C11" s="277">
        <v>8560</v>
      </c>
      <c r="D11" s="336">
        <f t="shared" si="0"/>
        <v>3.1703703703703706E-4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163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164</v>
      </c>
      <c r="C13" s="277">
        <v>30000</v>
      </c>
      <c r="D13" s="336">
        <f t="shared" si="0"/>
        <v>1.1111111111111111E-3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165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166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167</v>
      </c>
      <c r="C16" s="277">
        <v>3090000</v>
      </c>
      <c r="D16" s="336">
        <f t="shared" si="0"/>
        <v>0.11444444444444445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168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169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170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27000000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156</v>
      </c>
      <c r="K5" s="282"/>
      <c r="L5" s="283" t="s">
        <v>171</v>
      </c>
      <c r="M5" s="284">
        <v>6320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157</v>
      </c>
      <c r="K6" s="289"/>
      <c r="L6" s="290" t="s">
        <v>171</v>
      </c>
      <c r="M6" s="291">
        <v>6320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158</v>
      </c>
      <c r="K7" s="289"/>
      <c r="L7" s="290" t="s">
        <v>171</v>
      </c>
      <c r="M7" s="291">
        <v>6320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159</v>
      </c>
      <c r="K8" s="289"/>
      <c r="L8" s="290" t="s">
        <v>171</v>
      </c>
      <c r="M8" s="291">
        <v>6320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160</v>
      </c>
      <c r="K9" s="289"/>
      <c r="L9" s="290" t="s">
        <v>172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161</v>
      </c>
      <c r="K10" s="289"/>
      <c r="L10" s="290" t="s">
        <v>172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162</v>
      </c>
      <c r="K11" s="289" t="s">
        <v>173</v>
      </c>
      <c r="L11" s="290" t="s">
        <v>172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163</v>
      </c>
      <c r="K12" s="289" t="s">
        <v>174</v>
      </c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164</v>
      </c>
      <c r="K13" s="289" t="s">
        <v>175</v>
      </c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165</v>
      </c>
      <c r="K14" s="289" t="s">
        <v>176</v>
      </c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166</v>
      </c>
      <c r="K15" s="289" t="s">
        <v>177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167</v>
      </c>
      <c r="K16" s="289"/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168</v>
      </c>
      <c r="K17" s="289" t="s">
        <v>178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169</v>
      </c>
      <c r="K18" s="289"/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170</v>
      </c>
      <c r="K19" s="295" t="s">
        <v>179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133</v>
      </c>
      <c r="F5" s="513" t="s">
        <v>189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34800000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190</v>
      </c>
      <c r="D8" s="492"/>
      <c r="E8" s="113" t="s">
        <v>59</v>
      </c>
      <c r="F8" s="249">
        <v>27000000</v>
      </c>
      <c r="G8" s="334">
        <v>0.77590000000000003</v>
      </c>
      <c r="H8" s="250">
        <v>14324659</v>
      </c>
      <c r="I8" s="251">
        <v>2392000</v>
      </c>
      <c r="J8" s="251">
        <v>5000000</v>
      </c>
      <c r="K8" s="251">
        <v>787900</v>
      </c>
      <c r="L8" s="252">
        <v>1383999</v>
      </c>
      <c r="M8" s="252"/>
      <c r="N8" s="253"/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23641440</v>
      </c>
      <c r="G9" s="334">
        <v>0.6794</v>
      </c>
      <c r="H9" s="250">
        <v>14316099</v>
      </c>
      <c r="I9" s="251">
        <v>2392000</v>
      </c>
      <c r="J9" s="251">
        <v>5000000</v>
      </c>
      <c r="K9" s="251">
        <v>787900</v>
      </c>
      <c r="L9" s="252">
        <v>1153999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268560</v>
      </c>
      <c r="G10" s="334">
        <v>7.7000000000000002E-3</v>
      </c>
      <c r="H10" s="250">
        <v>8560</v>
      </c>
      <c r="I10" s="253"/>
      <c r="J10" s="253"/>
      <c r="K10" s="253"/>
      <c r="L10" s="251">
        <v>230000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3090000</v>
      </c>
      <c r="G11" s="334">
        <v>8.8800000000000004E-2</v>
      </c>
      <c r="H11" s="250"/>
      <c r="I11" s="253"/>
      <c r="J11" s="253"/>
      <c r="K11" s="253"/>
      <c r="L11" s="251"/>
      <c r="M11" s="252"/>
      <c r="N11" s="253"/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191</v>
      </c>
      <c r="D12" s="492"/>
      <c r="E12" s="113" t="s">
        <v>66</v>
      </c>
      <c r="F12" s="249">
        <v>7800000</v>
      </c>
      <c r="G12" s="334">
        <v>0.22409999999999999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192</v>
      </c>
      <c r="D13" s="492"/>
      <c r="E13" s="169" t="s">
        <v>110</v>
      </c>
      <c r="F13" s="249">
        <v>2784000</v>
      </c>
      <c r="G13" s="334">
        <v>0.08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193</v>
      </c>
      <c r="D14" s="493"/>
      <c r="E14" s="114" t="s">
        <v>111</v>
      </c>
      <c r="F14" s="249">
        <v>1844400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194</v>
      </c>
      <c r="D15" s="495"/>
      <c r="E15" s="114" t="s">
        <v>112</v>
      </c>
      <c r="F15" s="249">
        <v>939600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195</v>
      </c>
      <c r="D16" s="493"/>
      <c r="E16" s="113" t="s">
        <v>113</v>
      </c>
      <c r="F16" s="249">
        <v>5016000</v>
      </c>
      <c r="G16" s="334">
        <v>0.14410000000000001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452400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4563600</v>
      </c>
      <c r="G18" s="334">
        <v>0.13109999999999999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36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171</v>
      </c>
      <c r="E8" s="519">
        <v>6320</v>
      </c>
      <c r="F8" s="521">
        <v>253</v>
      </c>
      <c r="G8" s="523">
        <v>1598960</v>
      </c>
      <c r="H8" s="351" t="s">
        <v>199</v>
      </c>
      <c r="I8" s="525">
        <v>4.5900000000000003E-2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200</v>
      </c>
      <c r="I9" s="526"/>
      <c r="J9" s="227"/>
      <c r="K9" s="69" t="s">
        <v>96</v>
      </c>
    </row>
    <row r="10" spans="1:11" ht="15.6" customHeight="1">
      <c r="A10" s="69"/>
      <c r="B10" s="222" t="s">
        <v>201</v>
      </c>
      <c r="C10" s="166"/>
      <c r="D10" s="517" t="s">
        <v>171</v>
      </c>
      <c r="E10" s="519">
        <v>6320</v>
      </c>
      <c r="F10" s="521">
        <v>1566</v>
      </c>
      <c r="G10" s="523">
        <v>9897120</v>
      </c>
      <c r="H10" s="351" t="s">
        <v>202</v>
      </c>
      <c r="I10" s="525">
        <v>0.28439999999999999</v>
      </c>
      <c r="J10" s="223"/>
      <c r="K10" s="69" t="s">
        <v>96</v>
      </c>
    </row>
    <row r="11" spans="1:11" ht="15.6" customHeight="1">
      <c r="A11" s="69"/>
      <c r="B11" s="224" t="s">
        <v>198</v>
      </c>
      <c r="C11" s="225"/>
      <c r="D11" s="518"/>
      <c r="E11" s="520"/>
      <c r="F11" s="522"/>
      <c r="G11" s="524"/>
      <c r="H11" s="352" t="s">
        <v>200</v>
      </c>
      <c r="I11" s="526"/>
      <c r="J11" s="226"/>
      <c r="K11" s="69" t="s">
        <v>96</v>
      </c>
    </row>
    <row r="12" spans="1:11" ht="15.6" customHeight="1">
      <c r="A12" s="69"/>
      <c r="B12" s="222" t="s">
        <v>203</v>
      </c>
      <c r="C12" s="166"/>
      <c r="D12" s="517" t="s">
        <v>171</v>
      </c>
      <c r="E12" s="519">
        <v>6320</v>
      </c>
      <c r="F12" s="521">
        <v>1107</v>
      </c>
      <c r="G12" s="523">
        <v>6996240</v>
      </c>
      <c r="H12" s="351" t="s">
        <v>204</v>
      </c>
      <c r="I12" s="525">
        <v>0.20100000000000001</v>
      </c>
      <c r="J12" s="223"/>
      <c r="K12" s="69" t="s">
        <v>96</v>
      </c>
    </row>
    <row r="13" spans="1:11" ht="15.6" customHeight="1">
      <c r="A13" s="69"/>
      <c r="B13" s="224" t="s">
        <v>198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171</v>
      </c>
      <c r="E14" s="519">
        <v>6320</v>
      </c>
      <c r="F14" s="521">
        <v>791</v>
      </c>
      <c r="G14" s="523">
        <v>4999120</v>
      </c>
      <c r="H14" s="351" t="s">
        <v>206</v>
      </c>
      <c r="I14" s="525">
        <v>0.14360000000000001</v>
      </c>
      <c r="J14" s="223"/>
      <c r="K14" s="69" t="s">
        <v>96</v>
      </c>
    </row>
    <row r="15" spans="1:11" ht="15.6" customHeight="1">
      <c r="A15" s="69"/>
      <c r="B15" s="224" t="s">
        <v>198</v>
      </c>
      <c r="C15" s="225"/>
      <c r="D15" s="518"/>
      <c r="E15" s="520"/>
      <c r="F15" s="522"/>
      <c r="G15" s="524"/>
      <c r="H15" s="352" t="s">
        <v>200</v>
      </c>
      <c r="I15" s="526"/>
      <c r="J15" s="226"/>
      <c r="K15" s="69" t="s">
        <v>96</v>
      </c>
    </row>
    <row r="16" spans="1:11" ht="15.6" customHeight="1">
      <c r="A16" s="69"/>
      <c r="B16" s="222" t="s">
        <v>207</v>
      </c>
      <c r="C16" s="166"/>
      <c r="D16" s="517" t="s">
        <v>172</v>
      </c>
      <c r="E16" s="519">
        <v>1</v>
      </c>
      <c r="F16" s="521">
        <v>150000</v>
      </c>
      <c r="G16" s="523">
        <v>150000</v>
      </c>
      <c r="H16" s="351" t="s">
        <v>208</v>
      </c>
      <c r="I16" s="525">
        <v>4.3E-3</v>
      </c>
      <c r="J16" s="223"/>
      <c r="K16" s="69" t="s">
        <v>96</v>
      </c>
    </row>
    <row r="17" spans="1:11" ht="15.6" customHeight="1">
      <c r="A17" s="69"/>
      <c r="B17" s="224" t="s">
        <v>198</v>
      </c>
      <c r="C17" s="225"/>
      <c r="D17" s="518"/>
      <c r="E17" s="520"/>
      <c r="F17" s="522"/>
      <c r="G17" s="524"/>
      <c r="H17" s="352" t="s">
        <v>200</v>
      </c>
      <c r="I17" s="526"/>
      <c r="J17" s="226"/>
      <c r="K17" s="69" t="s">
        <v>96</v>
      </c>
    </row>
    <row r="18" spans="1:11" ht="15.6" customHeight="1">
      <c r="A18" s="69"/>
      <c r="B18" s="222" t="s">
        <v>209</v>
      </c>
      <c r="C18" s="166"/>
      <c r="D18" s="517"/>
      <c r="E18" s="519"/>
      <c r="F18" s="521"/>
      <c r="G18" s="523">
        <v>23641440</v>
      </c>
      <c r="H18" s="351"/>
      <c r="I18" s="525">
        <v>0.6794</v>
      </c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210</v>
      </c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211</v>
      </c>
      <c r="C24" s="166"/>
      <c r="D24" s="517" t="s">
        <v>172</v>
      </c>
      <c r="E24" s="519">
        <v>1</v>
      </c>
      <c r="F24" s="521">
        <v>268560</v>
      </c>
      <c r="G24" s="523">
        <v>268560</v>
      </c>
      <c r="H24" s="351"/>
      <c r="I24" s="525">
        <v>7.7000000000000002E-3</v>
      </c>
      <c r="J24" s="223"/>
      <c r="K24" s="69" t="s">
        <v>96</v>
      </c>
    </row>
    <row r="25" spans="1:11" ht="15.6" customHeight="1">
      <c r="A25" s="69"/>
      <c r="B25" s="224" t="s">
        <v>198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212</v>
      </c>
      <c r="C26" s="166"/>
      <c r="D26" s="517" t="s">
        <v>172</v>
      </c>
      <c r="E26" s="519">
        <v>1</v>
      </c>
      <c r="F26" s="521">
        <v>3090000</v>
      </c>
      <c r="G26" s="523">
        <v>3090000</v>
      </c>
      <c r="H26" s="351"/>
      <c r="I26" s="525">
        <v>8.8800000000000004E-2</v>
      </c>
      <c r="J26" s="223"/>
      <c r="K26" s="69" t="s">
        <v>96</v>
      </c>
    </row>
    <row r="27" spans="1:11" ht="15.6" customHeight="1">
      <c r="A27" s="69"/>
      <c r="B27" s="224" t="s">
        <v>198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213</v>
      </c>
      <c r="C28" s="166"/>
      <c r="D28" s="517"/>
      <c r="E28" s="519"/>
      <c r="F28" s="521"/>
      <c r="G28" s="523">
        <v>3358560</v>
      </c>
      <c r="H28" s="351"/>
      <c r="I28" s="525">
        <v>9.6500000000000002E-2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214</v>
      </c>
      <c r="C32" s="166"/>
      <c r="D32" s="532"/>
      <c r="E32" s="519"/>
      <c r="F32" s="521"/>
      <c r="G32" s="523">
        <v>27000000</v>
      </c>
      <c r="H32" s="351"/>
      <c r="I32" s="525">
        <v>0.77590000000000003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215</v>
      </c>
      <c r="C36" s="302"/>
      <c r="D36" s="517"/>
      <c r="E36" s="519"/>
      <c r="F36" s="521"/>
      <c r="G36" s="523">
        <v>7800000</v>
      </c>
      <c r="H36" s="351"/>
      <c r="I36" s="525">
        <v>0.22409999999999999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131</v>
      </c>
      <c r="C45" s="166"/>
      <c r="D45" s="517"/>
      <c r="E45" s="519"/>
      <c r="F45" s="521"/>
      <c r="G45" s="523">
        <v>34800000</v>
      </c>
      <c r="H45" s="351"/>
      <c r="I45" s="525">
        <v>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16E3-C9AA-4B1F-A2A9-516E29A47DBD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156</v>
      </c>
      <c r="C6" s="166"/>
      <c r="D6" s="517" t="s">
        <v>171</v>
      </c>
      <c r="E6" s="519">
        <v>6320</v>
      </c>
      <c r="F6" s="521">
        <v>253</v>
      </c>
      <c r="G6" s="523">
        <v>1598960</v>
      </c>
      <c r="H6" s="351" t="s">
        <v>199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200</v>
      </c>
      <c r="I7" s="352"/>
      <c r="J7" s="226"/>
      <c r="K7" s="69" t="s">
        <v>96</v>
      </c>
    </row>
    <row r="8" spans="1:11" ht="15.6" customHeight="1">
      <c r="A8" s="69"/>
      <c r="B8" s="222" t="s">
        <v>157</v>
      </c>
      <c r="C8" s="166"/>
      <c r="D8" s="517" t="s">
        <v>171</v>
      </c>
      <c r="E8" s="519">
        <v>6320</v>
      </c>
      <c r="F8" s="521">
        <v>1566</v>
      </c>
      <c r="G8" s="523">
        <v>9897120</v>
      </c>
      <c r="H8" s="351" t="s">
        <v>202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200</v>
      </c>
      <c r="I9" s="352"/>
      <c r="J9" s="227"/>
      <c r="K9" s="69" t="s">
        <v>96</v>
      </c>
    </row>
    <row r="10" spans="1:11" ht="15.6" customHeight="1">
      <c r="A10" s="69"/>
      <c r="B10" s="222" t="s">
        <v>158</v>
      </c>
      <c r="C10" s="166"/>
      <c r="D10" s="517" t="s">
        <v>171</v>
      </c>
      <c r="E10" s="519">
        <v>6320</v>
      </c>
      <c r="F10" s="521">
        <v>1107</v>
      </c>
      <c r="G10" s="523">
        <v>6996240</v>
      </c>
      <c r="H10" s="351" t="s">
        <v>204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 t="s">
        <v>159</v>
      </c>
      <c r="C12" s="166"/>
      <c r="D12" s="517" t="s">
        <v>171</v>
      </c>
      <c r="E12" s="519">
        <v>6320</v>
      </c>
      <c r="F12" s="521">
        <v>791</v>
      </c>
      <c r="G12" s="523">
        <v>4999120</v>
      </c>
      <c r="H12" s="351" t="s">
        <v>206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200</v>
      </c>
      <c r="I13" s="352"/>
      <c r="J13" s="226"/>
      <c r="K13" s="69" t="s">
        <v>96</v>
      </c>
    </row>
    <row r="14" spans="1:11" ht="15.6" customHeight="1">
      <c r="A14" s="69"/>
      <c r="B14" s="222" t="s">
        <v>160</v>
      </c>
      <c r="C14" s="166"/>
      <c r="D14" s="517" t="s">
        <v>172</v>
      </c>
      <c r="E14" s="519">
        <v>1</v>
      </c>
      <c r="F14" s="521">
        <v>150000</v>
      </c>
      <c r="G14" s="523">
        <v>150000</v>
      </c>
      <c r="H14" s="351" t="s">
        <v>208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200</v>
      </c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 t="s">
        <v>216</v>
      </c>
      <c r="C18" s="166"/>
      <c r="D18" s="517"/>
      <c r="E18" s="519"/>
      <c r="F18" s="521"/>
      <c r="G18" s="523">
        <v>23641440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54"/>
  <sheetViews>
    <sheetView zoomScaleNormal="100" zoomScaleSheetLayoutView="85" workbookViewId="0">
      <pane xSplit="4" ySplit="4" topLeftCell="E32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避難の丘（震災遺構荒浜小学校前）津波浸水対策工事</v>
      </c>
      <c r="G1" s="306"/>
      <c r="H1" s="190" t="s">
        <v>140</v>
      </c>
      <c r="I1" s="333">
        <v>34800000</v>
      </c>
      <c r="J1" s="339">
        <f>I4/I$1</f>
        <v>0.77586206896551724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188</v>
      </c>
      <c r="E4" s="342"/>
      <c r="F4" s="345" t="s">
        <v>172</v>
      </c>
      <c r="G4" s="308">
        <v>1</v>
      </c>
      <c r="H4" s="309">
        <v>27000000</v>
      </c>
      <c r="I4" s="309">
        <v>27000000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219</v>
      </c>
      <c r="D5" s="340" t="s">
        <v>220</v>
      </c>
      <c r="E5" s="342"/>
      <c r="F5" s="345" t="s">
        <v>172</v>
      </c>
      <c r="G5" s="308">
        <v>1</v>
      </c>
      <c r="H5" s="309">
        <v>23641440</v>
      </c>
      <c r="I5" s="309">
        <v>23641440</v>
      </c>
      <c r="J5" s="211"/>
      <c r="K5" s="212" t="str">
        <f>IF(OR(J5="",G5=J5),"","*")</f>
        <v/>
      </c>
      <c r="L5" s="338">
        <f>IF($A5&lt;=L$1,I5/I$4,"")</f>
        <v>0.87560888888888888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221</v>
      </c>
      <c r="D6" s="340" t="s">
        <v>222</v>
      </c>
      <c r="E6" s="342"/>
      <c r="F6" s="345" t="s">
        <v>171</v>
      </c>
      <c r="G6" s="308">
        <v>6320</v>
      </c>
      <c r="H6" s="309">
        <v>253</v>
      </c>
      <c r="I6" s="309">
        <v>1598960</v>
      </c>
      <c r="J6" s="211">
        <v>6320</v>
      </c>
      <c r="K6" s="212" t="str">
        <f>IF(OR(J6="",G6=J6),"","*")</f>
        <v/>
      </c>
      <c r="L6" s="338">
        <f>IF($A6&lt;=L$1,I6/I$4,"")</f>
        <v>5.922074074074074E-2</v>
      </c>
      <c r="M6" s="343"/>
      <c r="N6" s="344" t="s">
        <v>223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224</v>
      </c>
      <c r="E7" s="342"/>
      <c r="F7" s="345" t="s">
        <v>225</v>
      </c>
      <c r="G7" s="308">
        <v>700</v>
      </c>
      <c r="H7" s="309">
        <v>145</v>
      </c>
      <c r="I7" s="309">
        <v>101500</v>
      </c>
      <c r="J7" s="211"/>
      <c r="K7" s="212" t="str">
        <f>IF(OR(J7="",G7=J7),"","*")</f>
        <v/>
      </c>
      <c r="L7" s="338">
        <f>IF($A7&lt;=L$1,I7/I$4,"")</f>
        <v>3.7592592592592591E-3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3</v>
      </c>
      <c r="B8" s="342"/>
      <c r="C8" s="342" t="s">
        <v>180</v>
      </c>
      <c r="D8" s="340" t="s">
        <v>226</v>
      </c>
      <c r="E8" s="342"/>
      <c r="F8" s="345" t="s">
        <v>227</v>
      </c>
      <c r="G8" s="308">
        <v>254.822</v>
      </c>
      <c r="H8" s="309">
        <v>0</v>
      </c>
      <c r="I8" s="309">
        <v>0</v>
      </c>
      <c r="J8" s="211"/>
      <c r="K8" s="212" t="str">
        <f>IF(OR(J8="",G8=J8),"","*")</f>
        <v/>
      </c>
      <c r="L8" s="338">
        <f>IF($A8&lt;=L$1,I8/I$4,"")</f>
        <v>0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 t="s">
        <v>228</v>
      </c>
    </row>
    <row r="9" spans="1:32">
      <c r="A9" s="307">
        <v>3</v>
      </c>
      <c r="B9" s="342"/>
      <c r="C9" s="342" t="s">
        <v>180</v>
      </c>
      <c r="D9" s="340" t="s">
        <v>229</v>
      </c>
      <c r="E9" s="342"/>
      <c r="F9" s="345" t="s">
        <v>172</v>
      </c>
      <c r="G9" s="308">
        <v>1</v>
      </c>
      <c r="H9" s="309">
        <v>30600</v>
      </c>
      <c r="I9" s="309">
        <v>30600</v>
      </c>
      <c r="J9" s="211"/>
      <c r="K9" s="212" t="str">
        <f>IF(OR(J9="",G9=J9),"","*")</f>
        <v/>
      </c>
      <c r="L9" s="338">
        <f>IF($A9&lt;=L$1,I9/I$4,"")</f>
        <v>1.1333333333333334E-3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181</v>
      </c>
      <c r="D10" s="340" t="s">
        <v>230</v>
      </c>
      <c r="E10" s="342"/>
      <c r="F10" s="345" t="s">
        <v>231</v>
      </c>
      <c r="G10" s="308">
        <v>42</v>
      </c>
      <c r="H10" s="309">
        <v>23000</v>
      </c>
      <c r="I10" s="309">
        <v>966000</v>
      </c>
      <c r="J10" s="211"/>
      <c r="K10" s="212" t="str">
        <f>IF(OR(J10="",G10=J10),"","*")</f>
        <v/>
      </c>
      <c r="L10" s="338">
        <f>IF($A10&lt;=L$1,I10/I$4,"")</f>
        <v>3.5777777777777776E-2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183</v>
      </c>
      <c r="D11" s="340" t="s">
        <v>232</v>
      </c>
      <c r="E11" s="342"/>
      <c r="F11" s="345" t="s">
        <v>233</v>
      </c>
      <c r="G11" s="308">
        <v>7</v>
      </c>
      <c r="H11" s="309">
        <v>15000</v>
      </c>
      <c r="I11" s="309">
        <v>105000</v>
      </c>
      <c r="J11" s="211"/>
      <c r="K11" s="212" t="str">
        <f>IF(OR(J11="",G11=J11),"","*")</f>
        <v/>
      </c>
      <c r="L11" s="338">
        <f>IF($A11&lt;=L$1,I11/I$4,"")</f>
        <v>3.8888888888888888E-3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183</v>
      </c>
      <c r="D12" s="340" t="s">
        <v>234</v>
      </c>
      <c r="E12" s="342"/>
      <c r="F12" s="345" t="s">
        <v>233</v>
      </c>
      <c r="G12" s="308">
        <v>7</v>
      </c>
      <c r="H12" s="309">
        <v>5000</v>
      </c>
      <c r="I12" s="309">
        <v>35000</v>
      </c>
      <c r="J12" s="211"/>
      <c r="K12" s="212" t="str">
        <f>IF(OR(J12="",G12=J12),"","*")</f>
        <v/>
      </c>
      <c r="L12" s="338">
        <f>IF($A12&lt;=L$1,I12/I$4,"")</f>
        <v>1.2962962962962963E-3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183</v>
      </c>
      <c r="D13" s="340" t="s">
        <v>235</v>
      </c>
      <c r="E13" s="342"/>
      <c r="F13" s="345" t="s">
        <v>233</v>
      </c>
      <c r="G13" s="308">
        <v>7</v>
      </c>
      <c r="H13" s="309">
        <v>6000</v>
      </c>
      <c r="I13" s="309">
        <v>42000</v>
      </c>
      <c r="J13" s="211"/>
      <c r="K13" s="212" t="str">
        <f>IF(OR(J13="",G13=J13),"","*")</f>
        <v/>
      </c>
      <c r="L13" s="338">
        <f>IF($A13&lt;=L$1,I13/I$4,"")</f>
        <v>1.5555555555555555E-3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3</v>
      </c>
      <c r="B14" s="342"/>
      <c r="C14" s="342" t="s">
        <v>183</v>
      </c>
      <c r="D14" s="340" t="s">
        <v>236</v>
      </c>
      <c r="E14" s="342"/>
      <c r="F14" s="345" t="s">
        <v>233</v>
      </c>
      <c r="G14" s="308">
        <v>7</v>
      </c>
      <c r="H14" s="309">
        <v>1500</v>
      </c>
      <c r="I14" s="309">
        <v>10500</v>
      </c>
      <c r="J14" s="211"/>
      <c r="K14" s="212" t="str">
        <f>IF(OR(J14="",G14=J14),"","*")</f>
        <v/>
      </c>
      <c r="L14" s="338">
        <f>IF($A14&lt;=L$1,I14/I$4,"")</f>
        <v>3.8888888888888887E-4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3</v>
      </c>
      <c r="B15" s="342"/>
      <c r="C15" s="342" t="s">
        <v>183</v>
      </c>
      <c r="D15" s="340" t="s">
        <v>237</v>
      </c>
      <c r="E15" s="342"/>
      <c r="F15" s="345" t="s">
        <v>233</v>
      </c>
      <c r="G15" s="308">
        <v>7</v>
      </c>
      <c r="H15" s="309">
        <v>1200</v>
      </c>
      <c r="I15" s="309">
        <v>8400</v>
      </c>
      <c r="J15" s="211"/>
      <c r="K15" s="212" t="str">
        <f>IF(OR(J15="",G15=J15),"","*")</f>
        <v/>
      </c>
      <c r="L15" s="338">
        <f>IF($A15&lt;=L$1,I15/I$4,"")</f>
        <v>3.1111111111111113E-4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3</v>
      </c>
      <c r="B16" s="342"/>
      <c r="C16" s="342" t="s">
        <v>183</v>
      </c>
      <c r="D16" s="340" t="s">
        <v>238</v>
      </c>
      <c r="E16" s="342"/>
      <c r="F16" s="345" t="s">
        <v>233</v>
      </c>
      <c r="G16" s="308">
        <v>7</v>
      </c>
      <c r="H16" s="309">
        <v>6000</v>
      </c>
      <c r="I16" s="309">
        <v>42000</v>
      </c>
      <c r="J16" s="211"/>
      <c r="K16" s="212" t="str">
        <f>IF(OR(J16="",G16=J16),"","*")</f>
        <v/>
      </c>
      <c r="L16" s="338">
        <f>IF($A16&lt;=L$1,I16/I$4,"")</f>
        <v>1.5555555555555555E-3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3</v>
      </c>
      <c r="B17" s="342"/>
      <c r="C17" s="342" t="s">
        <v>183</v>
      </c>
      <c r="D17" s="340" t="s">
        <v>239</v>
      </c>
      <c r="E17" s="342"/>
      <c r="F17" s="345" t="s">
        <v>233</v>
      </c>
      <c r="G17" s="308">
        <v>7</v>
      </c>
      <c r="H17" s="309">
        <v>12000</v>
      </c>
      <c r="I17" s="309">
        <v>84000</v>
      </c>
      <c r="J17" s="211"/>
      <c r="K17" s="212" t="str">
        <f>IF(OR(J17="",G17=J17),"","*")</f>
        <v/>
      </c>
      <c r="L17" s="338">
        <f>IF($A17&lt;=L$1,I17/I$4,"")</f>
        <v>3.1111111111111109E-3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3</v>
      </c>
      <c r="B18" s="342"/>
      <c r="C18" s="342" t="s">
        <v>184</v>
      </c>
      <c r="D18" s="340" t="s">
        <v>240</v>
      </c>
      <c r="E18" s="342"/>
      <c r="F18" s="345" t="s">
        <v>233</v>
      </c>
      <c r="G18" s="308">
        <v>7</v>
      </c>
      <c r="H18" s="309">
        <v>5000</v>
      </c>
      <c r="I18" s="309">
        <v>35000</v>
      </c>
      <c r="J18" s="211"/>
      <c r="K18" s="212" t="str">
        <f>IF(OR(J18="",G18=J18),"","*")</f>
        <v/>
      </c>
      <c r="L18" s="338">
        <f>IF($A18&lt;=L$1,I18/I$4,"")</f>
        <v>1.2962962962962963E-3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3</v>
      </c>
      <c r="B19" s="342"/>
      <c r="C19" s="342" t="s">
        <v>184</v>
      </c>
      <c r="D19" s="340" t="s">
        <v>241</v>
      </c>
      <c r="E19" s="342"/>
      <c r="F19" s="345" t="s">
        <v>233</v>
      </c>
      <c r="G19" s="308">
        <v>7</v>
      </c>
      <c r="H19" s="309">
        <v>10000</v>
      </c>
      <c r="I19" s="309">
        <v>70000</v>
      </c>
      <c r="J19" s="211"/>
      <c r="K19" s="212" t="str">
        <f>IF(OR(J19="",G19=J19),"","*")</f>
        <v/>
      </c>
      <c r="L19" s="338">
        <f>IF($A19&lt;=L$1,I19/I$4,"")</f>
        <v>2.5925925925925925E-3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184</v>
      </c>
      <c r="D20" s="340" t="s">
        <v>242</v>
      </c>
      <c r="E20" s="342"/>
      <c r="F20" s="345" t="s">
        <v>233</v>
      </c>
      <c r="G20" s="308">
        <v>14</v>
      </c>
      <c r="H20" s="309">
        <v>5000</v>
      </c>
      <c r="I20" s="309">
        <v>70000</v>
      </c>
      <c r="J20" s="211"/>
      <c r="K20" s="212" t="str">
        <f>IF(OR(J20="",G20=J20),"","*")</f>
        <v/>
      </c>
      <c r="L20" s="338">
        <f>IF($A20&lt;=L$1,I20/I$4,"")</f>
        <v>2.5925925925925925E-3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2</v>
      </c>
      <c r="B21" s="342"/>
      <c r="C21" s="342" t="s">
        <v>221</v>
      </c>
      <c r="D21" s="340" t="s">
        <v>243</v>
      </c>
      <c r="E21" s="342"/>
      <c r="F21" s="345" t="s">
        <v>171</v>
      </c>
      <c r="G21" s="308">
        <v>6320</v>
      </c>
      <c r="H21" s="309">
        <v>1566</v>
      </c>
      <c r="I21" s="309">
        <v>9897120</v>
      </c>
      <c r="J21" s="211">
        <v>6320</v>
      </c>
      <c r="K21" s="212" t="str">
        <f>IF(OR(J21="",G21=J21),"","*")</f>
        <v/>
      </c>
      <c r="L21" s="338">
        <f>IF($A21&lt;=L$1,I21/I$4,"")</f>
        <v>0.36656</v>
      </c>
      <c r="M21" s="343"/>
      <c r="N21" s="344" t="s">
        <v>244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3</v>
      </c>
      <c r="B22" s="342"/>
      <c r="C22" s="342" t="s">
        <v>180</v>
      </c>
      <c r="D22" s="340" t="s">
        <v>224</v>
      </c>
      <c r="E22" s="342"/>
      <c r="F22" s="345" t="s">
        <v>225</v>
      </c>
      <c r="G22" s="308">
        <v>500</v>
      </c>
      <c r="H22" s="309">
        <v>145</v>
      </c>
      <c r="I22" s="309">
        <v>72500</v>
      </c>
      <c r="J22" s="211"/>
      <c r="K22" s="212" t="str">
        <f>IF(OR(J22="",G22=J22),"","*")</f>
        <v/>
      </c>
      <c r="L22" s="338">
        <f>IF($A22&lt;=L$1,I22/I$4,"")</f>
        <v>2.685185185185185E-3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3</v>
      </c>
      <c r="B23" s="342"/>
      <c r="C23" s="342" t="s">
        <v>180</v>
      </c>
      <c r="D23" s="340" t="s">
        <v>245</v>
      </c>
      <c r="E23" s="342"/>
      <c r="F23" s="345" t="s">
        <v>246</v>
      </c>
      <c r="G23" s="308">
        <v>590</v>
      </c>
      <c r="H23" s="309">
        <v>12000</v>
      </c>
      <c r="I23" s="309">
        <v>7080000</v>
      </c>
      <c r="J23" s="211"/>
      <c r="K23" s="212" t="str">
        <f>IF(OR(J23="",G23=J23),"","*")</f>
        <v/>
      </c>
      <c r="L23" s="338">
        <f>IF($A23&lt;=L$1,I23/I$4,"")</f>
        <v>0.26222222222222225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247</v>
      </c>
    </row>
    <row r="24" spans="1:32">
      <c r="A24" s="307">
        <v>3</v>
      </c>
      <c r="B24" s="342"/>
      <c r="C24" s="342" t="s">
        <v>180</v>
      </c>
      <c r="D24" s="340" t="s">
        <v>229</v>
      </c>
      <c r="E24" s="342"/>
      <c r="F24" s="345" t="s">
        <v>172</v>
      </c>
      <c r="G24" s="308">
        <v>1</v>
      </c>
      <c r="H24" s="309">
        <v>31500</v>
      </c>
      <c r="I24" s="309">
        <v>31500</v>
      </c>
      <c r="J24" s="211"/>
      <c r="K24" s="212" t="str">
        <f>IF(OR(J24="",G24=J24),"","*")</f>
        <v/>
      </c>
      <c r="L24" s="338">
        <f>IF($A24&lt;=L$1,I24/I$4,"")</f>
        <v>1.1666666666666668E-3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181</v>
      </c>
      <c r="D25" s="340" t="s">
        <v>230</v>
      </c>
      <c r="E25" s="342"/>
      <c r="F25" s="345" t="s">
        <v>231</v>
      </c>
      <c r="G25" s="308">
        <v>60</v>
      </c>
      <c r="H25" s="309">
        <v>23000</v>
      </c>
      <c r="I25" s="309">
        <v>1380000</v>
      </c>
      <c r="J25" s="211"/>
      <c r="K25" s="212" t="str">
        <f>IF(OR(J25="",G25=J25),"","*")</f>
        <v/>
      </c>
      <c r="L25" s="338">
        <f>IF($A25&lt;=L$1,I25/I$4,"")</f>
        <v>5.1111111111111114E-2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3</v>
      </c>
      <c r="B26" s="342"/>
      <c r="C26" s="342" t="s">
        <v>183</v>
      </c>
      <c r="D26" s="340" t="s">
        <v>248</v>
      </c>
      <c r="E26" s="342"/>
      <c r="F26" s="345" t="s">
        <v>233</v>
      </c>
      <c r="G26" s="308">
        <v>5</v>
      </c>
      <c r="H26" s="309">
        <v>45000</v>
      </c>
      <c r="I26" s="309">
        <v>225000</v>
      </c>
      <c r="J26" s="211"/>
      <c r="K26" s="212" t="str">
        <f>IF(OR(J26="",G26=J26),"","*")</f>
        <v/>
      </c>
      <c r="L26" s="338">
        <f>IF($A26&lt;=L$1,I26/I$4,"")</f>
        <v>8.3333333333333332E-3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3</v>
      </c>
      <c r="B27" s="342"/>
      <c r="C27" s="342" t="s">
        <v>183</v>
      </c>
      <c r="D27" s="340" t="s">
        <v>234</v>
      </c>
      <c r="E27" s="342"/>
      <c r="F27" s="345" t="s">
        <v>233</v>
      </c>
      <c r="G27" s="308">
        <v>5</v>
      </c>
      <c r="H27" s="309">
        <v>5000</v>
      </c>
      <c r="I27" s="309">
        <v>25000</v>
      </c>
      <c r="J27" s="211"/>
      <c r="K27" s="212" t="str">
        <f>IF(OR(J27="",G27=J27),"","*")</f>
        <v/>
      </c>
      <c r="L27" s="338">
        <f>IF($A27&lt;=L$1,I27/I$4,"")</f>
        <v>9.2592592592592596E-4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3</v>
      </c>
      <c r="B28" s="342"/>
      <c r="C28" s="342" t="s">
        <v>183</v>
      </c>
      <c r="D28" s="340" t="s">
        <v>235</v>
      </c>
      <c r="E28" s="342"/>
      <c r="F28" s="345" t="s">
        <v>233</v>
      </c>
      <c r="G28" s="308">
        <v>5</v>
      </c>
      <c r="H28" s="309">
        <v>6000</v>
      </c>
      <c r="I28" s="309">
        <v>30000</v>
      </c>
      <c r="J28" s="211"/>
      <c r="K28" s="212" t="str">
        <f>IF(OR(J28="",G28=J28),"","*")</f>
        <v/>
      </c>
      <c r="L28" s="338">
        <f>IF($A28&lt;=L$1,I28/I$4,"")</f>
        <v>1.1111111111111111E-3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3</v>
      </c>
      <c r="B29" s="342"/>
      <c r="C29" s="342" t="s">
        <v>183</v>
      </c>
      <c r="D29" s="340" t="s">
        <v>237</v>
      </c>
      <c r="E29" s="342"/>
      <c r="F29" s="345" t="s">
        <v>233</v>
      </c>
      <c r="G29" s="308">
        <v>5</v>
      </c>
      <c r="H29" s="309">
        <v>1200</v>
      </c>
      <c r="I29" s="309">
        <v>6000</v>
      </c>
      <c r="J29" s="211"/>
      <c r="K29" s="212" t="str">
        <f>IF(OR(J29="",G29=J29),"","*")</f>
        <v/>
      </c>
      <c r="L29" s="338">
        <f>IF($A29&lt;=L$1,I29/I$4,"")</f>
        <v>2.2222222222222223E-4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3</v>
      </c>
      <c r="B30" s="342"/>
      <c r="C30" s="342" t="s">
        <v>183</v>
      </c>
      <c r="D30" s="340" t="s">
        <v>238</v>
      </c>
      <c r="E30" s="342"/>
      <c r="F30" s="345" t="s">
        <v>233</v>
      </c>
      <c r="G30" s="308">
        <v>5</v>
      </c>
      <c r="H30" s="309">
        <v>6000</v>
      </c>
      <c r="I30" s="309">
        <v>30000</v>
      </c>
      <c r="J30" s="211"/>
      <c r="K30" s="212" t="str">
        <f>IF(OR(J30="",G30=J30),"","*")</f>
        <v/>
      </c>
      <c r="L30" s="338">
        <f>IF($A30&lt;=L$1,I30/I$4,"")</f>
        <v>1.1111111111111111E-3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/>
    </row>
    <row r="31" spans="1:32">
      <c r="A31" s="307">
        <v>3</v>
      </c>
      <c r="B31" s="342"/>
      <c r="C31" s="342" t="s">
        <v>183</v>
      </c>
      <c r="D31" s="340" t="s">
        <v>249</v>
      </c>
      <c r="E31" s="342"/>
      <c r="F31" s="345" t="s">
        <v>233</v>
      </c>
      <c r="G31" s="308">
        <v>5</v>
      </c>
      <c r="H31" s="309">
        <v>12000</v>
      </c>
      <c r="I31" s="309">
        <v>60000</v>
      </c>
      <c r="J31" s="211"/>
      <c r="K31" s="212" t="str">
        <f>IF(OR(J31="",G31=J31),"","*")</f>
        <v/>
      </c>
      <c r="L31" s="338">
        <f>IF($A31&lt;=L$1,I31/I$4,"")</f>
        <v>2.2222222222222222E-3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3</v>
      </c>
      <c r="B32" s="342"/>
      <c r="C32" s="342" t="s">
        <v>184</v>
      </c>
      <c r="D32" s="340" t="s">
        <v>240</v>
      </c>
      <c r="E32" s="342"/>
      <c r="F32" s="345" t="s">
        <v>233</v>
      </c>
      <c r="G32" s="308">
        <v>5</v>
      </c>
      <c r="H32" s="309">
        <v>5000</v>
      </c>
      <c r="I32" s="309">
        <v>25000</v>
      </c>
      <c r="J32" s="211"/>
      <c r="K32" s="212" t="str">
        <f>IF(OR(J32="",G32=J32),"","*")</f>
        <v/>
      </c>
      <c r="L32" s="338">
        <f>IF($A32&lt;=L$1,I32/I$4,"")</f>
        <v>9.2592592592592596E-4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3</v>
      </c>
      <c r="B33" s="342"/>
      <c r="C33" s="342" t="s">
        <v>184</v>
      </c>
      <c r="D33" s="340" t="s">
        <v>242</v>
      </c>
      <c r="E33" s="342"/>
      <c r="F33" s="345" t="s">
        <v>233</v>
      </c>
      <c r="G33" s="308">
        <v>10</v>
      </c>
      <c r="H33" s="309">
        <v>5000</v>
      </c>
      <c r="I33" s="309">
        <v>50000</v>
      </c>
      <c r="J33" s="211"/>
      <c r="K33" s="212" t="str">
        <f>IF(OR(J33="",G33=J33),"","*")</f>
        <v/>
      </c>
      <c r="L33" s="338">
        <f>IF($A33&lt;=L$1,I33/I$4,"")</f>
        <v>1.8518518518518519E-3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3</v>
      </c>
      <c r="B34" s="342"/>
      <c r="C34" s="342" t="s">
        <v>184</v>
      </c>
      <c r="D34" s="340" t="s">
        <v>250</v>
      </c>
      <c r="E34" s="342"/>
      <c r="F34" s="345" t="s">
        <v>233</v>
      </c>
      <c r="G34" s="308">
        <v>20</v>
      </c>
      <c r="H34" s="309">
        <v>12000</v>
      </c>
      <c r="I34" s="309">
        <v>240000</v>
      </c>
      <c r="J34" s="211"/>
      <c r="K34" s="212" t="str">
        <f>IF(OR(J34="",G34=J34),"","*")</f>
        <v/>
      </c>
      <c r="L34" s="338">
        <f>IF($A34&lt;=L$1,I34/I$4,"")</f>
        <v>8.8888888888888889E-3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3</v>
      </c>
      <c r="B35" s="342"/>
      <c r="C35" s="342" t="s">
        <v>183</v>
      </c>
      <c r="D35" s="340" t="s">
        <v>251</v>
      </c>
      <c r="E35" s="342"/>
      <c r="F35" s="345" t="s">
        <v>172</v>
      </c>
      <c r="G35" s="308">
        <v>1</v>
      </c>
      <c r="H35" s="309">
        <v>30000</v>
      </c>
      <c r="I35" s="309">
        <v>30000</v>
      </c>
      <c r="J35" s="211"/>
      <c r="K35" s="212" t="str">
        <f>IF(OR(J35="",G35=J35),"","*")</f>
        <v/>
      </c>
      <c r="L35" s="338">
        <f>IF($A35&lt;=L$1,I35/I$4,"")</f>
        <v>1.1111111111111111E-3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3</v>
      </c>
      <c r="B36" s="342"/>
      <c r="C36" s="342" t="s">
        <v>184</v>
      </c>
      <c r="D36" s="340" t="s">
        <v>252</v>
      </c>
      <c r="E36" s="342"/>
      <c r="F36" s="345" t="s">
        <v>233</v>
      </c>
      <c r="G36" s="308">
        <v>15</v>
      </c>
      <c r="H36" s="309">
        <v>41000</v>
      </c>
      <c r="I36" s="309">
        <v>615000</v>
      </c>
      <c r="J36" s="211"/>
      <c r="K36" s="212" t="str">
        <f>IF(OR(J36="",G36=J36),"","*")</f>
        <v/>
      </c>
      <c r="L36" s="338">
        <f>IF($A36&lt;=L$1,I36/I$4,"")</f>
        <v>2.2777777777777779E-2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2</v>
      </c>
      <c r="B37" s="342"/>
      <c r="C37" s="342" t="s">
        <v>221</v>
      </c>
      <c r="D37" s="340" t="s">
        <v>253</v>
      </c>
      <c r="E37" s="342"/>
      <c r="F37" s="345" t="s">
        <v>171</v>
      </c>
      <c r="G37" s="308">
        <v>6320</v>
      </c>
      <c r="H37" s="309">
        <v>1107</v>
      </c>
      <c r="I37" s="309">
        <v>6996240</v>
      </c>
      <c r="J37" s="211">
        <v>6320</v>
      </c>
      <c r="K37" s="212" t="str">
        <f>IF(OR(J37="",G37=J37),"","*")</f>
        <v/>
      </c>
      <c r="L37" s="338">
        <f>IF($A37&lt;=L$1,I37/I$4,"")</f>
        <v>0.25912000000000002</v>
      </c>
      <c r="M37" s="343"/>
      <c r="N37" s="344" t="s">
        <v>254</v>
      </c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3</v>
      </c>
      <c r="B38" s="342"/>
      <c r="C38" s="342" t="s">
        <v>180</v>
      </c>
      <c r="D38" s="340" t="s">
        <v>255</v>
      </c>
      <c r="E38" s="342"/>
      <c r="F38" s="345" t="s">
        <v>256</v>
      </c>
      <c r="G38" s="308">
        <v>560</v>
      </c>
      <c r="H38" s="309">
        <v>9960</v>
      </c>
      <c r="I38" s="309">
        <v>5577600</v>
      </c>
      <c r="J38" s="211"/>
      <c r="K38" s="212" t="str">
        <f>IF(OR(J38="",G38=J38),"","*")</f>
        <v/>
      </c>
      <c r="L38" s="338">
        <f>IF($A38&lt;=L$1,I38/I$4,"")</f>
        <v>0.20657777777777778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257</v>
      </c>
    </row>
    <row r="39" spans="1:32">
      <c r="A39" s="307">
        <v>3</v>
      </c>
      <c r="B39" s="342"/>
      <c r="C39" s="342" t="s">
        <v>180</v>
      </c>
      <c r="D39" s="340" t="s">
        <v>258</v>
      </c>
      <c r="E39" s="342"/>
      <c r="F39" s="345" t="s">
        <v>256</v>
      </c>
      <c r="G39" s="308">
        <v>560</v>
      </c>
      <c r="H39" s="309">
        <v>1040</v>
      </c>
      <c r="I39" s="309">
        <v>582400</v>
      </c>
      <c r="J39" s="211"/>
      <c r="K39" s="212" t="str">
        <f>IF(OR(J39="",G39=J39),"","*")</f>
        <v/>
      </c>
      <c r="L39" s="338">
        <f>IF($A39&lt;=L$1,I39/I$4,"")</f>
        <v>2.1570370370370372E-2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259</v>
      </c>
    </row>
    <row r="40" spans="1:32">
      <c r="A40" s="307">
        <v>3</v>
      </c>
      <c r="B40" s="342"/>
      <c r="C40" s="342" t="s">
        <v>180</v>
      </c>
      <c r="D40" s="340" t="s">
        <v>260</v>
      </c>
      <c r="E40" s="342"/>
      <c r="F40" s="345" t="s">
        <v>256</v>
      </c>
      <c r="G40" s="308">
        <v>560</v>
      </c>
      <c r="H40" s="309">
        <v>1500</v>
      </c>
      <c r="I40" s="309">
        <v>840000</v>
      </c>
      <c r="J40" s="211"/>
      <c r="K40" s="212" t="str">
        <f>IF(OR(J40="",G40=J40),"","*")</f>
        <v/>
      </c>
      <c r="L40" s="338">
        <f>IF($A40&lt;=L$1,I40/I$4,"")</f>
        <v>3.111111111111111E-2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259</v>
      </c>
    </row>
    <row r="41" spans="1:32">
      <c r="A41" s="307">
        <v>2</v>
      </c>
      <c r="B41" s="342"/>
      <c r="C41" s="342" t="s">
        <v>221</v>
      </c>
      <c r="D41" s="340" t="s">
        <v>261</v>
      </c>
      <c r="E41" s="342"/>
      <c r="F41" s="345" t="s">
        <v>171</v>
      </c>
      <c r="G41" s="308">
        <v>6320</v>
      </c>
      <c r="H41" s="309">
        <v>791</v>
      </c>
      <c r="I41" s="309">
        <v>4999120</v>
      </c>
      <c r="J41" s="211">
        <v>6320</v>
      </c>
      <c r="K41" s="212" t="str">
        <f>IF(OR(J41="",G41=J41),"","*")</f>
        <v/>
      </c>
      <c r="L41" s="338">
        <f>IF($A41&lt;=L$1,I41/I$4,"")</f>
        <v>0.18515259259259259</v>
      </c>
      <c r="M41" s="343"/>
      <c r="N41" s="344" t="s">
        <v>262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3</v>
      </c>
      <c r="B42" s="342"/>
      <c r="C42" s="342" t="s">
        <v>182</v>
      </c>
      <c r="D42" s="340" t="s">
        <v>263</v>
      </c>
      <c r="E42" s="342"/>
      <c r="F42" s="345" t="s">
        <v>171</v>
      </c>
      <c r="G42" s="308">
        <v>6320</v>
      </c>
      <c r="H42" s="309">
        <v>400</v>
      </c>
      <c r="I42" s="309">
        <v>2528000</v>
      </c>
      <c r="J42" s="211"/>
      <c r="K42" s="212" t="str">
        <f>IF(OR(J42="",G42=J42),"","*")</f>
        <v/>
      </c>
      <c r="L42" s="338">
        <f>IF($A42&lt;=L$1,I42/I$4,"")</f>
        <v>9.3629629629629632E-2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264</v>
      </c>
    </row>
    <row r="43" spans="1:32">
      <c r="A43" s="307">
        <v>3</v>
      </c>
      <c r="B43" s="342"/>
      <c r="C43" s="342" t="s">
        <v>182</v>
      </c>
      <c r="D43" s="340" t="s">
        <v>265</v>
      </c>
      <c r="E43" s="342"/>
      <c r="F43" s="345" t="s">
        <v>172</v>
      </c>
      <c r="G43" s="308">
        <v>1</v>
      </c>
      <c r="H43" s="309">
        <v>979966</v>
      </c>
      <c r="I43" s="309">
        <v>979966</v>
      </c>
      <c r="J43" s="211"/>
      <c r="K43" s="212" t="str">
        <f>IF(OR(J43="",G43=J43),"","*")</f>
        <v/>
      </c>
      <c r="L43" s="338">
        <f>IF($A43&lt;=L$1,I43/I$4,"")</f>
        <v>3.6295037037037035E-2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266</v>
      </c>
    </row>
    <row r="44" spans="1:32">
      <c r="A44" s="307">
        <v>3</v>
      </c>
      <c r="B44" s="342"/>
      <c r="C44" s="342" t="s">
        <v>182</v>
      </c>
      <c r="D44" s="340" t="s">
        <v>267</v>
      </c>
      <c r="E44" s="342"/>
      <c r="F44" s="345" t="s">
        <v>268</v>
      </c>
      <c r="G44" s="308">
        <v>15</v>
      </c>
      <c r="H44" s="309">
        <v>66000</v>
      </c>
      <c r="I44" s="309">
        <v>990000</v>
      </c>
      <c r="J44" s="211"/>
      <c r="K44" s="212" t="str">
        <f>IF(OR(J44="",G44=J44),"","*")</f>
        <v/>
      </c>
      <c r="L44" s="338">
        <f>IF($A44&lt;=L$1,I44/I$4,"")</f>
        <v>3.6666666666666667E-2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264</v>
      </c>
    </row>
    <row r="45" spans="1:32">
      <c r="A45" s="307">
        <v>3</v>
      </c>
      <c r="B45" s="342"/>
      <c r="C45" s="342" t="s">
        <v>182</v>
      </c>
      <c r="D45" s="340" t="s">
        <v>269</v>
      </c>
      <c r="E45" s="342"/>
      <c r="F45" s="345" t="s">
        <v>172</v>
      </c>
      <c r="G45" s="308">
        <v>1</v>
      </c>
      <c r="H45" s="309">
        <v>199634</v>
      </c>
      <c r="I45" s="309">
        <v>199634</v>
      </c>
      <c r="J45" s="211"/>
      <c r="K45" s="212" t="str">
        <f>IF(OR(J45="",G45=J45),"","*")</f>
        <v/>
      </c>
      <c r="L45" s="338">
        <f>IF($A45&lt;=L$1,I45/I$4,"")</f>
        <v>7.393851851851852E-3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266</v>
      </c>
    </row>
    <row r="46" spans="1:32">
      <c r="A46" s="307">
        <v>3</v>
      </c>
      <c r="B46" s="342"/>
      <c r="C46" s="342" t="s">
        <v>182</v>
      </c>
      <c r="D46" s="340" t="s">
        <v>270</v>
      </c>
      <c r="E46" s="342" t="s">
        <v>271</v>
      </c>
      <c r="F46" s="345" t="s">
        <v>172</v>
      </c>
      <c r="G46" s="308">
        <v>1</v>
      </c>
      <c r="H46" s="309">
        <v>302400</v>
      </c>
      <c r="I46" s="309">
        <v>302400</v>
      </c>
      <c r="J46" s="211"/>
      <c r="K46" s="212" t="str">
        <f>IF(OR(J46="",G46=J46),"","*")</f>
        <v/>
      </c>
      <c r="L46" s="338">
        <f>IF($A46&lt;=L$1,I46/I$4,"")</f>
        <v>1.12E-2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266</v>
      </c>
    </row>
    <row r="47" spans="1:32">
      <c r="A47" s="307">
        <v>2</v>
      </c>
      <c r="B47" s="342"/>
      <c r="C47" s="342" t="s">
        <v>221</v>
      </c>
      <c r="D47" s="340" t="s">
        <v>272</v>
      </c>
      <c r="E47" s="342"/>
      <c r="F47" s="345" t="s">
        <v>172</v>
      </c>
      <c r="G47" s="308">
        <v>1</v>
      </c>
      <c r="H47" s="309">
        <v>150000</v>
      </c>
      <c r="I47" s="309">
        <v>150000</v>
      </c>
      <c r="J47" s="211">
        <v>1</v>
      </c>
      <c r="K47" s="212" t="str">
        <f>IF(OR(J47="",G47=J47),"","*")</f>
        <v/>
      </c>
      <c r="L47" s="338">
        <f>IF($A47&lt;=L$1,I47/I$4,"")</f>
        <v>5.5555555555555558E-3</v>
      </c>
      <c r="M47" s="343"/>
      <c r="N47" s="344" t="s">
        <v>273</v>
      </c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3</v>
      </c>
      <c r="B48" s="342"/>
      <c r="C48" s="342" t="s">
        <v>181</v>
      </c>
      <c r="D48" s="340" t="s">
        <v>230</v>
      </c>
      <c r="E48" s="342"/>
      <c r="F48" s="345" t="s">
        <v>231</v>
      </c>
      <c r="G48" s="308">
        <v>2</v>
      </c>
      <c r="H48" s="309">
        <v>23000</v>
      </c>
      <c r="I48" s="309">
        <v>46000</v>
      </c>
      <c r="J48" s="211"/>
      <c r="K48" s="212" t="str">
        <f>IF(OR(J48="",G48=J48),"","*")</f>
        <v/>
      </c>
      <c r="L48" s="338">
        <f>IF($A48&lt;=L$1,I48/I$4,"")</f>
        <v>1.7037037037037038E-3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183</v>
      </c>
      <c r="D49" s="340" t="s">
        <v>274</v>
      </c>
      <c r="E49" s="342"/>
      <c r="F49" s="345" t="s">
        <v>172</v>
      </c>
      <c r="G49" s="308">
        <v>1</v>
      </c>
      <c r="H49" s="309">
        <v>25000</v>
      </c>
      <c r="I49" s="309">
        <v>25000</v>
      </c>
      <c r="J49" s="211"/>
      <c r="K49" s="212" t="str">
        <f>IF(OR(J49="",G49=J49),"","*")</f>
        <v/>
      </c>
      <c r="L49" s="338">
        <f>IF($A49&lt;=L$1,I49/I$4,"")</f>
        <v>9.2592592592592596E-4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3</v>
      </c>
      <c r="B50" s="342"/>
      <c r="C50" s="342" t="s">
        <v>183</v>
      </c>
      <c r="D50" s="340" t="s">
        <v>275</v>
      </c>
      <c r="E50" s="342"/>
      <c r="F50" s="345" t="s">
        <v>172</v>
      </c>
      <c r="G50" s="308">
        <v>1</v>
      </c>
      <c r="H50" s="309">
        <v>25000</v>
      </c>
      <c r="I50" s="309">
        <v>25000</v>
      </c>
      <c r="J50" s="211"/>
      <c r="K50" s="212" t="str">
        <f>IF(OR(J50="",G50=J50),"","*")</f>
        <v/>
      </c>
      <c r="L50" s="338">
        <f>IF($A50&lt;=L$1,I50/I$4,"")</f>
        <v>9.2592592592592596E-4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183</v>
      </c>
      <c r="D51" s="340" t="s">
        <v>276</v>
      </c>
      <c r="E51" s="342"/>
      <c r="F51" s="345" t="s">
        <v>233</v>
      </c>
      <c r="G51" s="308">
        <v>1</v>
      </c>
      <c r="H51" s="309">
        <v>5000</v>
      </c>
      <c r="I51" s="309">
        <v>5000</v>
      </c>
      <c r="J51" s="211"/>
      <c r="K51" s="212" t="str">
        <f>IF(OR(J51="",G51=J51),"","*")</f>
        <v/>
      </c>
      <c r="L51" s="338">
        <f>IF($A51&lt;=L$1,I51/I$4,"")</f>
        <v>1.8518518518518518E-4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3</v>
      </c>
      <c r="B52" s="342"/>
      <c r="C52" s="342" t="s">
        <v>184</v>
      </c>
      <c r="D52" s="340" t="s">
        <v>277</v>
      </c>
      <c r="E52" s="342"/>
      <c r="F52" s="345" t="s">
        <v>172</v>
      </c>
      <c r="G52" s="308">
        <v>1</v>
      </c>
      <c r="H52" s="309">
        <v>15000</v>
      </c>
      <c r="I52" s="309">
        <v>15000</v>
      </c>
      <c r="J52" s="211"/>
      <c r="K52" s="212" t="str">
        <f>IF(OR(J52="",G52=J52),"","*")</f>
        <v/>
      </c>
      <c r="L52" s="338">
        <f>IF($A52&lt;=L$1,I52/I$4,"")</f>
        <v>5.5555555555555556E-4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184</v>
      </c>
      <c r="D53" s="340" t="s">
        <v>278</v>
      </c>
      <c r="E53" s="342"/>
      <c r="F53" s="345" t="s">
        <v>172</v>
      </c>
      <c r="G53" s="308">
        <v>1</v>
      </c>
      <c r="H53" s="309">
        <v>34000</v>
      </c>
      <c r="I53" s="309">
        <v>34000</v>
      </c>
      <c r="J53" s="211"/>
      <c r="K53" s="212" t="str">
        <f>IF(OR(J53="",G53=J53),"","*")</f>
        <v/>
      </c>
      <c r="L53" s="338">
        <f>IF($A53&lt;=L$1,I53/I$4,"")</f>
        <v>1.2592592592592592E-3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217"/>
      <c r="B54" s="217"/>
      <c r="C54" s="312"/>
      <c r="D54" s="217"/>
      <c r="E54" s="217"/>
      <c r="F54" s="218"/>
      <c r="G54" s="217"/>
      <c r="H54" s="217"/>
      <c r="I54" s="217"/>
      <c r="J54" s="217"/>
      <c r="K54" s="218"/>
      <c r="L54" s="217"/>
      <c r="M54" s="217"/>
      <c r="N54" s="217"/>
      <c r="O54" s="217"/>
      <c r="P54" s="217"/>
      <c r="Q54" s="217"/>
      <c r="R54" s="217"/>
      <c r="S54" s="218"/>
      <c r="T54" s="217"/>
      <c r="U54" s="217"/>
      <c r="V54" s="217"/>
      <c r="W54" s="217"/>
      <c r="X54" s="217"/>
      <c r="Y54" s="217"/>
      <c r="Z54" s="217"/>
      <c r="AA54" s="218"/>
      <c r="AB54" s="217"/>
      <c r="AC54" s="217"/>
      <c r="AD54" s="217"/>
      <c r="AE54" s="217"/>
      <c r="AF5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53 AF4:AF5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5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>
        <v>230000</v>
      </c>
      <c r="E4" s="120"/>
      <c r="F4" s="119" t="s">
        <v>167</v>
      </c>
      <c r="G4" s="316">
        <v>3090000</v>
      </c>
      <c r="H4" s="69"/>
    </row>
    <row r="5" spans="1:8" ht="27" customHeight="1">
      <c r="A5" s="69"/>
      <c r="B5" s="118"/>
      <c r="C5" s="119" t="s">
        <v>162</v>
      </c>
      <c r="D5" s="315">
        <v>8560</v>
      </c>
      <c r="E5" s="120"/>
      <c r="F5" s="119" t="s">
        <v>168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169</v>
      </c>
      <c r="G6" s="316"/>
      <c r="H6" s="69"/>
    </row>
    <row r="7" spans="1:8" ht="27" customHeight="1">
      <c r="A7" s="69"/>
      <c r="B7" s="118"/>
      <c r="C7" s="119" t="s">
        <v>164</v>
      </c>
      <c r="D7" s="315">
        <v>30000</v>
      </c>
      <c r="E7" s="120"/>
      <c r="F7" s="119" t="s">
        <v>170</v>
      </c>
      <c r="G7" s="316"/>
      <c r="H7" s="69"/>
    </row>
    <row r="8" spans="1:8" ht="27" customHeight="1">
      <c r="A8" s="69"/>
      <c r="B8" s="118"/>
      <c r="C8" s="119" t="s">
        <v>165</v>
      </c>
      <c r="D8" s="315"/>
      <c r="E8" s="120"/>
      <c r="F8" s="119" t="s">
        <v>280</v>
      </c>
      <c r="G8" s="316"/>
      <c r="H8" s="69"/>
    </row>
    <row r="9" spans="1:8" ht="27" customHeight="1">
      <c r="A9" s="69"/>
      <c r="B9" s="118"/>
      <c r="C9" s="119" t="s">
        <v>166</v>
      </c>
      <c r="D9" s="315"/>
      <c r="E9" s="120"/>
      <c r="F9" s="119" t="s">
        <v>281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282</v>
      </c>
      <c r="G10" s="316"/>
      <c r="H10" s="69"/>
    </row>
    <row r="11" spans="1:8" ht="27" customHeight="1">
      <c r="A11" s="69"/>
      <c r="B11" s="118"/>
      <c r="C11" s="119" t="s">
        <v>216</v>
      </c>
      <c r="D11" s="315">
        <v>268560</v>
      </c>
      <c r="E11" s="120"/>
      <c r="F11" s="119" t="s">
        <v>283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216</v>
      </c>
      <c r="G13" s="316">
        <v>3090000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161</v>
      </c>
      <c r="C4" s="131" t="s">
        <v>172</v>
      </c>
      <c r="D4" s="320">
        <v>1</v>
      </c>
      <c r="E4" s="321">
        <v>230000</v>
      </c>
      <c r="F4" s="322">
        <v>230000</v>
      </c>
      <c r="G4" s="323"/>
      <c r="H4" s="324"/>
      <c r="I4" s="324"/>
      <c r="J4" s="324"/>
      <c r="K4" s="324">
        <v>230000</v>
      </c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172</v>
      </c>
      <c r="D5" s="326">
        <v>1</v>
      </c>
      <c r="E5" s="321">
        <v>8560</v>
      </c>
      <c r="F5" s="322">
        <v>8560</v>
      </c>
      <c r="G5" s="323">
        <v>8560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172</v>
      </c>
      <c r="D7" s="326">
        <v>1</v>
      </c>
      <c r="E7" s="321">
        <v>30000</v>
      </c>
      <c r="F7" s="322">
        <v>30000</v>
      </c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172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172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216</v>
      </c>
      <c r="C11" s="131"/>
      <c r="D11" s="326"/>
      <c r="E11" s="321"/>
      <c r="F11" s="322">
        <v>268560</v>
      </c>
      <c r="G11" s="323">
        <v>8560</v>
      </c>
      <c r="H11" s="324"/>
      <c r="I11" s="324"/>
      <c r="J11" s="324"/>
      <c r="K11" s="324">
        <v>230000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避難の丘（震災遺構荒浜小学校前）津波浸水対策工事</v>
      </c>
      <c r="G1" s="306"/>
      <c r="H1" s="190" t="s">
        <v>131</v>
      </c>
      <c r="I1" s="333">
        <v>34800000</v>
      </c>
      <c r="J1" s="339">
        <f>I4/I$1</f>
        <v>0.77586206896551724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188</v>
      </c>
      <c r="E4" s="342"/>
      <c r="F4" s="345" t="s">
        <v>172</v>
      </c>
      <c r="G4" s="308">
        <v>1</v>
      </c>
      <c r="H4" s="309">
        <v>27000000</v>
      </c>
      <c r="I4" s="309">
        <v>27000000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284</v>
      </c>
      <c r="E5" s="342"/>
      <c r="F5" s="345" t="s">
        <v>172</v>
      </c>
      <c r="G5" s="308">
        <v>1</v>
      </c>
      <c r="H5" s="309">
        <v>268560</v>
      </c>
      <c r="I5" s="309">
        <v>268560</v>
      </c>
      <c r="J5" s="211"/>
      <c r="K5" s="212" t="str">
        <f>IF(OR(J5="",G5=J5),"","*")</f>
        <v/>
      </c>
      <c r="L5" s="338">
        <f>IF($A5&lt;=L$1,I5/I$4,"")</f>
        <v>9.9466666666666662E-3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285</v>
      </c>
      <c r="E6" s="342"/>
      <c r="F6" s="345" t="s">
        <v>172</v>
      </c>
      <c r="G6" s="308">
        <v>1</v>
      </c>
      <c r="H6" s="309">
        <v>230000</v>
      </c>
      <c r="I6" s="309">
        <v>230000</v>
      </c>
      <c r="J6" s="211">
        <v>1</v>
      </c>
      <c r="K6" s="212" t="str">
        <f>IF(OR(J6="",G6=J6),"","*")</f>
        <v/>
      </c>
      <c r="L6" s="338">
        <f>IF($A6&lt;=L$1,I6/I$4,"")</f>
        <v>8.518518518518519E-3</v>
      </c>
      <c r="M6" s="343"/>
      <c r="N6" s="344" t="s">
        <v>286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287</v>
      </c>
      <c r="E7" s="342"/>
      <c r="F7" s="345" t="s">
        <v>288</v>
      </c>
      <c r="G7" s="308">
        <v>4</v>
      </c>
      <c r="H7" s="309">
        <v>20000</v>
      </c>
      <c r="I7" s="309">
        <v>80000</v>
      </c>
      <c r="J7" s="211"/>
      <c r="K7" s="212" t="str">
        <f>IF(OR(J7="",G7=J7),"","*")</f>
        <v/>
      </c>
      <c r="L7" s="338">
        <f>IF($A7&lt;=L$1,I7/I$4,"")</f>
        <v>2.9629629629629628E-3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3</v>
      </c>
      <c r="B8" s="342"/>
      <c r="C8" s="342" t="s">
        <v>184</v>
      </c>
      <c r="D8" s="340" t="s">
        <v>289</v>
      </c>
      <c r="E8" s="342"/>
      <c r="F8" s="345" t="s">
        <v>288</v>
      </c>
      <c r="G8" s="308">
        <v>6</v>
      </c>
      <c r="H8" s="309">
        <v>25000</v>
      </c>
      <c r="I8" s="309">
        <v>150000</v>
      </c>
      <c r="J8" s="211"/>
      <c r="K8" s="212" t="str">
        <f>IF(OR(J8="",G8=J8),"","*")</f>
        <v/>
      </c>
      <c r="L8" s="338">
        <f>IF($A8&lt;=L$1,I8/I$4,"")</f>
        <v>5.5555555555555558E-3</v>
      </c>
      <c r="M8" s="343"/>
      <c r="N8" s="344"/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221</v>
      </c>
      <c r="D9" s="340" t="s">
        <v>290</v>
      </c>
      <c r="E9" s="342" t="s">
        <v>173</v>
      </c>
      <c r="F9" s="345" t="s">
        <v>172</v>
      </c>
      <c r="G9" s="308">
        <v>1</v>
      </c>
      <c r="H9" s="309">
        <v>8560</v>
      </c>
      <c r="I9" s="309">
        <v>8560</v>
      </c>
      <c r="J9" s="211">
        <v>1</v>
      </c>
      <c r="K9" s="212" t="str">
        <f>IF(OR(J9="",G9=J9),"","*")</f>
        <v/>
      </c>
      <c r="L9" s="338">
        <f>IF($A9&lt;=L$1,I9/I$4,"")</f>
        <v>3.1703703703703706E-4</v>
      </c>
      <c r="M9" s="343"/>
      <c r="N9" s="344" t="s">
        <v>291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3</v>
      </c>
      <c r="B10" s="342"/>
      <c r="C10" s="342" t="s">
        <v>180</v>
      </c>
      <c r="D10" s="340" t="s">
        <v>292</v>
      </c>
      <c r="E10" s="342"/>
      <c r="F10" s="345" t="s">
        <v>172</v>
      </c>
      <c r="G10" s="308">
        <v>1</v>
      </c>
      <c r="H10" s="309">
        <v>8560</v>
      </c>
      <c r="I10" s="309">
        <v>8560</v>
      </c>
      <c r="J10" s="211"/>
      <c r="K10" s="212" t="str">
        <f>IF(OR(J10="",G10=J10),"","*")</f>
        <v/>
      </c>
      <c r="L10" s="338">
        <f>IF($A10&lt;=L$1,I10/I$4,"")</f>
        <v>3.1703703703703706E-4</v>
      </c>
      <c r="M10" s="343"/>
      <c r="N10" s="344"/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221</v>
      </c>
      <c r="D11" s="340" t="s">
        <v>293</v>
      </c>
      <c r="E11" s="342" t="s">
        <v>174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294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2</v>
      </c>
      <c r="B12" s="342"/>
      <c r="C12" s="342" t="s">
        <v>221</v>
      </c>
      <c r="D12" s="340" t="s">
        <v>295</v>
      </c>
      <c r="E12" s="342" t="s">
        <v>175</v>
      </c>
      <c r="F12" s="345" t="s">
        <v>172</v>
      </c>
      <c r="G12" s="308">
        <v>1</v>
      </c>
      <c r="H12" s="309">
        <v>30000</v>
      </c>
      <c r="I12" s="309">
        <v>30000</v>
      </c>
      <c r="J12" s="211">
        <v>1</v>
      </c>
      <c r="K12" s="212" t="str">
        <f>IF(OR(J12="",G12=J12),"","*")</f>
        <v/>
      </c>
      <c r="L12" s="338">
        <f>IF($A12&lt;=L$1,I12/I$4,"")</f>
        <v>1.1111111111111111E-3</v>
      </c>
      <c r="M12" s="343"/>
      <c r="N12" s="344" t="s">
        <v>296</v>
      </c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3</v>
      </c>
      <c r="B13" s="342"/>
      <c r="C13" s="342"/>
      <c r="D13" s="340" t="s">
        <v>297</v>
      </c>
      <c r="E13" s="342"/>
      <c r="F13" s="345" t="s">
        <v>233</v>
      </c>
      <c r="G13" s="308">
        <v>2</v>
      </c>
      <c r="H13" s="309">
        <v>15000</v>
      </c>
      <c r="I13" s="309">
        <v>30000</v>
      </c>
      <c r="J13" s="211"/>
      <c r="K13" s="212" t="str">
        <f>IF(OR(J13="",G13=J13),"","*")</f>
        <v/>
      </c>
      <c r="L13" s="338">
        <f>IF($A13&lt;=L$1,I13/I$4,"")</f>
        <v>1.1111111111111111E-3</v>
      </c>
      <c r="M13" s="343"/>
      <c r="N13" s="344"/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2</v>
      </c>
      <c r="B14" s="342"/>
      <c r="C14" s="342" t="s">
        <v>221</v>
      </c>
      <c r="D14" s="340" t="s">
        <v>298</v>
      </c>
      <c r="E14" s="342" t="s">
        <v>176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299</v>
      </c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307">
        <v>2</v>
      </c>
      <c r="B15" s="342"/>
      <c r="C15" s="342" t="s">
        <v>221</v>
      </c>
      <c r="D15" s="340" t="s">
        <v>300</v>
      </c>
      <c r="E15" s="342" t="s">
        <v>177</v>
      </c>
      <c r="F15" s="345" t="s">
        <v>172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301</v>
      </c>
      <c r="O15" s="346">
        <v>0</v>
      </c>
      <c r="P15" s="347">
        <v>0</v>
      </c>
      <c r="Q15" s="347">
        <v>0</v>
      </c>
      <c r="R15" s="348">
        <v>0</v>
      </c>
      <c r="S15" s="349" t="s">
        <v>117</v>
      </c>
      <c r="T15" s="343" t="e">
        <v>#DIV/0!</v>
      </c>
      <c r="U15" s="343" t="s">
        <v>117</v>
      </c>
      <c r="V15" s="344" t="s">
        <v>117</v>
      </c>
      <c r="W15" s="346">
        <v>0</v>
      </c>
      <c r="X15" s="347">
        <v>0</v>
      </c>
      <c r="Y15" s="347">
        <v>0</v>
      </c>
      <c r="Z15" s="348">
        <v>0</v>
      </c>
      <c r="AA15" s="349" t="s">
        <v>117</v>
      </c>
      <c r="AB15" s="343" t="e">
        <v>#DIV/0!</v>
      </c>
      <c r="AC15" s="343" t="s">
        <v>117</v>
      </c>
      <c r="AD15" s="344" t="s">
        <v>117</v>
      </c>
      <c r="AE15" s="342"/>
      <c r="AF15" s="341" t="s">
        <v>117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5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172</v>
      </c>
      <c r="E3" s="565">
        <v>1</v>
      </c>
      <c r="F3" s="521">
        <v>3090000</v>
      </c>
      <c r="G3" s="557">
        <v>3090000</v>
      </c>
      <c r="H3" s="138" t="s">
        <v>302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168</v>
      </c>
      <c r="C5" s="561" t="s">
        <v>178</v>
      </c>
      <c r="D5" s="563" t="s">
        <v>172</v>
      </c>
      <c r="E5" s="565">
        <v>1</v>
      </c>
      <c r="F5" s="521"/>
      <c r="G5" s="557"/>
      <c r="H5" s="138" t="s">
        <v>303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169</v>
      </c>
      <c r="C7" s="561"/>
      <c r="D7" s="563" t="s">
        <v>172</v>
      </c>
      <c r="E7" s="565">
        <v>1</v>
      </c>
      <c r="F7" s="521"/>
      <c r="G7" s="557"/>
      <c r="H7" s="138" t="s">
        <v>304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170</v>
      </c>
      <c r="C9" s="561" t="s">
        <v>179</v>
      </c>
      <c r="D9" s="563" t="s">
        <v>172</v>
      </c>
      <c r="E9" s="565">
        <v>1</v>
      </c>
      <c r="F9" s="521"/>
      <c r="G9" s="557"/>
      <c r="H9" s="138" t="s">
        <v>305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280</v>
      </c>
      <c r="C11" s="561" t="s">
        <v>306</v>
      </c>
      <c r="D11" s="563" t="s">
        <v>172</v>
      </c>
      <c r="E11" s="565">
        <v>1</v>
      </c>
      <c r="F11" s="521"/>
      <c r="G11" s="557"/>
      <c r="H11" s="138" t="s">
        <v>307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281</v>
      </c>
      <c r="C13" s="561" t="s">
        <v>308</v>
      </c>
      <c r="D13" s="563" t="s">
        <v>172</v>
      </c>
      <c r="E13" s="565">
        <v>1</v>
      </c>
      <c r="F13" s="521"/>
      <c r="G13" s="557"/>
      <c r="H13" s="138" t="s">
        <v>309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282</v>
      </c>
      <c r="C15" s="561" t="s">
        <v>310</v>
      </c>
      <c r="D15" s="563" t="s">
        <v>172</v>
      </c>
      <c r="E15" s="565">
        <v>1</v>
      </c>
      <c r="F15" s="521"/>
      <c r="G15" s="557"/>
      <c r="H15" s="138" t="s">
        <v>311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283</v>
      </c>
      <c r="C17" s="561" t="s">
        <v>312</v>
      </c>
      <c r="D17" s="563" t="s">
        <v>172</v>
      </c>
      <c r="E17" s="565">
        <v>1</v>
      </c>
      <c r="F17" s="521"/>
      <c r="G17" s="557"/>
      <c r="H17" s="138" t="s">
        <v>313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216</v>
      </c>
      <c r="C21" s="561"/>
      <c r="D21" s="563"/>
      <c r="E21" s="565"/>
      <c r="F21" s="521"/>
      <c r="G21" s="557">
        <v>3090000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避難の丘（震災遺構荒浜小学校前）津波浸水対策工事</v>
      </c>
      <c r="G1" s="306"/>
      <c r="H1" s="190" t="s">
        <v>131</v>
      </c>
      <c r="I1" s="333">
        <v>34800000</v>
      </c>
      <c r="J1" s="339">
        <f>I4/I$1</f>
        <v>0.77586206896551724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188</v>
      </c>
      <c r="E4" s="342"/>
      <c r="F4" s="345" t="s">
        <v>172</v>
      </c>
      <c r="G4" s="308">
        <v>1</v>
      </c>
      <c r="H4" s="309">
        <v>27000000</v>
      </c>
      <c r="I4" s="309">
        <v>27000000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314</v>
      </c>
      <c r="E5" s="342"/>
      <c r="F5" s="345" t="s">
        <v>172</v>
      </c>
      <c r="G5" s="308">
        <v>1</v>
      </c>
      <c r="H5" s="309">
        <v>3090000</v>
      </c>
      <c r="I5" s="309">
        <v>3090000</v>
      </c>
      <c r="J5" s="211"/>
      <c r="K5" s="212" t="str">
        <f>IF(OR(J5="",G5=J5),"","*")</f>
        <v/>
      </c>
      <c r="L5" s="338">
        <f>IF($A5&lt;=L$1,I5/I$4,"")</f>
        <v>0.11444444444444445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315</v>
      </c>
      <c r="E6" s="342"/>
      <c r="F6" s="345" t="s">
        <v>172</v>
      </c>
      <c r="G6" s="308">
        <v>1</v>
      </c>
      <c r="H6" s="309">
        <v>3090000</v>
      </c>
      <c r="I6" s="309">
        <v>3090000</v>
      </c>
      <c r="J6" s="211">
        <v>1</v>
      </c>
      <c r="K6" s="212" t="str">
        <f>IF(OR(J6="",G6=J6),"","*")</f>
        <v/>
      </c>
      <c r="L6" s="338">
        <f>IF($A6&lt;=L$1,I6/I$4,"")</f>
        <v>0.11444444444444445</v>
      </c>
      <c r="M6" s="343"/>
      <c r="N6" s="344" t="s">
        <v>316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/>
      <c r="D7" s="340" t="s">
        <v>317</v>
      </c>
      <c r="E7" s="342"/>
      <c r="F7" s="345" t="s">
        <v>268</v>
      </c>
      <c r="G7" s="308">
        <v>60</v>
      </c>
      <c r="H7" s="309">
        <v>51500</v>
      </c>
      <c r="I7" s="309">
        <v>3090000</v>
      </c>
      <c r="J7" s="211"/>
      <c r="K7" s="212" t="str">
        <f>IF(OR(J7="",G7=J7),"","*")</f>
        <v/>
      </c>
      <c r="L7" s="338">
        <f>IF($A7&lt;=L$1,I7/I$4,"")</f>
        <v>0.11444444444444445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221</v>
      </c>
      <c r="D8" s="340" t="s">
        <v>318</v>
      </c>
      <c r="E8" s="342" t="s">
        <v>178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319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221</v>
      </c>
      <c r="D9" s="340" t="s">
        <v>320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321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221</v>
      </c>
      <c r="D10" s="340" t="s">
        <v>322</v>
      </c>
      <c r="E10" s="342" t="s">
        <v>179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323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221</v>
      </c>
      <c r="D11" s="340" t="s">
        <v>324</v>
      </c>
      <c r="E11" s="342" t="s">
        <v>306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325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2</v>
      </c>
      <c r="B12" s="342"/>
      <c r="C12" s="342" t="s">
        <v>221</v>
      </c>
      <c r="D12" s="340" t="s">
        <v>326</v>
      </c>
      <c r="E12" s="342" t="s">
        <v>308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327</v>
      </c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2</v>
      </c>
      <c r="B13" s="342"/>
      <c r="C13" s="342" t="s">
        <v>221</v>
      </c>
      <c r="D13" s="340" t="s">
        <v>328</v>
      </c>
      <c r="E13" s="342" t="s">
        <v>310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329</v>
      </c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2</v>
      </c>
      <c r="B14" s="342"/>
      <c r="C14" s="342" t="s">
        <v>221</v>
      </c>
      <c r="D14" s="340" t="s">
        <v>330</v>
      </c>
      <c r="E14" s="342" t="s">
        <v>312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331</v>
      </c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332</v>
      </c>
      <c r="C3" s="146" t="s">
        <v>333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334</v>
      </c>
      <c r="K4" s="69"/>
    </row>
    <row r="5" spans="1:11" ht="18" customHeight="1">
      <c r="A5" s="69"/>
      <c r="B5" s="574" t="s">
        <v>335</v>
      </c>
      <c r="C5" s="575"/>
      <c r="D5" s="153" t="s">
        <v>85</v>
      </c>
      <c r="E5" s="153" t="s">
        <v>336</v>
      </c>
      <c r="F5" s="153" t="s">
        <v>337</v>
      </c>
      <c r="G5" s="153" t="s">
        <v>338</v>
      </c>
      <c r="H5" s="154" t="s">
        <v>339</v>
      </c>
      <c r="I5" s="153" t="s">
        <v>340</v>
      </c>
      <c r="J5" s="155" t="s">
        <v>341</v>
      </c>
      <c r="K5" s="69"/>
    </row>
    <row r="6" spans="1:11" ht="10.5" customHeight="1">
      <c r="A6" s="69"/>
      <c r="B6" s="156" t="s">
        <v>342</v>
      </c>
      <c r="C6" s="157"/>
      <c r="D6" s="576" t="s">
        <v>343</v>
      </c>
      <c r="E6" s="578">
        <v>254.822</v>
      </c>
      <c r="F6" s="580"/>
      <c r="G6" s="582"/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344</v>
      </c>
      <c r="J7" s="161"/>
      <c r="K7" s="69" t="s">
        <v>96</v>
      </c>
    </row>
    <row r="8" spans="1:11" ht="10.5" customHeight="1">
      <c r="A8" s="69"/>
      <c r="B8" s="156" t="s">
        <v>345</v>
      </c>
      <c r="C8" s="157"/>
      <c r="D8" s="576" t="s">
        <v>346</v>
      </c>
      <c r="E8" s="578">
        <v>560</v>
      </c>
      <c r="F8" s="580">
        <v>9960</v>
      </c>
      <c r="G8" s="582">
        <v>5577600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344</v>
      </c>
      <c r="J9" s="162"/>
      <c r="K9" s="69" t="s">
        <v>96</v>
      </c>
    </row>
    <row r="10" spans="1:11" ht="10.5" customHeight="1">
      <c r="A10" s="69"/>
      <c r="B10" s="156" t="s">
        <v>347</v>
      </c>
      <c r="C10" s="157"/>
      <c r="D10" s="576" t="s">
        <v>346</v>
      </c>
      <c r="E10" s="578">
        <v>560</v>
      </c>
      <c r="F10" s="580">
        <v>1040</v>
      </c>
      <c r="G10" s="582">
        <v>582400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344</v>
      </c>
      <c r="J11" s="161"/>
      <c r="K11" s="69" t="s">
        <v>96</v>
      </c>
    </row>
    <row r="12" spans="1:11" ht="10.5" customHeight="1">
      <c r="A12" s="69"/>
      <c r="B12" s="156" t="s">
        <v>348</v>
      </c>
      <c r="C12" s="157"/>
      <c r="D12" s="576" t="s">
        <v>346</v>
      </c>
      <c r="E12" s="584">
        <v>560</v>
      </c>
      <c r="F12" s="580">
        <v>1500</v>
      </c>
      <c r="G12" s="582">
        <v>840000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344</v>
      </c>
      <c r="J13" s="161"/>
      <c r="K13" s="69" t="s">
        <v>96</v>
      </c>
    </row>
    <row r="14" spans="1:11" ht="10.5" customHeight="1">
      <c r="A14" s="69"/>
      <c r="B14" s="156" t="s">
        <v>349</v>
      </c>
      <c r="C14" s="157"/>
      <c r="D14" s="576" t="s">
        <v>350</v>
      </c>
      <c r="E14" s="584">
        <v>590</v>
      </c>
      <c r="F14" s="580">
        <v>12000</v>
      </c>
      <c r="G14" s="582">
        <v>7080000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344</v>
      </c>
      <c r="J15" s="161"/>
      <c r="K15" s="69" t="s">
        <v>96</v>
      </c>
    </row>
    <row r="16" spans="1:11" ht="10.5" customHeight="1">
      <c r="A16" s="69"/>
      <c r="B16" s="156" t="s">
        <v>351</v>
      </c>
      <c r="C16" s="157"/>
      <c r="D16" s="576" t="s">
        <v>352</v>
      </c>
      <c r="E16" s="584">
        <v>700</v>
      </c>
      <c r="F16" s="580">
        <v>145</v>
      </c>
      <c r="G16" s="582">
        <v>101500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344</v>
      </c>
      <c r="J17" s="161"/>
      <c r="K17" s="69" t="s">
        <v>96</v>
      </c>
    </row>
    <row r="18" spans="1:11" ht="10.5" customHeight="1">
      <c r="A18" s="69"/>
      <c r="B18" s="156" t="s">
        <v>351</v>
      </c>
      <c r="C18" s="157"/>
      <c r="D18" s="576" t="s">
        <v>352</v>
      </c>
      <c r="E18" s="584">
        <v>500</v>
      </c>
      <c r="F18" s="580">
        <v>145</v>
      </c>
      <c r="G18" s="582">
        <v>72500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344</v>
      </c>
      <c r="J19" s="161"/>
      <c r="K19" s="69" t="s">
        <v>96</v>
      </c>
    </row>
    <row r="20" spans="1:11" ht="10.5" customHeight="1">
      <c r="A20" s="69"/>
      <c r="B20" s="156" t="s">
        <v>353</v>
      </c>
      <c r="C20" s="157"/>
      <c r="D20" s="576" t="s">
        <v>354</v>
      </c>
      <c r="E20" s="584">
        <v>1</v>
      </c>
      <c r="F20" s="580">
        <v>31500</v>
      </c>
      <c r="G20" s="582">
        <v>31500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344</v>
      </c>
      <c r="J21" s="161"/>
      <c r="K21" s="69" t="s">
        <v>96</v>
      </c>
    </row>
    <row r="22" spans="1:11" ht="10.5" customHeight="1">
      <c r="A22" s="69"/>
      <c r="B22" s="156" t="s">
        <v>353</v>
      </c>
      <c r="C22" s="157"/>
      <c r="D22" s="576" t="s">
        <v>354</v>
      </c>
      <c r="E22" s="584">
        <v>1</v>
      </c>
      <c r="F22" s="580">
        <v>30600</v>
      </c>
      <c r="G22" s="582">
        <v>30600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344</v>
      </c>
      <c r="J23" s="161"/>
      <c r="K23" s="69" t="s">
        <v>96</v>
      </c>
    </row>
    <row r="24" spans="1:11" ht="10.5" customHeight="1">
      <c r="A24" s="69"/>
      <c r="B24" s="156" t="s">
        <v>355</v>
      </c>
      <c r="C24" s="157"/>
      <c r="D24" s="576" t="s">
        <v>354</v>
      </c>
      <c r="E24" s="578">
        <v>1</v>
      </c>
      <c r="F24" s="580">
        <v>8560</v>
      </c>
      <c r="G24" s="582">
        <v>8560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344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356</v>
      </c>
      <c r="C28" s="157"/>
      <c r="D28" s="576"/>
      <c r="E28" s="584"/>
      <c r="F28" s="580"/>
      <c r="G28" s="582">
        <v>14324660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332</v>
      </c>
      <c r="C3" s="146" t="s">
        <v>333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334</v>
      </c>
      <c r="K4" s="69"/>
    </row>
    <row r="5" spans="1:11" ht="18" customHeight="1">
      <c r="A5" s="69"/>
      <c r="B5" s="574" t="s">
        <v>335</v>
      </c>
      <c r="C5" s="575"/>
      <c r="D5" s="153" t="s">
        <v>85</v>
      </c>
      <c r="E5" s="153" t="s">
        <v>336</v>
      </c>
      <c r="F5" s="153" t="s">
        <v>337</v>
      </c>
      <c r="G5" s="153" t="s">
        <v>338</v>
      </c>
      <c r="H5" s="154" t="s">
        <v>339</v>
      </c>
      <c r="I5" s="153" t="s">
        <v>340</v>
      </c>
      <c r="J5" s="155" t="s">
        <v>341</v>
      </c>
      <c r="K5" s="69"/>
    </row>
    <row r="6" spans="1:11" ht="10.5" customHeight="1">
      <c r="A6" s="69"/>
      <c r="B6" s="156" t="s">
        <v>357</v>
      </c>
      <c r="C6" s="157"/>
      <c r="D6" s="576" t="s">
        <v>358</v>
      </c>
      <c r="E6" s="578">
        <v>60</v>
      </c>
      <c r="F6" s="580">
        <v>23000</v>
      </c>
      <c r="G6" s="582">
        <v>1380000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359</v>
      </c>
      <c r="J7" s="161"/>
      <c r="K7" s="69" t="s">
        <v>96</v>
      </c>
    </row>
    <row r="8" spans="1:11" ht="10.5" customHeight="1">
      <c r="A8" s="69"/>
      <c r="B8" s="156" t="s">
        <v>357</v>
      </c>
      <c r="C8" s="157"/>
      <c r="D8" s="576" t="s">
        <v>358</v>
      </c>
      <c r="E8" s="578">
        <v>42</v>
      </c>
      <c r="F8" s="580">
        <v>23000</v>
      </c>
      <c r="G8" s="582">
        <v>966000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359</v>
      </c>
      <c r="J9" s="162"/>
      <c r="K9" s="69" t="s">
        <v>96</v>
      </c>
    </row>
    <row r="10" spans="1:11" ht="10.5" customHeight="1">
      <c r="A10" s="69"/>
      <c r="B10" s="156" t="s">
        <v>357</v>
      </c>
      <c r="C10" s="157"/>
      <c r="D10" s="576" t="s">
        <v>358</v>
      </c>
      <c r="E10" s="578">
        <v>2</v>
      </c>
      <c r="F10" s="580">
        <v>23000</v>
      </c>
      <c r="G10" s="582">
        <v>46000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359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356</v>
      </c>
      <c r="C14" s="157"/>
      <c r="D14" s="576"/>
      <c r="E14" s="584"/>
      <c r="F14" s="580"/>
      <c r="G14" s="582">
        <v>2392000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332</v>
      </c>
      <c r="C3" s="146" t="s">
        <v>333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334</v>
      </c>
      <c r="K4" s="69"/>
    </row>
    <row r="5" spans="1:11" ht="18" customHeight="1">
      <c r="A5" s="69"/>
      <c r="B5" s="574" t="s">
        <v>335</v>
      </c>
      <c r="C5" s="575"/>
      <c r="D5" s="153" t="s">
        <v>85</v>
      </c>
      <c r="E5" s="153" t="s">
        <v>336</v>
      </c>
      <c r="F5" s="153" t="s">
        <v>337</v>
      </c>
      <c r="G5" s="153" t="s">
        <v>338</v>
      </c>
      <c r="H5" s="154" t="s">
        <v>339</v>
      </c>
      <c r="I5" s="153" t="s">
        <v>340</v>
      </c>
      <c r="J5" s="155" t="s">
        <v>341</v>
      </c>
      <c r="K5" s="69"/>
    </row>
    <row r="6" spans="1:11" ht="10.5" customHeight="1">
      <c r="A6" s="69"/>
      <c r="B6" s="156" t="s">
        <v>360</v>
      </c>
      <c r="C6" s="157"/>
      <c r="D6" s="576" t="s">
        <v>361</v>
      </c>
      <c r="E6" s="578">
        <v>6320</v>
      </c>
      <c r="F6" s="580">
        <v>400</v>
      </c>
      <c r="G6" s="582">
        <v>2528000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362</v>
      </c>
      <c r="J7" s="161"/>
      <c r="K7" s="69" t="s">
        <v>96</v>
      </c>
    </row>
    <row r="8" spans="1:11" ht="10.5" customHeight="1">
      <c r="A8" s="69"/>
      <c r="B8" s="156" t="s">
        <v>363</v>
      </c>
      <c r="C8" s="157"/>
      <c r="D8" s="576" t="s">
        <v>364</v>
      </c>
      <c r="E8" s="578">
        <v>15</v>
      </c>
      <c r="F8" s="580">
        <v>66000</v>
      </c>
      <c r="G8" s="582">
        <v>990000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362</v>
      </c>
      <c r="J9" s="162"/>
      <c r="K9" s="69" t="s">
        <v>96</v>
      </c>
    </row>
    <row r="10" spans="1:11" ht="10.5" customHeight="1">
      <c r="A10" s="69"/>
      <c r="B10" s="156" t="s">
        <v>365</v>
      </c>
      <c r="C10" s="157"/>
      <c r="D10" s="576" t="s">
        <v>354</v>
      </c>
      <c r="E10" s="578">
        <v>1</v>
      </c>
      <c r="F10" s="580">
        <v>199634</v>
      </c>
      <c r="G10" s="582">
        <v>199634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362</v>
      </c>
      <c r="J11" s="161"/>
      <c r="K11" s="69" t="s">
        <v>96</v>
      </c>
    </row>
    <row r="12" spans="1:11" ht="10.5" customHeight="1">
      <c r="A12" s="69"/>
      <c r="B12" s="156" t="s">
        <v>366</v>
      </c>
      <c r="C12" s="157"/>
      <c r="D12" s="576" t="s">
        <v>354</v>
      </c>
      <c r="E12" s="584">
        <v>1</v>
      </c>
      <c r="F12" s="580">
        <v>302400</v>
      </c>
      <c r="G12" s="582">
        <v>302400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367</v>
      </c>
      <c r="C13" s="160"/>
      <c r="D13" s="577"/>
      <c r="E13" s="585"/>
      <c r="F13" s="581"/>
      <c r="G13" s="583"/>
      <c r="H13" s="356"/>
      <c r="I13" s="356" t="s">
        <v>362</v>
      </c>
      <c r="J13" s="161"/>
      <c r="K13" s="69" t="s">
        <v>96</v>
      </c>
    </row>
    <row r="14" spans="1:11" ht="10.5" customHeight="1">
      <c r="A14" s="69"/>
      <c r="B14" s="156" t="s">
        <v>368</v>
      </c>
      <c r="C14" s="157"/>
      <c r="D14" s="576" t="s">
        <v>354</v>
      </c>
      <c r="E14" s="584">
        <v>1</v>
      </c>
      <c r="F14" s="580">
        <v>979966</v>
      </c>
      <c r="G14" s="582">
        <v>979966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362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356</v>
      </c>
      <c r="C18" s="157"/>
      <c r="D18" s="576"/>
      <c r="E18" s="584"/>
      <c r="F18" s="580"/>
      <c r="G18" s="582">
        <v>5000000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332</v>
      </c>
      <c r="C3" s="146" t="s">
        <v>333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334</v>
      </c>
      <c r="K4" s="69"/>
    </row>
    <row r="5" spans="1:11" ht="18" customHeight="1">
      <c r="A5" s="69"/>
      <c r="B5" s="574" t="s">
        <v>335</v>
      </c>
      <c r="C5" s="575"/>
      <c r="D5" s="153" t="s">
        <v>85</v>
      </c>
      <c r="E5" s="153" t="s">
        <v>336</v>
      </c>
      <c r="F5" s="153" t="s">
        <v>337</v>
      </c>
      <c r="G5" s="153" t="s">
        <v>338</v>
      </c>
      <c r="H5" s="154" t="s">
        <v>339</v>
      </c>
      <c r="I5" s="153" t="s">
        <v>340</v>
      </c>
      <c r="J5" s="155" t="s">
        <v>341</v>
      </c>
      <c r="K5" s="69"/>
    </row>
    <row r="6" spans="1:11" ht="10.5" customHeight="1">
      <c r="A6" s="69"/>
      <c r="B6" s="156" t="s">
        <v>369</v>
      </c>
      <c r="C6" s="157"/>
      <c r="D6" s="576" t="s">
        <v>370</v>
      </c>
      <c r="E6" s="578">
        <v>5</v>
      </c>
      <c r="F6" s="580">
        <v>45000</v>
      </c>
      <c r="G6" s="582">
        <v>225000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363</v>
      </c>
      <c r="J7" s="161"/>
      <c r="K7" s="69" t="s">
        <v>96</v>
      </c>
    </row>
    <row r="8" spans="1:11" ht="10.5" customHeight="1">
      <c r="A8" s="69"/>
      <c r="B8" s="156" t="s">
        <v>371</v>
      </c>
      <c r="C8" s="157"/>
      <c r="D8" s="576" t="s">
        <v>370</v>
      </c>
      <c r="E8" s="578">
        <v>1</v>
      </c>
      <c r="F8" s="580">
        <v>5000</v>
      </c>
      <c r="G8" s="582">
        <v>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363</v>
      </c>
      <c r="J9" s="162"/>
      <c r="K9" s="69" t="s">
        <v>96</v>
      </c>
    </row>
    <row r="10" spans="1:11" ht="10.5" customHeight="1">
      <c r="A10" s="69"/>
      <c r="B10" s="156" t="s">
        <v>372</v>
      </c>
      <c r="C10" s="157"/>
      <c r="D10" s="576" t="s">
        <v>370</v>
      </c>
      <c r="E10" s="578">
        <v>7</v>
      </c>
      <c r="F10" s="580">
        <v>5000</v>
      </c>
      <c r="G10" s="582">
        <v>35000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363</v>
      </c>
      <c r="J11" s="161"/>
      <c r="K11" s="69" t="s">
        <v>96</v>
      </c>
    </row>
    <row r="12" spans="1:11" ht="10.5" customHeight="1">
      <c r="A12" s="69"/>
      <c r="B12" s="156" t="s">
        <v>372</v>
      </c>
      <c r="C12" s="157"/>
      <c r="D12" s="576" t="s">
        <v>370</v>
      </c>
      <c r="E12" s="584">
        <v>5</v>
      </c>
      <c r="F12" s="580">
        <v>5000</v>
      </c>
      <c r="G12" s="582">
        <v>25000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363</v>
      </c>
      <c r="J13" s="161"/>
      <c r="K13" s="69" t="s">
        <v>96</v>
      </c>
    </row>
    <row r="14" spans="1:11" ht="10.5" customHeight="1">
      <c r="A14" s="69"/>
      <c r="B14" s="156" t="s">
        <v>373</v>
      </c>
      <c r="C14" s="157"/>
      <c r="D14" s="576" t="s">
        <v>354</v>
      </c>
      <c r="E14" s="584">
        <v>1</v>
      </c>
      <c r="F14" s="580">
        <v>25000</v>
      </c>
      <c r="G14" s="582">
        <v>25000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363</v>
      </c>
      <c r="J15" s="161"/>
      <c r="K15" s="69" t="s">
        <v>96</v>
      </c>
    </row>
    <row r="16" spans="1:11" ht="10.5" customHeight="1">
      <c r="A16" s="69"/>
      <c r="B16" s="156" t="s">
        <v>374</v>
      </c>
      <c r="C16" s="157"/>
      <c r="D16" s="576" t="s">
        <v>370</v>
      </c>
      <c r="E16" s="584">
        <v>7</v>
      </c>
      <c r="F16" s="580">
        <v>6000</v>
      </c>
      <c r="G16" s="582">
        <v>42000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363</v>
      </c>
      <c r="J17" s="161"/>
      <c r="K17" s="69" t="s">
        <v>96</v>
      </c>
    </row>
    <row r="18" spans="1:11" ht="10.5" customHeight="1">
      <c r="A18" s="69"/>
      <c r="B18" s="156" t="s">
        <v>374</v>
      </c>
      <c r="C18" s="157"/>
      <c r="D18" s="576" t="s">
        <v>370</v>
      </c>
      <c r="E18" s="584">
        <v>5</v>
      </c>
      <c r="F18" s="580">
        <v>6000</v>
      </c>
      <c r="G18" s="582">
        <v>30000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363</v>
      </c>
      <c r="J19" s="161"/>
      <c r="K19" s="69" t="s">
        <v>96</v>
      </c>
    </row>
    <row r="20" spans="1:11" ht="10.5" customHeight="1">
      <c r="A20" s="69"/>
      <c r="B20" s="156" t="s">
        <v>375</v>
      </c>
      <c r="C20" s="157"/>
      <c r="D20" s="576" t="s">
        <v>370</v>
      </c>
      <c r="E20" s="584">
        <v>7</v>
      </c>
      <c r="F20" s="580">
        <v>6000</v>
      </c>
      <c r="G20" s="582">
        <v>42000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363</v>
      </c>
      <c r="J21" s="161"/>
      <c r="K21" s="69" t="s">
        <v>96</v>
      </c>
    </row>
    <row r="22" spans="1:11" ht="10.5" customHeight="1">
      <c r="A22" s="69"/>
      <c r="B22" s="156" t="s">
        <v>375</v>
      </c>
      <c r="C22" s="157"/>
      <c r="D22" s="576" t="s">
        <v>370</v>
      </c>
      <c r="E22" s="584">
        <v>5</v>
      </c>
      <c r="F22" s="580">
        <v>6000</v>
      </c>
      <c r="G22" s="582">
        <v>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363</v>
      </c>
      <c r="J23" s="161"/>
      <c r="K23" s="69" t="s">
        <v>96</v>
      </c>
    </row>
    <row r="24" spans="1:11" ht="10.5" customHeight="1">
      <c r="A24" s="69"/>
      <c r="B24" s="156" t="s">
        <v>376</v>
      </c>
      <c r="C24" s="157"/>
      <c r="D24" s="576" t="s">
        <v>370</v>
      </c>
      <c r="E24" s="578">
        <v>7</v>
      </c>
      <c r="F24" s="580">
        <v>1500</v>
      </c>
      <c r="G24" s="582">
        <v>10500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363</v>
      </c>
      <c r="J25" s="161"/>
      <c r="K25" s="69" t="s">
        <v>96</v>
      </c>
    </row>
    <row r="26" spans="1:11" ht="10.5" customHeight="1">
      <c r="A26" s="69"/>
      <c r="B26" s="156" t="s">
        <v>377</v>
      </c>
      <c r="C26" s="157"/>
      <c r="D26" s="576" t="s">
        <v>370</v>
      </c>
      <c r="E26" s="584">
        <v>7</v>
      </c>
      <c r="F26" s="580">
        <v>15000</v>
      </c>
      <c r="G26" s="582">
        <v>105000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363</v>
      </c>
      <c r="J27" s="161"/>
      <c r="K27" s="69" t="s">
        <v>96</v>
      </c>
    </row>
    <row r="28" spans="1:11" ht="10.5" customHeight="1">
      <c r="A28" s="69"/>
      <c r="B28" s="156" t="s">
        <v>378</v>
      </c>
      <c r="C28" s="157"/>
      <c r="D28" s="576" t="s">
        <v>370</v>
      </c>
      <c r="E28" s="584">
        <v>7</v>
      </c>
      <c r="F28" s="580">
        <v>1200</v>
      </c>
      <c r="G28" s="582">
        <v>8400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363</v>
      </c>
      <c r="J29" s="161"/>
      <c r="K29" s="69" t="s">
        <v>96</v>
      </c>
    </row>
    <row r="30" spans="1:11" ht="10.5" customHeight="1">
      <c r="A30" s="69"/>
      <c r="B30" s="156" t="s">
        <v>378</v>
      </c>
      <c r="C30" s="157"/>
      <c r="D30" s="576" t="s">
        <v>370</v>
      </c>
      <c r="E30" s="584">
        <v>5</v>
      </c>
      <c r="F30" s="580">
        <v>1200</v>
      </c>
      <c r="G30" s="582">
        <v>6000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363</v>
      </c>
      <c r="J31" s="161"/>
      <c r="K31" s="69" t="s">
        <v>96</v>
      </c>
    </row>
    <row r="32" spans="1:11" ht="10.5" customHeight="1">
      <c r="A32" s="69"/>
      <c r="B32" s="156" t="s">
        <v>379</v>
      </c>
      <c r="C32" s="157"/>
      <c r="D32" s="576" t="s">
        <v>354</v>
      </c>
      <c r="E32" s="584">
        <v>1</v>
      </c>
      <c r="F32" s="580">
        <v>25000</v>
      </c>
      <c r="G32" s="582">
        <v>25000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363</v>
      </c>
      <c r="J33" s="161"/>
      <c r="K33" s="69" t="s">
        <v>96</v>
      </c>
    </row>
    <row r="34" spans="1:11" ht="10.5" customHeight="1">
      <c r="A34" s="69"/>
      <c r="B34" s="156" t="s">
        <v>380</v>
      </c>
      <c r="C34" s="157"/>
      <c r="D34" s="576" t="s">
        <v>370</v>
      </c>
      <c r="E34" s="584">
        <v>7</v>
      </c>
      <c r="F34" s="580">
        <v>12000</v>
      </c>
      <c r="G34" s="582">
        <v>84000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363</v>
      </c>
      <c r="J35" s="161"/>
      <c r="K35" s="69" t="s">
        <v>96</v>
      </c>
    </row>
    <row r="36" spans="1:11" ht="10.5" customHeight="1">
      <c r="A36" s="69"/>
      <c r="B36" s="156" t="s">
        <v>381</v>
      </c>
      <c r="C36" s="157"/>
      <c r="D36" s="576" t="s">
        <v>370</v>
      </c>
      <c r="E36" s="584">
        <v>5</v>
      </c>
      <c r="F36" s="580">
        <v>12000</v>
      </c>
      <c r="G36" s="582">
        <v>60000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363</v>
      </c>
      <c r="J37" s="161"/>
      <c r="K37" s="69" t="s">
        <v>96</v>
      </c>
    </row>
    <row r="38" spans="1:11" ht="10.5" customHeight="1">
      <c r="A38" s="69"/>
      <c r="B38" s="156" t="s">
        <v>382</v>
      </c>
      <c r="C38" s="157"/>
      <c r="D38" s="576" t="s">
        <v>354</v>
      </c>
      <c r="E38" s="584">
        <v>1</v>
      </c>
      <c r="F38" s="580">
        <v>30000</v>
      </c>
      <c r="G38" s="582">
        <v>30000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363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356</v>
      </c>
      <c r="C42" s="157"/>
      <c r="D42" s="576"/>
      <c r="E42" s="584"/>
      <c r="F42" s="580"/>
      <c r="G42" s="582">
        <v>787900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332</v>
      </c>
      <c r="C3" s="146" t="s">
        <v>333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334</v>
      </c>
      <c r="K4" s="69"/>
    </row>
    <row r="5" spans="1:11" ht="18" customHeight="1">
      <c r="A5" s="69"/>
      <c r="B5" s="574" t="s">
        <v>335</v>
      </c>
      <c r="C5" s="575"/>
      <c r="D5" s="153" t="s">
        <v>85</v>
      </c>
      <c r="E5" s="153" t="s">
        <v>336</v>
      </c>
      <c r="F5" s="153" t="s">
        <v>337</v>
      </c>
      <c r="G5" s="153" t="s">
        <v>338</v>
      </c>
      <c r="H5" s="154" t="s">
        <v>339</v>
      </c>
      <c r="I5" s="153" t="s">
        <v>340</v>
      </c>
      <c r="J5" s="155" t="s">
        <v>341</v>
      </c>
      <c r="K5" s="69"/>
    </row>
    <row r="6" spans="1:11" ht="10.5" customHeight="1">
      <c r="A6" s="69"/>
      <c r="B6" s="156" t="s">
        <v>383</v>
      </c>
      <c r="C6" s="157"/>
      <c r="D6" s="576" t="s">
        <v>370</v>
      </c>
      <c r="E6" s="578">
        <v>15</v>
      </c>
      <c r="F6" s="580">
        <v>41000</v>
      </c>
      <c r="G6" s="582">
        <v>615000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384</v>
      </c>
      <c r="J7" s="161"/>
      <c r="K7" s="69" t="s">
        <v>96</v>
      </c>
    </row>
    <row r="8" spans="1:11" ht="10.5" customHeight="1">
      <c r="A8" s="69"/>
      <c r="B8" s="156" t="s">
        <v>385</v>
      </c>
      <c r="C8" s="157"/>
      <c r="D8" s="576" t="s">
        <v>386</v>
      </c>
      <c r="E8" s="578">
        <v>6</v>
      </c>
      <c r="F8" s="580">
        <v>25000</v>
      </c>
      <c r="G8" s="582">
        <v>150000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384</v>
      </c>
      <c r="J9" s="162"/>
      <c r="K9" s="69" t="s">
        <v>96</v>
      </c>
    </row>
    <row r="10" spans="1:11" ht="10.5" customHeight="1">
      <c r="A10" s="69"/>
      <c r="B10" s="156" t="s">
        <v>387</v>
      </c>
      <c r="C10" s="157"/>
      <c r="D10" s="576" t="s">
        <v>370</v>
      </c>
      <c r="E10" s="578">
        <v>7</v>
      </c>
      <c r="F10" s="580">
        <v>5000</v>
      </c>
      <c r="G10" s="582">
        <v>35000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384</v>
      </c>
      <c r="J11" s="161"/>
      <c r="K11" s="69" t="s">
        <v>96</v>
      </c>
    </row>
    <row r="12" spans="1:11" ht="10.5" customHeight="1">
      <c r="A12" s="69"/>
      <c r="B12" s="156" t="s">
        <v>387</v>
      </c>
      <c r="C12" s="157"/>
      <c r="D12" s="576" t="s">
        <v>370</v>
      </c>
      <c r="E12" s="584">
        <v>5</v>
      </c>
      <c r="F12" s="580">
        <v>5000</v>
      </c>
      <c r="G12" s="582">
        <v>25000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384</v>
      </c>
      <c r="J13" s="161"/>
      <c r="K13" s="69" t="s">
        <v>96</v>
      </c>
    </row>
    <row r="14" spans="1:11" ht="10.5" customHeight="1">
      <c r="A14" s="69"/>
      <c r="B14" s="156" t="s">
        <v>388</v>
      </c>
      <c r="C14" s="157"/>
      <c r="D14" s="576" t="s">
        <v>370</v>
      </c>
      <c r="E14" s="584">
        <v>20</v>
      </c>
      <c r="F14" s="580">
        <v>12000</v>
      </c>
      <c r="G14" s="582">
        <v>240000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384</v>
      </c>
      <c r="J15" s="161"/>
      <c r="K15" s="69" t="s">
        <v>96</v>
      </c>
    </row>
    <row r="16" spans="1:11" ht="10.5" customHeight="1">
      <c r="A16" s="69"/>
      <c r="B16" s="156" t="s">
        <v>389</v>
      </c>
      <c r="C16" s="157"/>
      <c r="D16" s="576" t="s">
        <v>370</v>
      </c>
      <c r="E16" s="584">
        <v>7</v>
      </c>
      <c r="F16" s="580">
        <v>10000</v>
      </c>
      <c r="G16" s="582">
        <v>70000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384</v>
      </c>
      <c r="J17" s="161"/>
      <c r="K17" s="69" t="s">
        <v>96</v>
      </c>
    </row>
    <row r="18" spans="1:11" ht="10.5" customHeight="1">
      <c r="A18" s="69"/>
      <c r="B18" s="156" t="s">
        <v>390</v>
      </c>
      <c r="C18" s="157"/>
      <c r="D18" s="576" t="s">
        <v>386</v>
      </c>
      <c r="E18" s="584">
        <v>4</v>
      </c>
      <c r="F18" s="580">
        <v>20000</v>
      </c>
      <c r="G18" s="582">
        <v>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384</v>
      </c>
      <c r="J19" s="161"/>
      <c r="K19" s="69" t="s">
        <v>96</v>
      </c>
    </row>
    <row r="20" spans="1:11" ht="10.5" customHeight="1">
      <c r="A20" s="69"/>
      <c r="B20" s="156" t="s">
        <v>391</v>
      </c>
      <c r="C20" s="157"/>
      <c r="D20" s="576" t="s">
        <v>370</v>
      </c>
      <c r="E20" s="584">
        <v>14</v>
      </c>
      <c r="F20" s="580">
        <v>5000</v>
      </c>
      <c r="G20" s="582">
        <v>70000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384</v>
      </c>
      <c r="J21" s="161"/>
      <c r="K21" s="69" t="s">
        <v>96</v>
      </c>
    </row>
    <row r="22" spans="1:11" ht="10.5" customHeight="1">
      <c r="A22" s="69"/>
      <c r="B22" s="156" t="s">
        <v>391</v>
      </c>
      <c r="C22" s="157"/>
      <c r="D22" s="576" t="s">
        <v>370</v>
      </c>
      <c r="E22" s="584">
        <v>10</v>
      </c>
      <c r="F22" s="580">
        <v>5000</v>
      </c>
      <c r="G22" s="582">
        <v>50000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384</v>
      </c>
      <c r="J23" s="161"/>
      <c r="K23" s="69" t="s">
        <v>96</v>
      </c>
    </row>
    <row r="24" spans="1:11" ht="10.5" customHeight="1">
      <c r="A24" s="69"/>
      <c r="B24" s="156" t="s">
        <v>392</v>
      </c>
      <c r="C24" s="157"/>
      <c r="D24" s="576" t="s">
        <v>354</v>
      </c>
      <c r="E24" s="578">
        <v>1</v>
      </c>
      <c r="F24" s="580">
        <v>34000</v>
      </c>
      <c r="G24" s="582">
        <v>34000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384</v>
      </c>
      <c r="J25" s="161"/>
      <c r="K25" s="69" t="s">
        <v>96</v>
      </c>
    </row>
    <row r="26" spans="1:11" ht="10.5" customHeight="1">
      <c r="A26" s="69"/>
      <c r="B26" s="156" t="s">
        <v>393</v>
      </c>
      <c r="C26" s="157"/>
      <c r="D26" s="576" t="s">
        <v>354</v>
      </c>
      <c r="E26" s="584">
        <v>1</v>
      </c>
      <c r="F26" s="580">
        <v>15000</v>
      </c>
      <c r="G26" s="582">
        <v>15000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384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356</v>
      </c>
      <c r="C30" s="157"/>
      <c r="D30" s="576"/>
      <c r="E30" s="584"/>
      <c r="F30" s="580"/>
      <c r="G30" s="582">
        <v>1384000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2026-02-05T06:06:49Z</dcterms:modified>
  <cp:category/>
  <cp:contentStatus/>
</cp:coreProperties>
</file>