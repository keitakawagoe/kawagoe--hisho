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FF522B9E-F0F8-4C04-A74A-882DAFCFB48C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'工事費一覧表(共通仮設費)'!$A$1:$AF$12</definedName>
    <definedName name="_xlnm.Print_Area" localSheetId="11">'工事費一覧表(現場経費)'!$A$1:$AF$15</definedName>
    <definedName name="_xlnm.Print_Area" localSheetId="6">'工事費一覧表(直接工事費)'!$A$1:$AF$68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<sst xmlns="http://schemas.openxmlformats.org/spreadsheetml/2006/main" count="1606" uniqueCount="479">
  <si>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</si>
  <si>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</si>
  <si>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</si>
  <si>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</si>
  <si>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</si>
  <si>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</si>
  <si>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</si>
  <si>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</si>
  <si>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</si>
  <si>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</si>
  <si>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</si>
  <si>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</si>
  <si>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</si>
  <si>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</si>
  <si>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</si>
  <si>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</si>
  <si>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</si>
  <si>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</si>
  <si>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</si>
  <si>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</si>
  <si>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</si>
  <si>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</si>
  <si>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</si>
  <si>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</si>
  <si>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</si>
  <si>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</si>
  <si>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</si>
  <si>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</si>
  <si>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</si>
  <si>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</si>
  <si>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</si>
  <si>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</si>
  <si>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</si>
  <si>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</si>
  <si>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</si>
  <si>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</si>
  <si>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</si>
  <si>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</si>
  <si>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</si>
  <si>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</si>
  <si>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</si>
  <si>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</si>
  <si>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</si>
  <si>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</si>
  <si>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</si>
  <si>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</si>
  <si>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</si>
  <si>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</si>
  <si>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</si>
  <si>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</si>
  <si>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</si>
  <si>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</si>
  <si>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</si>
  <si>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</si>
  <si>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</si>
  <si>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</si>
  <si>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</si>
  <si>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</si>
  <si>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</si>
  <si>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</si>
  <si>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</si>
  <si>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</si>
  <si>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</si>
  <si>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</si>
  <si>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</si>
  <si>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</si>
  <si>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</si>
  <si>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</si>
  <si>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</si>
  <si>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</si>
  <si>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</si>
  <si>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</si>
  <si>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</si>
  <si>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</si>
  <si>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</si>
  <si>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</si>
  <si>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</si>
  <si>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</si>
  <si>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</si>
  <si>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</si>
  <si>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</si>
  <si>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</si>
  <si>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</si>
  <si>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</si>
  <si>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</si>
  <si>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</si>
  <si>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</si>
  <si>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</si>
  <si>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</si>
  <si>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</si>
  <si>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</si>
  <si>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</si>
  <si>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</si>
  <si>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</si>
  <si>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</si>
  <si>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</si>
  <si>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</si>
  <si>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</si>
  <si>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</si>
  <si>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</si>
  <si>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</si>
  <si>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</si>
  <si>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</si>
  <si>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</si>
  <si>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</si>
  <si>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</si>
  <si>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</si>
  <si>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</si>
  <si>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</si>
  <si>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</si>
  <si>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</si>
  <si>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</si>
  <si>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</si>
  <si>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</si>
  <si>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</si>
  <si>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</si>
  <si>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</si>
  <si>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</si>
  <si>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</si>
  <si>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</si>
  <si>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</si>
  <si>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</si>
  <si>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</si>
  <si>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</si>
  <si>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</si>
  <si>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</si>
  <si>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</si>
  <si>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</si>
  <si>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</si>
  <si>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</si>
  <si>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</si>
  <si>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</si>
  <si>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</si>
  <si>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</si>
  <si>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</si>
  <si>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</si>
  <si>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</si>
  <si>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</si>
  <si>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</si>
  <si>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</si>
  <si>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</si>
  <si>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</si>
  <si>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</si>
  <si>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</si>
  <si>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</si>
  <si>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2410210126 G</t>
  </si>
  <si>
    <t>（当　初）</t>
  </si>
  <si>
    <t>佐々木隆伸</t>
  </si>
  <si>
    <t>SMC遠野工場防雪シート設置工事</t>
  </si>
  <si>
    <t>株式会社竹中工務店</t>
  </si>
  <si>
    <t>岩手営業所</t>
  </si>
  <si>
    <t>岩手県遠野市</t>
  </si>
  <si>
    <t>2024年9月1日</t>
  </si>
  <si>
    <t>2024年12月20日</t>
  </si>
  <si>
    <t>2024年10月1日</t>
  </si>
  <si>
    <t>2024年11月22日</t>
  </si>
  <si>
    <t>材料費</t>
  </si>
  <si>
    <t>工事費</t>
  </si>
  <si>
    <t>仮設工事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</si>
  <si>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</si>
  <si>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</si>
  <si>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</si>
  <si>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</si>
  <si>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</si>
  <si>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</si>
  <si>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</si>
  <si>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</si>
  <si>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電力用水光熱費</t>
  </si>
  <si>
    <t>通信費</t>
  </si>
  <si>
    <t>旅費交通費</t>
  </si>
  <si>
    <t>保険料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</si>
  <si>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</si>
  <si>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</si>
  <si>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</si>
  <si>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</si>
  <si>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</si>
  <si>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</si>
  <si>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</si>
  <si>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(携帯通話料、ネット回線契約、電話回線契約　等)</t>
  </si>
  <si>
    <t>(出張、移動旅費等)</t>
  </si>
  <si>
    <t>(建退共・労災保険・労災上乗せ保険　等)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</si>
  <si>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</si>
  <si>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</si>
  <si>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</si>
  <si>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</si>
  <si>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</si>
  <si>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</si>
  <si>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</si>
  <si>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SMC防雪</t>
  </si>
  <si>
    <t>東北支社</t>
  </si>
  <si>
    <t>単独</t>
  </si>
  <si>
    <t>G</t>
  </si>
  <si>
    <t>2024年8月27日</t>
  </si>
  <si>
    <t>2024年9月1日 ～ 2024年12月20日</t>
  </si>
  <si>
    <t>2024年10月1日 ～ 2024年11月22日</t>
  </si>
  <si>
    <t>直接工事費</t>
  </si>
  <si>
    <t xml:space="preserve">    防雪シート設置工</t>
  </si>
  <si>
    <t xml:space="preserve">    </t>
  </si>
  <si>
    <t>工種行</t>
  </si>
  <si>
    <t xml:space="preserve">      材料費</t>
  </si>
  <si>
    <t xml:space="preserve">      </t>
  </si>
  <si>
    <t>15号</t>
  </si>
  <si>
    <t>内訳書</t>
  </si>
  <si>
    <t xml:space="preserve">      工事費</t>
  </si>
  <si>
    <t>16号</t>
  </si>
  <si>
    <t xml:space="preserve">    仮設工事</t>
  </si>
  <si>
    <t xml:space="preserve">      仮設工事</t>
  </si>
  <si>
    <t>17号</t>
  </si>
  <si>
    <t>直接工事費　計</t>
  </si>
  <si>
    <t>間接費</t>
  </si>
  <si>
    <t xml:space="preserve">  共通仮設費</t>
  </si>
  <si>
    <t xml:space="preserve">  </t>
  </si>
  <si>
    <t xml:space="preserve">  現場経費</t>
  </si>
  <si>
    <t>間接費 計</t>
  </si>
  <si>
    <t>工事原価</t>
  </si>
  <si>
    <t>粗利益</t>
  </si>
  <si>
    <t xml:space="preserve">  防雪シート設置工</t>
  </si>
  <si>
    <t xml:space="preserve">    材料費</t>
  </si>
  <si>
    <t xml:space="preserve">    工事費</t>
  </si>
  <si>
    <t xml:space="preserve">  仮設工事</t>
  </si>
  <si>
    <t>計</t>
  </si>
  <si>
    <t>SMC遠野工場防雪シート設置工事</t>
    <phoneticPr fontId="4"/>
  </si>
  <si>
    <t>総括</t>
  </si>
  <si>
    <t>集計行</t>
  </si>
  <si>
    <t>｜直接工事費</t>
  </si>
  <si>
    <t>｜｜防雪シート設置工</t>
  </si>
  <si>
    <t>内訳代価</t>
  </si>
  <si>
    <t>｜｜｜材料費</t>
  </si>
  <si>
    <t>15号内訳書</t>
  </si>
  <si>
    <t>｜｜｜｜コンクリートポール</t>
  </si>
  <si>
    <t>本</t>
  </si>
  <si>
    <t xml:space="preserve">9-19-10 </t>
  </si>
  <si>
    <t>｜｜｜｜根かせ</t>
  </si>
  <si>
    <t>個</t>
  </si>
  <si>
    <t xml:space="preserve">1.5ｍ*0.3ｍ（Ｕバンド付） </t>
  </si>
  <si>
    <t>｜｜｜｜支線アンカー</t>
  </si>
  <si>
    <t>組</t>
  </si>
  <si>
    <t xml:space="preserve">3号 </t>
  </si>
  <si>
    <t>｜｜｜｜支線保護カバー</t>
  </si>
  <si>
    <t xml:space="preserve">黄色（65＊2000） </t>
  </si>
  <si>
    <t>｜｜｜｜ジョイントビーム（NF)微調整式</t>
  </si>
  <si>
    <t xml:space="preserve">4.0ｍ </t>
  </si>
  <si>
    <t>｜｜｜｜ビームバンド</t>
  </si>
  <si>
    <t xml:space="preserve">４BD-HE-１７ </t>
  </si>
  <si>
    <t>｜｜｜｜張出金物　製作品</t>
  </si>
  <si>
    <t xml:space="preserve">6*65*65　L＝1.7ｍ </t>
  </si>
  <si>
    <t xml:space="preserve">6*65*65　L=2.22m </t>
  </si>
  <si>
    <t>｜｜｜｜高耐張力強力バンド　製作品</t>
  </si>
  <si>
    <t xml:space="preserve">TBAO-19L </t>
  </si>
  <si>
    <t xml:space="preserve">TBAO-21L </t>
  </si>
  <si>
    <t>｜｜｜｜自在バンド</t>
  </si>
  <si>
    <t xml:space="preserve">4BD-HE-17 </t>
  </si>
  <si>
    <t xml:space="preserve">4BD-HE-23 </t>
  </si>
  <si>
    <t>｜｜｜｜アイナット　溶接品</t>
  </si>
  <si>
    <t xml:space="preserve">ZGP-12ｍｍ </t>
  </si>
  <si>
    <t>｜｜｜｜アイナット</t>
  </si>
  <si>
    <t xml:space="preserve">ZGP-16ｍｍ </t>
  </si>
  <si>
    <t>｜｜｜｜シャックル</t>
  </si>
  <si>
    <t xml:space="preserve">9ｍｍ　ＺＧＰ </t>
  </si>
  <si>
    <t xml:space="preserve">12ｍｍ　ＺＧＰ </t>
  </si>
  <si>
    <t>｜｜｜｜亜鉛メッキ鋼亶撚線</t>
  </si>
  <si>
    <t>ｍ</t>
  </si>
  <si>
    <t xml:space="preserve">55sq </t>
  </si>
  <si>
    <t>｜｜｜｜巻付グリップ（シンプル用）</t>
  </si>
  <si>
    <t xml:space="preserve">55sq用 </t>
  </si>
  <si>
    <t>｜｜｜｜割シンブル</t>
  </si>
  <si>
    <t xml:space="preserve">A-12 </t>
  </si>
  <si>
    <t>｜｜｜｜メッキワイヤ－</t>
  </si>
  <si>
    <t xml:space="preserve">8ｍｍ </t>
  </si>
  <si>
    <t>｜｜｜｜ワイヤークリップ</t>
  </si>
  <si>
    <t xml:space="preserve">８ｍｍＺＧＰ </t>
  </si>
  <si>
    <t xml:space="preserve">10ｍｍＺＧＰ </t>
  </si>
  <si>
    <t>｜｜｜｜ターンバックル</t>
  </si>
  <si>
    <t xml:space="preserve">1/2EE（12） </t>
  </si>
  <si>
    <t xml:space="preserve">5/8EE（16） </t>
  </si>
  <si>
    <t xml:space="preserve">5/8EE（16）ロック付 </t>
  </si>
  <si>
    <t>｜｜｜｜ターポスクリーン＃1003縦背ビレ付</t>
  </si>
  <si>
    <t>枚</t>
  </si>
  <si>
    <t xml:space="preserve">H2.11m*W4m </t>
  </si>
  <si>
    <t>｜｜｜｜ターポスクリーン＃1003中段背ビレ付</t>
  </si>
  <si>
    <t xml:space="preserve">H4.45m*W4m </t>
  </si>
  <si>
    <t>｜｜｜｜ネット取付用ロープ</t>
  </si>
  <si>
    <t xml:space="preserve">4ｍｍ </t>
  </si>
  <si>
    <t>｜｜｜｜その他雑資材</t>
  </si>
  <si>
    <t>｜｜｜｜値引き</t>
  </si>
  <si>
    <t>｜｜｜工事費</t>
  </si>
  <si>
    <t>16号内訳書</t>
  </si>
  <si>
    <t>｜｜｜｜ポール建柱工</t>
  </si>
  <si>
    <t xml:space="preserve">9-19-10　2.7ｍ </t>
  </si>
  <si>
    <t>｜｜｜｜根かせ取付工</t>
  </si>
  <si>
    <t xml:space="preserve">1.5ｍ </t>
  </si>
  <si>
    <t>｜｜｜｜アンカー打設工</t>
  </si>
  <si>
    <t>｜｜｜｜ビーム取付工</t>
  </si>
  <si>
    <t xml:space="preserve">（NF)4.8ｍ </t>
  </si>
  <si>
    <t>｜｜｜｜金具装柱工</t>
  </si>
  <si>
    <t xml:space="preserve">H6m　6段 </t>
  </si>
  <si>
    <t>｜｜｜｜張出金物取付工</t>
  </si>
  <si>
    <t>｜｜｜｜鋼撚線張り工</t>
  </si>
  <si>
    <t>｜｜｜｜ワイヤー張り工</t>
  </si>
  <si>
    <t>｜｜｜｜ネット取付工　防風ネット</t>
  </si>
  <si>
    <t>m2</t>
  </si>
  <si>
    <t>｜｜｜｜コンクリートポール場内小運搬</t>
  </si>
  <si>
    <t xml:space="preserve">9ｍ-19 </t>
  </si>
  <si>
    <t>｜｜｜｜高所作業車費</t>
  </si>
  <si>
    <t>日</t>
  </si>
  <si>
    <t xml:space="preserve">H12m </t>
  </si>
  <si>
    <t>｜｜｜｜バックホウ（オペ共）</t>
  </si>
  <si>
    <t>｜｜｜｜重機回送費</t>
  </si>
  <si>
    <t>回</t>
  </si>
  <si>
    <t>｜｜｜｜コンクリートポール運搬費</t>
  </si>
  <si>
    <t>｜｜｜｜ビーム及びネット資材運搬費</t>
  </si>
  <si>
    <t>｜｜｜｜法定福利費</t>
  </si>
  <si>
    <t>｜｜｜｜諸経費</t>
  </si>
  <si>
    <t>｜｜仮設工事</t>
  </si>
  <si>
    <t>｜｜｜仮設工事</t>
  </si>
  <si>
    <t>17号内訳書</t>
  </si>
  <si>
    <t>｜｜｜｜RC-40</t>
  </si>
  <si>
    <t>現着</t>
  </si>
  <si>
    <t>m3</t>
  </si>
  <si>
    <t xml:space="preserve">s0004 </t>
  </si>
  <si>
    <t>｜｜｜｜安全費</t>
  </si>
  <si>
    <t xml:space="preserve">規制材 </t>
  </si>
  <si>
    <t>｜｜｜｜雑材</t>
  </si>
  <si>
    <t xml:space="preserve">s10218016 </t>
  </si>
  <si>
    <t>｜｜｜｜技工</t>
  </si>
  <si>
    <t>直営作業員</t>
  </si>
  <si>
    <t>人</t>
  </si>
  <si>
    <t xml:space="preserve">r0002 </t>
  </si>
  <si>
    <t xml:space="preserve">{数量=5*1} </t>
  </si>
  <si>
    <t>｜｜｜｜交通誘導員(昼間8h)</t>
  </si>
  <si>
    <t xml:space="preserve">g2001 </t>
  </si>
  <si>
    <t xml:space="preserve">{数量=1*10} </t>
  </si>
  <si>
    <t>｜｜｜｜ﾊﾞｯｸﾎｳ</t>
  </si>
  <si>
    <t>0.25m3</t>
  </si>
  <si>
    <t>台</t>
  </si>
  <si>
    <t xml:space="preserve">k0011 </t>
  </si>
  <si>
    <t xml:space="preserve">{数量=1*1} </t>
  </si>
  <si>
    <t>｜｜｜｜ｺﾝﾊﾞｲﾝﾄﾞﾛｰﾗ</t>
  </si>
  <si>
    <t>4t</t>
  </si>
  <si>
    <t xml:space="preserve">k0006 </t>
  </si>
  <si>
    <t>｜｜｜｜連絡車</t>
  </si>
  <si>
    <t>Wﾋﾟｯｸ</t>
  </si>
  <si>
    <t xml:space="preserve">u0005 </t>
  </si>
  <si>
    <t xml:space="preserve">{数量=1*2} </t>
  </si>
  <si>
    <t>｜｜｜｜10t車回送</t>
  </si>
  <si>
    <t>BH　CVR</t>
  </si>
  <si>
    <t xml:space="preserve">u0013 </t>
  </si>
  <si>
    <t>予算</t>
    <phoneticPr fontId="6"/>
  </si>
  <si>
    <t>車両費</t>
  </si>
  <si>
    <t>雑費</t>
  </si>
  <si>
    <t>｜共通仮設費</t>
  </si>
  <si>
    <t>｜｜重機運搬費</t>
  </si>
  <si>
    <t>1号内訳書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</si>
  <si>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</si>
  <si>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</si>
  <si>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</si>
  <si>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</si>
  <si>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</si>
  <si>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</si>
  <si>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</si>
  <si>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</si>
  <si>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</si>
  <si>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</si>
  <si>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</si>
  <si>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</si>
  <si>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</si>
  <si>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10号</t>
  </si>
  <si>
    <t>11号</t>
  </si>
  <si>
    <t>12号</t>
  </si>
  <si>
    <t>(連絡車)</t>
  </si>
  <si>
    <t>13号</t>
  </si>
  <si>
    <t>(現場特有で発生が見込まれる費用　等)</t>
  </si>
  <si>
    <t>14号</t>
  </si>
  <si>
    <t>0</t>
  </si>
  <si>
    <t>#DIV/0!</t>
  </si>
  <si>
    <t>｜現場経費</t>
  </si>
  <si>
    <t>｜｜社員給料</t>
  </si>
  <si>
    <t>7号内訳書</t>
  </si>
  <si>
    <t>｜｜｜社員給料　</t>
  </si>
  <si>
    <t>支社社員　昼間</t>
  </si>
  <si>
    <t xml:space="preserve">m0036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</si>
  <si>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</si>
  <si>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</si>
  <si>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</si>
  <si>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</si>
  <si>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</si>
  <si>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</si>
  <si>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</si>
  <si>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</si>
  <si>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</si>
  <si>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</si>
  <si>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</si>
  <si>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</si>
  <si>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</si>
  <si>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</si>
  <si>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</si>
  <si>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SMC遠野工場防雪シート設置工事</t>
    <phoneticPr fontId="6"/>
  </si>
  <si>
    <t>2410210126 G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</si>
  <si>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</si>
  <si>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</si>
  <si>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</si>
  <si>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</si>
  <si>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</si>
  <si>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</si>
  <si>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</si>
  <si>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</t>
    <phoneticPr fontId="6"/>
  </si>
  <si>
    <t>m3</t>
    <phoneticPr fontId="6"/>
  </si>
  <si>
    <t>現着</t>
    <phoneticPr fontId="6"/>
  </si>
  <si>
    <t>材料費</t>
    <phoneticPr fontId="6"/>
  </si>
  <si>
    <t>アイナット</t>
    <phoneticPr fontId="6"/>
  </si>
  <si>
    <t>個</t>
    <phoneticPr fontId="6"/>
  </si>
  <si>
    <t>アイナット　溶接品</t>
    <phoneticPr fontId="6"/>
  </si>
  <si>
    <t>コンクリートポール</t>
    <phoneticPr fontId="6"/>
  </si>
  <si>
    <t>本</t>
    <phoneticPr fontId="6"/>
  </si>
  <si>
    <t>シャックル</t>
    <phoneticPr fontId="6"/>
  </si>
  <si>
    <t>ジョイントビーム（NF)微調整式</t>
    <phoneticPr fontId="6"/>
  </si>
  <si>
    <t>その他雑資材</t>
    <phoneticPr fontId="6"/>
  </si>
  <si>
    <t>式</t>
    <phoneticPr fontId="6"/>
  </si>
  <si>
    <t>ターポスクリーン＃1003縦背ビレ付</t>
    <phoneticPr fontId="6"/>
  </si>
  <si>
    <t>枚</t>
    <phoneticPr fontId="6"/>
  </si>
  <si>
    <t>ターポスクリーン＃1003中段背ビレ付</t>
    <phoneticPr fontId="6"/>
  </si>
  <si>
    <t>ターンバックル</t>
    <phoneticPr fontId="6"/>
  </si>
  <si>
    <t>ネット取付用ロープ</t>
    <phoneticPr fontId="6"/>
  </si>
  <si>
    <t>ｍ</t>
    <phoneticPr fontId="6"/>
  </si>
  <si>
    <t>ビームバンド</t>
    <phoneticPr fontId="6"/>
  </si>
  <si>
    <t>メッキワイヤ－</t>
    <phoneticPr fontId="6"/>
  </si>
  <si>
    <t>ワイヤークリップ</t>
    <phoneticPr fontId="6"/>
  </si>
  <si>
    <t>亜鉛メッキ鋼亶撚線</t>
    <phoneticPr fontId="6"/>
  </si>
  <si>
    <t>安全費</t>
    <phoneticPr fontId="6"/>
  </si>
  <si>
    <t>割シンブル</t>
    <phoneticPr fontId="6"/>
  </si>
  <si>
    <t>材料調書</t>
    <phoneticPr fontId="6"/>
  </si>
  <si>
    <t>巻付グリップ（シンプル用）</t>
    <phoneticPr fontId="6"/>
  </si>
  <si>
    <t>高耐張力強力バンド　製作品</t>
    <phoneticPr fontId="6"/>
  </si>
  <si>
    <t>根かせ</t>
    <phoneticPr fontId="6"/>
  </si>
  <si>
    <t>雑材</t>
    <phoneticPr fontId="6"/>
  </si>
  <si>
    <t>支線アンカー</t>
    <phoneticPr fontId="6"/>
  </si>
  <si>
    <t>組</t>
    <phoneticPr fontId="6"/>
  </si>
  <si>
    <t>支線保護カバー</t>
    <phoneticPr fontId="6"/>
  </si>
  <si>
    <t>自在バンド</t>
    <phoneticPr fontId="6"/>
  </si>
  <si>
    <t>値引き</t>
    <phoneticPr fontId="6"/>
  </si>
  <si>
    <t>張出金物　製作品</t>
    <phoneticPr fontId="6"/>
  </si>
  <si>
    <t>計</t>
    <phoneticPr fontId="6"/>
  </si>
  <si>
    <t>技工</t>
    <phoneticPr fontId="6"/>
  </si>
  <si>
    <t>人</t>
    <phoneticPr fontId="6"/>
  </si>
  <si>
    <t>直営作業員</t>
    <phoneticPr fontId="6"/>
  </si>
  <si>
    <t>労務費</t>
    <phoneticPr fontId="6"/>
  </si>
  <si>
    <t>アンカー打設工</t>
    <phoneticPr fontId="6"/>
  </si>
  <si>
    <t>外注費</t>
    <phoneticPr fontId="6"/>
  </si>
  <si>
    <t>コンクリートポール運搬費</t>
    <phoneticPr fontId="6"/>
  </si>
  <si>
    <t>コンクリートポール場内小運搬</t>
    <phoneticPr fontId="6"/>
  </si>
  <si>
    <t>ネット取付工　防風ネット</t>
    <phoneticPr fontId="6"/>
  </si>
  <si>
    <t>m2</t>
    <phoneticPr fontId="6"/>
  </si>
  <si>
    <t>バックホウ（オペ共）</t>
    <phoneticPr fontId="6"/>
  </si>
  <si>
    <t>日</t>
    <phoneticPr fontId="6"/>
  </si>
  <si>
    <t>ビーム及びネット資材運搬費</t>
    <phoneticPr fontId="6"/>
  </si>
  <si>
    <t>ビーム取付工</t>
    <phoneticPr fontId="6"/>
  </si>
  <si>
    <t>ポール建柱工</t>
    <phoneticPr fontId="6"/>
  </si>
  <si>
    <t>ワイヤー張り工</t>
    <phoneticPr fontId="6"/>
  </si>
  <si>
    <t>金具装柱工</t>
    <phoneticPr fontId="6"/>
  </si>
  <si>
    <t>交通誘導員(昼間8h)</t>
    <phoneticPr fontId="6"/>
  </si>
  <si>
    <t>鋼撚線張り工</t>
    <phoneticPr fontId="6"/>
  </si>
  <si>
    <t>高所作業車費</t>
    <phoneticPr fontId="6"/>
  </si>
  <si>
    <t>根かせ取付工</t>
    <phoneticPr fontId="6"/>
  </si>
  <si>
    <t>重機回送費</t>
    <phoneticPr fontId="6"/>
  </si>
  <si>
    <t>回</t>
    <phoneticPr fontId="6"/>
  </si>
  <si>
    <t>諸経費</t>
    <phoneticPr fontId="6"/>
  </si>
  <si>
    <t>張出金物取付工</t>
    <phoneticPr fontId="6"/>
  </si>
  <si>
    <t>法定福利費</t>
    <phoneticPr fontId="6"/>
  </si>
  <si>
    <t>ｺﾝﾊﾞｲﾝﾄﾞﾛｰﾗ</t>
    <phoneticPr fontId="6"/>
  </si>
  <si>
    <t>台</t>
    <phoneticPr fontId="6"/>
  </si>
  <si>
    <t>4t</t>
    <phoneticPr fontId="6"/>
  </si>
  <si>
    <t>機械費</t>
    <phoneticPr fontId="6"/>
  </si>
  <si>
    <t>ﾊﾞｯｸﾎｳ</t>
    <phoneticPr fontId="6"/>
  </si>
  <si>
    <t>0.25m3</t>
    <phoneticPr fontId="6"/>
  </si>
  <si>
    <t>10t車回送</t>
    <phoneticPr fontId="6"/>
  </si>
  <si>
    <t>BH　CVR</t>
    <phoneticPr fontId="6"/>
  </si>
  <si>
    <t>運搬費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</si>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</sst>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11600000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10300000</v>
      </c>
      <c r="J16" s="420"/>
      <c r="K16" s="420"/>
      <c r="L16" s="420"/>
      <c r="M16" s="420"/>
      <c r="N16" s="420"/>
      <c r="O16" s="420"/>
      <c r="P16" s="420"/>
      <c r="Q16" s="416">
        <v>0.88790000000000002</v>
      </c>
      <c r="R16" s="416"/>
      <c r="S16" s="416"/>
      <c r="U16" s="417" t="s">
        <v>16</v>
      </c>
      <c r="V16" s="418"/>
      <c r="W16" s="418"/>
      <c r="X16" s="418"/>
      <c r="Y16" s="419">
        <v>1300000</v>
      </c>
      <c r="Z16" s="420"/>
      <c r="AA16" s="420"/>
      <c r="AB16" s="420"/>
      <c r="AC16" s="420"/>
      <c r="AD16" s="420"/>
      <c r="AE16" s="420"/>
      <c r="AF16" s="420"/>
      <c r="AG16" s="416">
        <v>0.11210000000000001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154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155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45536</v>
      </c>
      <c r="D3" s="458"/>
      <c r="E3" s="272" t="s">
        <v>139</v>
      </c>
      <c r="F3" s="459">
        <v>45646</v>
      </c>
      <c r="G3" s="459"/>
      <c r="H3" s="459"/>
      <c r="I3" s="273"/>
      <c r="J3" s="273"/>
      <c r="K3" s="460" t="s">
        <v>30</v>
      </c>
      <c r="L3" s="461"/>
      <c r="M3" s="462"/>
      <c r="N3" s="449">
        <v>11600000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156</v>
      </c>
      <c r="C5" s="276">
        <v>5200000</v>
      </c>
      <c r="D5" s="335">
        <f>IF(C5&lt;&gt;"",C5/$C$20,"")</f>
        <v>0.50485436893203883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157</v>
      </c>
      <c r="C6" s="277">
        <v>4000000</v>
      </c>
      <c r="D6" s="336">
        <f t="shared" ref="D6:D17" si="0">IF(C6&lt;&gt;"",C6/$C$20,"")</f>
        <v>0.38834951456310679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158</v>
      </c>
      <c r="C7" s="277">
        <v>680000</v>
      </c>
      <c r="D7" s="336">
        <f t="shared" si="0"/>
        <v>6.6019417475728162E-2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159</v>
      </c>
      <c r="C8" s="277">
        <v>0</v>
      </c>
      <c r="D8" s="336">
        <f t="shared" si="0"/>
        <v>0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160</v>
      </c>
      <c r="C9" s="277">
        <v>0</v>
      </c>
      <c r="D9" s="336">
        <f t="shared" si="0"/>
        <v>0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161</v>
      </c>
      <c r="C10" s="277">
        <v>0</v>
      </c>
      <c r="D10" s="336">
        <f t="shared" si="0"/>
        <v>0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162</v>
      </c>
      <c r="C11" s="277">
        <v>0</v>
      </c>
      <c r="D11" s="336">
        <f t="shared" si="0"/>
        <v>0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163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164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165</v>
      </c>
      <c r="C14" s="277">
        <v>420000</v>
      </c>
      <c r="D14" s="336">
        <f t="shared" si="0"/>
        <v>4.0776699029126215E-2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166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167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168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169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170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10300000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156</v>
      </c>
      <c r="K5" s="282"/>
      <c r="L5" s="283" t="s">
        <v>171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157</v>
      </c>
      <c r="K6" s="289"/>
      <c r="L6" s="290" t="s">
        <v>171</v>
      </c>
      <c r="M6" s="291">
        <v>1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158</v>
      </c>
      <c r="K7" s="289"/>
      <c r="L7" s="290" t="s">
        <v>171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159</v>
      </c>
      <c r="K8" s="289"/>
      <c r="L8" s="290" t="s">
        <v>171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160</v>
      </c>
      <c r="K9" s="289" t="s">
        <v>172</v>
      </c>
      <c r="L9" s="290" t="s">
        <v>171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161</v>
      </c>
      <c r="K10" s="289" t="s">
        <v>173</v>
      </c>
      <c r="L10" s="290" t="s">
        <v>171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162</v>
      </c>
      <c r="K11" s="289" t="s">
        <v>174</v>
      </c>
      <c r="L11" s="290" t="s">
        <v>171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163</v>
      </c>
      <c r="K12" s="289" t="s">
        <v>175</v>
      </c>
      <c r="L12" s="290" t="s">
        <v>171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164</v>
      </c>
      <c r="K13" s="289" t="s">
        <v>176</v>
      </c>
      <c r="L13" s="290" t="s">
        <v>171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165</v>
      </c>
      <c r="K14" s="289"/>
      <c r="L14" s="290" t="s">
        <v>171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166</v>
      </c>
      <c r="K15" s="289" t="s">
        <v>177</v>
      </c>
      <c r="L15" s="290" t="s">
        <v>171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167</v>
      </c>
      <c r="K16" s="289"/>
      <c r="L16" s="290" t="s">
        <v>171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168</v>
      </c>
      <c r="K17" s="289" t="s">
        <v>178</v>
      </c>
      <c r="L17" s="290" t="s">
        <v>171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169</v>
      </c>
      <c r="K18" s="289" t="s">
        <v>179</v>
      </c>
      <c r="L18" s="290" t="s">
        <v>171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170</v>
      </c>
      <c r="K19" s="295" t="s">
        <v>180</v>
      </c>
      <c r="L19" s="296" t="s">
        <v>171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188</v>
      </c>
      <c r="D5" s="512"/>
      <c r="E5" s="246" t="s">
        <v>133</v>
      </c>
      <c r="F5" s="513" t="s">
        <v>189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156</v>
      </c>
      <c r="I6" s="110" t="s">
        <v>181</v>
      </c>
      <c r="J6" s="110" t="s">
        <v>182</v>
      </c>
      <c r="K6" s="110" t="s">
        <v>183</v>
      </c>
      <c r="L6" s="110" t="s">
        <v>184</v>
      </c>
      <c r="M6" s="111" t="s">
        <v>185</v>
      </c>
      <c r="N6" s="110" t="s">
        <v>186</v>
      </c>
      <c r="O6" s="112" t="s">
        <v>187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11600000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10300000</v>
      </c>
      <c r="G8" s="334">
        <v>0.88790000000000002</v>
      </c>
      <c r="H8" s="250">
        <v>5471500</v>
      </c>
      <c r="I8" s="251">
        <v>100000</v>
      </c>
      <c r="J8" s="251">
        <v>4200000</v>
      </c>
      <c r="K8" s="251">
        <v>16500</v>
      </c>
      <c r="L8" s="252">
        <v>92000</v>
      </c>
      <c r="M8" s="252"/>
      <c r="N8" s="253">
        <v>420000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9880000</v>
      </c>
      <c r="G9" s="334">
        <v>0.85170000000000001</v>
      </c>
      <c r="H9" s="250">
        <v>5471500</v>
      </c>
      <c r="I9" s="251">
        <v>100000</v>
      </c>
      <c r="J9" s="251">
        <v>4200000</v>
      </c>
      <c r="K9" s="251">
        <v>16500</v>
      </c>
      <c r="L9" s="252">
        <v>92000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/>
      <c r="G10" s="334"/>
      <c r="H10" s="250"/>
      <c r="I10" s="253"/>
      <c r="J10" s="253"/>
      <c r="K10" s="253"/>
      <c r="L10" s="251"/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420000</v>
      </c>
      <c r="G11" s="334">
        <v>3.6200000000000003E-2</v>
      </c>
      <c r="H11" s="250"/>
      <c r="I11" s="253"/>
      <c r="J11" s="253"/>
      <c r="K11" s="253"/>
      <c r="L11" s="251"/>
      <c r="M11" s="252"/>
      <c r="N11" s="253">
        <v>420000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190</v>
      </c>
      <c r="D12" s="492"/>
      <c r="E12" s="113" t="s">
        <v>66</v>
      </c>
      <c r="F12" s="249">
        <v>1300000</v>
      </c>
      <c r="G12" s="334">
        <v>0.11210000000000001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191</v>
      </c>
      <c r="D13" s="492"/>
      <c r="E13" s="169" t="s">
        <v>110</v>
      </c>
      <c r="F13" s="249">
        <v>916400</v>
      </c>
      <c r="G13" s="334">
        <v>7.9000000000000001E-2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192</v>
      </c>
      <c r="D14" s="493"/>
      <c r="E14" s="114" t="s">
        <v>111</v>
      </c>
      <c r="F14" s="249">
        <v>603200</v>
      </c>
      <c r="G14" s="334">
        <v>5.1999999999999998E-2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193</v>
      </c>
      <c r="D15" s="495"/>
      <c r="E15" s="114" t="s">
        <v>112</v>
      </c>
      <c r="F15" s="249">
        <v>313200</v>
      </c>
      <c r="G15" s="334">
        <v>2.7E-2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194</v>
      </c>
      <c r="D16" s="493"/>
      <c r="E16" s="113" t="s">
        <v>113</v>
      </c>
      <c r="F16" s="249">
        <v>383600</v>
      </c>
      <c r="G16" s="334">
        <v>3.3099999999999997E-2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150800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232800</v>
      </c>
      <c r="G18" s="334">
        <v>2.01E-2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195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196</v>
      </c>
      <c r="C8" s="166"/>
      <c r="D8" s="517" t="s">
        <v>171</v>
      </c>
      <c r="E8" s="519">
        <v>1</v>
      </c>
      <c r="F8" s="521">
        <v>9200000</v>
      </c>
      <c r="G8" s="523">
        <v>9200000</v>
      </c>
      <c r="H8" s="351"/>
      <c r="I8" s="525">
        <v>0.79310000000000003</v>
      </c>
      <c r="J8" s="227"/>
      <c r="K8" s="69" t="s">
        <v>96</v>
      </c>
    </row>
    <row r="9" spans="1:11" ht="15.6" customHeight="1">
      <c r="A9" s="69"/>
      <c r="B9" s="224" t="s">
        <v>197</v>
      </c>
      <c r="C9" s="225"/>
      <c r="D9" s="518"/>
      <c r="E9" s="520"/>
      <c r="F9" s="522"/>
      <c r="G9" s="524"/>
      <c r="H9" s="352" t="s">
        <v>198</v>
      </c>
      <c r="I9" s="526"/>
      <c r="J9" s="227"/>
      <c r="K9" s="69" t="s">
        <v>96</v>
      </c>
    </row>
    <row r="10" spans="1:11" ht="15.6" customHeight="1">
      <c r="A10" s="69"/>
      <c r="B10" s="222" t="s">
        <v>199</v>
      </c>
      <c r="C10" s="166"/>
      <c r="D10" s="517" t="s">
        <v>171</v>
      </c>
      <c r="E10" s="519">
        <v>1</v>
      </c>
      <c r="F10" s="521">
        <v>5200000</v>
      </c>
      <c r="G10" s="523">
        <v>5200000</v>
      </c>
      <c r="H10" s="351" t="s">
        <v>201</v>
      </c>
      <c r="I10" s="525">
        <v>0.44819999999999999</v>
      </c>
      <c r="J10" s="223"/>
      <c r="K10" s="69" t="s">
        <v>96</v>
      </c>
    </row>
    <row r="11" spans="1:11" ht="15.6" customHeight="1">
      <c r="A11" s="69"/>
      <c r="B11" s="224" t="s">
        <v>200</v>
      </c>
      <c r="C11" s="225"/>
      <c r="D11" s="518"/>
      <c r="E11" s="520"/>
      <c r="F11" s="522"/>
      <c r="G11" s="524"/>
      <c r="H11" s="352" t="s">
        <v>202</v>
      </c>
      <c r="I11" s="526"/>
      <c r="J11" s="226"/>
      <c r="K11" s="69" t="s">
        <v>96</v>
      </c>
    </row>
    <row r="12" spans="1:11" ht="15.6" customHeight="1">
      <c r="A12" s="69"/>
      <c r="B12" s="222" t="s">
        <v>203</v>
      </c>
      <c r="C12" s="166"/>
      <c r="D12" s="517" t="s">
        <v>171</v>
      </c>
      <c r="E12" s="519">
        <v>1</v>
      </c>
      <c r="F12" s="521">
        <v>4000000</v>
      </c>
      <c r="G12" s="523">
        <v>4000000</v>
      </c>
      <c r="H12" s="351" t="s">
        <v>204</v>
      </c>
      <c r="I12" s="525">
        <v>0.3448</v>
      </c>
      <c r="J12" s="223"/>
      <c r="K12" s="69" t="s">
        <v>96</v>
      </c>
    </row>
    <row r="13" spans="1:11" ht="15.6" customHeight="1">
      <c r="A13" s="69"/>
      <c r="B13" s="224" t="s">
        <v>200</v>
      </c>
      <c r="C13" s="225"/>
      <c r="D13" s="518"/>
      <c r="E13" s="520"/>
      <c r="F13" s="522"/>
      <c r="G13" s="524"/>
      <c r="H13" s="352" t="s">
        <v>202</v>
      </c>
      <c r="I13" s="526"/>
      <c r="J13" s="226"/>
      <c r="K13" s="69" t="s">
        <v>96</v>
      </c>
    </row>
    <row r="14" spans="1:11" ht="15.6" customHeight="1">
      <c r="A14" s="69"/>
      <c r="B14" s="222" t="s">
        <v>205</v>
      </c>
      <c r="C14" s="166"/>
      <c r="D14" s="517" t="s">
        <v>171</v>
      </c>
      <c r="E14" s="519">
        <v>1</v>
      </c>
      <c r="F14" s="521">
        <v>680000</v>
      </c>
      <c r="G14" s="523">
        <v>680000</v>
      </c>
      <c r="H14" s="351"/>
      <c r="I14" s="525">
        <v>5.8599999999999999E-2</v>
      </c>
      <c r="J14" s="223"/>
      <c r="K14" s="69" t="s">
        <v>96</v>
      </c>
    </row>
    <row r="15" spans="1:11" ht="15.6" customHeight="1">
      <c r="A15" s="69"/>
      <c r="B15" s="224" t="s">
        <v>197</v>
      </c>
      <c r="C15" s="225"/>
      <c r="D15" s="518"/>
      <c r="E15" s="520"/>
      <c r="F15" s="522"/>
      <c r="G15" s="524"/>
      <c r="H15" s="352" t="s">
        <v>198</v>
      </c>
      <c r="I15" s="526"/>
      <c r="J15" s="226"/>
      <c r="K15" s="69" t="s">
        <v>96</v>
      </c>
    </row>
    <row r="16" spans="1:11" ht="15.6" customHeight="1">
      <c r="A16" s="69"/>
      <c r="B16" s="222" t="s">
        <v>206</v>
      </c>
      <c r="C16" s="166"/>
      <c r="D16" s="517" t="s">
        <v>171</v>
      </c>
      <c r="E16" s="519">
        <v>1</v>
      </c>
      <c r="F16" s="521">
        <v>680000</v>
      </c>
      <c r="G16" s="523">
        <v>680000</v>
      </c>
      <c r="H16" s="351" t="s">
        <v>207</v>
      </c>
      <c r="I16" s="525">
        <v>5.8599999999999999E-2</v>
      </c>
      <c r="J16" s="223"/>
      <c r="K16" s="69" t="s">
        <v>96</v>
      </c>
    </row>
    <row r="17" spans="1:11" ht="15.6" customHeight="1">
      <c r="A17" s="69"/>
      <c r="B17" s="224" t="s">
        <v>200</v>
      </c>
      <c r="C17" s="225"/>
      <c r="D17" s="518"/>
      <c r="E17" s="520"/>
      <c r="F17" s="522"/>
      <c r="G17" s="524"/>
      <c r="H17" s="352" t="s">
        <v>202</v>
      </c>
      <c r="I17" s="526"/>
      <c r="J17" s="226"/>
      <c r="K17" s="69" t="s">
        <v>96</v>
      </c>
    </row>
    <row r="18" spans="1:11" ht="15.6" customHeight="1">
      <c r="A18" s="69"/>
      <c r="B18" s="222" t="s">
        <v>208</v>
      </c>
      <c r="C18" s="166"/>
      <c r="D18" s="517"/>
      <c r="E18" s="519"/>
      <c r="F18" s="521"/>
      <c r="G18" s="523">
        <v>9880000</v>
      </c>
      <c r="H18" s="351"/>
      <c r="I18" s="525">
        <v>0.85170000000000001</v>
      </c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525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209</v>
      </c>
      <c r="C22" s="166"/>
      <c r="D22" s="517"/>
      <c r="E22" s="519"/>
      <c r="F22" s="521"/>
      <c r="G22" s="523"/>
      <c r="H22" s="351"/>
      <c r="I22" s="525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 t="s">
        <v>210</v>
      </c>
      <c r="C24" s="166"/>
      <c r="D24" s="517"/>
      <c r="E24" s="519"/>
      <c r="F24" s="521"/>
      <c r="G24" s="523"/>
      <c r="H24" s="351"/>
      <c r="I24" s="525"/>
      <c r="J24" s="223"/>
      <c r="K24" s="69" t="s">
        <v>96</v>
      </c>
    </row>
    <row r="25" spans="1:11" ht="15.6" customHeight="1">
      <c r="A25" s="69"/>
      <c r="B25" s="224" t="s">
        <v>211</v>
      </c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212</v>
      </c>
      <c r="C26" s="166"/>
      <c r="D26" s="517" t="s">
        <v>171</v>
      </c>
      <c r="E26" s="519">
        <v>1</v>
      </c>
      <c r="F26" s="521">
        <v>420000</v>
      </c>
      <c r="G26" s="523">
        <v>420000</v>
      </c>
      <c r="H26" s="351"/>
      <c r="I26" s="525">
        <v>3.6200000000000003E-2</v>
      </c>
      <c r="J26" s="223"/>
      <c r="K26" s="69" t="s">
        <v>96</v>
      </c>
    </row>
    <row r="27" spans="1:11" ht="15.6" customHeight="1">
      <c r="A27" s="69"/>
      <c r="B27" s="224" t="s">
        <v>211</v>
      </c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213</v>
      </c>
      <c r="C28" s="166"/>
      <c r="D28" s="517"/>
      <c r="E28" s="519"/>
      <c r="F28" s="521"/>
      <c r="G28" s="523">
        <v>420000</v>
      </c>
      <c r="H28" s="351"/>
      <c r="I28" s="525">
        <v>3.6200000000000003E-2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214</v>
      </c>
      <c r="C32" s="166"/>
      <c r="D32" s="532"/>
      <c r="E32" s="519"/>
      <c r="F32" s="521"/>
      <c r="G32" s="523">
        <v>10300000</v>
      </c>
      <c r="H32" s="351"/>
      <c r="I32" s="525">
        <v>0.88790000000000002</v>
      </c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215</v>
      </c>
      <c r="C36" s="302"/>
      <c r="D36" s="517"/>
      <c r="E36" s="519"/>
      <c r="F36" s="521"/>
      <c r="G36" s="523">
        <v>1300000</v>
      </c>
      <c r="H36" s="351"/>
      <c r="I36" s="525">
        <v>0.11210000000000001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131</v>
      </c>
      <c r="C45" s="166"/>
      <c r="D45" s="517"/>
      <c r="E45" s="519"/>
      <c r="F45" s="521"/>
      <c r="G45" s="523">
        <v>11600000</v>
      </c>
      <c r="H45" s="351"/>
      <c r="I45" s="525">
        <v>1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E26BF-C99A-4F97-A88F-0FBDB477D8C1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221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216</v>
      </c>
      <c r="C6" s="166"/>
      <c r="D6" s="517" t="s">
        <v>171</v>
      </c>
      <c r="E6" s="519">
        <v>1</v>
      </c>
      <c r="F6" s="521">
        <v>9200000</v>
      </c>
      <c r="G6" s="523">
        <v>9200000</v>
      </c>
      <c r="H6" s="351"/>
      <c r="I6" s="351"/>
      <c r="J6" s="223"/>
      <c r="K6" s="69" t="s">
        <v>96</v>
      </c>
    </row>
    <row r="7" spans="1:11" ht="15.6" customHeight="1">
      <c r="A7" s="69"/>
      <c r="B7" s="224" t="s">
        <v>211</v>
      </c>
      <c r="C7" s="225"/>
      <c r="D7" s="518"/>
      <c r="E7" s="520"/>
      <c r="F7" s="522"/>
      <c r="G7" s="524"/>
      <c r="H7" s="352" t="s">
        <v>198</v>
      </c>
      <c r="I7" s="352"/>
      <c r="J7" s="226"/>
      <c r="K7" s="69" t="s">
        <v>96</v>
      </c>
    </row>
    <row r="8" spans="1:11" ht="15.6" customHeight="1">
      <c r="A8" s="69"/>
      <c r="B8" s="222" t="s">
        <v>217</v>
      </c>
      <c r="C8" s="166"/>
      <c r="D8" s="517" t="s">
        <v>171</v>
      </c>
      <c r="E8" s="519">
        <v>1</v>
      </c>
      <c r="F8" s="521">
        <v>5200000</v>
      </c>
      <c r="G8" s="523">
        <v>5200000</v>
      </c>
      <c r="H8" s="351" t="s">
        <v>201</v>
      </c>
      <c r="I8" s="351"/>
      <c r="J8" s="227"/>
      <c r="K8" s="69" t="s">
        <v>96</v>
      </c>
    </row>
    <row r="9" spans="1:11" ht="15.6" customHeight="1">
      <c r="A9" s="69"/>
      <c r="B9" s="224" t="s">
        <v>197</v>
      </c>
      <c r="C9" s="225"/>
      <c r="D9" s="518"/>
      <c r="E9" s="520"/>
      <c r="F9" s="522"/>
      <c r="G9" s="524"/>
      <c r="H9" s="352" t="s">
        <v>202</v>
      </c>
      <c r="I9" s="352"/>
      <c r="J9" s="227"/>
      <c r="K9" s="69" t="s">
        <v>96</v>
      </c>
    </row>
    <row r="10" spans="1:11" ht="15.6" customHeight="1">
      <c r="A10" s="69"/>
      <c r="B10" s="222" t="s">
        <v>218</v>
      </c>
      <c r="C10" s="166"/>
      <c r="D10" s="517" t="s">
        <v>171</v>
      </c>
      <c r="E10" s="519">
        <v>1</v>
      </c>
      <c r="F10" s="521">
        <v>4000000</v>
      </c>
      <c r="G10" s="523">
        <v>4000000</v>
      </c>
      <c r="H10" s="351" t="s">
        <v>204</v>
      </c>
      <c r="I10" s="351"/>
      <c r="J10" s="223"/>
      <c r="K10" s="69" t="s">
        <v>96</v>
      </c>
    </row>
    <row r="11" spans="1:11" ht="15.6" customHeight="1">
      <c r="A11" s="69"/>
      <c r="B11" s="224" t="s">
        <v>197</v>
      </c>
      <c r="C11" s="225"/>
      <c r="D11" s="518"/>
      <c r="E11" s="520"/>
      <c r="F11" s="522"/>
      <c r="G11" s="524"/>
      <c r="H11" s="352" t="s">
        <v>202</v>
      </c>
      <c r="I11" s="352"/>
      <c r="J11" s="226"/>
      <c r="K11" s="69" t="s">
        <v>96</v>
      </c>
    </row>
    <row r="12" spans="1:11" ht="15.6" customHeight="1">
      <c r="A12" s="69"/>
      <c r="B12" s="222" t="s">
        <v>219</v>
      </c>
      <c r="C12" s="166"/>
      <c r="D12" s="517" t="s">
        <v>171</v>
      </c>
      <c r="E12" s="519">
        <v>1</v>
      </c>
      <c r="F12" s="521">
        <v>680000</v>
      </c>
      <c r="G12" s="523">
        <v>680000</v>
      </c>
      <c r="H12" s="351"/>
      <c r="I12" s="351"/>
      <c r="J12" s="223"/>
      <c r="K12" s="69" t="s">
        <v>96</v>
      </c>
    </row>
    <row r="13" spans="1:11" ht="15.6" customHeight="1">
      <c r="A13" s="69"/>
      <c r="B13" s="224" t="s">
        <v>211</v>
      </c>
      <c r="C13" s="225"/>
      <c r="D13" s="518"/>
      <c r="E13" s="520"/>
      <c r="F13" s="522"/>
      <c r="G13" s="524"/>
      <c r="H13" s="352" t="s">
        <v>198</v>
      </c>
      <c r="I13" s="352"/>
      <c r="J13" s="226"/>
      <c r="K13" s="69" t="s">
        <v>96</v>
      </c>
    </row>
    <row r="14" spans="1:11" ht="15.6" customHeight="1">
      <c r="A14" s="69"/>
      <c r="B14" s="222" t="s">
        <v>205</v>
      </c>
      <c r="C14" s="166"/>
      <c r="D14" s="517" t="s">
        <v>171</v>
      </c>
      <c r="E14" s="519">
        <v>1</v>
      </c>
      <c r="F14" s="521">
        <v>680000</v>
      </c>
      <c r="G14" s="523">
        <v>680000</v>
      </c>
      <c r="H14" s="351" t="s">
        <v>207</v>
      </c>
      <c r="I14" s="351"/>
      <c r="J14" s="223"/>
      <c r="K14" s="69" t="s">
        <v>96</v>
      </c>
    </row>
    <row r="15" spans="1:11" ht="15.6" customHeight="1">
      <c r="A15" s="69"/>
      <c r="B15" s="224" t="s">
        <v>197</v>
      </c>
      <c r="C15" s="225"/>
      <c r="D15" s="518"/>
      <c r="E15" s="520"/>
      <c r="F15" s="522"/>
      <c r="G15" s="524"/>
      <c r="H15" s="352" t="s">
        <v>202</v>
      </c>
      <c r="I15" s="352"/>
      <c r="J15" s="226"/>
      <c r="K15" s="69" t="s">
        <v>96</v>
      </c>
    </row>
    <row r="16" spans="1:11" ht="15.6" customHeight="1">
      <c r="A16" s="69"/>
      <c r="B16" s="222"/>
      <c r="C16" s="166"/>
      <c r="D16" s="517"/>
      <c r="E16" s="519"/>
      <c r="F16" s="521"/>
      <c r="G16" s="523"/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 t="s">
        <v>220</v>
      </c>
      <c r="C18" s="166"/>
      <c r="D18" s="517"/>
      <c r="E18" s="519"/>
      <c r="F18" s="521"/>
      <c r="G18" s="523">
        <v>9880000</v>
      </c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68"/>
  <sheetViews>
    <sheetView zoomScaleNormal="100" zoomScaleSheetLayoutView="85" workbookViewId="0">
      <pane xSplit="4" ySplit="4" topLeftCell="E59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SMC遠野工場防雪シート設置工事</v>
      </c>
      <c r="G1" s="306"/>
      <c r="H1" s="190" t="s">
        <v>140</v>
      </c>
      <c r="I1" s="333">
        <v>11600000</v>
      </c>
      <c r="J1" s="339">
        <f>I4/I$1</f>
        <v>0.88793103448275867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347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222</v>
      </c>
      <c r="D4" s="340" t="s">
        <v>188</v>
      </c>
      <c r="E4" s="342"/>
      <c r="F4" s="345" t="s">
        <v>171</v>
      </c>
      <c r="G4" s="308">
        <v>1</v>
      </c>
      <c r="H4" s="309">
        <v>10300000</v>
      </c>
      <c r="I4" s="309">
        <v>10300000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223</v>
      </c>
      <c r="D5" s="340" t="s">
        <v>224</v>
      </c>
      <c r="E5" s="342"/>
      <c r="F5" s="345" t="s">
        <v>171</v>
      </c>
      <c r="G5" s="308">
        <v>1</v>
      </c>
      <c r="H5" s="309">
        <v>9880000</v>
      </c>
      <c r="I5" s="309">
        <v>9880000</v>
      </c>
      <c r="J5" s="211"/>
      <c r="K5" s="212" t="str">
        <f>IF(OR(J5="",G5=J5),"","*")</f>
        <v/>
      </c>
      <c r="L5" s="338">
        <f>IF($A5&lt;=L$1,I5/I$4,"")</f>
        <v>0.95922330097087383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223</v>
      </c>
      <c r="D6" s="340" t="s">
        <v>225</v>
      </c>
      <c r="E6" s="342"/>
      <c r="F6" s="345" t="s">
        <v>171</v>
      </c>
      <c r="G6" s="308">
        <v>1</v>
      </c>
      <c r="H6" s="309">
        <v>9200000</v>
      </c>
      <c r="I6" s="309">
        <v>9200000</v>
      </c>
      <c r="J6" s="211"/>
      <c r="K6" s="212" t="str">
        <f>IF(OR(J6="",G6=J6),"","*")</f>
        <v/>
      </c>
      <c r="L6" s="338">
        <f>IF($A6&lt;=L$1,I6/I$4,"")</f>
        <v>0.89320388349514568</v>
      </c>
      <c r="M6" s="343"/>
      <c r="N6" s="344" t="s">
        <v>198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226</v>
      </c>
      <c r="D7" s="340" t="s">
        <v>227</v>
      </c>
      <c r="E7" s="342"/>
      <c r="F7" s="345" t="s">
        <v>171</v>
      </c>
      <c r="G7" s="308">
        <v>1</v>
      </c>
      <c r="H7" s="309">
        <v>5200000</v>
      </c>
      <c r="I7" s="309">
        <v>5200000</v>
      </c>
      <c r="J7" s="211">
        <v>1</v>
      </c>
      <c r="K7" s="212" t="str">
        <f>IF(OR(J7="",G7=J7),"","*")</f>
        <v/>
      </c>
      <c r="L7" s="338">
        <f>IF($A7&lt;=L$1,I7/I$4,"")</f>
        <v>0.50485436893203883</v>
      </c>
      <c r="M7" s="343"/>
      <c r="N7" s="344" t="s">
        <v>228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156</v>
      </c>
      <c r="D8" s="340" t="s">
        <v>229</v>
      </c>
      <c r="E8" s="342"/>
      <c r="F8" s="345" t="s">
        <v>230</v>
      </c>
      <c r="G8" s="308">
        <v>19</v>
      </c>
      <c r="H8" s="309">
        <v>56900</v>
      </c>
      <c r="I8" s="309">
        <v>1081100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 t="s">
        <v>231</v>
      </c>
    </row>
    <row r="9" spans="1:32">
      <c r="A9" s="307">
        <v>4</v>
      </c>
      <c r="B9" s="342"/>
      <c r="C9" s="342" t="s">
        <v>156</v>
      </c>
      <c r="D9" s="340" t="s">
        <v>232</v>
      </c>
      <c r="E9" s="342"/>
      <c r="F9" s="345" t="s">
        <v>233</v>
      </c>
      <c r="G9" s="308">
        <v>19</v>
      </c>
      <c r="H9" s="309">
        <v>8700</v>
      </c>
      <c r="I9" s="309">
        <v>165300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 t="s">
        <v>234</v>
      </c>
    </row>
    <row r="10" spans="1:32">
      <c r="A10" s="307">
        <v>4</v>
      </c>
      <c r="B10" s="342"/>
      <c r="C10" s="342" t="s">
        <v>156</v>
      </c>
      <c r="D10" s="340" t="s">
        <v>235</v>
      </c>
      <c r="E10" s="342"/>
      <c r="F10" s="345" t="s">
        <v>236</v>
      </c>
      <c r="G10" s="308">
        <v>7</v>
      </c>
      <c r="H10" s="309">
        <v>8880</v>
      </c>
      <c r="I10" s="309">
        <v>62160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 t="s">
        <v>237</v>
      </c>
    </row>
    <row r="11" spans="1:32">
      <c r="A11" s="307">
        <v>4</v>
      </c>
      <c r="B11" s="342"/>
      <c r="C11" s="342" t="s">
        <v>156</v>
      </c>
      <c r="D11" s="340" t="s">
        <v>238</v>
      </c>
      <c r="E11" s="342"/>
      <c r="F11" s="345" t="s">
        <v>230</v>
      </c>
      <c r="G11" s="308">
        <v>7</v>
      </c>
      <c r="H11" s="309">
        <v>3320</v>
      </c>
      <c r="I11" s="309">
        <v>23240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 t="s">
        <v>239</v>
      </c>
    </row>
    <row r="12" spans="1:32">
      <c r="A12" s="307">
        <v>4</v>
      </c>
      <c r="B12" s="342"/>
      <c r="C12" s="342" t="s">
        <v>156</v>
      </c>
      <c r="D12" s="340" t="s">
        <v>240</v>
      </c>
      <c r="E12" s="342"/>
      <c r="F12" s="345" t="s">
        <v>230</v>
      </c>
      <c r="G12" s="308">
        <v>4</v>
      </c>
      <c r="H12" s="309">
        <v>72000</v>
      </c>
      <c r="I12" s="309">
        <v>288000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 t="s">
        <v>241</v>
      </c>
    </row>
    <row r="13" spans="1:32">
      <c r="A13" s="307">
        <v>4</v>
      </c>
      <c r="B13" s="342"/>
      <c r="C13" s="342" t="s">
        <v>156</v>
      </c>
      <c r="D13" s="340" t="s">
        <v>242</v>
      </c>
      <c r="E13" s="342"/>
      <c r="F13" s="345" t="s">
        <v>233</v>
      </c>
      <c r="G13" s="308">
        <v>7</v>
      </c>
      <c r="H13" s="309">
        <v>3900</v>
      </c>
      <c r="I13" s="309">
        <v>27300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 t="s">
        <v>243</v>
      </c>
    </row>
    <row r="14" spans="1:32">
      <c r="A14" s="307">
        <v>4</v>
      </c>
      <c r="B14" s="342"/>
      <c r="C14" s="342" t="s">
        <v>156</v>
      </c>
      <c r="D14" s="340" t="s">
        <v>244</v>
      </c>
      <c r="E14" s="342"/>
      <c r="F14" s="345" t="s">
        <v>230</v>
      </c>
      <c r="G14" s="308">
        <v>19</v>
      </c>
      <c r="H14" s="309">
        <v>10130</v>
      </c>
      <c r="I14" s="309">
        <v>192470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 t="s">
        <v>245</v>
      </c>
    </row>
    <row r="15" spans="1:32">
      <c r="A15" s="307">
        <v>4</v>
      </c>
      <c r="B15" s="342"/>
      <c r="C15" s="342" t="s">
        <v>156</v>
      </c>
      <c r="D15" s="340" t="s">
        <v>244</v>
      </c>
      <c r="E15" s="342"/>
      <c r="F15" s="345" t="s">
        <v>230</v>
      </c>
      <c r="G15" s="308">
        <v>19</v>
      </c>
      <c r="H15" s="309">
        <v>14400</v>
      </c>
      <c r="I15" s="309">
        <v>273600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 t="s">
        <v>246</v>
      </c>
    </row>
    <row r="16" spans="1:32">
      <c r="A16" s="307">
        <v>4</v>
      </c>
      <c r="B16" s="342"/>
      <c r="C16" s="342" t="s">
        <v>156</v>
      </c>
      <c r="D16" s="340" t="s">
        <v>247</v>
      </c>
      <c r="E16" s="342"/>
      <c r="F16" s="345" t="s">
        <v>233</v>
      </c>
      <c r="G16" s="308">
        <v>19</v>
      </c>
      <c r="H16" s="309">
        <v>8250</v>
      </c>
      <c r="I16" s="309">
        <v>156750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 t="s">
        <v>248</v>
      </c>
    </row>
    <row r="17" spans="1:32">
      <c r="A17" s="307">
        <v>4</v>
      </c>
      <c r="B17" s="342"/>
      <c r="C17" s="342" t="s">
        <v>156</v>
      </c>
      <c r="D17" s="340" t="s">
        <v>247</v>
      </c>
      <c r="E17" s="342"/>
      <c r="F17" s="345" t="s">
        <v>233</v>
      </c>
      <c r="G17" s="308">
        <v>19</v>
      </c>
      <c r="H17" s="309">
        <v>8630</v>
      </c>
      <c r="I17" s="309">
        <v>163970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 t="s">
        <v>249</v>
      </c>
    </row>
    <row r="18" spans="1:32">
      <c r="A18" s="307">
        <v>4</v>
      </c>
      <c r="B18" s="342"/>
      <c r="C18" s="342" t="s">
        <v>156</v>
      </c>
      <c r="D18" s="340" t="s">
        <v>250</v>
      </c>
      <c r="E18" s="342"/>
      <c r="F18" s="345" t="s">
        <v>233</v>
      </c>
      <c r="G18" s="308">
        <v>57</v>
      </c>
      <c r="H18" s="309">
        <v>3900</v>
      </c>
      <c r="I18" s="309">
        <v>222300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 t="s">
        <v>251</v>
      </c>
    </row>
    <row r="19" spans="1:32">
      <c r="A19" s="307">
        <v>4</v>
      </c>
      <c r="B19" s="342"/>
      <c r="C19" s="342" t="s">
        <v>156</v>
      </c>
      <c r="D19" s="340" t="s">
        <v>250</v>
      </c>
      <c r="E19" s="342"/>
      <c r="F19" s="345" t="s">
        <v>233</v>
      </c>
      <c r="G19" s="308">
        <v>38</v>
      </c>
      <c r="H19" s="309">
        <v>4160</v>
      </c>
      <c r="I19" s="309">
        <v>158080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 t="s">
        <v>252</v>
      </c>
    </row>
    <row r="20" spans="1:32">
      <c r="A20" s="307">
        <v>4</v>
      </c>
      <c r="B20" s="342"/>
      <c r="C20" s="342" t="s">
        <v>156</v>
      </c>
      <c r="D20" s="340" t="s">
        <v>253</v>
      </c>
      <c r="E20" s="342"/>
      <c r="F20" s="345" t="s">
        <v>233</v>
      </c>
      <c r="G20" s="308">
        <v>57</v>
      </c>
      <c r="H20" s="309">
        <v>480</v>
      </c>
      <c r="I20" s="309">
        <v>27360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 t="s">
        <v>254</v>
      </c>
    </row>
    <row r="21" spans="1:32">
      <c r="A21" s="307">
        <v>4</v>
      </c>
      <c r="B21" s="342"/>
      <c r="C21" s="342" t="s">
        <v>156</v>
      </c>
      <c r="D21" s="340" t="s">
        <v>255</v>
      </c>
      <c r="E21" s="342"/>
      <c r="F21" s="345" t="s">
        <v>233</v>
      </c>
      <c r="G21" s="308">
        <v>76</v>
      </c>
      <c r="H21" s="309">
        <v>690</v>
      </c>
      <c r="I21" s="309">
        <v>52440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 t="s">
        <v>256</v>
      </c>
    </row>
    <row r="22" spans="1:32">
      <c r="A22" s="307">
        <v>4</v>
      </c>
      <c r="B22" s="342"/>
      <c r="C22" s="342" t="s">
        <v>156</v>
      </c>
      <c r="D22" s="340" t="s">
        <v>257</v>
      </c>
      <c r="E22" s="342"/>
      <c r="F22" s="345" t="s">
        <v>233</v>
      </c>
      <c r="G22" s="308">
        <v>38</v>
      </c>
      <c r="H22" s="309">
        <v>230</v>
      </c>
      <c r="I22" s="309">
        <v>8740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 t="s">
        <v>258</v>
      </c>
    </row>
    <row r="23" spans="1:32">
      <c r="A23" s="307">
        <v>4</v>
      </c>
      <c r="B23" s="342"/>
      <c r="C23" s="342" t="s">
        <v>156</v>
      </c>
      <c r="D23" s="340" t="s">
        <v>257</v>
      </c>
      <c r="E23" s="342"/>
      <c r="F23" s="345" t="s">
        <v>233</v>
      </c>
      <c r="G23" s="308">
        <v>7</v>
      </c>
      <c r="H23" s="309">
        <v>330</v>
      </c>
      <c r="I23" s="309">
        <v>2310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 t="s">
        <v>259</v>
      </c>
    </row>
    <row r="24" spans="1:32">
      <c r="A24" s="307">
        <v>4</v>
      </c>
      <c r="B24" s="342"/>
      <c r="C24" s="342" t="s">
        <v>156</v>
      </c>
      <c r="D24" s="340" t="s">
        <v>260</v>
      </c>
      <c r="E24" s="342"/>
      <c r="F24" s="345" t="s">
        <v>261</v>
      </c>
      <c r="G24" s="308">
        <v>780</v>
      </c>
      <c r="H24" s="309">
        <v>460</v>
      </c>
      <c r="I24" s="309">
        <v>358800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 t="s">
        <v>262</v>
      </c>
    </row>
    <row r="25" spans="1:32">
      <c r="A25" s="307">
        <v>4</v>
      </c>
      <c r="B25" s="342"/>
      <c r="C25" s="342" t="s">
        <v>156</v>
      </c>
      <c r="D25" s="340" t="s">
        <v>263</v>
      </c>
      <c r="E25" s="342"/>
      <c r="F25" s="345" t="s">
        <v>230</v>
      </c>
      <c r="G25" s="308">
        <v>148</v>
      </c>
      <c r="H25" s="309">
        <v>620</v>
      </c>
      <c r="I25" s="309">
        <v>91760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 t="s">
        <v>264</v>
      </c>
    </row>
    <row r="26" spans="1:32">
      <c r="A26" s="307">
        <v>4</v>
      </c>
      <c r="B26" s="342"/>
      <c r="C26" s="342" t="s">
        <v>156</v>
      </c>
      <c r="D26" s="340" t="s">
        <v>265</v>
      </c>
      <c r="E26" s="342"/>
      <c r="F26" s="345" t="s">
        <v>233</v>
      </c>
      <c r="G26" s="308">
        <v>112</v>
      </c>
      <c r="H26" s="309">
        <v>290</v>
      </c>
      <c r="I26" s="309">
        <v>32480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 t="s">
        <v>266</v>
      </c>
    </row>
    <row r="27" spans="1:32">
      <c r="A27" s="307">
        <v>4</v>
      </c>
      <c r="B27" s="342"/>
      <c r="C27" s="342" t="s">
        <v>156</v>
      </c>
      <c r="D27" s="340" t="s">
        <v>267</v>
      </c>
      <c r="E27" s="342"/>
      <c r="F27" s="345" t="s">
        <v>261</v>
      </c>
      <c r="G27" s="308">
        <v>79</v>
      </c>
      <c r="H27" s="309">
        <v>240</v>
      </c>
      <c r="I27" s="309">
        <v>18960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 t="s">
        <v>268</v>
      </c>
    </row>
    <row r="28" spans="1:32">
      <c r="A28" s="307">
        <v>4</v>
      </c>
      <c r="B28" s="342"/>
      <c r="C28" s="342" t="s">
        <v>156</v>
      </c>
      <c r="D28" s="340" t="s">
        <v>269</v>
      </c>
      <c r="E28" s="342"/>
      <c r="F28" s="345" t="s">
        <v>233</v>
      </c>
      <c r="G28" s="308">
        <v>152</v>
      </c>
      <c r="H28" s="309">
        <v>210</v>
      </c>
      <c r="I28" s="309">
        <v>31920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 t="s">
        <v>270</v>
      </c>
    </row>
    <row r="29" spans="1:32">
      <c r="A29" s="307">
        <v>4</v>
      </c>
      <c r="B29" s="342"/>
      <c r="C29" s="342" t="s">
        <v>156</v>
      </c>
      <c r="D29" s="340" t="s">
        <v>269</v>
      </c>
      <c r="E29" s="342"/>
      <c r="F29" s="345" t="s">
        <v>233</v>
      </c>
      <c r="G29" s="308">
        <v>144</v>
      </c>
      <c r="H29" s="309">
        <v>240</v>
      </c>
      <c r="I29" s="309">
        <v>34560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 t="s">
        <v>271</v>
      </c>
    </row>
    <row r="30" spans="1:32">
      <c r="A30" s="307">
        <v>4</v>
      </c>
      <c r="B30" s="342"/>
      <c r="C30" s="342" t="s">
        <v>156</v>
      </c>
      <c r="D30" s="340" t="s">
        <v>272</v>
      </c>
      <c r="E30" s="342"/>
      <c r="F30" s="345" t="s">
        <v>233</v>
      </c>
      <c r="G30" s="308">
        <v>38</v>
      </c>
      <c r="H30" s="309">
        <v>910</v>
      </c>
      <c r="I30" s="309">
        <v>34580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 t="s">
        <v>273</v>
      </c>
    </row>
    <row r="31" spans="1:32">
      <c r="A31" s="307">
        <v>4</v>
      </c>
      <c r="B31" s="342"/>
      <c r="C31" s="342" t="s">
        <v>156</v>
      </c>
      <c r="D31" s="340" t="s">
        <v>272</v>
      </c>
      <c r="E31" s="342"/>
      <c r="F31" s="345" t="s">
        <v>233</v>
      </c>
      <c r="G31" s="308">
        <v>24</v>
      </c>
      <c r="H31" s="309">
        <v>1400</v>
      </c>
      <c r="I31" s="309">
        <v>33600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 t="s">
        <v>274</v>
      </c>
    </row>
    <row r="32" spans="1:32">
      <c r="A32" s="307">
        <v>4</v>
      </c>
      <c r="B32" s="342"/>
      <c r="C32" s="342" t="s">
        <v>156</v>
      </c>
      <c r="D32" s="340" t="s">
        <v>272</v>
      </c>
      <c r="E32" s="342"/>
      <c r="F32" s="345" t="s">
        <v>233</v>
      </c>
      <c r="G32" s="308">
        <v>43</v>
      </c>
      <c r="H32" s="309">
        <v>1940</v>
      </c>
      <c r="I32" s="309">
        <v>83420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 t="s">
        <v>275</v>
      </c>
    </row>
    <row r="33" spans="1:32">
      <c r="A33" s="307">
        <v>4</v>
      </c>
      <c r="B33" s="342"/>
      <c r="C33" s="342" t="s">
        <v>156</v>
      </c>
      <c r="D33" s="340" t="s">
        <v>276</v>
      </c>
      <c r="E33" s="342"/>
      <c r="F33" s="345" t="s">
        <v>277</v>
      </c>
      <c r="G33" s="308">
        <v>18</v>
      </c>
      <c r="H33" s="309">
        <v>25500</v>
      </c>
      <c r="I33" s="309">
        <v>459000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 t="s">
        <v>278</v>
      </c>
    </row>
    <row r="34" spans="1:32">
      <c r="A34" s="307">
        <v>4</v>
      </c>
      <c r="B34" s="342"/>
      <c r="C34" s="342" t="s">
        <v>156</v>
      </c>
      <c r="D34" s="340" t="s">
        <v>279</v>
      </c>
      <c r="E34" s="342"/>
      <c r="F34" s="345" t="s">
        <v>277</v>
      </c>
      <c r="G34" s="308">
        <v>18</v>
      </c>
      <c r="H34" s="309">
        <v>56250</v>
      </c>
      <c r="I34" s="309">
        <v>1012500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 t="s">
        <v>280</v>
      </c>
    </row>
    <row r="35" spans="1:32">
      <c r="A35" s="307">
        <v>4</v>
      </c>
      <c r="B35" s="342"/>
      <c r="C35" s="342" t="s">
        <v>156</v>
      </c>
      <c r="D35" s="340" t="s">
        <v>281</v>
      </c>
      <c r="E35" s="342"/>
      <c r="F35" s="345" t="s">
        <v>261</v>
      </c>
      <c r="G35" s="308">
        <v>1600</v>
      </c>
      <c r="H35" s="309">
        <v>60</v>
      </c>
      <c r="I35" s="309">
        <v>96000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 t="s">
        <v>282</v>
      </c>
    </row>
    <row r="36" spans="1:32">
      <c r="A36" s="307">
        <v>4</v>
      </c>
      <c r="B36" s="342"/>
      <c r="C36" s="342" t="s">
        <v>156</v>
      </c>
      <c r="D36" s="340" t="s">
        <v>283</v>
      </c>
      <c r="E36" s="342"/>
      <c r="F36" s="345" t="s">
        <v>171</v>
      </c>
      <c r="G36" s="308">
        <v>1</v>
      </c>
      <c r="H36" s="309">
        <v>27300</v>
      </c>
      <c r="I36" s="309">
        <v>27300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4</v>
      </c>
      <c r="B37" s="342"/>
      <c r="C37" s="342" t="s">
        <v>156</v>
      </c>
      <c r="D37" s="340" t="s">
        <v>284</v>
      </c>
      <c r="E37" s="342"/>
      <c r="F37" s="345" t="s">
        <v>171</v>
      </c>
      <c r="G37" s="308">
        <v>1</v>
      </c>
      <c r="H37" s="309">
        <v>-20000</v>
      </c>
      <c r="I37" s="309">
        <v>-20000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/>
    </row>
    <row r="38" spans="1:32">
      <c r="A38" s="307">
        <v>3</v>
      </c>
      <c r="B38" s="342"/>
      <c r="C38" s="342" t="s">
        <v>226</v>
      </c>
      <c r="D38" s="340" t="s">
        <v>285</v>
      </c>
      <c r="E38" s="342"/>
      <c r="F38" s="345" t="s">
        <v>171</v>
      </c>
      <c r="G38" s="308">
        <v>1</v>
      </c>
      <c r="H38" s="309">
        <v>4000000</v>
      </c>
      <c r="I38" s="309">
        <v>4000000</v>
      </c>
      <c r="J38" s="211">
        <v>1</v>
      </c>
      <c r="K38" s="212" t="str">
        <f>IF(OR(J38="",G38=J38),"","*")</f>
        <v/>
      </c>
      <c r="L38" s="338">
        <f>IF($A38&lt;=L$1,I38/I$4,"")</f>
        <v>0.38834951456310679</v>
      </c>
      <c r="M38" s="343"/>
      <c r="N38" s="344" t="s">
        <v>286</v>
      </c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/>
    </row>
    <row r="39" spans="1:32">
      <c r="A39" s="307">
        <v>4</v>
      </c>
      <c r="B39" s="342"/>
      <c r="C39" s="342" t="s">
        <v>182</v>
      </c>
      <c r="D39" s="340" t="s">
        <v>287</v>
      </c>
      <c r="E39" s="342"/>
      <c r="F39" s="345" t="s">
        <v>230</v>
      </c>
      <c r="G39" s="308">
        <v>19</v>
      </c>
      <c r="H39" s="309">
        <v>41800</v>
      </c>
      <c r="I39" s="309">
        <v>794200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/>
      <c r="AF39" s="341" t="s">
        <v>288</v>
      </c>
    </row>
    <row r="40" spans="1:32">
      <c r="A40" s="307">
        <v>4</v>
      </c>
      <c r="B40" s="342"/>
      <c r="C40" s="342" t="s">
        <v>182</v>
      </c>
      <c r="D40" s="340" t="s">
        <v>289</v>
      </c>
      <c r="E40" s="342"/>
      <c r="F40" s="345" t="s">
        <v>236</v>
      </c>
      <c r="G40" s="308">
        <v>19</v>
      </c>
      <c r="H40" s="309">
        <v>13100</v>
      </c>
      <c r="I40" s="309">
        <v>248900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 t="s">
        <v>290</v>
      </c>
    </row>
    <row r="41" spans="1:32">
      <c r="A41" s="307">
        <v>4</v>
      </c>
      <c r="B41" s="342"/>
      <c r="C41" s="342" t="s">
        <v>182</v>
      </c>
      <c r="D41" s="340" t="s">
        <v>291</v>
      </c>
      <c r="E41" s="342"/>
      <c r="F41" s="345" t="s">
        <v>236</v>
      </c>
      <c r="G41" s="308">
        <v>7</v>
      </c>
      <c r="H41" s="309">
        <v>8700</v>
      </c>
      <c r="I41" s="309">
        <v>60900</v>
      </c>
      <c r="J41" s="211"/>
      <c r="K41" s="212" t="str">
        <f>IF(OR(J41="",G41=J41),"","*")</f>
        <v/>
      </c>
      <c r="L41" s="338" t="str">
        <f>IF($A41&lt;=L$1,I41/I$4,"")</f>
        <v/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 t="s">
        <v>237</v>
      </c>
    </row>
    <row r="42" spans="1:32">
      <c r="A42" s="307">
        <v>4</v>
      </c>
      <c r="B42" s="342"/>
      <c r="C42" s="342" t="s">
        <v>182</v>
      </c>
      <c r="D42" s="340" t="s">
        <v>292</v>
      </c>
      <c r="E42" s="342"/>
      <c r="F42" s="345" t="s">
        <v>230</v>
      </c>
      <c r="G42" s="308">
        <v>4</v>
      </c>
      <c r="H42" s="309">
        <v>32900</v>
      </c>
      <c r="I42" s="309">
        <v>131600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 t="s">
        <v>293</v>
      </c>
    </row>
    <row r="43" spans="1:32">
      <c r="A43" s="307">
        <v>4</v>
      </c>
      <c r="B43" s="342"/>
      <c r="C43" s="342" t="s">
        <v>182</v>
      </c>
      <c r="D43" s="340" t="s">
        <v>294</v>
      </c>
      <c r="E43" s="342"/>
      <c r="F43" s="345" t="s">
        <v>230</v>
      </c>
      <c r="G43" s="308">
        <v>19</v>
      </c>
      <c r="H43" s="309">
        <v>9200</v>
      </c>
      <c r="I43" s="309">
        <v>174800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 t="s">
        <v>295</v>
      </c>
    </row>
    <row r="44" spans="1:32">
      <c r="A44" s="307">
        <v>4</v>
      </c>
      <c r="B44" s="342"/>
      <c r="C44" s="342" t="s">
        <v>182</v>
      </c>
      <c r="D44" s="340" t="s">
        <v>296</v>
      </c>
      <c r="E44" s="342"/>
      <c r="F44" s="345" t="s">
        <v>236</v>
      </c>
      <c r="G44" s="308">
        <v>19</v>
      </c>
      <c r="H44" s="309">
        <v>13500</v>
      </c>
      <c r="I44" s="309">
        <v>256500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/>
    </row>
    <row r="45" spans="1:32">
      <c r="A45" s="307">
        <v>4</v>
      </c>
      <c r="B45" s="342"/>
      <c r="C45" s="342" t="s">
        <v>182</v>
      </c>
      <c r="D45" s="340" t="s">
        <v>297</v>
      </c>
      <c r="E45" s="342"/>
      <c r="F45" s="345" t="s">
        <v>261</v>
      </c>
      <c r="G45" s="308">
        <v>780</v>
      </c>
      <c r="H45" s="309">
        <v>260</v>
      </c>
      <c r="I45" s="309">
        <v>202800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/>
      <c r="AF45" s="341" t="s">
        <v>262</v>
      </c>
    </row>
    <row r="46" spans="1:32">
      <c r="A46" s="307">
        <v>4</v>
      </c>
      <c r="B46" s="342"/>
      <c r="C46" s="342" t="s">
        <v>182</v>
      </c>
      <c r="D46" s="340" t="s">
        <v>298</v>
      </c>
      <c r="E46" s="342"/>
      <c r="F46" s="345" t="s">
        <v>261</v>
      </c>
      <c r="G46" s="308">
        <v>79</v>
      </c>
      <c r="H46" s="309">
        <v>210</v>
      </c>
      <c r="I46" s="309">
        <v>16590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 t="s">
        <v>268</v>
      </c>
    </row>
    <row r="47" spans="1:32">
      <c r="A47" s="307">
        <v>4</v>
      </c>
      <c r="B47" s="342"/>
      <c r="C47" s="342" t="s">
        <v>182</v>
      </c>
      <c r="D47" s="340" t="s">
        <v>299</v>
      </c>
      <c r="E47" s="342"/>
      <c r="F47" s="345" t="s">
        <v>300</v>
      </c>
      <c r="G47" s="308">
        <v>472.32</v>
      </c>
      <c r="H47" s="309">
        <v>740</v>
      </c>
      <c r="I47" s="309">
        <v>349516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/>
      <c r="AF47" s="341"/>
    </row>
    <row r="48" spans="1:32">
      <c r="A48" s="307">
        <v>4</v>
      </c>
      <c r="B48" s="342"/>
      <c r="C48" s="342" t="s">
        <v>182</v>
      </c>
      <c r="D48" s="340" t="s">
        <v>301</v>
      </c>
      <c r="E48" s="342"/>
      <c r="F48" s="345" t="s">
        <v>230</v>
      </c>
      <c r="G48" s="308">
        <v>19</v>
      </c>
      <c r="H48" s="309">
        <v>3300</v>
      </c>
      <c r="I48" s="309">
        <v>62700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 t="s">
        <v>302</v>
      </c>
    </row>
    <row r="49" spans="1:32">
      <c r="A49" s="307">
        <v>4</v>
      </c>
      <c r="B49" s="342"/>
      <c r="C49" s="342" t="s">
        <v>182</v>
      </c>
      <c r="D49" s="340" t="s">
        <v>303</v>
      </c>
      <c r="E49" s="342"/>
      <c r="F49" s="345" t="s">
        <v>304</v>
      </c>
      <c r="G49" s="308">
        <v>15</v>
      </c>
      <c r="H49" s="309">
        <v>22500</v>
      </c>
      <c r="I49" s="309">
        <v>337500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 t="s">
        <v>305</v>
      </c>
    </row>
    <row r="50" spans="1:32">
      <c r="A50" s="307">
        <v>4</v>
      </c>
      <c r="B50" s="342"/>
      <c r="C50" s="342" t="s">
        <v>182</v>
      </c>
      <c r="D50" s="340" t="s">
        <v>306</v>
      </c>
      <c r="E50" s="342"/>
      <c r="F50" s="345" t="s">
        <v>304</v>
      </c>
      <c r="G50" s="308">
        <v>6</v>
      </c>
      <c r="H50" s="309">
        <v>26250</v>
      </c>
      <c r="I50" s="309">
        <v>157500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/>
    </row>
    <row r="51" spans="1:32">
      <c r="A51" s="307">
        <v>4</v>
      </c>
      <c r="B51" s="342"/>
      <c r="C51" s="342" t="s">
        <v>182</v>
      </c>
      <c r="D51" s="340" t="s">
        <v>307</v>
      </c>
      <c r="E51" s="342"/>
      <c r="F51" s="345" t="s">
        <v>308</v>
      </c>
      <c r="G51" s="308">
        <v>1</v>
      </c>
      <c r="H51" s="309">
        <v>22500</v>
      </c>
      <c r="I51" s="309">
        <v>22500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/>
    </row>
    <row r="52" spans="1:32">
      <c r="A52" s="307">
        <v>4</v>
      </c>
      <c r="B52" s="342"/>
      <c r="C52" s="342" t="s">
        <v>182</v>
      </c>
      <c r="D52" s="340" t="s">
        <v>309</v>
      </c>
      <c r="E52" s="342"/>
      <c r="F52" s="345" t="s">
        <v>171</v>
      </c>
      <c r="G52" s="308">
        <v>1</v>
      </c>
      <c r="H52" s="309">
        <v>585000</v>
      </c>
      <c r="I52" s="309">
        <v>585000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/>
    </row>
    <row r="53" spans="1:32">
      <c r="A53" s="307">
        <v>4</v>
      </c>
      <c r="B53" s="342"/>
      <c r="C53" s="342" t="s">
        <v>182</v>
      </c>
      <c r="D53" s="340" t="s">
        <v>310</v>
      </c>
      <c r="E53" s="342"/>
      <c r="F53" s="345" t="s">
        <v>171</v>
      </c>
      <c r="G53" s="308">
        <v>1</v>
      </c>
      <c r="H53" s="309">
        <v>71300</v>
      </c>
      <c r="I53" s="309">
        <v>71300</v>
      </c>
      <c r="J53" s="211"/>
      <c r="K53" s="212" t="str">
        <f>IF(OR(J53="",G53=J53),"","*")</f>
        <v/>
      </c>
      <c r="L53" s="338" t="str">
        <f>IF($A53&lt;=L$1,I53/I$4,"")</f>
        <v/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/>
    </row>
    <row r="54" spans="1:32">
      <c r="A54" s="307">
        <v>4</v>
      </c>
      <c r="B54" s="342"/>
      <c r="C54" s="342" t="s">
        <v>182</v>
      </c>
      <c r="D54" s="340" t="s">
        <v>311</v>
      </c>
      <c r="E54" s="342"/>
      <c r="F54" s="345" t="s">
        <v>171</v>
      </c>
      <c r="G54" s="308">
        <v>1</v>
      </c>
      <c r="H54" s="309">
        <v>303000</v>
      </c>
      <c r="I54" s="309">
        <v>303000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/>
    </row>
    <row r="55" spans="1:32">
      <c r="A55" s="307">
        <v>4</v>
      </c>
      <c r="B55" s="342"/>
      <c r="C55" s="342" t="s">
        <v>182</v>
      </c>
      <c r="D55" s="340" t="s">
        <v>312</v>
      </c>
      <c r="E55" s="342"/>
      <c r="F55" s="345" t="s">
        <v>171</v>
      </c>
      <c r="G55" s="308">
        <v>1</v>
      </c>
      <c r="H55" s="309">
        <v>225000</v>
      </c>
      <c r="I55" s="309">
        <v>225000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/>
    </row>
    <row r="56" spans="1:32">
      <c r="A56" s="307">
        <v>4</v>
      </c>
      <c r="B56" s="342"/>
      <c r="C56" s="342" t="s">
        <v>182</v>
      </c>
      <c r="D56" s="340" t="s">
        <v>284</v>
      </c>
      <c r="E56" s="342"/>
      <c r="F56" s="345" t="s">
        <v>171</v>
      </c>
      <c r="G56" s="308">
        <v>1</v>
      </c>
      <c r="H56" s="309">
        <v>-306</v>
      </c>
      <c r="I56" s="309">
        <v>-306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2</v>
      </c>
      <c r="B57" s="342"/>
      <c r="C57" s="342" t="s">
        <v>223</v>
      </c>
      <c r="D57" s="340" t="s">
        <v>313</v>
      </c>
      <c r="E57" s="342"/>
      <c r="F57" s="345" t="s">
        <v>171</v>
      </c>
      <c r="G57" s="308">
        <v>1</v>
      </c>
      <c r="H57" s="309">
        <v>680000</v>
      </c>
      <c r="I57" s="309">
        <v>680000</v>
      </c>
      <c r="J57" s="211"/>
      <c r="K57" s="212" t="str">
        <f>IF(OR(J57="",G57=J57),"","*")</f>
        <v/>
      </c>
      <c r="L57" s="338">
        <f>IF($A57&lt;=L$1,I57/I$4,"")</f>
        <v>6.6019417475728162E-2</v>
      </c>
      <c r="M57" s="343"/>
      <c r="N57" s="344" t="s">
        <v>198</v>
      </c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/>
    </row>
    <row r="58" spans="1:32">
      <c r="A58" s="307">
        <v>3</v>
      </c>
      <c r="B58" s="342"/>
      <c r="C58" s="342" t="s">
        <v>226</v>
      </c>
      <c r="D58" s="340" t="s">
        <v>314</v>
      </c>
      <c r="E58" s="342"/>
      <c r="F58" s="345" t="s">
        <v>171</v>
      </c>
      <c r="G58" s="308">
        <v>1</v>
      </c>
      <c r="H58" s="309">
        <v>680000</v>
      </c>
      <c r="I58" s="309">
        <v>680000</v>
      </c>
      <c r="J58" s="211">
        <v>1</v>
      </c>
      <c r="K58" s="212" t="str">
        <f>IF(OR(J58="",G58=J58),"","*")</f>
        <v/>
      </c>
      <c r="L58" s="338">
        <f>IF($A58&lt;=L$1,I58/I$4,"")</f>
        <v>6.6019417475728162E-2</v>
      </c>
      <c r="M58" s="343"/>
      <c r="N58" s="344" t="s">
        <v>315</v>
      </c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/>
    </row>
    <row r="59" spans="1:32">
      <c r="A59" s="307">
        <v>4</v>
      </c>
      <c r="B59" s="342"/>
      <c r="C59" s="342" t="s">
        <v>156</v>
      </c>
      <c r="D59" s="340" t="s">
        <v>316</v>
      </c>
      <c r="E59" s="342" t="s">
        <v>317</v>
      </c>
      <c r="F59" s="345" t="s">
        <v>318</v>
      </c>
      <c r="G59" s="308">
        <v>60</v>
      </c>
      <c r="H59" s="309">
        <v>2500</v>
      </c>
      <c r="I59" s="309">
        <v>150000</v>
      </c>
      <c r="J59" s="211"/>
      <c r="K59" s="212" t="str">
        <f>IF(OR(J59="",G59=J59),"","*")</f>
        <v/>
      </c>
      <c r="L59" s="338" t="str">
        <f>IF($A59&lt;=L$1,I59/I$4,"")</f>
        <v/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319</v>
      </c>
      <c r="AF59" s="341"/>
    </row>
    <row r="60" spans="1:32">
      <c r="A60" s="307">
        <v>4</v>
      </c>
      <c r="B60" s="342"/>
      <c r="C60" s="342" t="s">
        <v>156</v>
      </c>
      <c r="D60" s="340" t="s">
        <v>320</v>
      </c>
      <c r="E60" s="342"/>
      <c r="F60" s="345" t="s">
        <v>171</v>
      </c>
      <c r="G60" s="308">
        <v>1</v>
      </c>
      <c r="H60" s="309">
        <v>118000</v>
      </c>
      <c r="I60" s="309">
        <v>118000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 t="s">
        <v>321</v>
      </c>
    </row>
    <row r="61" spans="1:32">
      <c r="A61" s="307">
        <v>4</v>
      </c>
      <c r="B61" s="342"/>
      <c r="C61" s="342" t="s">
        <v>156</v>
      </c>
      <c r="D61" s="340" t="s">
        <v>322</v>
      </c>
      <c r="E61" s="342"/>
      <c r="F61" s="345" t="s">
        <v>171</v>
      </c>
      <c r="G61" s="308">
        <v>1</v>
      </c>
      <c r="H61" s="309">
        <v>3500</v>
      </c>
      <c r="I61" s="309">
        <v>3500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323</v>
      </c>
      <c r="AF61" s="341"/>
    </row>
    <row r="62" spans="1:32">
      <c r="A62" s="307">
        <v>4</v>
      </c>
      <c r="B62" s="342"/>
      <c r="C62" s="342" t="s">
        <v>181</v>
      </c>
      <c r="D62" s="340" t="s">
        <v>324</v>
      </c>
      <c r="E62" s="342" t="s">
        <v>325</v>
      </c>
      <c r="F62" s="345" t="s">
        <v>326</v>
      </c>
      <c r="G62" s="308">
        <v>5</v>
      </c>
      <c r="H62" s="309">
        <v>20000</v>
      </c>
      <c r="I62" s="309">
        <v>100000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327</v>
      </c>
      <c r="AF62" s="341" t="s">
        <v>328</v>
      </c>
    </row>
    <row r="63" spans="1:32">
      <c r="A63" s="307">
        <v>4</v>
      </c>
      <c r="B63" s="342"/>
      <c r="C63" s="342" t="s">
        <v>182</v>
      </c>
      <c r="D63" s="340" t="s">
        <v>329</v>
      </c>
      <c r="E63" s="342"/>
      <c r="F63" s="345" t="s">
        <v>326</v>
      </c>
      <c r="G63" s="308">
        <v>10</v>
      </c>
      <c r="H63" s="309">
        <v>20000</v>
      </c>
      <c r="I63" s="309">
        <v>200000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330</v>
      </c>
      <c r="AF63" s="341" t="s">
        <v>331</v>
      </c>
    </row>
    <row r="64" spans="1:32">
      <c r="A64" s="307">
        <v>4</v>
      </c>
      <c r="B64" s="342"/>
      <c r="C64" s="342" t="s">
        <v>183</v>
      </c>
      <c r="D64" s="340" t="s">
        <v>332</v>
      </c>
      <c r="E64" s="342" t="s">
        <v>333</v>
      </c>
      <c r="F64" s="345" t="s">
        <v>334</v>
      </c>
      <c r="G64" s="308">
        <v>1</v>
      </c>
      <c r="H64" s="309">
        <v>12000</v>
      </c>
      <c r="I64" s="309">
        <v>12000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335</v>
      </c>
      <c r="AF64" s="341" t="s">
        <v>336</v>
      </c>
    </row>
    <row r="65" spans="1:32">
      <c r="A65" s="307">
        <v>4</v>
      </c>
      <c r="B65" s="342"/>
      <c r="C65" s="342" t="s">
        <v>183</v>
      </c>
      <c r="D65" s="340" t="s">
        <v>337</v>
      </c>
      <c r="E65" s="342" t="s">
        <v>338</v>
      </c>
      <c r="F65" s="345" t="s">
        <v>334</v>
      </c>
      <c r="G65" s="308">
        <v>1</v>
      </c>
      <c r="H65" s="309">
        <v>4500</v>
      </c>
      <c r="I65" s="309">
        <v>4500</v>
      </c>
      <c r="J65" s="211"/>
      <c r="K65" s="212" t="str">
        <f>IF(OR(J65="",G65=J65),"","*")</f>
        <v/>
      </c>
      <c r="L65" s="338" t="str">
        <f>IF($A65&lt;=L$1,I65/I$4,"")</f>
        <v/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339</v>
      </c>
      <c r="AF65" s="341" t="s">
        <v>336</v>
      </c>
    </row>
    <row r="66" spans="1:32">
      <c r="A66" s="307">
        <v>4</v>
      </c>
      <c r="B66" s="342"/>
      <c r="C66" s="342" t="s">
        <v>184</v>
      </c>
      <c r="D66" s="340" t="s">
        <v>340</v>
      </c>
      <c r="E66" s="342" t="s">
        <v>341</v>
      </c>
      <c r="F66" s="345" t="s">
        <v>334</v>
      </c>
      <c r="G66" s="308">
        <v>2</v>
      </c>
      <c r="H66" s="309">
        <v>6000</v>
      </c>
      <c r="I66" s="309">
        <v>12000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342</v>
      </c>
      <c r="AF66" s="341" t="s">
        <v>343</v>
      </c>
    </row>
    <row r="67" spans="1:32">
      <c r="A67" s="307">
        <v>4</v>
      </c>
      <c r="B67" s="342"/>
      <c r="C67" s="342" t="s">
        <v>184</v>
      </c>
      <c r="D67" s="340" t="s">
        <v>344</v>
      </c>
      <c r="E67" s="342" t="s">
        <v>345</v>
      </c>
      <c r="F67" s="345" t="s">
        <v>308</v>
      </c>
      <c r="G67" s="308">
        <v>4</v>
      </c>
      <c r="H67" s="309">
        <v>20000</v>
      </c>
      <c r="I67" s="309">
        <v>80000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346</v>
      </c>
      <c r="AF67" s="341"/>
    </row>
    <row r="68" spans="1:32">
      <c r="A68" s="217"/>
      <c r="B68" s="217"/>
      <c r="C68" s="312"/>
      <c r="D68" s="217"/>
      <c r="E68" s="217"/>
      <c r="F68" s="218"/>
      <c r="G68" s="217"/>
      <c r="H68" s="217"/>
      <c r="I68" s="217"/>
      <c r="J68" s="217"/>
      <c r="K68" s="218"/>
      <c r="L68" s="217"/>
      <c r="M68" s="217"/>
      <c r="N68" s="217"/>
      <c r="O68" s="217"/>
      <c r="P68" s="217"/>
      <c r="Q68" s="217"/>
      <c r="R68" s="217"/>
      <c r="S68" s="218"/>
      <c r="T68" s="217"/>
      <c r="U68" s="217"/>
      <c r="V68" s="217"/>
      <c r="W68" s="217"/>
      <c r="X68" s="217"/>
      <c r="Y68" s="217"/>
      <c r="Z68" s="217"/>
      <c r="AA68" s="218"/>
      <c r="AB68" s="217"/>
      <c r="AC68" s="217"/>
      <c r="AD68" s="217"/>
      <c r="AE68" s="217"/>
      <c r="AF68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67 AF4:AF67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67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159</v>
      </c>
      <c r="D4" s="315"/>
      <c r="E4" s="120"/>
      <c r="F4" s="119" t="s">
        <v>165</v>
      </c>
      <c r="G4" s="316">
        <v>420000</v>
      </c>
      <c r="H4" s="69"/>
    </row>
    <row r="5" spans="1:8" ht="27" customHeight="1">
      <c r="A5" s="69"/>
      <c r="B5" s="118"/>
      <c r="C5" s="119" t="s">
        <v>160</v>
      </c>
      <c r="D5" s="315"/>
      <c r="E5" s="120"/>
      <c r="F5" s="119" t="s">
        <v>166</v>
      </c>
      <c r="G5" s="316"/>
      <c r="H5" s="69"/>
    </row>
    <row r="6" spans="1:8" ht="27" customHeight="1">
      <c r="A6" s="69"/>
      <c r="B6" s="118"/>
      <c r="C6" s="119" t="s">
        <v>161</v>
      </c>
      <c r="D6" s="315"/>
      <c r="E6" s="120"/>
      <c r="F6" s="119" t="s">
        <v>167</v>
      </c>
      <c r="G6" s="316"/>
      <c r="H6" s="69"/>
    </row>
    <row r="7" spans="1:8" ht="27" customHeight="1">
      <c r="A7" s="69"/>
      <c r="B7" s="118"/>
      <c r="C7" s="119" t="s">
        <v>162</v>
      </c>
      <c r="D7" s="315"/>
      <c r="E7" s="120"/>
      <c r="F7" s="119" t="s">
        <v>168</v>
      </c>
      <c r="G7" s="316"/>
      <c r="H7" s="69"/>
    </row>
    <row r="8" spans="1:8" ht="27" customHeight="1">
      <c r="A8" s="69"/>
      <c r="B8" s="118"/>
      <c r="C8" s="119" t="s">
        <v>163</v>
      </c>
      <c r="D8" s="315"/>
      <c r="E8" s="120"/>
      <c r="F8" s="119" t="s">
        <v>169</v>
      </c>
      <c r="G8" s="316"/>
      <c r="H8" s="69"/>
    </row>
    <row r="9" spans="1:8" ht="27" customHeight="1">
      <c r="A9" s="69"/>
      <c r="B9" s="118"/>
      <c r="C9" s="119" t="s">
        <v>164</v>
      </c>
      <c r="D9" s="315"/>
      <c r="E9" s="120"/>
      <c r="F9" s="119" t="s">
        <v>170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348</v>
      </c>
      <c r="G10" s="316"/>
      <c r="H10" s="69"/>
    </row>
    <row r="11" spans="1:8" ht="27" customHeight="1">
      <c r="A11" s="69"/>
      <c r="B11" s="118"/>
      <c r="C11" s="119" t="s">
        <v>220</v>
      </c>
      <c r="D11" s="315"/>
      <c r="E11" s="120"/>
      <c r="F11" s="119" t="s">
        <v>349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220</v>
      </c>
      <c r="G13" s="316">
        <v>420000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156</v>
      </c>
      <c r="H3" s="128" t="s">
        <v>181</v>
      </c>
      <c r="I3" s="128" t="s">
        <v>182</v>
      </c>
      <c r="J3" s="128" t="s">
        <v>183</v>
      </c>
      <c r="K3" s="128" t="s">
        <v>184</v>
      </c>
      <c r="L3" s="128" t="s">
        <v>185</v>
      </c>
      <c r="M3" s="128" t="s">
        <v>186</v>
      </c>
      <c r="N3" s="129" t="s">
        <v>187</v>
      </c>
      <c r="O3" s="69"/>
    </row>
    <row r="4" spans="1:15" ht="30" customHeight="1">
      <c r="A4" s="69"/>
      <c r="B4" s="130" t="s">
        <v>159</v>
      </c>
      <c r="C4" s="131" t="s">
        <v>171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 t="s">
        <v>160</v>
      </c>
      <c r="C5" s="131" t="s">
        <v>171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161</v>
      </c>
      <c r="C6" s="131" t="s">
        <v>171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162</v>
      </c>
      <c r="C7" s="131" t="s">
        <v>171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163</v>
      </c>
      <c r="C8" s="131" t="s">
        <v>171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164</v>
      </c>
      <c r="C9" s="131" t="s">
        <v>171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220</v>
      </c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SMC遠野工場防雪シート設置工事</v>
      </c>
      <c r="G1" s="306"/>
      <c r="H1" s="190" t="s">
        <v>131</v>
      </c>
      <c r="I1" s="333">
        <v>11600000</v>
      </c>
      <c r="J1" s="339">
        <f>I4/I$1</f>
        <v>0.88793103448275867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347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222</v>
      </c>
      <c r="D4" s="340" t="s">
        <v>188</v>
      </c>
      <c r="E4" s="342"/>
      <c r="F4" s="345" t="s">
        <v>171</v>
      </c>
      <c r="G4" s="308">
        <v>1</v>
      </c>
      <c r="H4" s="309">
        <v>10300000</v>
      </c>
      <c r="I4" s="309">
        <v>10300000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223</v>
      </c>
      <c r="D5" s="340" t="s">
        <v>350</v>
      </c>
      <c r="E5" s="342"/>
      <c r="F5" s="345" t="s">
        <v>171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226</v>
      </c>
      <c r="D6" s="340" t="s">
        <v>351</v>
      </c>
      <c r="E6" s="342"/>
      <c r="F6" s="345" t="s">
        <v>171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352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2</v>
      </c>
      <c r="B7" s="342"/>
      <c r="C7" s="342" t="s">
        <v>226</v>
      </c>
      <c r="D7" s="340" t="s">
        <v>353</v>
      </c>
      <c r="E7" s="342" t="s">
        <v>172</v>
      </c>
      <c r="F7" s="345" t="s">
        <v>171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354</v>
      </c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226</v>
      </c>
      <c r="D8" s="340" t="s">
        <v>355</v>
      </c>
      <c r="E8" s="342" t="s">
        <v>173</v>
      </c>
      <c r="F8" s="345" t="s">
        <v>171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356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226</v>
      </c>
      <c r="D9" s="340" t="s">
        <v>357</v>
      </c>
      <c r="E9" s="342" t="s">
        <v>174</v>
      </c>
      <c r="F9" s="345" t="s">
        <v>171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358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2</v>
      </c>
      <c r="B10" s="342"/>
      <c r="C10" s="342" t="s">
        <v>226</v>
      </c>
      <c r="D10" s="340" t="s">
        <v>359</v>
      </c>
      <c r="E10" s="342" t="s">
        <v>175</v>
      </c>
      <c r="F10" s="345" t="s">
        <v>171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360</v>
      </c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2</v>
      </c>
      <c r="B11" s="342"/>
      <c r="C11" s="342" t="s">
        <v>226</v>
      </c>
      <c r="D11" s="340" t="s">
        <v>361</v>
      </c>
      <c r="E11" s="342" t="s">
        <v>176</v>
      </c>
      <c r="F11" s="345" t="s">
        <v>171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362</v>
      </c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217"/>
      <c r="B12" s="217"/>
      <c r="C12" s="312"/>
      <c r="D12" s="217"/>
      <c r="E12" s="217"/>
      <c r="F12" s="218"/>
      <c r="G12" s="217"/>
      <c r="H12" s="217"/>
      <c r="I12" s="217"/>
      <c r="J12" s="217"/>
      <c r="K12" s="218"/>
      <c r="L12" s="217"/>
      <c r="M12" s="217"/>
      <c r="N12" s="217"/>
      <c r="O12" s="217"/>
      <c r="P12" s="217"/>
      <c r="Q12" s="217"/>
      <c r="R12" s="217"/>
      <c r="S12" s="218"/>
      <c r="T12" s="217"/>
      <c r="U12" s="217"/>
      <c r="V12" s="217"/>
      <c r="W12" s="217"/>
      <c r="X12" s="217"/>
      <c r="Y12" s="217"/>
      <c r="Z12" s="217"/>
      <c r="AA12" s="218"/>
      <c r="AB12" s="217"/>
      <c r="AC12" s="217"/>
      <c r="AD12" s="217"/>
      <c r="AE12" s="217"/>
      <c r="AF1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1 AF4:AF1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165</v>
      </c>
      <c r="C3" s="561"/>
      <c r="D3" s="563" t="s">
        <v>171</v>
      </c>
      <c r="E3" s="565">
        <v>1</v>
      </c>
      <c r="F3" s="521">
        <v>420000</v>
      </c>
      <c r="G3" s="557">
        <v>420000</v>
      </c>
      <c r="H3" s="138" t="s">
        <v>363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202</v>
      </c>
      <c r="I4" s="69"/>
    </row>
    <row r="5" spans="1:9" ht="15.75" customHeight="1">
      <c r="A5" s="69"/>
      <c r="B5" s="559" t="s">
        <v>166</v>
      </c>
      <c r="C5" s="561" t="s">
        <v>177</v>
      </c>
      <c r="D5" s="563" t="s">
        <v>171</v>
      </c>
      <c r="E5" s="565">
        <v>1</v>
      </c>
      <c r="F5" s="521"/>
      <c r="G5" s="557"/>
      <c r="H5" s="138" t="s">
        <v>364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202</v>
      </c>
      <c r="I6" s="69"/>
    </row>
    <row r="7" spans="1:9" ht="15.75" customHeight="1">
      <c r="A7" s="69"/>
      <c r="B7" s="559" t="s">
        <v>167</v>
      </c>
      <c r="C7" s="561"/>
      <c r="D7" s="563" t="s">
        <v>171</v>
      </c>
      <c r="E7" s="565">
        <v>1</v>
      </c>
      <c r="F7" s="521"/>
      <c r="G7" s="557"/>
      <c r="H7" s="138" t="s">
        <v>365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202</v>
      </c>
      <c r="I8" s="69"/>
    </row>
    <row r="9" spans="1:9" ht="15.75" customHeight="1">
      <c r="A9" s="69"/>
      <c r="B9" s="559" t="s">
        <v>168</v>
      </c>
      <c r="C9" s="561" t="s">
        <v>178</v>
      </c>
      <c r="D9" s="563" t="s">
        <v>171</v>
      </c>
      <c r="E9" s="565">
        <v>1</v>
      </c>
      <c r="F9" s="521"/>
      <c r="G9" s="557"/>
      <c r="H9" s="138" t="s">
        <v>366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202</v>
      </c>
      <c r="I10" s="69"/>
    </row>
    <row r="11" spans="1:9" ht="15.75" customHeight="1">
      <c r="A11" s="69"/>
      <c r="B11" s="559" t="s">
        <v>169</v>
      </c>
      <c r="C11" s="561" t="s">
        <v>179</v>
      </c>
      <c r="D11" s="563" t="s">
        <v>171</v>
      </c>
      <c r="E11" s="565">
        <v>1</v>
      </c>
      <c r="F11" s="521"/>
      <c r="G11" s="557"/>
      <c r="H11" s="138" t="s">
        <v>367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202</v>
      </c>
      <c r="I12" s="69"/>
    </row>
    <row r="13" spans="1:9" ht="15.75" customHeight="1">
      <c r="A13" s="69"/>
      <c r="B13" s="559" t="s">
        <v>170</v>
      </c>
      <c r="C13" s="561" t="s">
        <v>180</v>
      </c>
      <c r="D13" s="563" t="s">
        <v>171</v>
      </c>
      <c r="E13" s="565">
        <v>1</v>
      </c>
      <c r="F13" s="521"/>
      <c r="G13" s="557"/>
      <c r="H13" s="138" t="s">
        <v>368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202</v>
      </c>
      <c r="I14" s="69"/>
    </row>
    <row r="15" spans="1:9" ht="15.75" customHeight="1">
      <c r="A15" s="69"/>
      <c r="B15" s="559" t="s">
        <v>348</v>
      </c>
      <c r="C15" s="561" t="s">
        <v>369</v>
      </c>
      <c r="D15" s="563" t="s">
        <v>171</v>
      </c>
      <c r="E15" s="565">
        <v>1</v>
      </c>
      <c r="F15" s="521"/>
      <c r="G15" s="557"/>
      <c r="H15" s="138" t="s">
        <v>370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202</v>
      </c>
      <c r="I16" s="69"/>
    </row>
    <row r="17" spans="1:9" ht="15.75" customHeight="1">
      <c r="A17" s="69"/>
      <c r="B17" s="559" t="s">
        <v>349</v>
      </c>
      <c r="C17" s="561" t="s">
        <v>371</v>
      </c>
      <c r="D17" s="563" t="s">
        <v>171</v>
      </c>
      <c r="E17" s="565">
        <v>1</v>
      </c>
      <c r="F17" s="521"/>
      <c r="G17" s="557"/>
      <c r="H17" s="138" t="s">
        <v>372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202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220</v>
      </c>
      <c r="C21" s="561"/>
      <c r="D21" s="563"/>
      <c r="E21" s="565"/>
      <c r="F21" s="521"/>
      <c r="G21" s="557">
        <v>420000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SMC遠野工場防雪シート設置工事</v>
      </c>
      <c r="G1" s="306"/>
      <c r="H1" s="190" t="s">
        <v>131</v>
      </c>
      <c r="I1" s="333">
        <v>11600000</v>
      </c>
      <c r="J1" s="339">
        <f>I4/I$1</f>
        <v>0.88793103448275867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347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222</v>
      </c>
      <c r="D4" s="340" t="s">
        <v>188</v>
      </c>
      <c r="E4" s="342"/>
      <c r="F4" s="345" t="s">
        <v>171</v>
      </c>
      <c r="G4" s="308">
        <v>1</v>
      </c>
      <c r="H4" s="309">
        <v>10300000</v>
      </c>
      <c r="I4" s="309">
        <v>10300000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373</v>
      </c>
      <c r="P4" s="347" t="s">
        <v>373</v>
      </c>
      <c r="Q4" s="347" t="s">
        <v>373</v>
      </c>
      <c r="R4" s="348" t="s">
        <v>373</v>
      </c>
      <c r="S4" s="349"/>
      <c r="T4" s="343" t="s">
        <v>374</v>
      </c>
      <c r="U4" s="343"/>
      <c r="V4" s="344"/>
      <c r="W4" s="346" t="s">
        <v>373</v>
      </c>
      <c r="X4" s="347" t="s">
        <v>373</v>
      </c>
      <c r="Y4" s="347" t="s">
        <v>373</v>
      </c>
      <c r="Z4" s="348" t="s">
        <v>373</v>
      </c>
      <c r="AA4" s="349"/>
      <c r="AB4" s="343" t="s">
        <v>374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223</v>
      </c>
      <c r="D5" s="340" t="s">
        <v>375</v>
      </c>
      <c r="E5" s="342"/>
      <c r="F5" s="345" t="s">
        <v>171</v>
      </c>
      <c r="G5" s="308">
        <v>1</v>
      </c>
      <c r="H5" s="309">
        <v>420000</v>
      </c>
      <c r="I5" s="309">
        <v>420000</v>
      </c>
      <c r="J5" s="211"/>
      <c r="K5" s="212" t="str">
        <f>IF(OR(J5="",G5=J5),"","*")</f>
        <v/>
      </c>
      <c r="L5" s="338">
        <f>IF($A5&lt;=L$1,I5/I$4,"")</f>
        <v>4.0776699029126215E-2</v>
      </c>
      <c r="M5" s="343"/>
      <c r="N5" s="344"/>
      <c r="O5" s="346" t="s">
        <v>373</v>
      </c>
      <c r="P5" s="347" t="s">
        <v>373</v>
      </c>
      <c r="Q5" s="347" t="s">
        <v>373</v>
      </c>
      <c r="R5" s="348" t="s">
        <v>373</v>
      </c>
      <c r="S5" s="349"/>
      <c r="T5" s="343" t="s">
        <v>374</v>
      </c>
      <c r="U5" s="343"/>
      <c r="V5" s="344"/>
      <c r="W5" s="346" t="s">
        <v>373</v>
      </c>
      <c r="X5" s="347" t="s">
        <v>373</v>
      </c>
      <c r="Y5" s="347" t="s">
        <v>373</v>
      </c>
      <c r="Z5" s="348" t="s">
        <v>373</v>
      </c>
      <c r="AA5" s="349"/>
      <c r="AB5" s="343" t="s">
        <v>374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226</v>
      </c>
      <c r="D6" s="340" t="s">
        <v>376</v>
      </c>
      <c r="E6" s="342"/>
      <c r="F6" s="345" t="s">
        <v>171</v>
      </c>
      <c r="G6" s="308">
        <v>1</v>
      </c>
      <c r="H6" s="309">
        <v>420000</v>
      </c>
      <c r="I6" s="309">
        <v>420000</v>
      </c>
      <c r="J6" s="211">
        <v>1</v>
      </c>
      <c r="K6" s="212" t="str">
        <f>IF(OR(J6="",G6=J6),"","*")</f>
        <v/>
      </c>
      <c r="L6" s="338">
        <f>IF($A6&lt;=L$1,I6/I$4,"")</f>
        <v>4.0776699029126215E-2</v>
      </c>
      <c r="M6" s="343"/>
      <c r="N6" s="344" t="s">
        <v>377</v>
      </c>
      <c r="O6" s="346" t="s">
        <v>373</v>
      </c>
      <c r="P6" s="347" t="s">
        <v>373</v>
      </c>
      <c r="Q6" s="347" t="s">
        <v>373</v>
      </c>
      <c r="R6" s="348" t="s">
        <v>373</v>
      </c>
      <c r="S6" s="349"/>
      <c r="T6" s="343" t="s">
        <v>374</v>
      </c>
      <c r="U6" s="343"/>
      <c r="V6" s="344"/>
      <c r="W6" s="346" t="s">
        <v>373</v>
      </c>
      <c r="X6" s="347" t="s">
        <v>373</v>
      </c>
      <c r="Y6" s="347" t="s">
        <v>373</v>
      </c>
      <c r="Z6" s="348" t="s">
        <v>373</v>
      </c>
      <c r="AA6" s="349"/>
      <c r="AB6" s="343" t="s">
        <v>374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186</v>
      </c>
      <c r="D7" s="340" t="s">
        <v>378</v>
      </c>
      <c r="E7" s="342" t="s">
        <v>379</v>
      </c>
      <c r="F7" s="345" t="s">
        <v>304</v>
      </c>
      <c r="G7" s="308">
        <v>21</v>
      </c>
      <c r="H7" s="309">
        <v>20000</v>
      </c>
      <c r="I7" s="309">
        <v>420000</v>
      </c>
      <c r="J7" s="211"/>
      <c r="K7" s="212" t="str">
        <f>IF(OR(J7="",G7=J7),"","*")</f>
        <v/>
      </c>
      <c r="L7" s="338">
        <f>IF($A7&lt;=L$1,I7/I$4,"")</f>
        <v>4.0776699029126215E-2</v>
      </c>
      <c r="M7" s="343"/>
      <c r="N7" s="344"/>
      <c r="O7" s="346" t="s">
        <v>373</v>
      </c>
      <c r="P7" s="347" t="s">
        <v>373</v>
      </c>
      <c r="Q7" s="347" t="s">
        <v>373</v>
      </c>
      <c r="R7" s="348" t="s">
        <v>373</v>
      </c>
      <c r="S7" s="349"/>
      <c r="T7" s="343" t="s">
        <v>374</v>
      </c>
      <c r="U7" s="343"/>
      <c r="V7" s="344"/>
      <c r="W7" s="346" t="s">
        <v>373</v>
      </c>
      <c r="X7" s="347" t="s">
        <v>373</v>
      </c>
      <c r="Y7" s="347" t="s">
        <v>373</v>
      </c>
      <c r="Z7" s="348" t="s">
        <v>373</v>
      </c>
      <c r="AA7" s="349"/>
      <c r="AB7" s="343" t="s">
        <v>374</v>
      </c>
      <c r="AC7" s="343"/>
      <c r="AD7" s="344"/>
      <c r="AE7" s="342" t="s">
        <v>380</v>
      </c>
      <c r="AF7" s="341" t="s">
        <v>117</v>
      </c>
    </row>
    <row r="8" spans="1:32">
      <c r="A8" s="307">
        <v>2</v>
      </c>
      <c r="B8" s="342"/>
      <c r="C8" s="342" t="s">
        <v>226</v>
      </c>
      <c r="D8" s="340" t="s">
        <v>381</v>
      </c>
      <c r="E8" s="342" t="s">
        <v>177</v>
      </c>
      <c r="F8" s="345" t="s">
        <v>171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382</v>
      </c>
      <c r="O8" s="346" t="s">
        <v>373</v>
      </c>
      <c r="P8" s="347" t="s">
        <v>373</v>
      </c>
      <c r="Q8" s="347" t="s">
        <v>373</v>
      </c>
      <c r="R8" s="348" t="s">
        <v>373</v>
      </c>
      <c r="S8" s="349"/>
      <c r="T8" s="343" t="s">
        <v>374</v>
      </c>
      <c r="U8" s="343"/>
      <c r="V8" s="344"/>
      <c r="W8" s="346" t="s">
        <v>373</v>
      </c>
      <c r="X8" s="347" t="s">
        <v>373</v>
      </c>
      <c r="Y8" s="347" t="s">
        <v>373</v>
      </c>
      <c r="Z8" s="348" t="s">
        <v>373</v>
      </c>
      <c r="AA8" s="349"/>
      <c r="AB8" s="343" t="s">
        <v>374</v>
      </c>
      <c r="AC8" s="343"/>
      <c r="AD8" s="344"/>
      <c r="AE8" s="342"/>
      <c r="AF8" s="341" t="s">
        <v>117</v>
      </c>
    </row>
    <row r="9" spans="1:32">
      <c r="A9" s="307">
        <v>2</v>
      </c>
      <c r="B9" s="342"/>
      <c r="C9" s="342" t="s">
        <v>226</v>
      </c>
      <c r="D9" s="340" t="s">
        <v>383</v>
      </c>
      <c r="E9" s="342"/>
      <c r="F9" s="345" t="s">
        <v>171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384</v>
      </c>
      <c r="O9" s="346" t="s">
        <v>373</v>
      </c>
      <c r="P9" s="347" t="s">
        <v>373</v>
      </c>
      <c r="Q9" s="347" t="s">
        <v>373</v>
      </c>
      <c r="R9" s="348" t="s">
        <v>373</v>
      </c>
      <c r="S9" s="349"/>
      <c r="T9" s="343" t="s">
        <v>374</v>
      </c>
      <c r="U9" s="343"/>
      <c r="V9" s="344"/>
      <c r="W9" s="346" t="s">
        <v>373</v>
      </c>
      <c r="X9" s="347" t="s">
        <v>373</v>
      </c>
      <c r="Y9" s="347" t="s">
        <v>373</v>
      </c>
      <c r="Z9" s="348" t="s">
        <v>373</v>
      </c>
      <c r="AA9" s="349"/>
      <c r="AB9" s="343" t="s">
        <v>374</v>
      </c>
      <c r="AC9" s="343"/>
      <c r="AD9" s="344"/>
      <c r="AE9" s="342"/>
      <c r="AF9" s="341" t="s">
        <v>117</v>
      </c>
    </row>
    <row r="10" spans="1:32">
      <c r="A10" s="307">
        <v>2</v>
      </c>
      <c r="B10" s="342"/>
      <c r="C10" s="342" t="s">
        <v>226</v>
      </c>
      <c r="D10" s="340" t="s">
        <v>385</v>
      </c>
      <c r="E10" s="342" t="s">
        <v>178</v>
      </c>
      <c r="F10" s="345" t="s">
        <v>171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386</v>
      </c>
      <c r="O10" s="346" t="s">
        <v>373</v>
      </c>
      <c r="P10" s="347" t="s">
        <v>373</v>
      </c>
      <c r="Q10" s="347" t="s">
        <v>373</v>
      </c>
      <c r="R10" s="348" t="s">
        <v>373</v>
      </c>
      <c r="S10" s="349"/>
      <c r="T10" s="343" t="s">
        <v>374</v>
      </c>
      <c r="U10" s="343"/>
      <c r="V10" s="344"/>
      <c r="W10" s="346" t="s">
        <v>373</v>
      </c>
      <c r="X10" s="347" t="s">
        <v>373</v>
      </c>
      <c r="Y10" s="347" t="s">
        <v>373</v>
      </c>
      <c r="Z10" s="348" t="s">
        <v>373</v>
      </c>
      <c r="AA10" s="349"/>
      <c r="AB10" s="343" t="s">
        <v>374</v>
      </c>
      <c r="AC10" s="343"/>
      <c r="AD10" s="344"/>
      <c r="AE10" s="342"/>
      <c r="AF10" s="341" t="s">
        <v>117</v>
      </c>
    </row>
    <row r="11" spans="1:32">
      <c r="A11" s="307">
        <v>2</v>
      </c>
      <c r="B11" s="342"/>
      <c r="C11" s="342" t="s">
        <v>226</v>
      </c>
      <c r="D11" s="340" t="s">
        <v>387</v>
      </c>
      <c r="E11" s="342" t="s">
        <v>179</v>
      </c>
      <c r="F11" s="345" t="s">
        <v>171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388</v>
      </c>
      <c r="O11" s="346" t="s">
        <v>373</v>
      </c>
      <c r="P11" s="347" t="s">
        <v>373</v>
      </c>
      <c r="Q11" s="347" t="s">
        <v>373</v>
      </c>
      <c r="R11" s="348" t="s">
        <v>373</v>
      </c>
      <c r="S11" s="349"/>
      <c r="T11" s="343" t="s">
        <v>374</v>
      </c>
      <c r="U11" s="343"/>
      <c r="V11" s="344"/>
      <c r="W11" s="346" t="s">
        <v>373</v>
      </c>
      <c r="X11" s="347" t="s">
        <v>373</v>
      </c>
      <c r="Y11" s="347" t="s">
        <v>373</v>
      </c>
      <c r="Z11" s="348" t="s">
        <v>373</v>
      </c>
      <c r="AA11" s="349"/>
      <c r="AB11" s="343" t="s">
        <v>374</v>
      </c>
      <c r="AC11" s="343"/>
      <c r="AD11" s="344"/>
      <c r="AE11" s="342"/>
      <c r="AF11" s="341" t="s">
        <v>117</v>
      </c>
    </row>
    <row r="12" spans="1:32">
      <c r="A12" s="307">
        <v>2</v>
      </c>
      <c r="B12" s="342"/>
      <c r="C12" s="342" t="s">
        <v>226</v>
      </c>
      <c r="D12" s="340" t="s">
        <v>389</v>
      </c>
      <c r="E12" s="342" t="s">
        <v>180</v>
      </c>
      <c r="F12" s="345" t="s">
        <v>171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390</v>
      </c>
      <c r="O12" s="346" t="s">
        <v>373</v>
      </c>
      <c r="P12" s="347" t="s">
        <v>373</v>
      </c>
      <c r="Q12" s="347" t="s">
        <v>373</v>
      </c>
      <c r="R12" s="348" t="s">
        <v>373</v>
      </c>
      <c r="S12" s="349"/>
      <c r="T12" s="343" t="s">
        <v>374</v>
      </c>
      <c r="U12" s="343"/>
      <c r="V12" s="344"/>
      <c r="W12" s="346" t="s">
        <v>373</v>
      </c>
      <c r="X12" s="347" t="s">
        <v>373</v>
      </c>
      <c r="Y12" s="347" t="s">
        <v>373</v>
      </c>
      <c r="Z12" s="348" t="s">
        <v>373</v>
      </c>
      <c r="AA12" s="349"/>
      <c r="AB12" s="343" t="s">
        <v>374</v>
      </c>
      <c r="AC12" s="343"/>
      <c r="AD12" s="344"/>
      <c r="AE12" s="342"/>
      <c r="AF12" s="341" t="s">
        <v>117</v>
      </c>
    </row>
    <row r="13" spans="1:32">
      <c r="A13" s="307">
        <v>2</v>
      </c>
      <c r="B13" s="342"/>
      <c r="C13" s="342" t="s">
        <v>226</v>
      </c>
      <c r="D13" s="340" t="s">
        <v>391</v>
      </c>
      <c r="E13" s="342" t="s">
        <v>369</v>
      </c>
      <c r="F13" s="345" t="s">
        <v>171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392</v>
      </c>
      <c r="O13" s="346" t="s">
        <v>373</v>
      </c>
      <c r="P13" s="347" t="s">
        <v>373</v>
      </c>
      <c r="Q13" s="347" t="s">
        <v>373</v>
      </c>
      <c r="R13" s="348" t="s">
        <v>373</v>
      </c>
      <c r="S13" s="349"/>
      <c r="T13" s="343" t="s">
        <v>374</v>
      </c>
      <c r="U13" s="343"/>
      <c r="V13" s="344"/>
      <c r="W13" s="346" t="s">
        <v>373</v>
      </c>
      <c r="X13" s="347" t="s">
        <v>373</v>
      </c>
      <c r="Y13" s="347" t="s">
        <v>373</v>
      </c>
      <c r="Z13" s="348" t="s">
        <v>373</v>
      </c>
      <c r="AA13" s="349"/>
      <c r="AB13" s="343" t="s">
        <v>374</v>
      </c>
      <c r="AC13" s="343"/>
      <c r="AD13" s="344"/>
      <c r="AE13" s="342"/>
      <c r="AF13" s="341" t="s">
        <v>117</v>
      </c>
    </row>
    <row r="14" spans="1:32">
      <c r="A14" s="307">
        <v>2</v>
      </c>
      <c r="B14" s="342"/>
      <c r="C14" s="342" t="s">
        <v>226</v>
      </c>
      <c r="D14" s="340" t="s">
        <v>393</v>
      </c>
      <c r="E14" s="342" t="s">
        <v>371</v>
      </c>
      <c r="F14" s="345" t="s">
        <v>171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394</v>
      </c>
      <c r="O14" s="346" t="s">
        <v>373</v>
      </c>
      <c r="P14" s="347" t="s">
        <v>373</v>
      </c>
      <c r="Q14" s="347" t="s">
        <v>373</v>
      </c>
      <c r="R14" s="348" t="s">
        <v>373</v>
      </c>
      <c r="S14" s="349"/>
      <c r="T14" s="343" t="s">
        <v>374</v>
      </c>
      <c r="U14" s="343"/>
      <c r="V14" s="344"/>
      <c r="W14" s="346" t="s">
        <v>373</v>
      </c>
      <c r="X14" s="347" t="s">
        <v>373</v>
      </c>
      <c r="Y14" s="347" t="s">
        <v>373</v>
      </c>
      <c r="Z14" s="348" t="s">
        <v>373</v>
      </c>
      <c r="AA14" s="349"/>
      <c r="AB14" s="343" t="s">
        <v>374</v>
      </c>
      <c r="AC14" s="343"/>
      <c r="AD14" s="344"/>
      <c r="AE14" s="342"/>
      <c r="AF14" s="341" t="s">
        <v>117</v>
      </c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98"/>
  <sheetViews>
    <sheetView topLeftCell="A8"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395</v>
      </c>
      <c r="C3" s="146" t="s">
        <v>396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397</v>
      </c>
      <c r="K4" s="69"/>
    </row>
    <row r="5" spans="1:11" ht="18" customHeight="1">
      <c r="A5" s="69"/>
      <c r="B5" s="574" t="s">
        <v>398</v>
      </c>
      <c r="C5" s="575"/>
      <c r="D5" s="153" t="s">
        <v>85</v>
      </c>
      <c r="E5" s="153" t="s">
        <v>399</v>
      </c>
      <c r="F5" s="153" t="s">
        <v>400</v>
      </c>
      <c r="G5" s="153" t="s">
        <v>401</v>
      </c>
      <c r="H5" s="154" t="s">
        <v>402</v>
      </c>
      <c r="I5" s="153" t="s">
        <v>403</v>
      </c>
      <c r="J5" s="155" t="s">
        <v>404</v>
      </c>
      <c r="K5" s="69"/>
    </row>
    <row r="6" spans="1:11" ht="10.5" customHeight="1">
      <c r="A6" s="69"/>
      <c r="B6" s="156" t="s">
        <v>405</v>
      </c>
      <c r="C6" s="157"/>
      <c r="D6" s="576" t="s">
        <v>406</v>
      </c>
      <c r="E6" s="578">
        <v>60</v>
      </c>
      <c r="F6" s="580">
        <v>2500</v>
      </c>
      <c r="G6" s="582">
        <v>150000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407</v>
      </c>
      <c r="C7" s="160"/>
      <c r="D7" s="577"/>
      <c r="E7" s="579"/>
      <c r="F7" s="581"/>
      <c r="G7" s="583"/>
      <c r="H7" s="356"/>
      <c r="I7" s="356" t="s">
        <v>408</v>
      </c>
      <c r="J7" s="161"/>
      <c r="K7" s="69" t="s">
        <v>96</v>
      </c>
    </row>
    <row r="8" spans="1:11" ht="10.5" customHeight="1">
      <c r="A8" s="69"/>
      <c r="B8" s="156" t="s">
        <v>409</v>
      </c>
      <c r="C8" s="157"/>
      <c r="D8" s="576" t="s">
        <v>410</v>
      </c>
      <c r="E8" s="578">
        <v>76</v>
      </c>
      <c r="F8" s="580">
        <v>690</v>
      </c>
      <c r="G8" s="582">
        <v>52440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408</v>
      </c>
      <c r="J9" s="162"/>
      <c r="K9" s="69" t="s">
        <v>96</v>
      </c>
    </row>
    <row r="10" spans="1:11" ht="10.5" customHeight="1">
      <c r="A10" s="69"/>
      <c r="B10" s="156" t="s">
        <v>411</v>
      </c>
      <c r="C10" s="157"/>
      <c r="D10" s="576" t="s">
        <v>410</v>
      </c>
      <c r="E10" s="578">
        <v>57</v>
      </c>
      <c r="F10" s="580">
        <v>480</v>
      </c>
      <c r="G10" s="582">
        <v>27360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408</v>
      </c>
      <c r="J11" s="161"/>
      <c r="K11" s="69" t="s">
        <v>96</v>
      </c>
    </row>
    <row r="12" spans="1:11" ht="10.5" customHeight="1">
      <c r="A12" s="69"/>
      <c r="B12" s="156" t="s">
        <v>412</v>
      </c>
      <c r="C12" s="157"/>
      <c r="D12" s="576" t="s">
        <v>413</v>
      </c>
      <c r="E12" s="584">
        <v>19</v>
      </c>
      <c r="F12" s="580">
        <v>56900</v>
      </c>
      <c r="G12" s="582">
        <v>1081100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408</v>
      </c>
      <c r="J13" s="161"/>
      <c r="K13" s="69" t="s">
        <v>96</v>
      </c>
    </row>
    <row r="14" spans="1:11" ht="10.5" customHeight="1">
      <c r="A14" s="69"/>
      <c r="B14" s="156" t="s">
        <v>414</v>
      </c>
      <c r="C14" s="157"/>
      <c r="D14" s="576" t="s">
        <v>410</v>
      </c>
      <c r="E14" s="584">
        <v>38</v>
      </c>
      <c r="F14" s="580">
        <v>230</v>
      </c>
      <c r="G14" s="582">
        <v>8740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408</v>
      </c>
      <c r="J15" s="161"/>
      <c r="K15" s="69" t="s">
        <v>96</v>
      </c>
    </row>
    <row r="16" spans="1:11" ht="10.5" customHeight="1">
      <c r="A16" s="69"/>
      <c r="B16" s="156" t="s">
        <v>414</v>
      </c>
      <c r="C16" s="157"/>
      <c r="D16" s="576" t="s">
        <v>410</v>
      </c>
      <c r="E16" s="584">
        <v>7</v>
      </c>
      <c r="F16" s="580">
        <v>330</v>
      </c>
      <c r="G16" s="582">
        <v>2310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408</v>
      </c>
      <c r="J17" s="161"/>
      <c r="K17" s="69" t="s">
        <v>96</v>
      </c>
    </row>
    <row r="18" spans="1:11" ht="10.5" customHeight="1">
      <c r="A18" s="69"/>
      <c r="B18" s="156" t="s">
        <v>415</v>
      </c>
      <c r="C18" s="157"/>
      <c r="D18" s="576" t="s">
        <v>413</v>
      </c>
      <c r="E18" s="584">
        <v>4</v>
      </c>
      <c r="F18" s="580">
        <v>72000</v>
      </c>
      <c r="G18" s="582">
        <v>288000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408</v>
      </c>
      <c r="J19" s="161"/>
      <c r="K19" s="69" t="s">
        <v>96</v>
      </c>
    </row>
    <row r="20" spans="1:11" ht="10.5" customHeight="1">
      <c r="A20" s="69"/>
      <c r="B20" s="156" t="s">
        <v>416</v>
      </c>
      <c r="C20" s="157"/>
      <c r="D20" s="576" t="s">
        <v>417</v>
      </c>
      <c r="E20" s="584">
        <v>1</v>
      </c>
      <c r="F20" s="580">
        <v>27300</v>
      </c>
      <c r="G20" s="582">
        <v>27300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408</v>
      </c>
      <c r="J21" s="161"/>
      <c r="K21" s="69" t="s">
        <v>96</v>
      </c>
    </row>
    <row r="22" spans="1:11" ht="10.5" customHeight="1">
      <c r="A22" s="69"/>
      <c r="B22" s="156" t="s">
        <v>418</v>
      </c>
      <c r="C22" s="157"/>
      <c r="D22" s="576" t="s">
        <v>419</v>
      </c>
      <c r="E22" s="584">
        <v>18</v>
      </c>
      <c r="F22" s="580">
        <v>25500</v>
      </c>
      <c r="G22" s="582">
        <v>459000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408</v>
      </c>
      <c r="J23" s="161"/>
      <c r="K23" s="69" t="s">
        <v>96</v>
      </c>
    </row>
    <row r="24" spans="1:11" ht="10.5" customHeight="1">
      <c r="A24" s="69"/>
      <c r="B24" s="156" t="s">
        <v>420</v>
      </c>
      <c r="C24" s="157"/>
      <c r="D24" s="576" t="s">
        <v>419</v>
      </c>
      <c r="E24" s="578">
        <v>18</v>
      </c>
      <c r="F24" s="580">
        <v>56250</v>
      </c>
      <c r="G24" s="582">
        <v>1012500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408</v>
      </c>
      <c r="J25" s="161"/>
      <c r="K25" s="69" t="s">
        <v>96</v>
      </c>
    </row>
    <row r="26" spans="1:11" ht="10.5" customHeight="1">
      <c r="A26" s="69"/>
      <c r="B26" s="156" t="s">
        <v>421</v>
      </c>
      <c r="C26" s="157"/>
      <c r="D26" s="576" t="s">
        <v>410</v>
      </c>
      <c r="E26" s="584">
        <v>43</v>
      </c>
      <c r="F26" s="580">
        <v>1940</v>
      </c>
      <c r="G26" s="582">
        <v>83420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408</v>
      </c>
      <c r="J27" s="161"/>
      <c r="K27" s="69" t="s">
        <v>96</v>
      </c>
    </row>
    <row r="28" spans="1:11" ht="10.5" customHeight="1">
      <c r="A28" s="69"/>
      <c r="B28" s="156" t="s">
        <v>421</v>
      </c>
      <c r="C28" s="157"/>
      <c r="D28" s="576" t="s">
        <v>410</v>
      </c>
      <c r="E28" s="584">
        <v>38</v>
      </c>
      <c r="F28" s="580">
        <v>910</v>
      </c>
      <c r="G28" s="582">
        <v>34580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408</v>
      </c>
      <c r="J29" s="161"/>
      <c r="K29" s="69" t="s">
        <v>96</v>
      </c>
    </row>
    <row r="30" spans="1:11" ht="10.5" customHeight="1">
      <c r="A30" s="69"/>
      <c r="B30" s="156" t="s">
        <v>421</v>
      </c>
      <c r="C30" s="157"/>
      <c r="D30" s="576" t="s">
        <v>410</v>
      </c>
      <c r="E30" s="584">
        <v>24</v>
      </c>
      <c r="F30" s="580">
        <v>1400</v>
      </c>
      <c r="G30" s="582">
        <v>33600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408</v>
      </c>
      <c r="J31" s="161"/>
      <c r="K31" s="69" t="s">
        <v>96</v>
      </c>
    </row>
    <row r="32" spans="1:11" ht="10.5" customHeight="1">
      <c r="A32" s="69"/>
      <c r="B32" s="156" t="s">
        <v>422</v>
      </c>
      <c r="C32" s="157"/>
      <c r="D32" s="576" t="s">
        <v>423</v>
      </c>
      <c r="E32" s="584">
        <v>1600</v>
      </c>
      <c r="F32" s="580">
        <v>60</v>
      </c>
      <c r="G32" s="582">
        <v>96000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408</v>
      </c>
      <c r="J33" s="161"/>
      <c r="K33" s="69" t="s">
        <v>96</v>
      </c>
    </row>
    <row r="34" spans="1:11" ht="10.5" customHeight="1">
      <c r="A34" s="69"/>
      <c r="B34" s="156" t="s">
        <v>424</v>
      </c>
      <c r="C34" s="157"/>
      <c r="D34" s="576" t="s">
        <v>410</v>
      </c>
      <c r="E34" s="584">
        <v>7</v>
      </c>
      <c r="F34" s="580">
        <v>3900</v>
      </c>
      <c r="G34" s="582">
        <v>27300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408</v>
      </c>
      <c r="J35" s="161"/>
      <c r="K35" s="69" t="s">
        <v>96</v>
      </c>
    </row>
    <row r="36" spans="1:11" ht="10.5" customHeight="1">
      <c r="A36" s="69"/>
      <c r="B36" s="156" t="s">
        <v>425</v>
      </c>
      <c r="C36" s="157"/>
      <c r="D36" s="576" t="s">
        <v>423</v>
      </c>
      <c r="E36" s="584">
        <v>79</v>
      </c>
      <c r="F36" s="580">
        <v>240</v>
      </c>
      <c r="G36" s="582">
        <v>18960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408</v>
      </c>
      <c r="J37" s="161"/>
      <c r="K37" s="69" t="s">
        <v>96</v>
      </c>
    </row>
    <row r="38" spans="1:11" ht="10.5" customHeight="1">
      <c r="A38" s="69"/>
      <c r="B38" s="156" t="s">
        <v>426</v>
      </c>
      <c r="C38" s="157"/>
      <c r="D38" s="576" t="s">
        <v>410</v>
      </c>
      <c r="E38" s="584">
        <v>144</v>
      </c>
      <c r="F38" s="580">
        <v>240</v>
      </c>
      <c r="G38" s="582">
        <v>34560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408</v>
      </c>
      <c r="J39" s="161"/>
      <c r="K39" s="69" t="s">
        <v>96</v>
      </c>
    </row>
    <row r="40" spans="1:11" ht="10.5" customHeight="1">
      <c r="A40" s="69"/>
      <c r="B40" s="156" t="s">
        <v>426</v>
      </c>
      <c r="C40" s="157"/>
      <c r="D40" s="576" t="s">
        <v>410</v>
      </c>
      <c r="E40" s="584">
        <v>152</v>
      </c>
      <c r="F40" s="580">
        <v>210</v>
      </c>
      <c r="G40" s="582">
        <v>31920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408</v>
      </c>
      <c r="J41" s="161"/>
      <c r="K41" s="69" t="s">
        <v>96</v>
      </c>
    </row>
    <row r="42" spans="1:11" ht="10.5" customHeight="1">
      <c r="A42" s="69"/>
      <c r="B42" s="156" t="s">
        <v>427</v>
      </c>
      <c r="C42" s="157"/>
      <c r="D42" s="576" t="s">
        <v>423</v>
      </c>
      <c r="E42" s="584">
        <v>780</v>
      </c>
      <c r="F42" s="580">
        <v>460</v>
      </c>
      <c r="G42" s="582">
        <v>358800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408</v>
      </c>
      <c r="J43" s="161"/>
      <c r="K43" s="69" t="s">
        <v>96</v>
      </c>
    </row>
    <row r="44" spans="1:11" ht="10.5" customHeight="1">
      <c r="A44" s="69"/>
      <c r="B44" s="156" t="s">
        <v>428</v>
      </c>
      <c r="C44" s="157"/>
      <c r="D44" s="576" t="s">
        <v>417</v>
      </c>
      <c r="E44" s="584">
        <v>1</v>
      </c>
      <c r="F44" s="580">
        <v>118000</v>
      </c>
      <c r="G44" s="582">
        <v>118000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408</v>
      </c>
      <c r="J45" s="161"/>
      <c r="K45" s="69" t="s">
        <v>96</v>
      </c>
    </row>
    <row r="46" spans="1:11" ht="10.5" customHeight="1">
      <c r="A46" s="69"/>
      <c r="B46" s="156" t="s">
        <v>429</v>
      </c>
      <c r="C46" s="157"/>
      <c r="D46" s="586" t="s">
        <v>410</v>
      </c>
      <c r="E46" s="588">
        <v>112</v>
      </c>
      <c r="F46" s="590">
        <v>290</v>
      </c>
      <c r="G46" s="592">
        <v>32480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408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430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395</v>
      </c>
      <c r="C52" s="146" t="s">
        <v>396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397</v>
      </c>
      <c r="K53" s="69"/>
    </row>
    <row r="54" spans="1:11" ht="18" customHeight="1">
      <c r="A54" s="69"/>
      <c r="B54" s="574" t="s">
        <v>398</v>
      </c>
      <c r="C54" s="575"/>
      <c r="D54" s="153" t="s">
        <v>85</v>
      </c>
      <c r="E54" s="153" t="s">
        <v>399</v>
      </c>
      <c r="F54" s="153" t="s">
        <v>400</v>
      </c>
      <c r="G54" s="153" t="s">
        <v>401</v>
      </c>
      <c r="H54" s="154" t="s">
        <v>402</v>
      </c>
      <c r="I54" s="153" t="s">
        <v>403</v>
      </c>
      <c r="J54" s="155" t="s">
        <v>404</v>
      </c>
      <c r="K54" s="69"/>
    </row>
    <row r="55" spans="1:11" ht="10.5" customHeight="1">
      <c r="A55" s="69"/>
      <c r="B55" s="156" t="s">
        <v>431</v>
      </c>
      <c r="C55" s="157"/>
      <c r="D55" s="576" t="s">
        <v>413</v>
      </c>
      <c r="E55" s="578">
        <v>148</v>
      </c>
      <c r="F55" s="580">
        <v>620</v>
      </c>
      <c r="G55" s="582">
        <v>91760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408</v>
      </c>
      <c r="J56" s="161"/>
      <c r="K56" s="69" t="s">
        <v>96</v>
      </c>
    </row>
    <row r="57" spans="1:11" ht="10.5" customHeight="1">
      <c r="A57" s="69"/>
      <c r="B57" s="156" t="s">
        <v>432</v>
      </c>
      <c r="C57" s="157"/>
      <c r="D57" s="576" t="s">
        <v>410</v>
      </c>
      <c r="E57" s="578">
        <v>19</v>
      </c>
      <c r="F57" s="580">
        <v>8630</v>
      </c>
      <c r="G57" s="582">
        <v>163970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408</v>
      </c>
      <c r="J58" s="162"/>
      <c r="K58" s="69" t="s">
        <v>96</v>
      </c>
    </row>
    <row r="59" spans="1:11" ht="10.5" customHeight="1">
      <c r="A59" s="69"/>
      <c r="B59" s="156" t="s">
        <v>432</v>
      </c>
      <c r="C59" s="157"/>
      <c r="D59" s="576" t="s">
        <v>410</v>
      </c>
      <c r="E59" s="578">
        <v>19</v>
      </c>
      <c r="F59" s="580">
        <v>8250</v>
      </c>
      <c r="G59" s="582">
        <v>156750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408</v>
      </c>
      <c r="J60" s="161"/>
      <c r="K60" s="69" t="s">
        <v>96</v>
      </c>
    </row>
    <row r="61" spans="1:11" ht="10.5" customHeight="1">
      <c r="A61" s="69"/>
      <c r="B61" s="156" t="s">
        <v>433</v>
      </c>
      <c r="C61" s="157"/>
      <c r="D61" s="576" t="s">
        <v>410</v>
      </c>
      <c r="E61" s="584">
        <v>19</v>
      </c>
      <c r="F61" s="580">
        <v>8700</v>
      </c>
      <c r="G61" s="582">
        <v>165300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 t="s">
        <v>408</v>
      </c>
      <c r="J62" s="161"/>
      <c r="K62" s="69" t="s">
        <v>96</v>
      </c>
    </row>
    <row r="63" spans="1:11" ht="10.5" customHeight="1">
      <c r="A63" s="69"/>
      <c r="B63" s="156" t="s">
        <v>434</v>
      </c>
      <c r="C63" s="157"/>
      <c r="D63" s="576" t="s">
        <v>417</v>
      </c>
      <c r="E63" s="584">
        <v>1</v>
      </c>
      <c r="F63" s="580">
        <v>3500</v>
      </c>
      <c r="G63" s="582">
        <v>3500</v>
      </c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 t="s">
        <v>408</v>
      </c>
      <c r="J64" s="161"/>
      <c r="K64" s="69" t="s">
        <v>96</v>
      </c>
    </row>
    <row r="65" spans="1:11" ht="10.5" customHeight="1">
      <c r="A65" s="69"/>
      <c r="B65" s="156" t="s">
        <v>435</v>
      </c>
      <c r="C65" s="157"/>
      <c r="D65" s="576" t="s">
        <v>436</v>
      </c>
      <c r="E65" s="584">
        <v>7</v>
      </c>
      <c r="F65" s="580">
        <v>8880</v>
      </c>
      <c r="G65" s="582">
        <v>62160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 t="s">
        <v>408</v>
      </c>
      <c r="J66" s="161"/>
      <c r="K66" s="69" t="s">
        <v>96</v>
      </c>
    </row>
    <row r="67" spans="1:11" ht="10.5" customHeight="1">
      <c r="A67" s="69"/>
      <c r="B67" s="156" t="s">
        <v>437</v>
      </c>
      <c r="C67" s="157"/>
      <c r="D67" s="576" t="s">
        <v>413</v>
      </c>
      <c r="E67" s="584">
        <v>7</v>
      </c>
      <c r="F67" s="580">
        <v>3320</v>
      </c>
      <c r="G67" s="582">
        <v>23240</v>
      </c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 t="s">
        <v>408</v>
      </c>
      <c r="J68" s="161"/>
      <c r="K68" s="69" t="s">
        <v>96</v>
      </c>
    </row>
    <row r="69" spans="1:11" ht="10.5" customHeight="1">
      <c r="A69" s="69"/>
      <c r="B69" s="156" t="s">
        <v>438</v>
      </c>
      <c r="C69" s="157"/>
      <c r="D69" s="576" t="s">
        <v>410</v>
      </c>
      <c r="E69" s="584">
        <v>57</v>
      </c>
      <c r="F69" s="580">
        <v>3900</v>
      </c>
      <c r="G69" s="582">
        <v>222300</v>
      </c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408</v>
      </c>
      <c r="J70" s="161"/>
      <c r="K70" s="69" t="s">
        <v>96</v>
      </c>
    </row>
    <row r="71" spans="1:11" ht="10.5" customHeight="1">
      <c r="A71" s="69"/>
      <c r="B71" s="156" t="s">
        <v>438</v>
      </c>
      <c r="C71" s="157"/>
      <c r="D71" s="576" t="s">
        <v>410</v>
      </c>
      <c r="E71" s="584">
        <v>38</v>
      </c>
      <c r="F71" s="580">
        <v>4160</v>
      </c>
      <c r="G71" s="582">
        <v>158080</v>
      </c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 t="s">
        <v>408</v>
      </c>
      <c r="J72" s="161"/>
      <c r="K72" s="69" t="s">
        <v>96</v>
      </c>
    </row>
    <row r="73" spans="1:11" ht="10.5" customHeight="1">
      <c r="A73" s="69"/>
      <c r="B73" s="156" t="s">
        <v>439</v>
      </c>
      <c r="C73" s="157"/>
      <c r="D73" s="576" t="s">
        <v>417</v>
      </c>
      <c r="E73" s="578">
        <v>1</v>
      </c>
      <c r="F73" s="580">
        <v>-20000</v>
      </c>
      <c r="G73" s="582">
        <v>-20000</v>
      </c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 t="s">
        <v>408</v>
      </c>
      <c r="J74" s="161"/>
      <c r="K74" s="69" t="s">
        <v>96</v>
      </c>
    </row>
    <row r="75" spans="1:11" ht="10.5" customHeight="1">
      <c r="A75" s="69"/>
      <c r="B75" s="156" t="s">
        <v>440</v>
      </c>
      <c r="C75" s="157"/>
      <c r="D75" s="576" t="s">
        <v>413</v>
      </c>
      <c r="E75" s="584">
        <v>19</v>
      </c>
      <c r="F75" s="580">
        <v>14400</v>
      </c>
      <c r="G75" s="582">
        <v>273600</v>
      </c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 t="s">
        <v>408</v>
      </c>
      <c r="J76" s="161"/>
      <c r="K76" s="69" t="s">
        <v>96</v>
      </c>
    </row>
    <row r="77" spans="1:11" ht="10.5" customHeight="1">
      <c r="A77" s="69"/>
      <c r="B77" s="156" t="s">
        <v>440</v>
      </c>
      <c r="C77" s="157"/>
      <c r="D77" s="576" t="s">
        <v>413</v>
      </c>
      <c r="E77" s="584">
        <v>19</v>
      </c>
      <c r="F77" s="580">
        <v>10130</v>
      </c>
      <c r="G77" s="582">
        <v>192470</v>
      </c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 t="s">
        <v>408</v>
      </c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 t="s">
        <v>441</v>
      </c>
      <c r="C81" s="157"/>
      <c r="D81" s="576"/>
      <c r="E81" s="584"/>
      <c r="F81" s="580"/>
      <c r="G81" s="582">
        <v>5471500</v>
      </c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395</v>
      </c>
      <c r="C3" s="146" t="s">
        <v>396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397</v>
      </c>
      <c r="K4" s="69"/>
    </row>
    <row r="5" spans="1:11" ht="18" customHeight="1">
      <c r="A5" s="69"/>
      <c r="B5" s="574" t="s">
        <v>398</v>
      </c>
      <c r="C5" s="575"/>
      <c r="D5" s="153" t="s">
        <v>85</v>
      </c>
      <c r="E5" s="153" t="s">
        <v>399</v>
      </c>
      <c r="F5" s="153" t="s">
        <v>400</v>
      </c>
      <c r="G5" s="153" t="s">
        <v>401</v>
      </c>
      <c r="H5" s="154" t="s">
        <v>402</v>
      </c>
      <c r="I5" s="153" t="s">
        <v>403</v>
      </c>
      <c r="J5" s="155" t="s">
        <v>404</v>
      </c>
      <c r="K5" s="69"/>
    </row>
    <row r="6" spans="1:11" ht="10.5" customHeight="1">
      <c r="A6" s="69"/>
      <c r="B6" s="156" t="s">
        <v>442</v>
      </c>
      <c r="C6" s="157"/>
      <c r="D6" s="576" t="s">
        <v>443</v>
      </c>
      <c r="E6" s="578">
        <v>5</v>
      </c>
      <c r="F6" s="580">
        <v>20000</v>
      </c>
      <c r="G6" s="582">
        <v>100000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444</v>
      </c>
      <c r="C7" s="160"/>
      <c r="D7" s="577"/>
      <c r="E7" s="579"/>
      <c r="F7" s="581"/>
      <c r="G7" s="583"/>
      <c r="H7" s="356"/>
      <c r="I7" s="356" t="s">
        <v>445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441</v>
      </c>
      <c r="C10" s="157"/>
      <c r="D10" s="576"/>
      <c r="E10" s="578"/>
      <c r="F10" s="580"/>
      <c r="G10" s="582">
        <v>100000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395</v>
      </c>
      <c r="C3" s="146" t="s">
        <v>396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397</v>
      </c>
      <c r="K4" s="69"/>
    </row>
    <row r="5" spans="1:11" ht="18" customHeight="1">
      <c r="A5" s="69"/>
      <c r="B5" s="574" t="s">
        <v>398</v>
      </c>
      <c r="C5" s="575"/>
      <c r="D5" s="153" t="s">
        <v>85</v>
      </c>
      <c r="E5" s="153" t="s">
        <v>399</v>
      </c>
      <c r="F5" s="153" t="s">
        <v>400</v>
      </c>
      <c r="G5" s="153" t="s">
        <v>401</v>
      </c>
      <c r="H5" s="154" t="s">
        <v>402</v>
      </c>
      <c r="I5" s="153" t="s">
        <v>403</v>
      </c>
      <c r="J5" s="155" t="s">
        <v>404</v>
      </c>
      <c r="K5" s="69"/>
    </row>
    <row r="6" spans="1:11" ht="10.5" customHeight="1">
      <c r="A6" s="69"/>
      <c r="B6" s="156" t="s">
        <v>446</v>
      </c>
      <c r="C6" s="157"/>
      <c r="D6" s="576" t="s">
        <v>436</v>
      </c>
      <c r="E6" s="578">
        <v>7</v>
      </c>
      <c r="F6" s="580">
        <v>8700</v>
      </c>
      <c r="G6" s="582">
        <v>60900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447</v>
      </c>
      <c r="J7" s="161"/>
      <c r="K7" s="69" t="s">
        <v>96</v>
      </c>
    </row>
    <row r="8" spans="1:11" ht="10.5" customHeight="1">
      <c r="A8" s="69"/>
      <c r="B8" s="156" t="s">
        <v>448</v>
      </c>
      <c r="C8" s="157"/>
      <c r="D8" s="576" t="s">
        <v>417</v>
      </c>
      <c r="E8" s="578">
        <v>1</v>
      </c>
      <c r="F8" s="580">
        <v>585000</v>
      </c>
      <c r="G8" s="582">
        <v>585000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447</v>
      </c>
      <c r="J9" s="162"/>
      <c r="K9" s="69" t="s">
        <v>96</v>
      </c>
    </row>
    <row r="10" spans="1:11" ht="10.5" customHeight="1">
      <c r="A10" s="69"/>
      <c r="B10" s="156" t="s">
        <v>449</v>
      </c>
      <c r="C10" s="157"/>
      <c r="D10" s="576" t="s">
        <v>413</v>
      </c>
      <c r="E10" s="578">
        <v>19</v>
      </c>
      <c r="F10" s="580">
        <v>3300</v>
      </c>
      <c r="G10" s="582">
        <v>62700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447</v>
      </c>
      <c r="J11" s="161"/>
      <c r="K11" s="69" t="s">
        <v>96</v>
      </c>
    </row>
    <row r="12" spans="1:11" ht="10.5" customHeight="1">
      <c r="A12" s="69"/>
      <c r="B12" s="156" t="s">
        <v>450</v>
      </c>
      <c r="C12" s="157"/>
      <c r="D12" s="576" t="s">
        <v>451</v>
      </c>
      <c r="E12" s="584">
        <v>472.32</v>
      </c>
      <c r="F12" s="580">
        <v>740</v>
      </c>
      <c r="G12" s="582">
        <v>349516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447</v>
      </c>
      <c r="J13" s="161"/>
      <c r="K13" s="69" t="s">
        <v>96</v>
      </c>
    </row>
    <row r="14" spans="1:11" ht="10.5" customHeight="1">
      <c r="A14" s="69"/>
      <c r="B14" s="156" t="s">
        <v>452</v>
      </c>
      <c r="C14" s="157"/>
      <c r="D14" s="576" t="s">
        <v>453</v>
      </c>
      <c r="E14" s="584">
        <v>6</v>
      </c>
      <c r="F14" s="580">
        <v>26250</v>
      </c>
      <c r="G14" s="582">
        <v>157500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447</v>
      </c>
      <c r="J15" s="161"/>
      <c r="K15" s="69" t="s">
        <v>96</v>
      </c>
    </row>
    <row r="16" spans="1:11" ht="10.5" customHeight="1">
      <c r="A16" s="69"/>
      <c r="B16" s="156" t="s">
        <v>454</v>
      </c>
      <c r="C16" s="157"/>
      <c r="D16" s="576" t="s">
        <v>417</v>
      </c>
      <c r="E16" s="584">
        <v>1</v>
      </c>
      <c r="F16" s="580">
        <v>71300</v>
      </c>
      <c r="G16" s="582">
        <v>71300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447</v>
      </c>
      <c r="J17" s="161"/>
      <c r="K17" s="69" t="s">
        <v>96</v>
      </c>
    </row>
    <row r="18" spans="1:11" ht="10.5" customHeight="1">
      <c r="A18" s="69"/>
      <c r="B18" s="156" t="s">
        <v>455</v>
      </c>
      <c r="C18" s="157"/>
      <c r="D18" s="576" t="s">
        <v>413</v>
      </c>
      <c r="E18" s="584">
        <v>4</v>
      </c>
      <c r="F18" s="580">
        <v>32900</v>
      </c>
      <c r="G18" s="582">
        <v>131600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447</v>
      </c>
      <c r="J19" s="161"/>
      <c r="K19" s="69" t="s">
        <v>96</v>
      </c>
    </row>
    <row r="20" spans="1:11" ht="10.5" customHeight="1">
      <c r="A20" s="69"/>
      <c r="B20" s="156" t="s">
        <v>456</v>
      </c>
      <c r="C20" s="157"/>
      <c r="D20" s="576" t="s">
        <v>413</v>
      </c>
      <c r="E20" s="584">
        <v>19</v>
      </c>
      <c r="F20" s="580">
        <v>41800</v>
      </c>
      <c r="G20" s="582">
        <v>794200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447</v>
      </c>
      <c r="J21" s="161"/>
      <c r="K21" s="69" t="s">
        <v>96</v>
      </c>
    </row>
    <row r="22" spans="1:11" ht="10.5" customHeight="1">
      <c r="A22" s="69"/>
      <c r="B22" s="156" t="s">
        <v>457</v>
      </c>
      <c r="C22" s="157"/>
      <c r="D22" s="576" t="s">
        <v>423</v>
      </c>
      <c r="E22" s="584">
        <v>79</v>
      </c>
      <c r="F22" s="580">
        <v>210</v>
      </c>
      <c r="G22" s="582">
        <v>16590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447</v>
      </c>
      <c r="J23" s="161"/>
      <c r="K23" s="69" t="s">
        <v>96</v>
      </c>
    </row>
    <row r="24" spans="1:11" ht="10.5" customHeight="1">
      <c r="A24" s="69"/>
      <c r="B24" s="156" t="s">
        <v>458</v>
      </c>
      <c r="C24" s="157"/>
      <c r="D24" s="576" t="s">
        <v>413</v>
      </c>
      <c r="E24" s="578">
        <v>19</v>
      </c>
      <c r="F24" s="580">
        <v>9200</v>
      </c>
      <c r="G24" s="582">
        <v>174800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447</v>
      </c>
      <c r="J25" s="161"/>
      <c r="K25" s="69" t="s">
        <v>96</v>
      </c>
    </row>
    <row r="26" spans="1:11" ht="10.5" customHeight="1">
      <c r="A26" s="69"/>
      <c r="B26" s="156" t="s">
        <v>459</v>
      </c>
      <c r="C26" s="157"/>
      <c r="D26" s="576" t="s">
        <v>443</v>
      </c>
      <c r="E26" s="584">
        <v>10</v>
      </c>
      <c r="F26" s="580">
        <v>20000</v>
      </c>
      <c r="G26" s="582">
        <v>200000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447</v>
      </c>
      <c r="J27" s="161"/>
      <c r="K27" s="69" t="s">
        <v>96</v>
      </c>
    </row>
    <row r="28" spans="1:11" ht="10.5" customHeight="1">
      <c r="A28" s="69"/>
      <c r="B28" s="156" t="s">
        <v>460</v>
      </c>
      <c r="C28" s="157"/>
      <c r="D28" s="576" t="s">
        <v>423</v>
      </c>
      <c r="E28" s="584">
        <v>780</v>
      </c>
      <c r="F28" s="580">
        <v>260</v>
      </c>
      <c r="G28" s="582">
        <v>202800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447</v>
      </c>
      <c r="J29" s="161"/>
      <c r="K29" s="69" t="s">
        <v>96</v>
      </c>
    </row>
    <row r="30" spans="1:11" ht="10.5" customHeight="1">
      <c r="A30" s="69"/>
      <c r="B30" s="156" t="s">
        <v>461</v>
      </c>
      <c r="C30" s="157"/>
      <c r="D30" s="576" t="s">
        <v>453</v>
      </c>
      <c r="E30" s="584">
        <v>15</v>
      </c>
      <c r="F30" s="580">
        <v>22500</v>
      </c>
      <c r="G30" s="582">
        <v>337500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447</v>
      </c>
      <c r="J31" s="161"/>
      <c r="K31" s="69" t="s">
        <v>96</v>
      </c>
    </row>
    <row r="32" spans="1:11" ht="10.5" customHeight="1">
      <c r="A32" s="69"/>
      <c r="B32" s="156" t="s">
        <v>462</v>
      </c>
      <c r="C32" s="157"/>
      <c r="D32" s="576" t="s">
        <v>436</v>
      </c>
      <c r="E32" s="584">
        <v>19</v>
      </c>
      <c r="F32" s="580">
        <v>13100</v>
      </c>
      <c r="G32" s="582">
        <v>248900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447</v>
      </c>
      <c r="J33" s="161"/>
      <c r="K33" s="69" t="s">
        <v>96</v>
      </c>
    </row>
    <row r="34" spans="1:11" ht="10.5" customHeight="1">
      <c r="A34" s="69"/>
      <c r="B34" s="156" t="s">
        <v>463</v>
      </c>
      <c r="C34" s="157"/>
      <c r="D34" s="576" t="s">
        <v>464</v>
      </c>
      <c r="E34" s="584">
        <v>1</v>
      </c>
      <c r="F34" s="580">
        <v>22500</v>
      </c>
      <c r="G34" s="582">
        <v>22500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447</v>
      </c>
      <c r="J35" s="161"/>
      <c r="K35" s="69" t="s">
        <v>96</v>
      </c>
    </row>
    <row r="36" spans="1:11" ht="10.5" customHeight="1">
      <c r="A36" s="69"/>
      <c r="B36" s="156" t="s">
        <v>465</v>
      </c>
      <c r="C36" s="157"/>
      <c r="D36" s="576" t="s">
        <v>417</v>
      </c>
      <c r="E36" s="584">
        <v>1</v>
      </c>
      <c r="F36" s="580">
        <v>225000</v>
      </c>
      <c r="G36" s="582">
        <v>225000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447</v>
      </c>
      <c r="J37" s="161"/>
      <c r="K37" s="69" t="s">
        <v>96</v>
      </c>
    </row>
    <row r="38" spans="1:11" ht="10.5" customHeight="1">
      <c r="A38" s="69"/>
      <c r="B38" s="156" t="s">
        <v>439</v>
      </c>
      <c r="C38" s="157"/>
      <c r="D38" s="576" t="s">
        <v>417</v>
      </c>
      <c r="E38" s="584">
        <v>1</v>
      </c>
      <c r="F38" s="580">
        <v>-306</v>
      </c>
      <c r="G38" s="582">
        <v>-306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 t="s">
        <v>447</v>
      </c>
      <c r="J39" s="161"/>
      <c r="K39" s="69" t="s">
        <v>96</v>
      </c>
    </row>
    <row r="40" spans="1:11" ht="10.5" customHeight="1">
      <c r="A40" s="69"/>
      <c r="B40" s="156" t="s">
        <v>466</v>
      </c>
      <c r="C40" s="157"/>
      <c r="D40" s="576" t="s">
        <v>436</v>
      </c>
      <c r="E40" s="584">
        <v>19</v>
      </c>
      <c r="F40" s="580">
        <v>13500</v>
      </c>
      <c r="G40" s="582">
        <v>256500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447</v>
      </c>
      <c r="J41" s="161"/>
      <c r="K41" s="69" t="s">
        <v>96</v>
      </c>
    </row>
    <row r="42" spans="1:11" ht="10.5" customHeight="1">
      <c r="A42" s="69"/>
      <c r="B42" s="156" t="s">
        <v>467</v>
      </c>
      <c r="C42" s="157"/>
      <c r="D42" s="576" t="s">
        <v>417</v>
      </c>
      <c r="E42" s="584">
        <v>1</v>
      </c>
      <c r="F42" s="580">
        <v>303000</v>
      </c>
      <c r="G42" s="582">
        <v>303000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447</v>
      </c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 t="s">
        <v>441</v>
      </c>
      <c r="C46" s="157"/>
      <c r="D46" s="586"/>
      <c r="E46" s="588"/>
      <c r="F46" s="590"/>
      <c r="G46" s="592">
        <v>4200000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395</v>
      </c>
      <c r="C3" s="146" t="s">
        <v>396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397</v>
      </c>
      <c r="K4" s="69"/>
    </row>
    <row r="5" spans="1:11" ht="18" customHeight="1">
      <c r="A5" s="69"/>
      <c r="B5" s="574" t="s">
        <v>398</v>
      </c>
      <c r="C5" s="575"/>
      <c r="D5" s="153" t="s">
        <v>85</v>
      </c>
      <c r="E5" s="153" t="s">
        <v>399</v>
      </c>
      <c r="F5" s="153" t="s">
        <v>400</v>
      </c>
      <c r="G5" s="153" t="s">
        <v>401</v>
      </c>
      <c r="H5" s="154" t="s">
        <v>402</v>
      </c>
      <c r="I5" s="153" t="s">
        <v>403</v>
      </c>
      <c r="J5" s="155" t="s">
        <v>404</v>
      </c>
      <c r="K5" s="69"/>
    </row>
    <row r="6" spans="1:11" ht="10.5" customHeight="1">
      <c r="A6" s="69"/>
      <c r="B6" s="156" t="s">
        <v>468</v>
      </c>
      <c r="C6" s="157"/>
      <c r="D6" s="576" t="s">
        <v>469</v>
      </c>
      <c r="E6" s="578">
        <v>1</v>
      </c>
      <c r="F6" s="580">
        <v>4500</v>
      </c>
      <c r="G6" s="582">
        <v>4500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470</v>
      </c>
      <c r="C7" s="160"/>
      <c r="D7" s="577"/>
      <c r="E7" s="579"/>
      <c r="F7" s="581"/>
      <c r="G7" s="583"/>
      <c r="H7" s="356"/>
      <c r="I7" s="356" t="s">
        <v>471</v>
      </c>
      <c r="J7" s="161"/>
      <c r="K7" s="69" t="s">
        <v>96</v>
      </c>
    </row>
    <row r="8" spans="1:11" ht="10.5" customHeight="1">
      <c r="A8" s="69"/>
      <c r="B8" s="156" t="s">
        <v>472</v>
      </c>
      <c r="C8" s="157"/>
      <c r="D8" s="576" t="s">
        <v>469</v>
      </c>
      <c r="E8" s="578">
        <v>1</v>
      </c>
      <c r="F8" s="580">
        <v>12000</v>
      </c>
      <c r="G8" s="582">
        <v>12000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473</v>
      </c>
      <c r="C9" s="160"/>
      <c r="D9" s="577"/>
      <c r="E9" s="579"/>
      <c r="F9" s="581"/>
      <c r="G9" s="583"/>
      <c r="H9" s="356"/>
      <c r="I9" s="356" t="s">
        <v>471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441</v>
      </c>
      <c r="C12" s="157"/>
      <c r="D12" s="576"/>
      <c r="E12" s="584"/>
      <c r="F12" s="580"/>
      <c r="G12" s="582">
        <v>16500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395</v>
      </c>
      <c r="C3" s="146" t="s">
        <v>396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397</v>
      </c>
      <c r="K4" s="69"/>
    </row>
    <row r="5" spans="1:11" ht="18" customHeight="1">
      <c r="A5" s="69"/>
      <c r="B5" s="574" t="s">
        <v>398</v>
      </c>
      <c r="C5" s="575"/>
      <c r="D5" s="153" t="s">
        <v>85</v>
      </c>
      <c r="E5" s="153" t="s">
        <v>399</v>
      </c>
      <c r="F5" s="153" t="s">
        <v>400</v>
      </c>
      <c r="G5" s="153" t="s">
        <v>401</v>
      </c>
      <c r="H5" s="154" t="s">
        <v>402</v>
      </c>
      <c r="I5" s="153" t="s">
        <v>403</v>
      </c>
      <c r="J5" s="155" t="s">
        <v>404</v>
      </c>
      <c r="K5" s="69"/>
    </row>
    <row r="6" spans="1:11" ht="10.5" customHeight="1">
      <c r="A6" s="69"/>
      <c r="B6" s="156" t="s">
        <v>474</v>
      </c>
      <c r="C6" s="157"/>
      <c r="D6" s="576" t="s">
        <v>464</v>
      </c>
      <c r="E6" s="578">
        <v>4</v>
      </c>
      <c r="F6" s="580">
        <v>20000</v>
      </c>
      <c r="G6" s="582">
        <v>80000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475</v>
      </c>
      <c r="C7" s="160"/>
      <c r="D7" s="577"/>
      <c r="E7" s="579"/>
      <c r="F7" s="581"/>
      <c r="G7" s="583"/>
      <c r="H7" s="356"/>
      <c r="I7" s="356" t="s">
        <v>476</v>
      </c>
      <c r="J7" s="161"/>
      <c r="K7" s="69" t="s">
        <v>96</v>
      </c>
    </row>
    <row r="8" spans="1:11" ht="10.5" customHeight="1">
      <c r="A8" s="69"/>
      <c r="B8" s="156" t="s">
        <v>477</v>
      </c>
      <c r="C8" s="157"/>
      <c r="D8" s="576" t="s">
        <v>469</v>
      </c>
      <c r="E8" s="578">
        <v>2</v>
      </c>
      <c r="F8" s="580">
        <v>6000</v>
      </c>
      <c r="G8" s="582">
        <v>12000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478</v>
      </c>
      <c r="C9" s="160"/>
      <c r="D9" s="577"/>
      <c r="E9" s="579"/>
      <c r="F9" s="581"/>
      <c r="G9" s="583"/>
      <c r="H9" s="356"/>
      <c r="I9" s="356" t="s">
        <v>476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441</v>
      </c>
      <c r="C12" s="157"/>
      <c r="D12" s="576"/>
      <c r="E12" s="584"/>
      <c r="F12" s="580"/>
      <c r="G12" s="582">
        <v>92000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2026-02-03T07:48:43Z</dcterms:modified>
  <cp:category/>
  <cp:contentStatus/>
</cp:coreProperties>
</file>