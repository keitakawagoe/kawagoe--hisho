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6E7FA958-F649-41DA-AEC9-F9E0887F22B2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'工事費一覧表(共通仮設費)'!$A$1:$AF$13</definedName>
    <definedName name="_xlnm.Print_Area" localSheetId="11">'工事費一覧表(現場経費)'!$A$1:$AF$16</definedName>
    <definedName name="_xlnm.Print_Area" localSheetId="6">'工事費一覧表(直接工事費)'!$A$1:$AF$25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<sst xmlns="http://schemas.openxmlformats.org/spreadsheetml/2006/main" count="1274" uniqueCount="365">
  <si>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</si>
  <si>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</si>
  <si>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</si>
  <si>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</si>
  <si>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</si>
  <si>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</si>
  <si>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</si>
  <si>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</si>
  <si>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</si>
  <si>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</si>
  <si>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</si>
  <si>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</si>
  <si>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</si>
  <si>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</si>
  <si>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</si>
  <si>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</si>
  <si>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</si>
  <si>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</si>
  <si>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</si>
  <si>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</si>
  <si>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</si>
  <si>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</si>
  <si>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</si>
  <si>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</si>
  <si>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</si>
  <si>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</si>
  <si>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</si>
  <si>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</si>
  <si>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</si>
  <si>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</si>
  <si>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</si>
  <si>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</si>
  <si>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</si>
  <si>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</si>
  <si>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</si>
  <si>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</si>
  <si>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</si>
  <si>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</si>
  <si>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</si>
  <si>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</si>
  <si>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</si>
  <si>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</si>
  <si>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</si>
  <si>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</si>
  <si>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</si>
  <si>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</si>
  <si>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</si>
  <si>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</si>
  <si>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</si>
  <si>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</si>
  <si>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</si>
  <si>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</si>
  <si>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</si>
  <si>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</si>
  <si>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</si>
  <si>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</si>
  <si>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</si>
  <si>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</si>
  <si>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</si>
  <si>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</si>
  <si>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</si>
  <si>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</si>
  <si>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</si>
  <si>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</si>
  <si>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</si>
  <si>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</si>
  <si>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</si>
  <si>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</si>
  <si>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</si>
  <si>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</si>
  <si>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</si>
  <si>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</si>
  <si>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</si>
  <si>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</si>
  <si>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</si>
  <si>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</si>
  <si>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</si>
  <si>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</si>
  <si>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</si>
  <si>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</si>
  <si>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</si>
  <si>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</si>
  <si>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</si>
  <si>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</si>
  <si>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</si>
  <si>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</si>
  <si>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</si>
  <si>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</si>
  <si>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</si>
  <si>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</si>
  <si>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</si>
  <si>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</si>
  <si>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</si>
  <si>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</si>
  <si>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</si>
  <si>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</si>
  <si>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</si>
  <si>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</si>
  <si>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</si>
  <si>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</si>
  <si>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</si>
  <si>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</si>
  <si>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</si>
  <si>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</si>
  <si>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</si>
  <si>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</si>
  <si>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</si>
  <si>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</si>
  <si>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</si>
  <si>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</si>
  <si>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</si>
  <si>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</si>
  <si>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</si>
  <si>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</si>
  <si>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</si>
  <si>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</si>
  <si>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</si>
  <si>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</si>
  <si>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</si>
  <si>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</si>
  <si>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</si>
  <si>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</si>
  <si>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</si>
  <si>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</si>
  <si>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</si>
  <si>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</si>
  <si>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</si>
  <si>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</si>
  <si>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</si>
  <si>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</si>
  <si>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</si>
  <si>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</si>
  <si>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</si>
  <si>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</si>
  <si>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</si>
  <si>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</si>
  <si>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</si>
  <si>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</si>
  <si>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</si>
  <si>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</si>
  <si>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</si>
  <si>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</si>
  <si>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</si>
  <si>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</si>
  <si>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2410210187 C</t>
  </si>
  <si>
    <t>（第1回変更予算）</t>
  </si>
  <si>
    <t>刈屋　潤紀</t>
  </si>
  <si>
    <t>令和6年度　県立中央病院構内等除雪業務委託</t>
  </si>
  <si>
    <t>岩手県立中央病院院長</t>
  </si>
  <si>
    <t>岩手営業所</t>
  </si>
  <si>
    <t>岩手県立中央病院構内等(通路及び外来駐車場等)</t>
  </si>
  <si>
    <t>2024年12月9日</t>
  </si>
  <si>
    <t>2025年3月31日</t>
  </si>
  <si>
    <t>準備工片付け</t>
  </si>
  <si>
    <t>除雪業務</t>
  </si>
  <si>
    <t>排雪作業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</si>
  <si>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</si>
  <si>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</si>
  <si>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</si>
  <si>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</si>
  <si>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</si>
  <si>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</si>
  <si>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</si>
  <si>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</si>
  <si>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</si>
  <si>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</si>
  <si>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</si>
  <si>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</si>
  <si>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構内及び駐車場の除雪・排雪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</si>
  <si>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</si>
  <si>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</si>
  <si>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</si>
  <si>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</si>
  <si>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</si>
  <si>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</si>
  <si>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</si>
  <si>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</si>
  <si>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</si>
  <si>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</si>
  <si>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</si>
  <si>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</si>
  <si>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</si>
  <si>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</si>
  <si>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</si>
  <si>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</si>
  <si>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</si>
  <si>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</si>
  <si>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令和６年度県立中央病院除雪　</t>
  </si>
  <si>
    <t>東北支社</t>
  </si>
  <si>
    <t>単独</t>
  </si>
  <si>
    <t>C</t>
  </si>
  <si>
    <t>2024年12月9日 ～ 2025年3月31日</t>
  </si>
  <si>
    <t>構内及び駐車場の除雪・排雪</t>
    <phoneticPr fontId="4"/>
  </si>
  <si>
    <t>直接工事費</t>
  </si>
  <si>
    <t xml:space="preserve">    除雪・排雪</t>
  </si>
  <si>
    <t xml:space="preserve">    </t>
  </si>
  <si>
    <t>工種行</t>
  </si>
  <si>
    <t xml:space="preserve">      準備工片付け</t>
  </si>
  <si>
    <t xml:space="preserve">      </t>
  </si>
  <si>
    <t>15号</t>
  </si>
  <si>
    <t>内訳書</t>
  </si>
  <si>
    <t xml:space="preserve">      除雪業務</t>
  </si>
  <si>
    <t>16号</t>
  </si>
  <si>
    <t xml:space="preserve">      排雪作業</t>
  </si>
  <si>
    <t>17号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</si>
  <si>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</si>
  <si>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</si>
  <si>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</si>
  <si>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</si>
  <si>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</si>
  <si>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</si>
  <si>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</si>
  <si>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</si>
  <si>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 xml:space="preserve">  除雪・排雪</t>
  </si>
  <si>
    <t xml:space="preserve">    準備工片付け</t>
  </si>
  <si>
    <t xml:space="preserve">    除雪業務</t>
  </si>
  <si>
    <t xml:space="preserve">    排雪作業</t>
  </si>
  <si>
    <t>計</t>
  </si>
  <si>
    <t>令和6年度　県立中央病院構内等除雪業務委託</t>
    <phoneticPr fontId="4"/>
  </si>
  <si>
    <t>総括</t>
  </si>
  <si>
    <t>集計行</t>
  </si>
  <si>
    <t>｜直接工事費</t>
  </si>
  <si>
    <t>｜｜除雪・排雪</t>
  </si>
  <si>
    <t>内訳代価</t>
  </si>
  <si>
    <t>｜｜｜準備工片付け</t>
  </si>
  <si>
    <t>15号内訳書</t>
  </si>
  <si>
    <t>｜｜｜｜タイヤチェーン脱着</t>
  </si>
  <si>
    <t>台</t>
  </si>
  <si>
    <t>｜｜｜｜土工</t>
  </si>
  <si>
    <t>直営作業員</t>
  </si>
  <si>
    <t>人</t>
  </si>
  <si>
    <t xml:space="preserve">r0004 </t>
  </si>
  <si>
    <t xml:space="preserve">{数量=2*2} </t>
  </si>
  <si>
    <t>｜｜｜｜雑材</t>
  </si>
  <si>
    <t xml:space="preserve">s10218016 </t>
  </si>
  <si>
    <t>｜｜｜｜塩カル</t>
  </si>
  <si>
    <t>25kg/袋</t>
  </si>
  <si>
    <t>袋</t>
  </si>
  <si>
    <t>｜｜｜除雪業務</t>
  </si>
  <si>
    <t>16号内訳書</t>
  </si>
  <si>
    <t>｜｜｜｜軽油</t>
  </si>
  <si>
    <t>ℓ</t>
  </si>
  <si>
    <t xml:space="preserve">s5001 </t>
  </si>
  <si>
    <t xml:space="preserve">{数量=100*5} </t>
  </si>
  <si>
    <t>｜｜｜｜運転工</t>
  </si>
  <si>
    <t>直営作業員(夜間)</t>
  </si>
  <si>
    <t xml:space="preserve">r1003 </t>
  </si>
  <si>
    <t xml:space="preserve">{数量=2*5} </t>
  </si>
  <si>
    <t>｜｜｜｜ﾀｲﾔｼｮﾍﾞﾙ</t>
  </si>
  <si>
    <t>0.4m3</t>
  </si>
  <si>
    <t>月</t>
  </si>
  <si>
    <t xml:space="preserve">k0007 </t>
  </si>
  <si>
    <t>0.8m3</t>
  </si>
  <si>
    <t>｜｜｜排雪作業</t>
  </si>
  <si>
    <t>17号内訳書</t>
  </si>
  <si>
    <t xml:space="preserve">{数量=100*4} </t>
  </si>
  <si>
    <t xml:space="preserve">r0003 </t>
  </si>
  <si>
    <t xml:space="preserve">{数量=4*4} </t>
  </si>
  <si>
    <t>｜｜｜｜2tﾀﾞﾝﾌﾟ</t>
  </si>
  <si>
    <t xml:space="preserve">u0001 </t>
  </si>
  <si>
    <t xml:space="preserve">{数量=2*4} </t>
  </si>
  <si>
    <t>｜｜｜｜10tﾀﾞﾝﾌﾟ常用</t>
  </si>
  <si>
    <t>昼間</t>
  </si>
  <si>
    <t xml:space="preserve">u0009 </t>
  </si>
  <si>
    <t>｜｜｜｜連絡車</t>
  </si>
  <si>
    <t>Wﾋﾟｯｸ</t>
  </si>
  <si>
    <t xml:space="preserve">u0005 </t>
  </si>
  <si>
    <t xml:space="preserve">{数量=1*4} </t>
  </si>
  <si>
    <t>予算2</t>
    <phoneticPr fontId="6"/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</si>
  <si>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</si>
  <si>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</si>
  <si>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</si>
  <si>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</si>
  <si>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</si>
  <si>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</si>
  <si>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</si>
  <si>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</si>
  <si>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0.4ｍ3TS・0.8ｍ3TS</t>
  </si>
  <si>
    <t>回</t>
  </si>
  <si>
    <t xml:space="preserve">u0013 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</si>
  <si>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</si>
  <si>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</si>
  <si>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</si>
  <si>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</si>
  <si>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</si>
  <si>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</si>
  <si>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</si>
  <si>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</si>
  <si>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</si>
  <si>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</si>
  <si>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</si>
  <si>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</si>
  <si>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</si>
  <si>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</si>
  <si>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</si>
  <si>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</si>
  <si>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</si>
  <si>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</si>
  <si>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</si>
  <si>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</si>
  <si>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</si>
  <si>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</si>
  <si>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</si>
  <si>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</si>
  <si>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総合4級　昼間</t>
  </si>
  <si>
    <t>日</t>
  </si>
  <si>
    <t xml:space="preserve">m0008 </t>
  </si>
  <si>
    <t>｜｜｜社員給料　</t>
  </si>
  <si>
    <t>支社社員　昼間</t>
  </si>
  <si>
    <t xml:space="preserve">m0036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</si>
  <si>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</si>
  <si>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</si>
  <si>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</si>
  <si>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</si>
  <si>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</si>
  <si>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</si>
  <si>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</si>
  <si>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</si>
  <si>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</si>
  <si>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</si>
  <si>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</si>
  <si>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</si>
  <si>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</si>
  <si>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</si>
  <si>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</si>
  <si>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令和6年度　県立中央病院構内等除雪業務委託</t>
    <phoneticPr fontId="6"/>
  </si>
  <si>
    <t>2410210187 C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</si>
  <si>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</si>
  <si>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</si>
  <si>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</si>
  <si>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</si>
  <si>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</si>
  <si>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</si>
  <si>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</si>
  <si>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塩カル</t>
    <phoneticPr fontId="6"/>
  </si>
  <si>
    <t>袋</t>
    <phoneticPr fontId="6"/>
  </si>
  <si>
    <t>25kg/袋</t>
    <phoneticPr fontId="6"/>
  </si>
  <si>
    <t>材料費</t>
    <phoneticPr fontId="6"/>
  </si>
  <si>
    <t>軽油</t>
    <phoneticPr fontId="6"/>
  </si>
  <si>
    <t>ℓ</t>
    <phoneticPr fontId="6"/>
  </si>
  <si>
    <t>雑材</t>
    <phoneticPr fontId="6"/>
  </si>
  <si>
    <t>式</t>
    <phoneticPr fontId="6"/>
  </si>
  <si>
    <t>計</t>
    <phoneticPr fontId="6"/>
  </si>
  <si>
    <t>運転工</t>
    <phoneticPr fontId="6"/>
  </si>
  <si>
    <t>人</t>
    <phoneticPr fontId="6"/>
  </si>
  <si>
    <t>直営作業員</t>
    <phoneticPr fontId="6"/>
  </si>
  <si>
    <t>労務費</t>
    <phoneticPr fontId="6"/>
  </si>
  <si>
    <t>直営作業員(夜間)</t>
    <phoneticPr fontId="6"/>
  </si>
  <si>
    <t>土工</t>
    <phoneticPr fontId="6"/>
  </si>
  <si>
    <t>ﾀｲﾔｼｮﾍﾞﾙ</t>
    <phoneticPr fontId="6"/>
  </si>
  <si>
    <t>月</t>
    <phoneticPr fontId="6"/>
  </si>
  <si>
    <t>0.4m3</t>
    <phoneticPr fontId="6"/>
  </si>
  <si>
    <t>機械費</t>
    <phoneticPr fontId="6"/>
  </si>
  <si>
    <t>0.8m3</t>
    <phoneticPr fontId="6"/>
  </si>
  <si>
    <t>タイヤチェーン脱着</t>
    <phoneticPr fontId="6"/>
  </si>
  <si>
    <t>台</t>
    <phoneticPr fontId="6"/>
  </si>
  <si>
    <t>10tﾀﾞﾝﾌﾟ常用</t>
    <phoneticPr fontId="6"/>
  </si>
  <si>
    <t>昼間</t>
    <phoneticPr fontId="6"/>
  </si>
  <si>
    <t>運搬費</t>
    <phoneticPr fontId="6"/>
  </si>
  <si>
    <t>10t車回送</t>
    <phoneticPr fontId="6"/>
  </si>
  <si>
    <t>回</t>
    <phoneticPr fontId="6"/>
  </si>
  <si>
    <t>0.4ｍ3TS・0.8ｍ3TS</t>
    <phoneticPr fontId="6"/>
  </si>
  <si>
    <t>2tﾀﾞﾝﾌﾟ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</si>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</sst>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5790336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3990336</v>
      </c>
      <c r="J16" s="420"/>
      <c r="K16" s="420"/>
      <c r="L16" s="420"/>
      <c r="M16" s="420"/>
      <c r="N16" s="420"/>
      <c r="O16" s="420"/>
      <c r="P16" s="420"/>
      <c r="Q16" s="416">
        <v>0.68910000000000005</v>
      </c>
      <c r="R16" s="416"/>
      <c r="S16" s="416"/>
      <c r="U16" s="417" t="s">
        <v>16</v>
      </c>
      <c r="V16" s="418"/>
      <c r="W16" s="418"/>
      <c r="X16" s="418"/>
      <c r="Y16" s="419">
        <v>1800000</v>
      </c>
      <c r="Z16" s="420"/>
      <c r="AA16" s="420"/>
      <c r="AB16" s="420"/>
      <c r="AC16" s="420"/>
      <c r="AD16" s="420"/>
      <c r="AE16" s="420"/>
      <c r="AF16" s="420"/>
      <c r="AG16" s="416">
        <v>0.31090000000000001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45635</v>
      </c>
      <c r="D3" s="458"/>
      <c r="E3" s="272" t="s">
        <v>138</v>
      </c>
      <c r="F3" s="459">
        <v>45747</v>
      </c>
      <c r="G3" s="459"/>
      <c r="H3" s="459"/>
      <c r="I3" s="273"/>
      <c r="J3" s="273"/>
      <c r="K3" s="460" t="s">
        <v>30</v>
      </c>
      <c r="L3" s="461"/>
      <c r="M3" s="462"/>
      <c r="N3" s="449">
        <v>5790336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153</v>
      </c>
      <c r="C5" s="276">
        <v>340000</v>
      </c>
      <c r="D5" s="335">
        <f>IF(C5&lt;&gt;"",C5/$C$20,"")</f>
        <v>8.5205857351360895E-2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154</v>
      </c>
      <c r="C6" s="277">
        <v>1439836</v>
      </c>
      <c r="D6" s="336">
        <f t="shared" ref="D6:D17" si="0">IF(C6&lt;&gt;"",C6/$C$20,"")</f>
        <v>0.36083076713339429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155</v>
      </c>
      <c r="C7" s="277">
        <v>762000</v>
      </c>
      <c r="D7" s="336">
        <f t="shared" si="0"/>
        <v>0.19096136265216765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156</v>
      </c>
      <c r="C8" s="277">
        <v>80000</v>
      </c>
      <c r="D8" s="336">
        <f t="shared" si="0"/>
        <v>2.0048437023849619E-2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157</v>
      </c>
      <c r="C9" s="277">
        <v>0</v>
      </c>
      <c r="D9" s="336">
        <f t="shared" si="0"/>
        <v>0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1368500</v>
      </c>
      <c r="D14" s="336">
        <f t="shared" si="0"/>
        <v>0.34295357583922759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3990336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168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153</v>
      </c>
      <c r="K5" s="282"/>
      <c r="L5" s="283" t="s">
        <v>169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154</v>
      </c>
      <c r="K6" s="289"/>
      <c r="L6" s="290" t="s">
        <v>169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155</v>
      </c>
      <c r="K7" s="289"/>
      <c r="L7" s="290" t="s">
        <v>169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156</v>
      </c>
      <c r="K8" s="289"/>
      <c r="L8" s="290" t="s">
        <v>169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157</v>
      </c>
      <c r="K9" s="289" t="s">
        <v>170</v>
      </c>
      <c r="L9" s="290" t="s">
        <v>169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 t="s">
        <v>171</v>
      </c>
      <c r="L10" s="290" t="s">
        <v>169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 t="s">
        <v>172</v>
      </c>
      <c r="L11" s="290" t="s">
        <v>169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173</v>
      </c>
      <c r="L12" s="290" t="s">
        <v>169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 t="s">
        <v>174</v>
      </c>
      <c r="L13" s="290" t="s">
        <v>169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/>
      <c r="L14" s="290" t="s">
        <v>169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 t="s">
        <v>175</v>
      </c>
      <c r="L15" s="290" t="s">
        <v>169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/>
      <c r="L16" s="290" t="s">
        <v>169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176</v>
      </c>
      <c r="L17" s="290" t="s">
        <v>169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 t="s">
        <v>177</v>
      </c>
      <c r="L18" s="290" t="s">
        <v>169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 t="s">
        <v>178</v>
      </c>
      <c r="L19" s="296" t="s">
        <v>169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187</v>
      </c>
      <c r="D5" s="512"/>
      <c r="E5" s="246" t="s">
        <v>132</v>
      </c>
      <c r="F5" s="513" t="s">
        <v>188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179</v>
      </c>
      <c r="I6" s="110" t="s">
        <v>180</v>
      </c>
      <c r="J6" s="110" t="s">
        <v>181</v>
      </c>
      <c r="K6" s="110" t="s">
        <v>182</v>
      </c>
      <c r="L6" s="110" t="s">
        <v>183</v>
      </c>
      <c r="M6" s="111" t="s">
        <v>184</v>
      </c>
      <c r="N6" s="110" t="s">
        <v>185</v>
      </c>
      <c r="O6" s="112" t="s">
        <v>186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5790336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3990336</v>
      </c>
      <c r="G8" s="334">
        <v>0.68910000000000005</v>
      </c>
      <c r="H8" s="250">
        <v>317836</v>
      </c>
      <c r="I8" s="251">
        <v>610000</v>
      </c>
      <c r="J8" s="251"/>
      <c r="K8" s="251">
        <v>1210000</v>
      </c>
      <c r="L8" s="252">
        <v>484000</v>
      </c>
      <c r="M8" s="252"/>
      <c r="N8" s="253">
        <v>1368500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2541836</v>
      </c>
      <c r="G9" s="334">
        <v>0.439</v>
      </c>
      <c r="H9" s="250">
        <v>317836</v>
      </c>
      <c r="I9" s="251">
        <v>610000</v>
      </c>
      <c r="J9" s="251"/>
      <c r="K9" s="251">
        <v>1210000</v>
      </c>
      <c r="L9" s="252">
        <v>404000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80000</v>
      </c>
      <c r="G10" s="334">
        <v>1.38E-2</v>
      </c>
      <c r="H10" s="250"/>
      <c r="I10" s="253"/>
      <c r="J10" s="253"/>
      <c r="K10" s="253"/>
      <c r="L10" s="251">
        <v>80000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1368500</v>
      </c>
      <c r="G11" s="334">
        <v>0.23630000000000001</v>
      </c>
      <c r="H11" s="250"/>
      <c r="I11" s="253"/>
      <c r="J11" s="253"/>
      <c r="K11" s="253"/>
      <c r="L11" s="251"/>
      <c r="M11" s="252"/>
      <c r="N11" s="253">
        <v>1368500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189</v>
      </c>
      <c r="D12" s="492"/>
      <c r="E12" s="113" t="s">
        <v>66</v>
      </c>
      <c r="F12" s="249">
        <v>1800000</v>
      </c>
      <c r="G12" s="334">
        <v>0.31090000000000001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190</v>
      </c>
      <c r="D13" s="492"/>
      <c r="E13" s="169" t="s">
        <v>109</v>
      </c>
      <c r="F13" s="249">
        <v>474807</v>
      </c>
      <c r="G13" s="334">
        <v>8.2000000000000003E-2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151</v>
      </c>
      <c r="D14" s="493"/>
      <c r="E14" s="114" t="s">
        <v>110</v>
      </c>
      <c r="F14" s="249">
        <v>312678</v>
      </c>
      <c r="G14" s="334">
        <v>5.3999999999999999E-2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191</v>
      </c>
      <c r="D15" s="495"/>
      <c r="E15" s="114" t="s">
        <v>111</v>
      </c>
      <c r="F15" s="249">
        <v>162129</v>
      </c>
      <c r="G15" s="334">
        <v>2.8000000000000001E-2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191</v>
      </c>
      <c r="D16" s="493"/>
      <c r="E16" s="113" t="s">
        <v>112</v>
      </c>
      <c r="F16" s="249">
        <v>1325193</v>
      </c>
      <c r="G16" s="334">
        <v>0.22889999999999999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192</v>
      </c>
      <c r="D17" s="500"/>
      <c r="E17" s="113" t="s">
        <v>113</v>
      </c>
      <c r="F17" s="249">
        <v>75274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1249919</v>
      </c>
      <c r="G18" s="334">
        <v>0.21590000000000001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193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194</v>
      </c>
      <c r="C8" s="166"/>
      <c r="D8" s="517" t="s">
        <v>169</v>
      </c>
      <c r="E8" s="519">
        <v>1</v>
      </c>
      <c r="F8" s="521">
        <v>2541836</v>
      </c>
      <c r="G8" s="523">
        <v>2541836</v>
      </c>
      <c r="H8" s="351"/>
      <c r="I8" s="525">
        <v>0.43890000000000001</v>
      </c>
      <c r="J8" s="227"/>
      <c r="K8" s="69" t="s">
        <v>96</v>
      </c>
    </row>
    <row r="9" spans="1:11" ht="15.6" customHeight="1">
      <c r="A9" s="69"/>
      <c r="B9" s="224" t="s">
        <v>195</v>
      </c>
      <c r="C9" s="225"/>
      <c r="D9" s="518"/>
      <c r="E9" s="520"/>
      <c r="F9" s="522"/>
      <c r="G9" s="524"/>
      <c r="H9" s="352" t="s">
        <v>196</v>
      </c>
      <c r="I9" s="526"/>
      <c r="J9" s="227"/>
      <c r="K9" s="69" t="s">
        <v>96</v>
      </c>
    </row>
    <row r="10" spans="1:11" ht="15.6" customHeight="1">
      <c r="A10" s="69"/>
      <c r="B10" s="222" t="s">
        <v>197</v>
      </c>
      <c r="C10" s="166"/>
      <c r="D10" s="517" t="s">
        <v>169</v>
      </c>
      <c r="E10" s="519">
        <v>1</v>
      </c>
      <c r="F10" s="521">
        <v>340000</v>
      </c>
      <c r="G10" s="523">
        <v>340000</v>
      </c>
      <c r="H10" s="351" t="s">
        <v>199</v>
      </c>
      <c r="I10" s="525">
        <v>5.8700000000000002E-2</v>
      </c>
      <c r="J10" s="223"/>
      <c r="K10" s="69" t="s">
        <v>96</v>
      </c>
    </row>
    <row r="11" spans="1:11" ht="15.6" customHeight="1">
      <c r="A11" s="69"/>
      <c r="B11" s="224" t="s">
        <v>198</v>
      </c>
      <c r="C11" s="225"/>
      <c r="D11" s="518"/>
      <c r="E11" s="520"/>
      <c r="F11" s="522"/>
      <c r="G11" s="524"/>
      <c r="H11" s="352" t="s">
        <v>200</v>
      </c>
      <c r="I11" s="526"/>
      <c r="J11" s="226"/>
      <c r="K11" s="69" t="s">
        <v>96</v>
      </c>
    </row>
    <row r="12" spans="1:11" ht="15.6" customHeight="1">
      <c r="A12" s="69"/>
      <c r="B12" s="222" t="s">
        <v>201</v>
      </c>
      <c r="C12" s="166"/>
      <c r="D12" s="517" t="s">
        <v>169</v>
      </c>
      <c r="E12" s="519">
        <v>1</v>
      </c>
      <c r="F12" s="521">
        <v>1439836</v>
      </c>
      <c r="G12" s="523">
        <v>1439836</v>
      </c>
      <c r="H12" s="351" t="s">
        <v>202</v>
      </c>
      <c r="I12" s="525">
        <v>0.24859999999999999</v>
      </c>
      <c r="J12" s="223"/>
      <c r="K12" s="69" t="s">
        <v>96</v>
      </c>
    </row>
    <row r="13" spans="1:11" ht="15.6" customHeight="1">
      <c r="A13" s="69"/>
      <c r="B13" s="224" t="s">
        <v>198</v>
      </c>
      <c r="C13" s="225"/>
      <c r="D13" s="518"/>
      <c r="E13" s="520"/>
      <c r="F13" s="522"/>
      <c r="G13" s="524"/>
      <c r="H13" s="352" t="s">
        <v>200</v>
      </c>
      <c r="I13" s="526"/>
      <c r="J13" s="226"/>
      <c r="K13" s="69" t="s">
        <v>96</v>
      </c>
    </row>
    <row r="14" spans="1:11" ht="15.6" customHeight="1">
      <c r="A14" s="69"/>
      <c r="B14" s="222" t="s">
        <v>203</v>
      </c>
      <c r="C14" s="166"/>
      <c r="D14" s="517" t="s">
        <v>169</v>
      </c>
      <c r="E14" s="519">
        <v>1</v>
      </c>
      <c r="F14" s="521">
        <v>762000</v>
      </c>
      <c r="G14" s="523">
        <v>762000</v>
      </c>
      <c r="H14" s="351" t="s">
        <v>204</v>
      </c>
      <c r="I14" s="525">
        <v>0.13150000000000001</v>
      </c>
      <c r="J14" s="223"/>
      <c r="K14" s="69" t="s">
        <v>96</v>
      </c>
    </row>
    <row r="15" spans="1:11" ht="15.6" customHeight="1">
      <c r="A15" s="69"/>
      <c r="B15" s="224" t="s">
        <v>198</v>
      </c>
      <c r="C15" s="225"/>
      <c r="D15" s="518"/>
      <c r="E15" s="520"/>
      <c r="F15" s="522"/>
      <c r="G15" s="524"/>
      <c r="H15" s="352" t="s">
        <v>200</v>
      </c>
      <c r="I15" s="526"/>
      <c r="J15" s="226"/>
      <c r="K15" s="69" t="s">
        <v>96</v>
      </c>
    </row>
    <row r="16" spans="1:11" ht="15.6" customHeight="1">
      <c r="A16" s="69"/>
      <c r="B16" s="222" t="s">
        <v>205</v>
      </c>
      <c r="C16" s="166"/>
      <c r="D16" s="517"/>
      <c r="E16" s="519"/>
      <c r="F16" s="521"/>
      <c r="G16" s="523">
        <v>2541836</v>
      </c>
      <c r="H16" s="351"/>
      <c r="I16" s="525">
        <v>0.439</v>
      </c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206</v>
      </c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207</v>
      </c>
      <c r="C22" s="166"/>
      <c r="D22" s="517" t="s">
        <v>169</v>
      </c>
      <c r="E22" s="519">
        <v>1</v>
      </c>
      <c r="F22" s="521">
        <v>80000</v>
      </c>
      <c r="G22" s="523">
        <v>80000</v>
      </c>
      <c r="H22" s="351"/>
      <c r="I22" s="525">
        <v>1.38E-2</v>
      </c>
      <c r="J22" s="223"/>
      <c r="K22" s="69" t="s">
        <v>96</v>
      </c>
    </row>
    <row r="23" spans="1:11" ht="15.6" customHeight="1">
      <c r="A23" s="69"/>
      <c r="B23" s="224" t="s">
        <v>208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209</v>
      </c>
      <c r="C24" s="166"/>
      <c r="D24" s="517" t="s">
        <v>169</v>
      </c>
      <c r="E24" s="519">
        <v>1</v>
      </c>
      <c r="F24" s="521">
        <v>1368500</v>
      </c>
      <c r="G24" s="523">
        <v>1368500</v>
      </c>
      <c r="H24" s="351"/>
      <c r="I24" s="525">
        <v>0.23630000000000001</v>
      </c>
      <c r="J24" s="223"/>
      <c r="K24" s="69" t="s">
        <v>96</v>
      </c>
    </row>
    <row r="25" spans="1:11" ht="15.6" customHeight="1">
      <c r="A25" s="69"/>
      <c r="B25" s="224" t="s">
        <v>208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210</v>
      </c>
      <c r="C26" s="166"/>
      <c r="D26" s="517"/>
      <c r="E26" s="519"/>
      <c r="F26" s="521"/>
      <c r="G26" s="523">
        <v>1448500</v>
      </c>
      <c r="H26" s="351"/>
      <c r="I26" s="525">
        <v>0.25009999999999999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211</v>
      </c>
      <c r="C30" s="166"/>
      <c r="D30" s="517"/>
      <c r="E30" s="519"/>
      <c r="F30" s="521"/>
      <c r="G30" s="523">
        <v>3990336</v>
      </c>
      <c r="H30" s="351"/>
      <c r="I30" s="525">
        <v>0.68910000000000005</v>
      </c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212</v>
      </c>
      <c r="C34" s="166"/>
      <c r="D34" s="517"/>
      <c r="E34" s="519"/>
      <c r="F34" s="521"/>
      <c r="G34" s="523">
        <v>1800000</v>
      </c>
      <c r="H34" s="351"/>
      <c r="I34" s="525">
        <v>0.31090000000000001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130</v>
      </c>
      <c r="C43" s="166"/>
      <c r="D43" s="517"/>
      <c r="E43" s="519"/>
      <c r="F43" s="521"/>
      <c r="G43" s="523">
        <v>5790336</v>
      </c>
      <c r="H43" s="351"/>
      <c r="I43" s="525">
        <v>1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8648E-8FA6-465C-8F24-282DCABAAB16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213</v>
      </c>
      <c r="C6" s="166"/>
      <c r="D6" s="517" t="s">
        <v>169</v>
      </c>
      <c r="E6" s="519">
        <v>1</v>
      </c>
      <c r="F6" s="521">
        <v>2541836</v>
      </c>
      <c r="G6" s="523">
        <v>2541836</v>
      </c>
      <c r="H6" s="351"/>
      <c r="I6" s="351"/>
      <c r="J6" s="223"/>
      <c r="K6" s="69" t="s">
        <v>96</v>
      </c>
    </row>
    <row r="7" spans="1:11" ht="15.6" customHeight="1">
      <c r="A7" s="69"/>
      <c r="B7" s="224" t="s">
        <v>208</v>
      </c>
      <c r="C7" s="225"/>
      <c r="D7" s="518"/>
      <c r="E7" s="520"/>
      <c r="F7" s="522"/>
      <c r="G7" s="524"/>
      <c r="H7" s="352" t="s">
        <v>196</v>
      </c>
      <c r="I7" s="352"/>
      <c r="J7" s="226"/>
      <c r="K7" s="69" t="s">
        <v>96</v>
      </c>
    </row>
    <row r="8" spans="1:11" ht="15.6" customHeight="1">
      <c r="A8" s="69"/>
      <c r="B8" s="222" t="s">
        <v>214</v>
      </c>
      <c r="C8" s="166"/>
      <c r="D8" s="517" t="s">
        <v>169</v>
      </c>
      <c r="E8" s="519">
        <v>1</v>
      </c>
      <c r="F8" s="521">
        <v>340000</v>
      </c>
      <c r="G8" s="523">
        <v>340000</v>
      </c>
      <c r="H8" s="351" t="s">
        <v>199</v>
      </c>
      <c r="I8" s="351"/>
      <c r="J8" s="227"/>
      <c r="K8" s="69" t="s">
        <v>96</v>
      </c>
    </row>
    <row r="9" spans="1:11" ht="15.6" customHeight="1">
      <c r="A9" s="69"/>
      <c r="B9" s="224" t="s">
        <v>195</v>
      </c>
      <c r="C9" s="225"/>
      <c r="D9" s="518"/>
      <c r="E9" s="520"/>
      <c r="F9" s="522"/>
      <c r="G9" s="524"/>
      <c r="H9" s="352" t="s">
        <v>200</v>
      </c>
      <c r="I9" s="352"/>
      <c r="J9" s="227"/>
      <c r="K9" s="69" t="s">
        <v>96</v>
      </c>
    </row>
    <row r="10" spans="1:11" ht="15.6" customHeight="1">
      <c r="A10" s="69"/>
      <c r="B10" s="222" t="s">
        <v>215</v>
      </c>
      <c r="C10" s="166"/>
      <c r="D10" s="517" t="s">
        <v>169</v>
      </c>
      <c r="E10" s="519">
        <v>1</v>
      </c>
      <c r="F10" s="521">
        <v>1439836</v>
      </c>
      <c r="G10" s="523">
        <v>1439836</v>
      </c>
      <c r="H10" s="351" t="s">
        <v>202</v>
      </c>
      <c r="I10" s="351"/>
      <c r="J10" s="223"/>
      <c r="K10" s="69" t="s">
        <v>96</v>
      </c>
    </row>
    <row r="11" spans="1:11" ht="15.6" customHeight="1">
      <c r="A11" s="69"/>
      <c r="B11" s="224" t="s">
        <v>195</v>
      </c>
      <c r="C11" s="225"/>
      <c r="D11" s="518"/>
      <c r="E11" s="520"/>
      <c r="F11" s="522"/>
      <c r="G11" s="524"/>
      <c r="H11" s="352" t="s">
        <v>200</v>
      </c>
      <c r="I11" s="352"/>
      <c r="J11" s="226"/>
      <c r="K11" s="69" t="s">
        <v>96</v>
      </c>
    </row>
    <row r="12" spans="1:11" ht="15.6" customHeight="1">
      <c r="A12" s="69"/>
      <c r="B12" s="222" t="s">
        <v>216</v>
      </c>
      <c r="C12" s="166"/>
      <c r="D12" s="517" t="s">
        <v>169</v>
      </c>
      <c r="E12" s="519">
        <v>1</v>
      </c>
      <c r="F12" s="521">
        <v>762000</v>
      </c>
      <c r="G12" s="523">
        <v>762000</v>
      </c>
      <c r="H12" s="351" t="s">
        <v>204</v>
      </c>
      <c r="I12" s="351"/>
      <c r="J12" s="223"/>
      <c r="K12" s="69" t="s">
        <v>96</v>
      </c>
    </row>
    <row r="13" spans="1:11" ht="15.6" customHeight="1">
      <c r="A13" s="69"/>
      <c r="B13" s="224" t="s">
        <v>195</v>
      </c>
      <c r="C13" s="225"/>
      <c r="D13" s="518"/>
      <c r="E13" s="520"/>
      <c r="F13" s="522"/>
      <c r="G13" s="524"/>
      <c r="H13" s="352" t="s">
        <v>200</v>
      </c>
      <c r="I13" s="352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 t="s">
        <v>217</v>
      </c>
      <c r="C16" s="166"/>
      <c r="D16" s="517"/>
      <c r="E16" s="519"/>
      <c r="F16" s="521"/>
      <c r="G16" s="523">
        <v>2541836</v>
      </c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25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令和6年度　県立中央病院構内等除雪業務委託</v>
      </c>
      <c r="G1" s="306"/>
      <c r="H1" s="190" t="s">
        <v>139</v>
      </c>
      <c r="I1" s="333">
        <v>5790336</v>
      </c>
      <c r="J1" s="339">
        <f>I4/I$1</f>
        <v>0.68913721069036404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268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187</v>
      </c>
      <c r="E4" s="342"/>
      <c r="F4" s="345" t="s">
        <v>169</v>
      </c>
      <c r="G4" s="308">
        <v>1</v>
      </c>
      <c r="H4" s="309">
        <v>3990336</v>
      </c>
      <c r="I4" s="309">
        <v>3990336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221</v>
      </c>
      <c r="E5" s="342"/>
      <c r="F5" s="345" t="s">
        <v>169</v>
      </c>
      <c r="G5" s="308">
        <v>1</v>
      </c>
      <c r="H5" s="309">
        <v>2541836</v>
      </c>
      <c r="I5" s="309">
        <v>2541836</v>
      </c>
      <c r="J5" s="211"/>
      <c r="K5" s="212" t="str">
        <f>IF(OR(J5="",G5=J5),"","*")</f>
        <v/>
      </c>
      <c r="L5" s="338">
        <f>IF($A5&lt;=L$1,I5/I$4,"")</f>
        <v>0.63699798713692279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220</v>
      </c>
      <c r="D6" s="340" t="s">
        <v>222</v>
      </c>
      <c r="E6" s="342"/>
      <c r="F6" s="345" t="s">
        <v>169</v>
      </c>
      <c r="G6" s="308">
        <v>1</v>
      </c>
      <c r="H6" s="309">
        <v>2541836</v>
      </c>
      <c r="I6" s="309">
        <v>2541836</v>
      </c>
      <c r="J6" s="211"/>
      <c r="K6" s="212" t="str">
        <f>IF(OR(J6="",G6=J6),"","*")</f>
        <v/>
      </c>
      <c r="L6" s="338">
        <f>IF($A6&lt;=L$1,I6/I$4,"")</f>
        <v>0.63699798713692279</v>
      </c>
      <c r="M6" s="343"/>
      <c r="N6" s="344" t="s">
        <v>196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223</v>
      </c>
      <c r="D7" s="340" t="s">
        <v>224</v>
      </c>
      <c r="E7" s="342"/>
      <c r="F7" s="345" t="s">
        <v>169</v>
      </c>
      <c r="G7" s="308">
        <v>1</v>
      </c>
      <c r="H7" s="309">
        <v>340000</v>
      </c>
      <c r="I7" s="309">
        <v>340000</v>
      </c>
      <c r="J7" s="211">
        <v>1</v>
      </c>
      <c r="K7" s="212" t="str">
        <f>IF(OR(J7="",G7=J7),"","*")</f>
        <v/>
      </c>
      <c r="L7" s="338">
        <f>IF($A7&lt;=L$1,I7/I$4,"")</f>
        <v>8.5205857351360895E-2</v>
      </c>
      <c r="M7" s="343"/>
      <c r="N7" s="344" t="s">
        <v>225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182</v>
      </c>
      <c r="D8" s="340" t="s">
        <v>226</v>
      </c>
      <c r="E8" s="342"/>
      <c r="F8" s="345" t="s">
        <v>227</v>
      </c>
      <c r="G8" s="308">
        <v>2</v>
      </c>
      <c r="H8" s="309">
        <v>50000</v>
      </c>
      <c r="I8" s="309">
        <v>100000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4</v>
      </c>
      <c r="B9" s="342"/>
      <c r="C9" s="342" t="s">
        <v>180</v>
      </c>
      <c r="D9" s="340" t="s">
        <v>228</v>
      </c>
      <c r="E9" s="342" t="s">
        <v>229</v>
      </c>
      <c r="F9" s="345" t="s">
        <v>230</v>
      </c>
      <c r="G9" s="308">
        <v>4</v>
      </c>
      <c r="H9" s="309">
        <v>18000</v>
      </c>
      <c r="I9" s="309">
        <v>72000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231</v>
      </c>
      <c r="AF9" s="341" t="s">
        <v>232</v>
      </c>
    </row>
    <row r="10" spans="1:32">
      <c r="A10" s="307">
        <v>4</v>
      </c>
      <c r="B10" s="342"/>
      <c r="C10" s="342" t="s">
        <v>179</v>
      </c>
      <c r="D10" s="340" t="s">
        <v>233</v>
      </c>
      <c r="E10" s="342"/>
      <c r="F10" s="345" t="s">
        <v>169</v>
      </c>
      <c r="G10" s="308">
        <v>1</v>
      </c>
      <c r="H10" s="309">
        <v>6000</v>
      </c>
      <c r="I10" s="309">
        <v>6000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234</v>
      </c>
      <c r="AF10" s="341"/>
    </row>
    <row r="11" spans="1:32">
      <c r="A11" s="307">
        <v>4</v>
      </c>
      <c r="B11" s="342"/>
      <c r="C11" s="342" t="s">
        <v>179</v>
      </c>
      <c r="D11" s="340" t="s">
        <v>235</v>
      </c>
      <c r="E11" s="342" t="s">
        <v>236</v>
      </c>
      <c r="F11" s="345" t="s">
        <v>237</v>
      </c>
      <c r="G11" s="308">
        <v>80</v>
      </c>
      <c r="H11" s="309">
        <v>2025</v>
      </c>
      <c r="I11" s="309">
        <v>162000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3</v>
      </c>
      <c r="B12" s="342"/>
      <c r="C12" s="342" t="s">
        <v>223</v>
      </c>
      <c r="D12" s="340" t="s">
        <v>238</v>
      </c>
      <c r="E12" s="342"/>
      <c r="F12" s="345" t="s">
        <v>169</v>
      </c>
      <c r="G12" s="308">
        <v>1</v>
      </c>
      <c r="H12" s="309">
        <v>1439836</v>
      </c>
      <c r="I12" s="309">
        <v>1439836</v>
      </c>
      <c r="J12" s="211">
        <v>1</v>
      </c>
      <c r="K12" s="212" t="str">
        <f>IF(OR(J12="",G12=J12),"","*")</f>
        <v/>
      </c>
      <c r="L12" s="338">
        <f>IF($A12&lt;=L$1,I12/I$4,"")</f>
        <v>0.36083076713339429</v>
      </c>
      <c r="M12" s="343"/>
      <c r="N12" s="344" t="s">
        <v>239</v>
      </c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4</v>
      </c>
      <c r="B13" s="342"/>
      <c r="C13" s="342" t="s">
        <v>179</v>
      </c>
      <c r="D13" s="340" t="s">
        <v>240</v>
      </c>
      <c r="E13" s="342"/>
      <c r="F13" s="345" t="s">
        <v>241</v>
      </c>
      <c r="G13" s="308">
        <v>500</v>
      </c>
      <c r="H13" s="309">
        <v>150</v>
      </c>
      <c r="I13" s="309">
        <v>75000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242</v>
      </c>
      <c r="AF13" s="341" t="s">
        <v>243</v>
      </c>
    </row>
    <row r="14" spans="1:32">
      <c r="A14" s="307">
        <v>4</v>
      </c>
      <c r="B14" s="342"/>
      <c r="C14" s="342" t="s">
        <v>179</v>
      </c>
      <c r="D14" s="340" t="s">
        <v>233</v>
      </c>
      <c r="E14" s="342"/>
      <c r="F14" s="345" t="s">
        <v>169</v>
      </c>
      <c r="G14" s="308">
        <v>1</v>
      </c>
      <c r="H14" s="309">
        <v>4836</v>
      </c>
      <c r="I14" s="309">
        <v>4836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234</v>
      </c>
      <c r="AF14" s="341"/>
    </row>
    <row r="15" spans="1:32">
      <c r="A15" s="307">
        <v>4</v>
      </c>
      <c r="B15" s="342"/>
      <c r="C15" s="342" t="s">
        <v>180</v>
      </c>
      <c r="D15" s="340" t="s">
        <v>244</v>
      </c>
      <c r="E15" s="342" t="s">
        <v>245</v>
      </c>
      <c r="F15" s="345" t="s">
        <v>230</v>
      </c>
      <c r="G15" s="308">
        <v>10</v>
      </c>
      <c r="H15" s="309">
        <v>25000</v>
      </c>
      <c r="I15" s="309">
        <v>250000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246</v>
      </c>
      <c r="AF15" s="341" t="s">
        <v>247</v>
      </c>
    </row>
    <row r="16" spans="1:32">
      <c r="A16" s="307">
        <v>4</v>
      </c>
      <c r="B16" s="342"/>
      <c r="C16" s="342" t="s">
        <v>182</v>
      </c>
      <c r="D16" s="340" t="s">
        <v>248</v>
      </c>
      <c r="E16" s="342" t="s">
        <v>249</v>
      </c>
      <c r="F16" s="345" t="s">
        <v>250</v>
      </c>
      <c r="G16" s="308">
        <v>3</v>
      </c>
      <c r="H16" s="309">
        <v>120000</v>
      </c>
      <c r="I16" s="309">
        <v>360000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251</v>
      </c>
      <c r="AF16" s="341"/>
    </row>
    <row r="17" spans="1:32">
      <c r="A17" s="307">
        <v>4</v>
      </c>
      <c r="B17" s="342"/>
      <c r="C17" s="342" t="s">
        <v>182</v>
      </c>
      <c r="D17" s="340" t="s">
        <v>248</v>
      </c>
      <c r="E17" s="342" t="s">
        <v>252</v>
      </c>
      <c r="F17" s="345" t="s">
        <v>250</v>
      </c>
      <c r="G17" s="308">
        <v>3</v>
      </c>
      <c r="H17" s="309">
        <v>250000</v>
      </c>
      <c r="I17" s="309">
        <v>750000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3</v>
      </c>
      <c r="B18" s="342"/>
      <c r="C18" s="342" t="s">
        <v>223</v>
      </c>
      <c r="D18" s="340" t="s">
        <v>253</v>
      </c>
      <c r="E18" s="342"/>
      <c r="F18" s="345" t="s">
        <v>169</v>
      </c>
      <c r="G18" s="308">
        <v>1</v>
      </c>
      <c r="H18" s="309">
        <v>762000</v>
      </c>
      <c r="I18" s="309">
        <v>762000</v>
      </c>
      <c r="J18" s="211">
        <v>1</v>
      </c>
      <c r="K18" s="212" t="str">
        <f>IF(OR(J18="",G18=J18),"","*")</f>
        <v/>
      </c>
      <c r="L18" s="338">
        <f>IF($A18&lt;=L$1,I18/I$4,"")</f>
        <v>0.19096136265216765</v>
      </c>
      <c r="M18" s="343"/>
      <c r="N18" s="344" t="s">
        <v>254</v>
      </c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4</v>
      </c>
      <c r="B19" s="342"/>
      <c r="C19" s="342" t="s">
        <v>179</v>
      </c>
      <c r="D19" s="340" t="s">
        <v>240</v>
      </c>
      <c r="E19" s="342"/>
      <c r="F19" s="345" t="s">
        <v>241</v>
      </c>
      <c r="G19" s="308">
        <v>400</v>
      </c>
      <c r="H19" s="309">
        <v>150</v>
      </c>
      <c r="I19" s="309">
        <v>60000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242</v>
      </c>
      <c r="AF19" s="341" t="s">
        <v>255</v>
      </c>
    </row>
    <row r="20" spans="1:32">
      <c r="A20" s="307">
        <v>4</v>
      </c>
      <c r="B20" s="342"/>
      <c r="C20" s="342" t="s">
        <v>179</v>
      </c>
      <c r="D20" s="340" t="s">
        <v>233</v>
      </c>
      <c r="E20" s="342"/>
      <c r="F20" s="345" t="s">
        <v>169</v>
      </c>
      <c r="G20" s="308">
        <v>1</v>
      </c>
      <c r="H20" s="309">
        <v>10000</v>
      </c>
      <c r="I20" s="309">
        <v>10000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234</v>
      </c>
      <c r="AF20" s="341"/>
    </row>
    <row r="21" spans="1:32">
      <c r="A21" s="307">
        <v>4</v>
      </c>
      <c r="B21" s="342"/>
      <c r="C21" s="342" t="s">
        <v>180</v>
      </c>
      <c r="D21" s="340" t="s">
        <v>244</v>
      </c>
      <c r="E21" s="342" t="s">
        <v>229</v>
      </c>
      <c r="F21" s="345" t="s">
        <v>230</v>
      </c>
      <c r="G21" s="308">
        <v>16</v>
      </c>
      <c r="H21" s="309">
        <v>18000</v>
      </c>
      <c r="I21" s="309">
        <v>288000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256</v>
      </c>
      <c r="AF21" s="341" t="s">
        <v>257</v>
      </c>
    </row>
    <row r="22" spans="1:32">
      <c r="A22" s="307">
        <v>4</v>
      </c>
      <c r="B22" s="342"/>
      <c r="C22" s="342" t="s">
        <v>183</v>
      </c>
      <c r="D22" s="340" t="s">
        <v>258</v>
      </c>
      <c r="E22" s="342"/>
      <c r="F22" s="345" t="s">
        <v>227</v>
      </c>
      <c r="G22" s="308">
        <v>8</v>
      </c>
      <c r="H22" s="309">
        <v>7000</v>
      </c>
      <c r="I22" s="309">
        <v>56000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259</v>
      </c>
      <c r="AF22" s="341" t="s">
        <v>260</v>
      </c>
    </row>
    <row r="23" spans="1:32">
      <c r="A23" s="307">
        <v>4</v>
      </c>
      <c r="B23" s="342"/>
      <c r="C23" s="342" t="s">
        <v>183</v>
      </c>
      <c r="D23" s="340" t="s">
        <v>261</v>
      </c>
      <c r="E23" s="342" t="s">
        <v>262</v>
      </c>
      <c r="F23" s="345" t="s">
        <v>227</v>
      </c>
      <c r="G23" s="308">
        <v>8</v>
      </c>
      <c r="H23" s="309">
        <v>40000</v>
      </c>
      <c r="I23" s="309">
        <v>320000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263</v>
      </c>
      <c r="AF23" s="341" t="s">
        <v>260</v>
      </c>
    </row>
    <row r="24" spans="1:32">
      <c r="A24" s="307">
        <v>4</v>
      </c>
      <c r="B24" s="342"/>
      <c r="C24" s="342" t="s">
        <v>183</v>
      </c>
      <c r="D24" s="340" t="s">
        <v>264</v>
      </c>
      <c r="E24" s="342" t="s">
        <v>265</v>
      </c>
      <c r="F24" s="345" t="s">
        <v>227</v>
      </c>
      <c r="G24" s="308">
        <v>4</v>
      </c>
      <c r="H24" s="309">
        <v>7000</v>
      </c>
      <c r="I24" s="309">
        <v>28000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266</v>
      </c>
      <c r="AF24" s="341" t="s">
        <v>267</v>
      </c>
    </row>
    <row r="25" spans="1:32">
      <c r="A25" s="217"/>
      <c r="B25" s="217"/>
      <c r="C25" s="312"/>
      <c r="D25" s="217"/>
      <c r="E25" s="217"/>
      <c r="F25" s="218"/>
      <c r="G25" s="217"/>
      <c r="H25" s="217"/>
      <c r="I25" s="217"/>
      <c r="J25" s="217"/>
      <c r="K25" s="218"/>
      <c r="L25" s="217"/>
      <c r="M25" s="217"/>
      <c r="N25" s="217"/>
      <c r="O25" s="217"/>
      <c r="P25" s="217"/>
      <c r="Q25" s="217"/>
      <c r="R25" s="217"/>
      <c r="S25" s="218"/>
      <c r="T25" s="217"/>
      <c r="U25" s="217"/>
      <c r="V25" s="217"/>
      <c r="W25" s="217"/>
      <c r="X25" s="217"/>
      <c r="Y25" s="217"/>
      <c r="Z25" s="217"/>
      <c r="AA25" s="218"/>
      <c r="AB25" s="217"/>
      <c r="AC25" s="217"/>
      <c r="AD25" s="217"/>
      <c r="AE25" s="217"/>
      <c r="AF25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24 AF4:AF24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24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156</v>
      </c>
      <c r="D4" s="315">
        <v>80000</v>
      </c>
      <c r="E4" s="120"/>
      <c r="F4" s="119" t="s">
        <v>162</v>
      </c>
      <c r="G4" s="316">
        <v>1368500</v>
      </c>
      <c r="H4" s="69"/>
    </row>
    <row r="5" spans="1:8" ht="27" customHeight="1">
      <c r="A5" s="69"/>
      <c r="B5" s="118"/>
      <c r="C5" s="119" t="s">
        <v>157</v>
      </c>
      <c r="D5" s="315"/>
      <c r="E5" s="120"/>
      <c r="F5" s="119" t="s">
        <v>163</v>
      </c>
      <c r="G5" s="316"/>
      <c r="H5" s="69"/>
    </row>
    <row r="6" spans="1:8" ht="27" customHeight="1">
      <c r="A6" s="69"/>
      <c r="B6" s="118"/>
      <c r="C6" s="119" t="s">
        <v>158</v>
      </c>
      <c r="D6" s="315"/>
      <c r="E6" s="120"/>
      <c r="F6" s="119" t="s">
        <v>164</v>
      </c>
      <c r="G6" s="316"/>
      <c r="H6" s="69"/>
    </row>
    <row r="7" spans="1:8" ht="27" customHeight="1">
      <c r="A7" s="69"/>
      <c r="B7" s="118"/>
      <c r="C7" s="119" t="s">
        <v>159</v>
      </c>
      <c r="D7" s="315"/>
      <c r="E7" s="120"/>
      <c r="F7" s="119" t="s">
        <v>165</v>
      </c>
      <c r="G7" s="316"/>
      <c r="H7" s="69"/>
    </row>
    <row r="8" spans="1:8" ht="27" customHeight="1">
      <c r="A8" s="69"/>
      <c r="B8" s="118"/>
      <c r="C8" s="119" t="s">
        <v>160</v>
      </c>
      <c r="D8" s="315"/>
      <c r="E8" s="120"/>
      <c r="F8" s="119" t="s">
        <v>166</v>
      </c>
      <c r="G8" s="316"/>
      <c r="H8" s="69"/>
    </row>
    <row r="9" spans="1:8" ht="27" customHeight="1">
      <c r="A9" s="69"/>
      <c r="B9" s="118"/>
      <c r="C9" s="119" t="s">
        <v>161</v>
      </c>
      <c r="D9" s="315"/>
      <c r="E9" s="120"/>
      <c r="F9" s="119" t="s">
        <v>167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269</v>
      </c>
      <c r="G10" s="316"/>
      <c r="H10" s="69"/>
    </row>
    <row r="11" spans="1:8" ht="27" customHeight="1">
      <c r="A11" s="69"/>
      <c r="B11" s="118"/>
      <c r="C11" s="119" t="s">
        <v>217</v>
      </c>
      <c r="D11" s="315">
        <v>80000</v>
      </c>
      <c r="E11" s="120"/>
      <c r="F11" s="119" t="s">
        <v>270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217</v>
      </c>
      <c r="G13" s="316">
        <v>1368500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179</v>
      </c>
      <c r="H3" s="128" t="s">
        <v>180</v>
      </c>
      <c r="I3" s="128" t="s">
        <v>181</v>
      </c>
      <c r="J3" s="128" t="s">
        <v>182</v>
      </c>
      <c r="K3" s="128" t="s">
        <v>183</v>
      </c>
      <c r="L3" s="128" t="s">
        <v>184</v>
      </c>
      <c r="M3" s="128" t="s">
        <v>185</v>
      </c>
      <c r="N3" s="129" t="s">
        <v>186</v>
      </c>
      <c r="O3" s="69"/>
    </row>
    <row r="4" spans="1:15" ht="30" customHeight="1">
      <c r="A4" s="69"/>
      <c r="B4" s="130" t="s">
        <v>156</v>
      </c>
      <c r="C4" s="131" t="s">
        <v>169</v>
      </c>
      <c r="D4" s="320">
        <v>1</v>
      </c>
      <c r="E4" s="321">
        <v>80000</v>
      </c>
      <c r="F4" s="322">
        <v>80000</v>
      </c>
      <c r="G4" s="323"/>
      <c r="H4" s="324"/>
      <c r="I4" s="324"/>
      <c r="J4" s="324"/>
      <c r="K4" s="324">
        <v>80000</v>
      </c>
      <c r="L4" s="324"/>
      <c r="M4" s="324"/>
      <c r="N4" s="325"/>
      <c r="O4" s="69"/>
    </row>
    <row r="5" spans="1:15" ht="30" customHeight="1">
      <c r="A5" s="69"/>
      <c r="B5" s="130" t="s">
        <v>157</v>
      </c>
      <c r="C5" s="131" t="s">
        <v>169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158</v>
      </c>
      <c r="C6" s="131" t="s">
        <v>169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159</v>
      </c>
      <c r="C7" s="131" t="s">
        <v>169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160</v>
      </c>
      <c r="C8" s="131" t="s">
        <v>169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161</v>
      </c>
      <c r="C9" s="131" t="s">
        <v>169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217</v>
      </c>
      <c r="C11" s="131"/>
      <c r="D11" s="326"/>
      <c r="E11" s="321"/>
      <c r="F11" s="322">
        <v>80000</v>
      </c>
      <c r="G11" s="323"/>
      <c r="H11" s="324"/>
      <c r="I11" s="324"/>
      <c r="J11" s="324"/>
      <c r="K11" s="324">
        <v>80000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令和6年度　県立中央病院構内等除雪業務委託</v>
      </c>
      <c r="G1" s="306"/>
      <c r="H1" s="190" t="s">
        <v>130</v>
      </c>
      <c r="I1" s="333">
        <v>5790336</v>
      </c>
      <c r="J1" s="339">
        <f>I4/I$1</f>
        <v>0.68913721069036404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268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187</v>
      </c>
      <c r="E4" s="342"/>
      <c r="F4" s="345" t="s">
        <v>169</v>
      </c>
      <c r="G4" s="308">
        <v>1</v>
      </c>
      <c r="H4" s="309">
        <v>3990336</v>
      </c>
      <c r="I4" s="309">
        <v>3990336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271</v>
      </c>
      <c r="P4" s="347" t="s">
        <v>271</v>
      </c>
      <c r="Q4" s="347" t="s">
        <v>271</v>
      </c>
      <c r="R4" s="348" t="s">
        <v>271</v>
      </c>
      <c r="S4" s="349"/>
      <c r="T4" s="343" t="s">
        <v>272</v>
      </c>
      <c r="U4" s="343"/>
      <c r="V4" s="344"/>
      <c r="W4" s="346" t="s">
        <v>271</v>
      </c>
      <c r="X4" s="347" t="s">
        <v>271</v>
      </c>
      <c r="Y4" s="347" t="s">
        <v>271</v>
      </c>
      <c r="Z4" s="348" t="s">
        <v>271</v>
      </c>
      <c r="AA4" s="349"/>
      <c r="AB4" s="343" t="s">
        <v>272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220</v>
      </c>
      <c r="D5" s="340" t="s">
        <v>273</v>
      </c>
      <c r="E5" s="342"/>
      <c r="F5" s="345" t="s">
        <v>169</v>
      </c>
      <c r="G5" s="308">
        <v>1</v>
      </c>
      <c r="H5" s="309">
        <v>80000</v>
      </c>
      <c r="I5" s="309">
        <v>80000</v>
      </c>
      <c r="J5" s="211"/>
      <c r="K5" s="212" t="str">
        <f>IF(OR(J5="",G5=J5),"","*")</f>
        <v/>
      </c>
      <c r="L5" s="338">
        <f>IF($A5&lt;=L$1,I5/I$4,"")</f>
        <v>2.0048437023849619E-2</v>
      </c>
      <c r="M5" s="343"/>
      <c r="N5" s="344"/>
      <c r="O5" s="346" t="s">
        <v>271</v>
      </c>
      <c r="P5" s="347" t="s">
        <v>271</v>
      </c>
      <c r="Q5" s="347" t="s">
        <v>271</v>
      </c>
      <c r="R5" s="348" t="s">
        <v>271</v>
      </c>
      <c r="S5" s="349"/>
      <c r="T5" s="343" t="s">
        <v>272</v>
      </c>
      <c r="U5" s="343"/>
      <c r="V5" s="344"/>
      <c r="W5" s="346" t="s">
        <v>271</v>
      </c>
      <c r="X5" s="347" t="s">
        <v>271</v>
      </c>
      <c r="Y5" s="347" t="s">
        <v>271</v>
      </c>
      <c r="Z5" s="348" t="s">
        <v>271</v>
      </c>
      <c r="AA5" s="349"/>
      <c r="AB5" s="343" t="s">
        <v>272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223</v>
      </c>
      <c r="D6" s="340" t="s">
        <v>274</v>
      </c>
      <c r="E6" s="342"/>
      <c r="F6" s="345" t="s">
        <v>169</v>
      </c>
      <c r="G6" s="308">
        <v>1</v>
      </c>
      <c r="H6" s="309">
        <v>80000</v>
      </c>
      <c r="I6" s="309">
        <v>80000</v>
      </c>
      <c r="J6" s="211">
        <v>1</v>
      </c>
      <c r="K6" s="212" t="str">
        <f>IF(OR(J6="",G6=J6),"","*")</f>
        <v/>
      </c>
      <c r="L6" s="338">
        <f>IF($A6&lt;=L$1,I6/I$4,"")</f>
        <v>2.0048437023849619E-2</v>
      </c>
      <c r="M6" s="343"/>
      <c r="N6" s="344" t="s">
        <v>275</v>
      </c>
      <c r="O6" s="346" t="s">
        <v>271</v>
      </c>
      <c r="P6" s="347" t="s">
        <v>271</v>
      </c>
      <c r="Q6" s="347" t="s">
        <v>271</v>
      </c>
      <c r="R6" s="348" t="s">
        <v>271</v>
      </c>
      <c r="S6" s="349"/>
      <c r="T6" s="343" t="s">
        <v>272</v>
      </c>
      <c r="U6" s="343"/>
      <c r="V6" s="344"/>
      <c r="W6" s="346" t="s">
        <v>271</v>
      </c>
      <c r="X6" s="347" t="s">
        <v>271</v>
      </c>
      <c r="Y6" s="347" t="s">
        <v>271</v>
      </c>
      <c r="Z6" s="348" t="s">
        <v>271</v>
      </c>
      <c r="AA6" s="349"/>
      <c r="AB6" s="343" t="s">
        <v>272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183</v>
      </c>
      <c r="D7" s="340" t="s">
        <v>276</v>
      </c>
      <c r="E7" s="342" t="s">
        <v>277</v>
      </c>
      <c r="F7" s="345" t="s">
        <v>278</v>
      </c>
      <c r="G7" s="308">
        <v>4</v>
      </c>
      <c r="H7" s="309">
        <v>20000</v>
      </c>
      <c r="I7" s="309">
        <v>80000</v>
      </c>
      <c r="J7" s="211"/>
      <c r="K7" s="212" t="str">
        <f>IF(OR(J7="",G7=J7),"","*")</f>
        <v/>
      </c>
      <c r="L7" s="338">
        <f>IF($A7&lt;=L$1,I7/I$4,"")</f>
        <v>2.0048437023849619E-2</v>
      </c>
      <c r="M7" s="343"/>
      <c r="N7" s="344"/>
      <c r="O7" s="346" t="s">
        <v>271</v>
      </c>
      <c r="P7" s="347" t="s">
        <v>271</v>
      </c>
      <c r="Q7" s="347" t="s">
        <v>271</v>
      </c>
      <c r="R7" s="348" t="s">
        <v>271</v>
      </c>
      <c r="S7" s="349"/>
      <c r="T7" s="343" t="s">
        <v>272</v>
      </c>
      <c r="U7" s="343"/>
      <c r="V7" s="344"/>
      <c r="W7" s="346" t="s">
        <v>271</v>
      </c>
      <c r="X7" s="347" t="s">
        <v>271</v>
      </c>
      <c r="Y7" s="347" t="s">
        <v>271</v>
      </c>
      <c r="Z7" s="348" t="s">
        <v>271</v>
      </c>
      <c r="AA7" s="349"/>
      <c r="AB7" s="343" t="s">
        <v>272</v>
      </c>
      <c r="AC7" s="343"/>
      <c r="AD7" s="344"/>
      <c r="AE7" s="342" t="s">
        <v>279</v>
      </c>
      <c r="AF7" s="341" t="s">
        <v>116</v>
      </c>
    </row>
    <row r="8" spans="1:32">
      <c r="A8" s="307">
        <v>2</v>
      </c>
      <c r="B8" s="342"/>
      <c r="C8" s="342" t="s">
        <v>223</v>
      </c>
      <c r="D8" s="340" t="s">
        <v>280</v>
      </c>
      <c r="E8" s="342" t="s">
        <v>170</v>
      </c>
      <c r="F8" s="345" t="s">
        <v>169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281</v>
      </c>
      <c r="O8" s="346" t="s">
        <v>271</v>
      </c>
      <c r="P8" s="347" t="s">
        <v>271</v>
      </c>
      <c r="Q8" s="347" t="s">
        <v>271</v>
      </c>
      <c r="R8" s="348" t="s">
        <v>271</v>
      </c>
      <c r="S8" s="349"/>
      <c r="T8" s="343" t="s">
        <v>272</v>
      </c>
      <c r="U8" s="343"/>
      <c r="V8" s="344"/>
      <c r="W8" s="346" t="s">
        <v>271</v>
      </c>
      <c r="X8" s="347" t="s">
        <v>271</v>
      </c>
      <c r="Y8" s="347" t="s">
        <v>271</v>
      </c>
      <c r="Z8" s="348" t="s">
        <v>271</v>
      </c>
      <c r="AA8" s="349"/>
      <c r="AB8" s="343" t="s">
        <v>272</v>
      </c>
      <c r="AC8" s="343"/>
      <c r="AD8" s="344"/>
      <c r="AE8" s="342"/>
      <c r="AF8" s="341" t="s">
        <v>116</v>
      </c>
    </row>
    <row r="9" spans="1:32">
      <c r="A9" s="307">
        <v>2</v>
      </c>
      <c r="B9" s="342"/>
      <c r="C9" s="342" t="s">
        <v>223</v>
      </c>
      <c r="D9" s="340" t="s">
        <v>282</v>
      </c>
      <c r="E9" s="342" t="s">
        <v>171</v>
      </c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283</v>
      </c>
      <c r="O9" s="346" t="s">
        <v>271</v>
      </c>
      <c r="P9" s="347" t="s">
        <v>271</v>
      </c>
      <c r="Q9" s="347" t="s">
        <v>271</v>
      </c>
      <c r="R9" s="348" t="s">
        <v>271</v>
      </c>
      <c r="S9" s="349"/>
      <c r="T9" s="343" t="s">
        <v>272</v>
      </c>
      <c r="U9" s="343"/>
      <c r="V9" s="344"/>
      <c r="W9" s="346" t="s">
        <v>271</v>
      </c>
      <c r="X9" s="347" t="s">
        <v>271</v>
      </c>
      <c r="Y9" s="347" t="s">
        <v>271</v>
      </c>
      <c r="Z9" s="348" t="s">
        <v>271</v>
      </c>
      <c r="AA9" s="349"/>
      <c r="AB9" s="343" t="s">
        <v>272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223</v>
      </c>
      <c r="D10" s="340" t="s">
        <v>284</v>
      </c>
      <c r="E10" s="342" t="s">
        <v>172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285</v>
      </c>
      <c r="O10" s="346" t="s">
        <v>271</v>
      </c>
      <c r="P10" s="347" t="s">
        <v>271</v>
      </c>
      <c r="Q10" s="347" t="s">
        <v>271</v>
      </c>
      <c r="R10" s="348" t="s">
        <v>271</v>
      </c>
      <c r="S10" s="349"/>
      <c r="T10" s="343" t="s">
        <v>272</v>
      </c>
      <c r="U10" s="343"/>
      <c r="V10" s="344"/>
      <c r="W10" s="346" t="s">
        <v>271</v>
      </c>
      <c r="X10" s="347" t="s">
        <v>271</v>
      </c>
      <c r="Y10" s="347" t="s">
        <v>271</v>
      </c>
      <c r="Z10" s="348" t="s">
        <v>271</v>
      </c>
      <c r="AA10" s="349"/>
      <c r="AB10" s="343" t="s">
        <v>272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223</v>
      </c>
      <c r="D11" s="340" t="s">
        <v>286</v>
      </c>
      <c r="E11" s="342" t="s">
        <v>173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287</v>
      </c>
      <c r="O11" s="346" t="s">
        <v>271</v>
      </c>
      <c r="P11" s="347" t="s">
        <v>271</v>
      </c>
      <c r="Q11" s="347" t="s">
        <v>271</v>
      </c>
      <c r="R11" s="348" t="s">
        <v>271</v>
      </c>
      <c r="S11" s="349"/>
      <c r="T11" s="343" t="s">
        <v>272</v>
      </c>
      <c r="U11" s="343"/>
      <c r="V11" s="344"/>
      <c r="W11" s="346" t="s">
        <v>271</v>
      </c>
      <c r="X11" s="347" t="s">
        <v>271</v>
      </c>
      <c r="Y11" s="347" t="s">
        <v>271</v>
      </c>
      <c r="Z11" s="348" t="s">
        <v>271</v>
      </c>
      <c r="AA11" s="349"/>
      <c r="AB11" s="343" t="s">
        <v>272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223</v>
      </c>
      <c r="D12" s="340" t="s">
        <v>288</v>
      </c>
      <c r="E12" s="342" t="s">
        <v>174</v>
      </c>
      <c r="F12" s="345" t="s">
        <v>169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289</v>
      </c>
      <c r="O12" s="346" t="s">
        <v>271</v>
      </c>
      <c r="P12" s="347" t="s">
        <v>271</v>
      </c>
      <c r="Q12" s="347" t="s">
        <v>271</v>
      </c>
      <c r="R12" s="348" t="s">
        <v>271</v>
      </c>
      <c r="S12" s="349"/>
      <c r="T12" s="343" t="s">
        <v>272</v>
      </c>
      <c r="U12" s="343"/>
      <c r="V12" s="344"/>
      <c r="W12" s="346" t="s">
        <v>271</v>
      </c>
      <c r="X12" s="347" t="s">
        <v>271</v>
      </c>
      <c r="Y12" s="347" t="s">
        <v>271</v>
      </c>
      <c r="Z12" s="348" t="s">
        <v>271</v>
      </c>
      <c r="AA12" s="349"/>
      <c r="AB12" s="343" t="s">
        <v>272</v>
      </c>
      <c r="AC12" s="343"/>
      <c r="AD12" s="344"/>
      <c r="AE12" s="342"/>
      <c r="AF12" s="341" t="s">
        <v>116</v>
      </c>
    </row>
    <row r="13" spans="1:32">
      <c r="A13" s="217"/>
      <c r="B13" s="217"/>
      <c r="C13" s="312"/>
      <c r="D13" s="217"/>
      <c r="E13" s="217"/>
      <c r="F13" s="218"/>
      <c r="G13" s="217"/>
      <c r="H13" s="217"/>
      <c r="I13" s="217"/>
      <c r="J13" s="217"/>
      <c r="K13" s="218"/>
      <c r="L13" s="217"/>
      <c r="M13" s="217"/>
      <c r="N13" s="217"/>
      <c r="O13" s="217"/>
      <c r="P13" s="217"/>
      <c r="Q13" s="217"/>
      <c r="R13" s="217"/>
      <c r="S13" s="218"/>
      <c r="T13" s="217"/>
      <c r="U13" s="217"/>
      <c r="V13" s="217"/>
      <c r="W13" s="217"/>
      <c r="X13" s="217"/>
      <c r="Y13" s="217"/>
      <c r="Z13" s="217"/>
      <c r="AA13" s="218"/>
      <c r="AB13" s="217"/>
      <c r="AC13" s="217"/>
      <c r="AD13" s="217"/>
      <c r="AE13" s="217"/>
      <c r="AF1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2 AF4:AF1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162</v>
      </c>
      <c r="C3" s="561"/>
      <c r="D3" s="563" t="s">
        <v>169</v>
      </c>
      <c r="E3" s="565">
        <v>1</v>
      </c>
      <c r="F3" s="521">
        <v>1368500</v>
      </c>
      <c r="G3" s="557">
        <v>1368500</v>
      </c>
      <c r="H3" s="138" t="s">
        <v>290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200</v>
      </c>
      <c r="I4" s="69"/>
    </row>
    <row r="5" spans="1:9" ht="15.75" customHeight="1">
      <c r="A5" s="69"/>
      <c r="B5" s="559" t="s">
        <v>163</v>
      </c>
      <c r="C5" s="561" t="s">
        <v>175</v>
      </c>
      <c r="D5" s="563" t="s">
        <v>169</v>
      </c>
      <c r="E5" s="565">
        <v>1</v>
      </c>
      <c r="F5" s="521"/>
      <c r="G5" s="557"/>
      <c r="H5" s="138" t="s">
        <v>291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200</v>
      </c>
      <c r="I6" s="69"/>
    </row>
    <row r="7" spans="1:9" ht="15.75" customHeight="1">
      <c r="A7" s="69"/>
      <c r="B7" s="559" t="s">
        <v>164</v>
      </c>
      <c r="C7" s="561"/>
      <c r="D7" s="563" t="s">
        <v>169</v>
      </c>
      <c r="E7" s="565">
        <v>1</v>
      </c>
      <c r="F7" s="521"/>
      <c r="G7" s="557"/>
      <c r="H7" s="138" t="s">
        <v>292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200</v>
      </c>
      <c r="I8" s="69"/>
    </row>
    <row r="9" spans="1:9" ht="15.75" customHeight="1">
      <c r="A9" s="69"/>
      <c r="B9" s="559" t="s">
        <v>165</v>
      </c>
      <c r="C9" s="561" t="s">
        <v>176</v>
      </c>
      <c r="D9" s="563" t="s">
        <v>169</v>
      </c>
      <c r="E9" s="565">
        <v>1</v>
      </c>
      <c r="F9" s="521"/>
      <c r="G9" s="557"/>
      <c r="H9" s="138" t="s">
        <v>293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200</v>
      </c>
      <c r="I10" s="69"/>
    </row>
    <row r="11" spans="1:9" ht="15.75" customHeight="1">
      <c r="A11" s="69"/>
      <c r="B11" s="559" t="s">
        <v>166</v>
      </c>
      <c r="C11" s="561" t="s">
        <v>177</v>
      </c>
      <c r="D11" s="563" t="s">
        <v>169</v>
      </c>
      <c r="E11" s="565">
        <v>1</v>
      </c>
      <c r="F11" s="521"/>
      <c r="G11" s="557"/>
      <c r="H11" s="138" t="s">
        <v>294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200</v>
      </c>
      <c r="I12" s="69"/>
    </row>
    <row r="13" spans="1:9" ht="15.75" customHeight="1">
      <c r="A13" s="69"/>
      <c r="B13" s="559" t="s">
        <v>167</v>
      </c>
      <c r="C13" s="561" t="s">
        <v>178</v>
      </c>
      <c r="D13" s="563" t="s">
        <v>169</v>
      </c>
      <c r="E13" s="565">
        <v>1</v>
      </c>
      <c r="F13" s="521"/>
      <c r="G13" s="557"/>
      <c r="H13" s="138" t="s">
        <v>295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200</v>
      </c>
      <c r="I14" s="69"/>
    </row>
    <row r="15" spans="1:9" ht="15.75" customHeight="1">
      <c r="A15" s="69"/>
      <c r="B15" s="559" t="s">
        <v>269</v>
      </c>
      <c r="C15" s="561" t="s">
        <v>296</v>
      </c>
      <c r="D15" s="563" t="s">
        <v>169</v>
      </c>
      <c r="E15" s="565">
        <v>1</v>
      </c>
      <c r="F15" s="521"/>
      <c r="G15" s="557"/>
      <c r="H15" s="138" t="s">
        <v>297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200</v>
      </c>
      <c r="I16" s="69"/>
    </row>
    <row r="17" spans="1:9" ht="15.75" customHeight="1">
      <c r="A17" s="69"/>
      <c r="B17" s="559" t="s">
        <v>270</v>
      </c>
      <c r="C17" s="561" t="s">
        <v>298</v>
      </c>
      <c r="D17" s="563" t="s">
        <v>169</v>
      </c>
      <c r="E17" s="565">
        <v>1</v>
      </c>
      <c r="F17" s="521"/>
      <c r="G17" s="557"/>
      <c r="H17" s="138" t="s">
        <v>299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200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217</v>
      </c>
      <c r="C21" s="561"/>
      <c r="D21" s="563"/>
      <c r="E21" s="565"/>
      <c r="F21" s="521"/>
      <c r="G21" s="557">
        <v>1368500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令和6年度　県立中央病院構内等除雪業務委託</v>
      </c>
      <c r="G1" s="306"/>
      <c r="H1" s="190" t="s">
        <v>130</v>
      </c>
      <c r="I1" s="333">
        <v>5790336</v>
      </c>
      <c r="J1" s="339">
        <f>I4/I$1</f>
        <v>0.68913721069036404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268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187</v>
      </c>
      <c r="E4" s="342"/>
      <c r="F4" s="345" t="s">
        <v>169</v>
      </c>
      <c r="G4" s="308">
        <v>1</v>
      </c>
      <c r="H4" s="309">
        <v>3990336</v>
      </c>
      <c r="I4" s="309">
        <v>3990336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271</v>
      </c>
      <c r="P4" s="347" t="s">
        <v>271</v>
      </c>
      <c r="Q4" s="347" t="s">
        <v>271</v>
      </c>
      <c r="R4" s="348" t="s">
        <v>271</v>
      </c>
      <c r="S4" s="349"/>
      <c r="T4" s="343" t="s">
        <v>272</v>
      </c>
      <c r="U4" s="343"/>
      <c r="V4" s="344"/>
      <c r="W4" s="346" t="s">
        <v>271</v>
      </c>
      <c r="X4" s="347" t="s">
        <v>271</v>
      </c>
      <c r="Y4" s="347" t="s">
        <v>271</v>
      </c>
      <c r="Z4" s="348" t="s">
        <v>271</v>
      </c>
      <c r="AA4" s="349"/>
      <c r="AB4" s="343" t="s">
        <v>272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220</v>
      </c>
      <c r="D5" s="340" t="s">
        <v>300</v>
      </c>
      <c r="E5" s="342"/>
      <c r="F5" s="345" t="s">
        <v>169</v>
      </c>
      <c r="G5" s="308">
        <v>1</v>
      </c>
      <c r="H5" s="309">
        <v>1368500</v>
      </c>
      <c r="I5" s="309">
        <v>1368500</v>
      </c>
      <c r="J5" s="211"/>
      <c r="K5" s="212" t="str">
        <f>IF(OR(J5="",G5=J5),"","*")</f>
        <v/>
      </c>
      <c r="L5" s="338">
        <f>IF($A5&lt;=L$1,I5/I$4,"")</f>
        <v>0.34295357583922759</v>
      </c>
      <c r="M5" s="343"/>
      <c r="N5" s="344"/>
      <c r="O5" s="346" t="s">
        <v>271</v>
      </c>
      <c r="P5" s="347" t="s">
        <v>271</v>
      </c>
      <c r="Q5" s="347" t="s">
        <v>271</v>
      </c>
      <c r="R5" s="348" t="s">
        <v>271</v>
      </c>
      <c r="S5" s="349"/>
      <c r="T5" s="343" t="s">
        <v>272</v>
      </c>
      <c r="U5" s="343"/>
      <c r="V5" s="344"/>
      <c r="W5" s="346" t="s">
        <v>271</v>
      </c>
      <c r="X5" s="347" t="s">
        <v>271</v>
      </c>
      <c r="Y5" s="347" t="s">
        <v>271</v>
      </c>
      <c r="Z5" s="348" t="s">
        <v>271</v>
      </c>
      <c r="AA5" s="349"/>
      <c r="AB5" s="343" t="s">
        <v>272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223</v>
      </c>
      <c r="D6" s="340" t="s">
        <v>301</v>
      </c>
      <c r="E6" s="342"/>
      <c r="F6" s="345" t="s">
        <v>169</v>
      </c>
      <c r="G6" s="308">
        <v>1</v>
      </c>
      <c r="H6" s="309">
        <v>1368500</v>
      </c>
      <c r="I6" s="309">
        <v>1368500</v>
      </c>
      <c r="J6" s="211">
        <v>1</v>
      </c>
      <c r="K6" s="212" t="str">
        <f>IF(OR(J6="",G6=J6),"","*")</f>
        <v/>
      </c>
      <c r="L6" s="338">
        <f>IF($A6&lt;=L$1,I6/I$4,"")</f>
        <v>0.34295357583922759</v>
      </c>
      <c r="M6" s="343"/>
      <c r="N6" s="344" t="s">
        <v>302</v>
      </c>
      <c r="O6" s="346" t="s">
        <v>271</v>
      </c>
      <c r="P6" s="347" t="s">
        <v>271</v>
      </c>
      <c r="Q6" s="347" t="s">
        <v>271</v>
      </c>
      <c r="R6" s="348" t="s">
        <v>271</v>
      </c>
      <c r="S6" s="349"/>
      <c r="T6" s="343" t="s">
        <v>272</v>
      </c>
      <c r="U6" s="343"/>
      <c r="V6" s="344"/>
      <c r="W6" s="346" t="s">
        <v>271</v>
      </c>
      <c r="X6" s="347" t="s">
        <v>271</v>
      </c>
      <c r="Y6" s="347" t="s">
        <v>271</v>
      </c>
      <c r="Z6" s="348" t="s">
        <v>271</v>
      </c>
      <c r="AA6" s="349"/>
      <c r="AB6" s="343" t="s">
        <v>272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185</v>
      </c>
      <c r="D7" s="340" t="s">
        <v>303</v>
      </c>
      <c r="E7" s="342" t="s">
        <v>304</v>
      </c>
      <c r="F7" s="345" t="s">
        <v>305</v>
      </c>
      <c r="G7" s="308">
        <v>23</v>
      </c>
      <c r="H7" s="309">
        <v>39500</v>
      </c>
      <c r="I7" s="309">
        <v>908500</v>
      </c>
      <c r="J7" s="211"/>
      <c r="K7" s="212" t="str">
        <f>IF(OR(J7="",G7=J7),"","*")</f>
        <v/>
      </c>
      <c r="L7" s="338">
        <f>IF($A7&lt;=L$1,I7/I$4,"")</f>
        <v>0.22767506295209225</v>
      </c>
      <c r="M7" s="343"/>
      <c r="N7" s="344"/>
      <c r="O7" s="346" t="s">
        <v>271</v>
      </c>
      <c r="P7" s="347" t="s">
        <v>271</v>
      </c>
      <c r="Q7" s="347" t="s">
        <v>271</v>
      </c>
      <c r="R7" s="348" t="s">
        <v>271</v>
      </c>
      <c r="S7" s="349"/>
      <c r="T7" s="343" t="s">
        <v>272</v>
      </c>
      <c r="U7" s="343"/>
      <c r="V7" s="344"/>
      <c r="W7" s="346" t="s">
        <v>271</v>
      </c>
      <c r="X7" s="347" t="s">
        <v>271</v>
      </c>
      <c r="Y7" s="347" t="s">
        <v>271</v>
      </c>
      <c r="Z7" s="348" t="s">
        <v>271</v>
      </c>
      <c r="AA7" s="349"/>
      <c r="AB7" s="343" t="s">
        <v>272</v>
      </c>
      <c r="AC7" s="343"/>
      <c r="AD7" s="344"/>
      <c r="AE7" s="342" t="s">
        <v>306</v>
      </c>
      <c r="AF7" s="341" t="s">
        <v>116</v>
      </c>
    </row>
    <row r="8" spans="1:32">
      <c r="A8" s="307">
        <v>3</v>
      </c>
      <c r="B8" s="342"/>
      <c r="C8" s="342" t="s">
        <v>185</v>
      </c>
      <c r="D8" s="340" t="s">
        <v>307</v>
      </c>
      <c r="E8" s="342" t="s">
        <v>308</v>
      </c>
      <c r="F8" s="345" t="s">
        <v>305</v>
      </c>
      <c r="G8" s="308">
        <v>23</v>
      </c>
      <c r="H8" s="309">
        <v>20000</v>
      </c>
      <c r="I8" s="309">
        <v>460000</v>
      </c>
      <c r="J8" s="211"/>
      <c r="K8" s="212" t="str">
        <f>IF(OR(J8="",G8=J8),"","*")</f>
        <v/>
      </c>
      <c r="L8" s="338">
        <f>IF($A8&lt;=L$1,I8/I$4,"")</f>
        <v>0.11527851288713532</v>
      </c>
      <c r="M8" s="343"/>
      <c r="N8" s="344"/>
      <c r="O8" s="346" t="s">
        <v>271</v>
      </c>
      <c r="P8" s="347" t="s">
        <v>271</v>
      </c>
      <c r="Q8" s="347" t="s">
        <v>271</v>
      </c>
      <c r="R8" s="348" t="s">
        <v>271</v>
      </c>
      <c r="S8" s="349"/>
      <c r="T8" s="343" t="s">
        <v>272</v>
      </c>
      <c r="U8" s="343"/>
      <c r="V8" s="344"/>
      <c r="W8" s="346" t="s">
        <v>271</v>
      </c>
      <c r="X8" s="347" t="s">
        <v>271</v>
      </c>
      <c r="Y8" s="347" t="s">
        <v>271</v>
      </c>
      <c r="Z8" s="348" t="s">
        <v>271</v>
      </c>
      <c r="AA8" s="349"/>
      <c r="AB8" s="343" t="s">
        <v>272</v>
      </c>
      <c r="AC8" s="343"/>
      <c r="AD8" s="344"/>
      <c r="AE8" s="342" t="s">
        <v>309</v>
      </c>
      <c r="AF8" s="341" t="s">
        <v>116</v>
      </c>
    </row>
    <row r="9" spans="1:32">
      <c r="A9" s="307">
        <v>2</v>
      </c>
      <c r="B9" s="342"/>
      <c r="C9" s="342" t="s">
        <v>223</v>
      </c>
      <c r="D9" s="340" t="s">
        <v>310</v>
      </c>
      <c r="E9" s="342" t="s">
        <v>175</v>
      </c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311</v>
      </c>
      <c r="O9" s="346" t="s">
        <v>271</v>
      </c>
      <c r="P9" s="347" t="s">
        <v>271</v>
      </c>
      <c r="Q9" s="347" t="s">
        <v>271</v>
      </c>
      <c r="R9" s="348" t="s">
        <v>271</v>
      </c>
      <c r="S9" s="349"/>
      <c r="T9" s="343" t="s">
        <v>272</v>
      </c>
      <c r="U9" s="343"/>
      <c r="V9" s="344"/>
      <c r="W9" s="346" t="s">
        <v>271</v>
      </c>
      <c r="X9" s="347" t="s">
        <v>271</v>
      </c>
      <c r="Y9" s="347" t="s">
        <v>271</v>
      </c>
      <c r="Z9" s="348" t="s">
        <v>271</v>
      </c>
      <c r="AA9" s="349"/>
      <c r="AB9" s="343" t="s">
        <v>272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223</v>
      </c>
      <c r="D10" s="340" t="s">
        <v>312</v>
      </c>
      <c r="E10" s="342"/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313</v>
      </c>
      <c r="O10" s="346" t="s">
        <v>271</v>
      </c>
      <c r="P10" s="347" t="s">
        <v>271</v>
      </c>
      <c r="Q10" s="347" t="s">
        <v>271</v>
      </c>
      <c r="R10" s="348" t="s">
        <v>271</v>
      </c>
      <c r="S10" s="349"/>
      <c r="T10" s="343" t="s">
        <v>272</v>
      </c>
      <c r="U10" s="343"/>
      <c r="V10" s="344"/>
      <c r="W10" s="346" t="s">
        <v>271</v>
      </c>
      <c r="X10" s="347" t="s">
        <v>271</v>
      </c>
      <c r="Y10" s="347" t="s">
        <v>271</v>
      </c>
      <c r="Z10" s="348" t="s">
        <v>271</v>
      </c>
      <c r="AA10" s="349"/>
      <c r="AB10" s="343" t="s">
        <v>272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223</v>
      </c>
      <c r="D11" s="340" t="s">
        <v>314</v>
      </c>
      <c r="E11" s="342" t="s">
        <v>176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315</v>
      </c>
      <c r="O11" s="346" t="s">
        <v>271</v>
      </c>
      <c r="P11" s="347" t="s">
        <v>271</v>
      </c>
      <c r="Q11" s="347" t="s">
        <v>271</v>
      </c>
      <c r="R11" s="348" t="s">
        <v>271</v>
      </c>
      <c r="S11" s="349"/>
      <c r="T11" s="343" t="s">
        <v>272</v>
      </c>
      <c r="U11" s="343"/>
      <c r="V11" s="344"/>
      <c r="W11" s="346" t="s">
        <v>271</v>
      </c>
      <c r="X11" s="347" t="s">
        <v>271</v>
      </c>
      <c r="Y11" s="347" t="s">
        <v>271</v>
      </c>
      <c r="Z11" s="348" t="s">
        <v>271</v>
      </c>
      <c r="AA11" s="349"/>
      <c r="AB11" s="343" t="s">
        <v>272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223</v>
      </c>
      <c r="D12" s="340" t="s">
        <v>316</v>
      </c>
      <c r="E12" s="342" t="s">
        <v>177</v>
      </c>
      <c r="F12" s="345" t="s">
        <v>169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317</v>
      </c>
      <c r="O12" s="346" t="s">
        <v>271</v>
      </c>
      <c r="P12" s="347" t="s">
        <v>271</v>
      </c>
      <c r="Q12" s="347" t="s">
        <v>271</v>
      </c>
      <c r="R12" s="348" t="s">
        <v>271</v>
      </c>
      <c r="S12" s="349"/>
      <c r="T12" s="343" t="s">
        <v>272</v>
      </c>
      <c r="U12" s="343"/>
      <c r="V12" s="344"/>
      <c r="W12" s="346" t="s">
        <v>271</v>
      </c>
      <c r="X12" s="347" t="s">
        <v>271</v>
      </c>
      <c r="Y12" s="347" t="s">
        <v>271</v>
      </c>
      <c r="Z12" s="348" t="s">
        <v>271</v>
      </c>
      <c r="AA12" s="349"/>
      <c r="AB12" s="343" t="s">
        <v>272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223</v>
      </c>
      <c r="D13" s="340" t="s">
        <v>318</v>
      </c>
      <c r="E13" s="342" t="s">
        <v>178</v>
      </c>
      <c r="F13" s="345" t="s">
        <v>169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319</v>
      </c>
      <c r="O13" s="346" t="s">
        <v>271</v>
      </c>
      <c r="P13" s="347" t="s">
        <v>271</v>
      </c>
      <c r="Q13" s="347" t="s">
        <v>271</v>
      </c>
      <c r="R13" s="348" t="s">
        <v>271</v>
      </c>
      <c r="S13" s="349"/>
      <c r="T13" s="343" t="s">
        <v>272</v>
      </c>
      <c r="U13" s="343"/>
      <c r="V13" s="344"/>
      <c r="W13" s="346" t="s">
        <v>271</v>
      </c>
      <c r="X13" s="347" t="s">
        <v>271</v>
      </c>
      <c r="Y13" s="347" t="s">
        <v>271</v>
      </c>
      <c r="Z13" s="348" t="s">
        <v>271</v>
      </c>
      <c r="AA13" s="349"/>
      <c r="AB13" s="343" t="s">
        <v>272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223</v>
      </c>
      <c r="D14" s="340" t="s">
        <v>320</v>
      </c>
      <c r="E14" s="342" t="s">
        <v>296</v>
      </c>
      <c r="F14" s="345" t="s">
        <v>169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321</v>
      </c>
      <c r="O14" s="346" t="s">
        <v>271</v>
      </c>
      <c r="P14" s="347" t="s">
        <v>271</v>
      </c>
      <c r="Q14" s="347" t="s">
        <v>271</v>
      </c>
      <c r="R14" s="348" t="s">
        <v>271</v>
      </c>
      <c r="S14" s="349"/>
      <c r="T14" s="343" t="s">
        <v>272</v>
      </c>
      <c r="U14" s="343"/>
      <c r="V14" s="344"/>
      <c r="W14" s="346" t="s">
        <v>271</v>
      </c>
      <c r="X14" s="347" t="s">
        <v>271</v>
      </c>
      <c r="Y14" s="347" t="s">
        <v>271</v>
      </c>
      <c r="Z14" s="348" t="s">
        <v>271</v>
      </c>
      <c r="AA14" s="349"/>
      <c r="AB14" s="343" t="s">
        <v>272</v>
      </c>
      <c r="AC14" s="343"/>
      <c r="AD14" s="344"/>
      <c r="AE14" s="342"/>
      <c r="AF14" s="341" t="s">
        <v>116</v>
      </c>
    </row>
    <row r="15" spans="1:32">
      <c r="A15" s="307">
        <v>2</v>
      </c>
      <c r="B15" s="342"/>
      <c r="C15" s="342" t="s">
        <v>223</v>
      </c>
      <c r="D15" s="340" t="s">
        <v>322</v>
      </c>
      <c r="E15" s="342" t="s">
        <v>298</v>
      </c>
      <c r="F15" s="345" t="s">
        <v>169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323</v>
      </c>
      <c r="O15" s="346" t="s">
        <v>271</v>
      </c>
      <c r="P15" s="347" t="s">
        <v>271</v>
      </c>
      <c r="Q15" s="347" t="s">
        <v>271</v>
      </c>
      <c r="R15" s="348" t="s">
        <v>271</v>
      </c>
      <c r="S15" s="349"/>
      <c r="T15" s="343" t="s">
        <v>272</v>
      </c>
      <c r="U15" s="343"/>
      <c r="V15" s="344"/>
      <c r="W15" s="346" t="s">
        <v>271</v>
      </c>
      <c r="X15" s="347" t="s">
        <v>271</v>
      </c>
      <c r="Y15" s="347" t="s">
        <v>271</v>
      </c>
      <c r="Z15" s="348" t="s">
        <v>271</v>
      </c>
      <c r="AA15" s="349"/>
      <c r="AB15" s="343" t="s">
        <v>272</v>
      </c>
      <c r="AC15" s="343"/>
      <c r="AD15" s="344"/>
      <c r="AE15" s="342"/>
      <c r="AF15" s="341" t="s">
        <v>116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324</v>
      </c>
      <c r="C3" s="146" t="s">
        <v>325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326</v>
      </c>
      <c r="K4" s="69"/>
    </row>
    <row r="5" spans="1:11" ht="18" customHeight="1">
      <c r="A5" s="69"/>
      <c r="B5" s="574" t="s">
        <v>327</v>
      </c>
      <c r="C5" s="575"/>
      <c r="D5" s="153" t="s">
        <v>85</v>
      </c>
      <c r="E5" s="153" t="s">
        <v>328</v>
      </c>
      <c r="F5" s="153" t="s">
        <v>329</v>
      </c>
      <c r="G5" s="153" t="s">
        <v>330</v>
      </c>
      <c r="H5" s="154" t="s">
        <v>331</v>
      </c>
      <c r="I5" s="153" t="s">
        <v>332</v>
      </c>
      <c r="J5" s="155" t="s">
        <v>333</v>
      </c>
      <c r="K5" s="69"/>
    </row>
    <row r="6" spans="1:11" ht="10.5" customHeight="1">
      <c r="A6" s="69"/>
      <c r="B6" s="156" t="s">
        <v>334</v>
      </c>
      <c r="C6" s="157"/>
      <c r="D6" s="576" t="s">
        <v>335</v>
      </c>
      <c r="E6" s="578">
        <v>80</v>
      </c>
      <c r="F6" s="580">
        <v>2025</v>
      </c>
      <c r="G6" s="582">
        <v>162000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336</v>
      </c>
      <c r="C7" s="160"/>
      <c r="D7" s="577"/>
      <c r="E7" s="579"/>
      <c r="F7" s="581"/>
      <c r="G7" s="583"/>
      <c r="H7" s="356"/>
      <c r="I7" s="356" t="s">
        <v>337</v>
      </c>
      <c r="J7" s="161"/>
      <c r="K7" s="69" t="s">
        <v>96</v>
      </c>
    </row>
    <row r="8" spans="1:11" ht="10.5" customHeight="1">
      <c r="A8" s="69"/>
      <c r="B8" s="156" t="s">
        <v>338</v>
      </c>
      <c r="C8" s="157"/>
      <c r="D8" s="576" t="s">
        <v>339</v>
      </c>
      <c r="E8" s="578">
        <v>900</v>
      </c>
      <c r="F8" s="580">
        <v>150</v>
      </c>
      <c r="G8" s="582">
        <v>135000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337</v>
      </c>
      <c r="J9" s="162"/>
      <c r="K9" s="69" t="s">
        <v>96</v>
      </c>
    </row>
    <row r="10" spans="1:11" ht="10.5" customHeight="1">
      <c r="A10" s="69"/>
      <c r="B10" s="156" t="s">
        <v>340</v>
      </c>
      <c r="C10" s="157"/>
      <c r="D10" s="576" t="s">
        <v>341</v>
      </c>
      <c r="E10" s="578">
        <v>1</v>
      </c>
      <c r="F10" s="580">
        <v>10000</v>
      </c>
      <c r="G10" s="582">
        <v>10000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337</v>
      </c>
      <c r="J11" s="161"/>
      <c r="K11" s="69" t="s">
        <v>96</v>
      </c>
    </row>
    <row r="12" spans="1:11" ht="10.5" customHeight="1">
      <c r="A12" s="69"/>
      <c r="B12" s="156" t="s">
        <v>340</v>
      </c>
      <c r="C12" s="157"/>
      <c r="D12" s="576" t="s">
        <v>341</v>
      </c>
      <c r="E12" s="584">
        <v>1</v>
      </c>
      <c r="F12" s="580">
        <v>6000</v>
      </c>
      <c r="G12" s="582">
        <v>6000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337</v>
      </c>
      <c r="J13" s="161"/>
      <c r="K13" s="69" t="s">
        <v>96</v>
      </c>
    </row>
    <row r="14" spans="1:11" ht="10.5" customHeight="1">
      <c r="A14" s="69"/>
      <c r="B14" s="156" t="s">
        <v>340</v>
      </c>
      <c r="C14" s="157"/>
      <c r="D14" s="576" t="s">
        <v>341</v>
      </c>
      <c r="E14" s="584">
        <v>1</v>
      </c>
      <c r="F14" s="580">
        <v>4836</v>
      </c>
      <c r="G14" s="582">
        <v>4836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337</v>
      </c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 t="s">
        <v>342</v>
      </c>
      <c r="C18" s="157"/>
      <c r="D18" s="576"/>
      <c r="E18" s="584"/>
      <c r="F18" s="580"/>
      <c r="G18" s="582">
        <v>317836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324</v>
      </c>
      <c r="C3" s="146" t="s">
        <v>325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326</v>
      </c>
      <c r="K4" s="69"/>
    </row>
    <row r="5" spans="1:11" ht="18" customHeight="1">
      <c r="A5" s="69"/>
      <c r="B5" s="574" t="s">
        <v>327</v>
      </c>
      <c r="C5" s="575"/>
      <c r="D5" s="153" t="s">
        <v>85</v>
      </c>
      <c r="E5" s="153" t="s">
        <v>328</v>
      </c>
      <c r="F5" s="153" t="s">
        <v>329</v>
      </c>
      <c r="G5" s="153" t="s">
        <v>330</v>
      </c>
      <c r="H5" s="154" t="s">
        <v>331</v>
      </c>
      <c r="I5" s="153" t="s">
        <v>332</v>
      </c>
      <c r="J5" s="155" t="s">
        <v>333</v>
      </c>
      <c r="K5" s="69"/>
    </row>
    <row r="6" spans="1:11" ht="10.5" customHeight="1">
      <c r="A6" s="69"/>
      <c r="B6" s="156" t="s">
        <v>343</v>
      </c>
      <c r="C6" s="157"/>
      <c r="D6" s="576" t="s">
        <v>344</v>
      </c>
      <c r="E6" s="578">
        <v>16</v>
      </c>
      <c r="F6" s="580">
        <v>18000</v>
      </c>
      <c r="G6" s="582">
        <v>288000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345</v>
      </c>
      <c r="C7" s="160"/>
      <c r="D7" s="577"/>
      <c r="E7" s="579"/>
      <c r="F7" s="581"/>
      <c r="G7" s="583"/>
      <c r="H7" s="356"/>
      <c r="I7" s="356" t="s">
        <v>346</v>
      </c>
      <c r="J7" s="161"/>
      <c r="K7" s="69" t="s">
        <v>96</v>
      </c>
    </row>
    <row r="8" spans="1:11" ht="10.5" customHeight="1">
      <c r="A8" s="69"/>
      <c r="B8" s="156" t="s">
        <v>343</v>
      </c>
      <c r="C8" s="157"/>
      <c r="D8" s="576" t="s">
        <v>344</v>
      </c>
      <c r="E8" s="578">
        <v>10</v>
      </c>
      <c r="F8" s="580">
        <v>25000</v>
      </c>
      <c r="G8" s="582">
        <v>250000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347</v>
      </c>
      <c r="C9" s="160"/>
      <c r="D9" s="577"/>
      <c r="E9" s="579"/>
      <c r="F9" s="581"/>
      <c r="G9" s="583"/>
      <c r="H9" s="356"/>
      <c r="I9" s="356" t="s">
        <v>346</v>
      </c>
      <c r="J9" s="162"/>
      <c r="K9" s="69" t="s">
        <v>96</v>
      </c>
    </row>
    <row r="10" spans="1:11" ht="10.5" customHeight="1">
      <c r="A10" s="69"/>
      <c r="B10" s="156" t="s">
        <v>348</v>
      </c>
      <c r="C10" s="157"/>
      <c r="D10" s="576" t="s">
        <v>344</v>
      </c>
      <c r="E10" s="578">
        <v>4</v>
      </c>
      <c r="F10" s="580">
        <v>18000</v>
      </c>
      <c r="G10" s="582">
        <v>72000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345</v>
      </c>
      <c r="C11" s="160"/>
      <c r="D11" s="577"/>
      <c r="E11" s="579"/>
      <c r="F11" s="581"/>
      <c r="G11" s="583"/>
      <c r="H11" s="356"/>
      <c r="I11" s="356" t="s">
        <v>346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342</v>
      </c>
      <c r="C14" s="157"/>
      <c r="D14" s="576"/>
      <c r="E14" s="584"/>
      <c r="F14" s="580"/>
      <c r="G14" s="582">
        <v>610000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324</v>
      </c>
      <c r="C3" s="146" t="s">
        <v>325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326</v>
      </c>
      <c r="K4" s="69"/>
    </row>
    <row r="5" spans="1:11" ht="18" customHeight="1">
      <c r="A5" s="69"/>
      <c r="B5" s="574" t="s">
        <v>327</v>
      </c>
      <c r="C5" s="575"/>
      <c r="D5" s="153" t="s">
        <v>85</v>
      </c>
      <c r="E5" s="153" t="s">
        <v>328</v>
      </c>
      <c r="F5" s="153" t="s">
        <v>329</v>
      </c>
      <c r="G5" s="153" t="s">
        <v>330</v>
      </c>
      <c r="H5" s="154" t="s">
        <v>331</v>
      </c>
      <c r="I5" s="153" t="s">
        <v>332</v>
      </c>
      <c r="J5" s="155" t="s">
        <v>333</v>
      </c>
      <c r="K5" s="69"/>
    </row>
    <row r="6" spans="1:11" ht="10.5" customHeight="1">
      <c r="A6" s="69"/>
      <c r="B6" s="156" t="s">
        <v>349</v>
      </c>
      <c r="C6" s="157"/>
      <c r="D6" s="576" t="s">
        <v>350</v>
      </c>
      <c r="E6" s="578">
        <v>3</v>
      </c>
      <c r="F6" s="580">
        <v>120000</v>
      </c>
      <c r="G6" s="582">
        <v>360000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351</v>
      </c>
      <c r="C7" s="160"/>
      <c r="D7" s="577"/>
      <c r="E7" s="579"/>
      <c r="F7" s="581"/>
      <c r="G7" s="583"/>
      <c r="H7" s="356"/>
      <c r="I7" s="356" t="s">
        <v>352</v>
      </c>
      <c r="J7" s="161"/>
      <c r="K7" s="69" t="s">
        <v>96</v>
      </c>
    </row>
    <row r="8" spans="1:11" ht="10.5" customHeight="1">
      <c r="A8" s="69"/>
      <c r="B8" s="156" t="s">
        <v>349</v>
      </c>
      <c r="C8" s="157"/>
      <c r="D8" s="576" t="s">
        <v>350</v>
      </c>
      <c r="E8" s="578">
        <v>3</v>
      </c>
      <c r="F8" s="580">
        <v>250000</v>
      </c>
      <c r="G8" s="582">
        <v>750000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353</v>
      </c>
      <c r="C9" s="160"/>
      <c r="D9" s="577"/>
      <c r="E9" s="579"/>
      <c r="F9" s="581"/>
      <c r="G9" s="583"/>
      <c r="H9" s="356"/>
      <c r="I9" s="356" t="s">
        <v>352</v>
      </c>
      <c r="J9" s="162"/>
      <c r="K9" s="69" t="s">
        <v>96</v>
      </c>
    </row>
    <row r="10" spans="1:11" ht="10.5" customHeight="1">
      <c r="A10" s="69"/>
      <c r="B10" s="156" t="s">
        <v>354</v>
      </c>
      <c r="C10" s="157"/>
      <c r="D10" s="576" t="s">
        <v>355</v>
      </c>
      <c r="E10" s="578">
        <v>2</v>
      </c>
      <c r="F10" s="580">
        <v>50000</v>
      </c>
      <c r="G10" s="582">
        <v>100000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352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342</v>
      </c>
      <c r="C14" s="157"/>
      <c r="D14" s="576"/>
      <c r="E14" s="584"/>
      <c r="F14" s="580"/>
      <c r="G14" s="582">
        <v>1210000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324</v>
      </c>
      <c r="C3" s="146" t="s">
        <v>325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326</v>
      </c>
      <c r="K4" s="69"/>
    </row>
    <row r="5" spans="1:11" ht="18" customHeight="1">
      <c r="A5" s="69"/>
      <c r="B5" s="574" t="s">
        <v>327</v>
      </c>
      <c r="C5" s="575"/>
      <c r="D5" s="153" t="s">
        <v>85</v>
      </c>
      <c r="E5" s="153" t="s">
        <v>328</v>
      </c>
      <c r="F5" s="153" t="s">
        <v>329</v>
      </c>
      <c r="G5" s="153" t="s">
        <v>330</v>
      </c>
      <c r="H5" s="154" t="s">
        <v>331</v>
      </c>
      <c r="I5" s="153" t="s">
        <v>332</v>
      </c>
      <c r="J5" s="155" t="s">
        <v>333</v>
      </c>
      <c r="K5" s="69"/>
    </row>
    <row r="6" spans="1:11" ht="10.5" customHeight="1">
      <c r="A6" s="69"/>
      <c r="B6" s="156" t="s">
        <v>356</v>
      </c>
      <c r="C6" s="157"/>
      <c r="D6" s="576" t="s">
        <v>355</v>
      </c>
      <c r="E6" s="578">
        <v>8</v>
      </c>
      <c r="F6" s="580">
        <v>40000</v>
      </c>
      <c r="G6" s="582">
        <v>320000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357</v>
      </c>
      <c r="C7" s="160"/>
      <c r="D7" s="577"/>
      <c r="E7" s="579"/>
      <c r="F7" s="581"/>
      <c r="G7" s="583"/>
      <c r="H7" s="356"/>
      <c r="I7" s="356" t="s">
        <v>358</v>
      </c>
      <c r="J7" s="161"/>
      <c r="K7" s="69" t="s">
        <v>96</v>
      </c>
    </row>
    <row r="8" spans="1:11" ht="10.5" customHeight="1">
      <c r="A8" s="69"/>
      <c r="B8" s="156" t="s">
        <v>359</v>
      </c>
      <c r="C8" s="157"/>
      <c r="D8" s="576" t="s">
        <v>360</v>
      </c>
      <c r="E8" s="578">
        <v>4</v>
      </c>
      <c r="F8" s="580">
        <v>20000</v>
      </c>
      <c r="G8" s="582">
        <v>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361</v>
      </c>
      <c r="C9" s="160"/>
      <c r="D9" s="577"/>
      <c r="E9" s="579"/>
      <c r="F9" s="581"/>
      <c r="G9" s="583"/>
      <c r="H9" s="356"/>
      <c r="I9" s="356" t="s">
        <v>358</v>
      </c>
      <c r="J9" s="162"/>
      <c r="K9" s="69" t="s">
        <v>96</v>
      </c>
    </row>
    <row r="10" spans="1:11" ht="10.5" customHeight="1">
      <c r="A10" s="69"/>
      <c r="B10" s="156" t="s">
        <v>362</v>
      </c>
      <c r="C10" s="157"/>
      <c r="D10" s="576" t="s">
        <v>355</v>
      </c>
      <c r="E10" s="578">
        <v>8</v>
      </c>
      <c r="F10" s="580">
        <v>7000</v>
      </c>
      <c r="G10" s="582">
        <v>56000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358</v>
      </c>
      <c r="J11" s="161"/>
      <c r="K11" s="69" t="s">
        <v>96</v>
      </c>
    </row>
    <row r="12" spans="1:11" ht="10.5" customHeight="1">
      <c r="A12" s="69"/>
      <c r="B12" s="156" t="s">
        <v>363</v>
      </c>
      <c r="C12" s="157"/>
      <c r="D12" s="576" t="s">
        <v>355</v>
      </c>
      <c r="E12" s="584">
        <v>4</v>
      </c>
      <c r="F12" s="580">
        <v>7000</v>
      </c>
      <c r="G12" s="582">
        <v>28000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364</v>
      </c>
      <c r="C13" s="160"/>
      <c r="D13" s="577"/>
      <c r="E13" s="585"/>
      <c r="F13" s="581"/>
      <c r="G13" s="583"/>
      <c r="H13" s="356"/>
      <c r="I13" s="356" t="s">
        <v>358</v>
      </c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342</v>
      </c>
      <c r="C16" s="157"/>
      <c r="D16" s="576"/>
      <c r="E16" s="584"/>
      <c r="F16" s="580"/>
      <c r="G16" s="582">
        <v>484000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2026-02-05T02:42:08Z</dcterms:modified>
  <cp:category/>
  <cp:contentStatus/>
</cp:coreProperties>
</file>