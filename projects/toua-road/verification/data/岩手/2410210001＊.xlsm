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7ABD4B72-938B-4884-9424-78814A934E2C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'工事費一覧表(共通仮設費)'!$A$1:$AF$12</definedName>
    <definedName name="_xlnm.Print_Area" localSheetId="11">'工事費一覧表(現場経費)'!$A$1:$AF$16</definedName>
    <definedName name="_xlnm.Print_Area" localSheetId="6">'工事費一覧表(直接工事費)'!$A$1:$AF$22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15" i="34"/>
  <c r="L15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O22" i="25" s="1"/>
  <c r="Q26" i="25"/>
  <c r="Q21" i="25" s="1"/>
  <c r="Q22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<sst xmlns="http://schemas.openxmlformats.org/spreadsheetml/2006/main" count="1200" uniqueCount="363">
  <si>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</si>
  <si>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</si>
  <si>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</si>
  <si>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</si>
  <si>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</si>
  <si>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</si>
  <si>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</si>
  <si>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</si>
  <si>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</si>
  <si>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</si>
  <si>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</si>
  <si>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</si>
  <si>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</si>
  <si>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</si>
  <si>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</si>
  <si>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</si>
  <si>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</si>
  <si>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</si>
  <si>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</si>
  <si>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</si>
  <si>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</si>
  <si>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</si>
  <si>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</si>
  <si>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</si>
  <si>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</si>
  <si>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</si>
  <si>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</si>
  <si>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</si>
  <si>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</si>
  <si>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</si>
  <si>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</si>
  <si>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</si>
  <si>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</si>
  <si>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</si>
  <si>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</si>
  <si>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</si>
  <si>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</si>
  <si>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</si>
  <si>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</si>
  <si>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</si>
  <si>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</si>
  <si>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</si>
  <si>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</si>
  <si>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</si>
  <si>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</si>
  <si>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</si>
  <si>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</si>
  <si>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</si>
  <si>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</si>
  <si>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</si>
  <si>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</si>
  <si>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</si>
  <si>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</si>
  <si>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</si>
  <si>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</si>
  <si>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</si>
  <si>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</si>
  <si>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</si>
  <si>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</si>
  <si>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</si>
  <si>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</si>
  <si>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</si>
  <si>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</si>
  <si>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</si>
  <si>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</si>
  <si>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</si>
  <si>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</si>
  <si>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</si>
  <si>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</si>
  <si>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</si>
  <si>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</si>
  <si>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</si>
  <si>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</si>
  <si>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</si>
  <si>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</si>
  <si>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</si>
  <si>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</si>
  <si>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</si>
  <si>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</si>
  <si>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</si>
  <si>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</si>
  <si>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</si>
  <si>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</si>
  <si>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</si>
  <si>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</si>
  <si>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</si>
  <si>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</si>
  <si>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</si>
  <si>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</si>
  <si>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</si>
  <si>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</si>
  <si>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</si>
  <si>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</si>
  <si>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</si>
  <si>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</si>
  <si>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</si>
  <si>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</si>
  <si>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</si>
  <si>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</si>
  <si>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</si>
  <si>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</si>
  <si>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</si>
  <si>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</si>
  <si>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</si>
  <si>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</si>
  <si>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</si>
  <si>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</si>
  <si>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</si>
  <si>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</si>
  <si>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</si>
  <si>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</si>
  <si>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</si>
  <si>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</si>
  <si>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</si>
  <si>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</si>
  <si>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</si>
  <si>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</si>
  <si>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</si>
  <si>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</si>
  <si>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</si>
  <si>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</si>
  <si>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</si>
  <si>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</si>
  <si>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</si>
  <si>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</si>
  <si>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</si>
  <si>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</si>
  <si>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</si>
  <si>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</si>
  <si>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</si>
  <si>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</si>
  <si>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</si>
  <si>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</si>
  <si>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</si>
  <si>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</si>
  <si>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</si>
  <si>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</si>
  <si>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</si>
  <si>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</si>
  <si>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</si>
  <si>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</si>
  <si>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</si>
  <si>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</si>
  <si>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</si>
  <si>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</si>
  <si>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2410210001 F</t>
  </si>
  <si>
    <t>（第1回変更予算）</t>
  </si>
  <si>
    <t>漆真下　鎮</t>
  </si>
  <si>
    <t>令和6年度年間単価契約市道維持補修業務委託(第1工区)</t>
  </si>
  <si>
    <t>㈱梅津組</t>
  </si>
  <si>
    <t>岩手営業所</t>
  </si>
  <si>
    <t>岩手県盛岡市玉山一円</t>
  </si>
  <si>
    <t>2024年4月1日</t>
  </si>
  <si>
    <t>2025年3月31日</t>
  </si>
  <si>
    <t>パッチング</t>
  </si>
  <si>
    <t>交通誘導員</t>
  </si>
  <si>
    <t>雑材</t>
  </si>
  <si>
    <t>重機運搬費</t>
  </si>
  <si>
    <t>準備費</t>
  </si>
  <si>
    <t>地代家賃</t>
  </si>
  <si>
    <t>仮設費</t>
  </si>
  <si>
    <t>安全費</t>
  </si>
  <si>
    <t>技術管理費</t>
  </si>
  <si>
    <t>社員給料</t>
  </si>
  <si>
    <t>事務用品費</t>
  </si>
  <si>
    <t>電力用水光熱費</t>
  </si>
  <si>
    <t>通信費</t>
  </si>
  <si>
    <t>旅費交通費</t>
  </si>
  <si>
    <t>保険料</t>
  </si>
  <si>
    <t>再生細粒度As13F</t>
  </si>
  <si>
    <t>ｔ</t>
  </si>
  <si>
    <t>人</t>
  </si>
  <si>
    <t>式</t>
  </si>
  <si>
    <t>(準備測量・仮設設置撤去・他)</t>
  </si>
  <si>
    <t>(借地費用や駐車場及び宿舎の賃貸等)</t>
  </si>
  <si>
    <t>(仮設事務所・倉庫・トイレ(環境改善含む)、仮設電気　等)</t>
  </si>
  <si>
    <t>(仮設事務所仮囲い・工事看板や安全施設・事務所警備　等)</t>
  </si>
  <si>
    <t>(土質試験・ASP・MC施工関係・完成図書 等)</t>
  </si>
  <si>
    <t>(コピー機、トナー、文具、コピー用紙、その他)</t>
  </si>
  <si>
    <t>(携帯通話料、ネット回線契約、電話回線契約　等)</t>
  </si>
  <si>
    <t>(出張、移動旅費等)</t>
  </si>
  <si>
    <t>(建退共・労災保険・労災上乗せ保険　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</si>
  <si>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</si>
  <si>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</si>
  <si>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</si>
  <si>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</si>
  <si>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</si>
  <si>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</si>
  <si>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</si>
  <si>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</si>
  <si>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玉山1工区</t>
  </si>
  <si>
    <t>東北支社</t>
  </si>
  <si>
    <t>盛岡市役所</t>
  </si>
  <si>
    <t>単独</t>
  </si>
  <si>
    <t>F</t>
  </si>
  <si>
    <t>2025年1月20日</t>
  </si>
  <si>
    <t>2024年4月1日 ～ 2025年3月31日</t>
  </si>
  <si>
    <t>直接工事費</t>
  </si>
  <si>
    <t xml:space="preserve">  パッチング</t>
  </si>
  <si>
    <t xml:space="preserve">  再生細粒度As13F</t>
  </si>
  <si>
    <t>15号</t>
  </si>
  <si>
    <t>内訳書</t>
  </si>
  <si>
    <t xml:space="preserve">  交通誘導員</t>
  </si>
  <si>
    <t xml:space="preserve">  </t>
  </si>
  <si>
    <t>16号</t>
  </si>
  <si>
    <t xml:space="preserve">  雑材</t>
  </si>
  <si>
    <t>17号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</si>
  <si>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</si>
  <si>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</si>
  <si>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</si>
  <si>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</si>
  <si>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</si>
  <si>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</si>
  <si>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</si>
  <si>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計</t>
  </si>
  <si>
    <t>令和6年度年間単価契約市道維持補修業務委託(第1工区)</t>
    <phoneticPr fontId="4"/>
  </si>
  <si>
    <t>総括</t>
  </si>
  <si>
    <t>集計行</t>
  </si>
  <si>
    <t>｜直接工事費</t>
  </si>
  <si>
    <t>内訳代価</t>
  </si>
  <si>
    <t>｜｜パッチング</t>
  </si>
  <si>
    <t>15号内訳書</t>
  </si>
  <si>
    <t>｜｜｜RSK-3・4</t>
  </si>
  <si>
    <t>t</t>
  </si>
  <si>
    <t xml:space="preserve">s1002 </t>
  </si>
  <si>
    <t xml:space="preserve">6245m2*0.43L/1000 </t>
  </si>
  <si>
    <t>｜｜｜再生細粒度As13F</t>
  </si>
  <si>
    <t>引取</t>
  </si>
  <si>
    <t xml:space="preserve">s2028 </t>
  </si>
  <si>
    <t xml:space="preserve">3t/日*102日 </t>
  </si>
  <si>
    <t>｜｜｜軽油</t>
  </si>
  <si>
    <t>ℓ</t>
  </si>
  <si>
    <t xml:space="preserve">s5001 </t>
  </si>
  <si>
    <t xml:space="preserve">20L*102日 </t>
  </si>
  <si>
    <t>｜｜｜ｶﾞｿﾘﾝ</t>
  </si>
  <si>
    <t xml:space="preserve">s5002 </t>
  </si>
  <si>
    <t xml:space="preserve">4L*102日 </t>
  </si>
  <si>
    <t>｜｜｜ﾌﾟﾛﾊﾟﾝｶﾞｽ</t>
  </si>
  <si>
    <t>kg</t>
  </si>
  <si>
    <t xml:space="preserve">s5003 </t>
  </si>
  <si>
    <t xml:space="preserve">10㎏*102日 </t>
  </si>
  <si>
    <t>｜｜｜運転工</t>
  </si>
  <si>
    <t>直営作業員</t>
  </si>
  <si>
    <t xml:space="preserve">r0003 </t>
  </si>
  <si>
    <t xml:space="preserve">2人*102日 </t>
  </si>
  <si>
    <t>｜｜｜土工</t>
  </si>
  <si>
    <t>外注作業員</t>
  </si>
  <si>
    <t xml:space="preserve">r2004 </t>
  </si>
  <si>
    <t xml:space="preserve">4人*102日 </t>
  </si>
  <si>
    <t>｜｜｜ﾊﾝﾄﾞｶﾞｲﾄﾞﾛｰﾗ</t>
  </si>
  <si>
    <t>台</t>
  </si>
  <si>
    <t xml:space="preserve">k0013 </t>
  </si>
  <si>
    <t xml:space="preserve">1台*102日 </t>
  </si>
  <si>
    <t>｜｜｜ﾌﾟﾚｰﾄ</t>
  </si>
  <si>
    <t xml:space="preserve">k0015 </t>
  </si>
  <si>
    <t>｜｜｜2tﾀﾞﾝﾌﾟ</t>
  </si>
  <si>
    <t xml:space="preserve">u0001 </t>
  </si>
  <si>
    <t>｜｜｜連絡車</t>
  </si>
  <si>
    <t>Wﾋﾟｯｸ</t>
  </si>
  <si>
    <t xml:space="preserve">u0005 </t>
  </si>
  <si>
    <t xml:space="preserve">2台*102日 </t>
  </si>
  <si>
    <t>｜｜交通誘導員</t>
  </si>
  <si>
    <t>16号内訳書</t>
  </si>
  <si>
    <t>｜｜｜交通誘導員(昼間8h)</t>
  </si>
  <si>
    <t xml:space="preserve">g2001 </t>
  </si>
  <si>
    <t>｜｜雑材</t>
  </si>
  <si>
    <t>17号内訳書</t>
  </si>
  <si>
    <t>｜｜｜雑材</t>
  </si>
  <si>
    <t>区画線テープ他</t>
  </si>
  <si>
    <t xml:space="preserve">s10218016 </t>
  </si>
  <si>
    <t>予算2</t>
    <phoneticPr fontId="6"/>
  </si>
  <si>
    <t>車両費</t>
  </si>
  <si>
    <t>雑費</t>
  </si>
  <si>
    <t>｜共通仮設費</t>
  </si>
  <si>
    <t>｜｜重機運搬費</t>
  </si>
  <si>
    <t>1号内訳書</t>
  </si>
  <si>
    <t>｜｜準備費</t>
  </si>
  <si>
    <t>2号内訳書</t>
  </si>
  <si>
    <t>｜｜地代家賃</t>
  </si>
  <si>
    <t>3号内訳書</t>
  </si>
  <si>
    <t>｜｜仮設費</t>
  </si>
  <si>
    <t>4号内訳書</t>
  </si>
  <si>
    <t>｜｜安全費</t>
  </si>
  <si>
    <t>5号内訳書</t>
  </si>
  <si>
    <t>｜｜技術管理費</t>
  </si>
  <si>
    <t>6号内訳書</t>
  </si>
  <si>
    <t>7号</t>
  </si>
  <si>
    <t>8号</t>
  </si>
  <si>
    <t>9号</t>
  </si>
  <si>
    <t>10号</t>
  </si>
  <si>
    <t>11号</t>
  </si>
  <si>
    <t>12号</t>
  </si>
  <si>
    <t>(連絡車)</t>
  </si>
  <si>
    <t>13号</t>
  </si>
  <si>
    <t>(現場特有で発生が見込まれる費用　等)</t>
  </si>
  <si>
    <t>14号</t>
  </si>
  <si>
    <t>0</t>
  </si>
  <si>
    <t>#DIV/0!</t>
  </si>
  <si>
    <t>｜現場経費</t>
  </si>
  <si>
    <t>｜｜社員給料</t>
  </si>
  <si>
    <t>7号内訳書</t>
  </si>
  <si>
    <t>｜｜｜社員給料</t>
  </si>
  <si>
    <t>総合Ⅱ4級　昼間</t>
  </si>
  <si>
    <t>日</t>
  </si>
  <si>
    <t xml:space="preserve">m0020 </t>
  </si>
  <si>
    <t xml:space="preserve">1人*102日 </t>
  </si>
  <si>
    <t>総合1級　昼間</t>
  </si>
  <si>
    <t xml:space="preserve">m0002 </t>
  </si>
  <si>
    <t xml:space="preserve">1人*85日 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</si>
  <si>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</si>
  <si>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</si>
  <si>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</si>
  <si>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</si>
  <si>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</si>
  <si>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</si>
  <si>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</si>
  <si>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</si>
  <si>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</si>
  <si>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</si>
  <si>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</si>
  <si>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</si>
  <si>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</si>
  <si>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</si>
  <si>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</si>
  <si>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令和6年度年間単価契約市道維持補修業務委託(第1工区)</t>
    <phoneticPr fontId="6"/>
  </si>
  <si>
    <t>2410210001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</si>
  <si>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</si>
  <si>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</si>
  <si>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</si>
  <si>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</si>
  <si>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</si>
  <si>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</si>
  <si>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</si>
  <si>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RSK-3・4</t>
    <phoneticPr fontId="6"/>
  </si>
  <si>
    <t>t</t>
    <phoneticPr fontId="6"/>
  </si>
  <si>
    <t>材料費</t>
    <phoneticPr fontId="6"/>
  </si>
  <si>
    <t>ｶﾞｿﾘﾝ</t>
    <phoneticPr fontId="6"/>
  </si>
  <si>
    <t>ℓ</t>
    <phoneticPr fontId="6"/>
  </si>
  <si>
    <t>ﾌﾟﾛﾊﾟﾝｶﾞｽ</t>
    <phoneticPr fontId="6"/>
  </si>
  <si>
    <t>kg</t>
    <phoneticPr fontId="6"/>
  </si>
  <si>
    <t>軽油</t>
    <phoneticPr fontId="6"/>
  </si>
  <si>
    <t>再生細粒度As13F</t>
    <phoneticPr fontId="6"/>
  </si>
  <si>
    <t>引取</t>
    <phoneticPr fontId="6"/>
  </si>
  <si>
    <t>雑材</t>
    <phoneticPr fontId="6"/>
  </si>
  <si>
    <t>式</t>
    <phoneticPr fontId="6"/>
  </si>
  <si>
    <t>区画線テープ他</t>
    <phoneticPr fontId="6"/>
  </si>
  <si>
    <t>計</t>
    <phoneticPr fontId="6"/>
  </si>
  <si>
    <t>運転工</t>
    <phoneticPr fontId="6"/>
  </si>
  <si>
    <t>人</t>
    <phoneticPr fontId="6"/>
  </si>
  <si>
    <t>直営作業員</t>
    <phoneticPr fontId="6"/>
  </si>
  <si>
    <t>労務費</t>
    <phoneticPr fontId="6"/>
  </si>
  <si>
    <t>土工</t>
    <phoneticPr fontId="6"/>
  </si>
  <si>
    <t>外注作業員</t>
    <phoneticPr fontId="6"/>
  </si>
  <si>
    <t>交通誘導員(昼間8h)</t>
    <phoneticPr fontId="6"/>
  </si>
  <si>
    <t>外注費</t>
    <phoneticPr fontId="6"/>
  </si>
  <si>
    <t>ﾊﾝﾄﾞｶﾞｲﾄﾞﾛｰﾗ</t>
    <phoneticPr fontId="6"/>
  </si>
  <si>
    <t>台</t>
    <phoneticPr fontId="6"/>
  </si>
  <si>
    <t>機械費</t>
    <phoneticPr fontId="6"/>
  </si>
  <si>
    <t>ﾌﾟﾚｰﾄ</t>
    <phoneticPr fontId="6"/>
  </si>
  <si>
    <t>2tﾀﾞﾝﾌﾟ</t>
    <phoneticPr fontId="6"/>
  </si>
  <si>
    <t>運搬費</t>
    <phoneticPr fontId="6"/>
  </si>
  <si>
    <t>連絡車</t>
    <phoneticPr fontId="6"/>
  </si>
  <si>
    <t>Wﾋﾟｯｸ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</si>
</sst>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34000000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28900000</v>
      </c>
      <c r="J16" s="420"/>
      <c r="K16" s="420"/>
      <c r="L16" s="420"/>
      <c r="M16" s="420"/>
      <c r="N16" s="420"/>
      <c r="O16" s="420"/>
      <c r="P16" s="420"/>
      <c r="Q16" s="416">
        <v>0.85</v>
      </c>
      <c r="R16" s="416"/>
      <c r="S16" s="416"/>
      <c r="U16" s="417" t="s">
        <v>16</v>
      </c>
      <c r="V16" s="418"/>
      <c r="W16" s="418"/>
      <c r="X16" s="418"/>
      <c r="Y16" s="419">
        <v>5100000</v>
      </c>
      <c r="Z16" s="420"/>
      <c r="AA16" s="420"/>
      <c r="AB16" s="420"/>
      <c r="AC16" s="420"/>
      <c r="AD16" s="420"/>
      <c r="AE16" s="420"/>
      <c r="AF16" s="420"/>
      <c r="AG16" s="416">
        <v>0.15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152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45383</v>
      </c>
      <c r="D3" s="458"/>
      <c r="E3" s="272" t="s">
        <v>139</v>
      </c>
      <c r="F3" s="459">
        <v>45747</v>
      </c>
      <c r="G3" s="459"/>
      <c r="H3" s="459"/>
      <c r="I3" s="273"/>
      <c r="J3" s="273"/>
      <c r="K3" s="460" t="s">
        <v>30</v>
      </c>
      <c r="L3" s="461"/>
      <c r="M3" s="462"/>
      <c r="N3" s="449">
        <v>34000000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19134180</v>
      </c>
      <c r="D5" s="335">
        <f>IF(C5&lt;&gt;"",C5/$C$20,"")</f>
        <v>0.66208235294117646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3264000</v>
      </c>
      <c r="D6" s="336">
        <f t="shared" ref="D6:D17" si="0">IF(C6&lt;&gt;"",C6/$C$20,"")</f>
        <v>0.11294117647058824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262820</v>
      </c>
      <c r="D7" s="336">
        <f t="shared" si="0"/>
        <v>9.0941176470588237E-3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0</v>
      </c>
      <c r="D8" s="336">
        <f t="shared" si="0"/>
        <v>0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158</v>
      </c>
      <c r="C9" s="277">
        <v>0</v>
      </c>
      <c r="D9" s="336">
        <f t="shared" si="0"/>
        <v>0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159</v>
      </c>
      <c r="C10" s="277">
        <v>0</v>
      </c>
      <c r="D10" s="336">
        <f t="shared" si="0"/>
        <v>0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160</v>
      </c>
      <c r="C11" s="277">
        <v>0</v>
      </c>
      <c r="D11" s="336">
        <f t="shared" si="0"/>
        <v>0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161</v>
      </c>
      <c r="C12" s="277">
        <v>0</v>
      </c>
      <c r="D12" s="336">
        <f t="shared" si="0"/>
        <v>0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162</v>
      </c>
      <c r="C13" s="277">
        <v>0</v>
      </c>
      <c r="D13" s="336">
        <f t="shared" si="0"/>
        <v>0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163</v>
      </c>
      <c r="C14" s="277">
        <v>6239000</v>
      </c>
      <c r="D14" s="336">
        <f t="shared" si="0"/>
        <v>0.21588235294117647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164</v>
      </c>
      <c r="C15" s="277">
        <v>0</v>
      </c>
      <c r="D15" s="336">
        <f t="shared" si="0"/>
        <v>0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165</v>
      </c>
      <c r="C16" s="277">
        <v>0</v>
      </c>
      <c r="D16" s="336">
        <f t="shared" si="0"/>
        <v>0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166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167</v>
      </c>
      <c r="C18" s="278">
        <v>0</v>
      </c>
      <c r="D18" s="336">
        <f>IF(C18&lt;&gt;"",C18/$C$20,"")</f>
        <v>0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168</v>
      </c>
      <c r="C19" s="278">
        <v>0</v>
      </c>
      <c r="D19" s="336">
        <f>IF(C19&lt;&gt;"",C19/$C$20,"")</f>
        <v>0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28900000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 t="s">
        <v>169</v>
      </c>
      <c r="L5" s="283" t="s">
        <v>170</v>
      </c>
      <c r="M5" s="284">
        <v>306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/>
      <c r="L6" s="290" t="s">
        <v>171</v>
      </c>
      <c r="M6" s="291">
        <v>204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/>
      <c r="L7" s="290" t="s">
        <v>172</v>
      </c>
      <c r="M7" s="291">
        <v>1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/>
      <c r="L8" s="290" t="s">
        <v>172</v>
      </c>
      <c r="M8" s="291">
        <v>1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158</v>
      </c>
      <c r="K9" s="289" t="s">
        <v>173</v>
      </c>
      <c r="L9" s="290" t="s">
        <v>172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159</v>
      </c>
      <c r="K10" s="289" t="s">
        <v>174</v>
      </c>
      <c r="L10" s="290" t="s">
        <v>172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160</v>
      </c>
      <c r="K11" s="289" t="s">
        <v>175</v>
      </c>
      <c r="L11" s="290" t="s">
        <v>172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161</v>
      </c>
      <c r="K12" s="289" t="s">
        <v>176</v>
      </c>
      <c r="L12" s="290" t="s">
        <v>172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162</v>
      </c>
      <c r="K13" s="289" t="s">
        <v>177</v>
      </c>
      <c r="L13" s="290" t="s">
        <v>172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163</v>
      </c>
      <c r="K14" s="289"/>
      <c r="L14" s="290" t="s">
        <v>172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164</v>
      </c>
      <c r="K15" s="289" t="s">
        <v>178</v>
      </c>
      <c r="L15" s="290" t="s">
        <v>172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165</v>
      </c>
      <c r="K16" s="289"/>
      <c r="L16" s="290" t="s">
        <v>172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166</v>
      </c>
      <c r="K17" s="289" t="s">
        <v>179</v>
      </c>
      <c r="L17" s="290" t="s">
        <v>172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167</v>
      </c>
      <c r="K18" s="289" t="s">
        <v>180</v>
      </c>
      <c r="L18" s="290" t="s">
        <v>172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168</v>
      </c>
      <c r="K19" s="295" t="s">
        <v>181</v>
      </c>
      <c r="L19" s="296" t="s">
        <v>172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190</v>
      </c>
      <c r="D5" s="512"/>
      <c r="E5" s="246" t="s">
        <v>133</v>
      </c>
      <c r="F5" s="513" t="s">
        <v>191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182</v>
      </c>
      <c r="I6" s="110" t="s">
        <v>183</v>
      </c>
      <c r="J6" s="110" t="s">
        <v>184</v>
      </c>
      <c r="K6" s="110" t="s">
        <v>185</v>
      </c>
      <c r="L6" s="110" t="s">
        <v>186</v>
      </c>
      <c r="M6" s="111" t="s">
        <v>187</v>
      </c>
      <c r="N6" s="110" t="s">
        <v>188</v>
      </c>
      <c r="O6" s="112" t="s">
        <v>189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34000000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192</v>
      </c>
      <c r="D8" s="492"/>
      <c r="E8" s="113" t="s">
        <v>59</v>
      </c>
      <c r="F8" s="249">
        <v>28900000</v>
      </c>
      <c r="G8" s="334">
        <v>0.85</v>
      </c>
      <c r="H8" s="250">
        <v>5678299</v>
      </c>
      <c r="I8" s="251">
        <v>11424000</v>
      </c>
      <c r="J8" s="251">
        <v>3264000</v>
      </c>
      <c r="K8" s="251">
        <v>255000</v>
      </c>
      <c r="L8" s="252">
        <v>2040000</v>
      </c>
      <c r="M8" s="252"/>
      <c r="N8" s="253">
        <v>6239000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22661000</v>
      </c>
      <c r="G9" s="334">
        <v>0.66649999999999998</v>
      </c>
      <c r="H9" s="250">
        <v>5678299</v>
      </c>
      <c r="I9" s="251">
        <v>11424000</v>
      </c>
      <c r="J9" s="251">
        <v>3264000</v>
      </c>
      <c r="K9" s="251">
        <v>255000</v>
      </c>
      <c r="L9" s="252">
        <v>2040000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/>
      <c r="G10" s="334"/>
      <c r="H10" s="250"/>
      <c r="I10" s="253"/>
      <c r="J10" s="253"/>
      <c r="K10" s="253"/>
      <c r="L10" s="251"/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6239000</v>
      </c>
      <c r="G11" s="334">
        <v>0.1835</v>
      </c>
      <c r="H11" s="250"/>
      <c r="I11" s="253"/>
      <c r="J11" s="253"/>
      <c r="K11" s="253"/>
      <c r="L11" s="251"/>
      <c r="M11" s="252"/>
      <c r="N11" s="253">
        <v>6239000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193</v>
      </c>
      <c r="D12" s="492"/>
      <c r="E12" s="113" t="s">
        <v>66</v>
      </c>
      <c r="F12" s="249">
        <v>5100000</v>
      </c>
      <c r="G12" s="334">
        <v>0.15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194</v>
      </c>
      <c r="D13" s="492"/>
      <c r="E13" s="169" t="s">
        <v>110</v>
      </c>
      <c r="F13" s="249">
        <v>2686000</v>
      </c>
      <c r="G13" s="334">
        <v>7.9000000000000001E-2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195</v>
      </c>
      <c r="D14" s="493"/>
      <c r="E14" s="114" t="s">
        <v>111</v>
      </c>
      <c r="F14" s="249">
        <v>1768000</v>
      </c>
      <c r="G14" s="334">
        <v>5.1999999999999998E-2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196</v>
      </c>
      <c r="D15" s="495"/>
      <c r="E15" s="114" t="s">
        <v>112</v>
      </c>
      <c r="F15" s="249">
        <v>918000</v>
      </c>
      <c r="G15" s="334">
        <v>2.7E-2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196</v>
      </c>
      <c r="D16" s="493"/>
      <c r="E16" s="113" t="s">
        <v>113</v>
      </c>
      <c r="F16" s="249">
        <v>2414000</v>
      </c>
      <c r="G16" s="334">
        <v>7.0999999999999994E-2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442000</v>
      </c>
      <c r="G17" s="334">
        <v>1.2999999999999999E-2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1972000</v>
      </c>
      <c r="G18" s="334">
        <v>5.8000000000000003E-2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197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198</v>
      </c>
      <c r="C8" s="166"/>
      <c r="D8" s="517" t="s">
        <v>170</v>
      </c>
      <c r="E8" s="519">
        <v>306</v>
      </c>
      <c r="F8" s="521">
        <v>62530</v>
      </c>
      <c r="G8" s="523">
        <v>19134180</v>
      </c>
      <c r="H8" s="351" t="s">
        <v>200</v>
      </c>
      <c r="I8" s="525">
        <v>0.56269999999999998</v>
      </c>
      <c r="J8" s="227"/>
      <c r="K8" s="69" t="s">
        <v>96</v>
      </c>
    </row>
    <row r="9" spans="1:11" ht="15.6" customHeight="1">
      <c r="A9" s="69"/>
      <c r="B9" s="224" t="s">
        <v>199</v>
      </c>
      <c r="C9" s="225"/>
      <c r="D9" s="518"/>
      <c r="E9" s="520"/>
      <c r="F9" s="522"/>
      <c r="G9" s="524"/>
      <c r="H9" s="352" t="s">
        <v>201</v>
      </c>
      <c r="I9" s="526"/>
      <c r="J9" s="227"/>
      <c r="K9" s="69" t="s">
        <v>96</v>
      </c>
    </row>
    <row r="10" spans="1:11" ht="15.6" customHeight="1">
      <c r="A10" s="69"/>
      <c r="B10" s="222" t="s">
        <v>202</v>
      </c>
      <c r="C10" s="166"/>
      <c r="D10" s="517" t="s">
        <v>171</v>
      </c>
      <c r="E10" s="519">
        <v>204</v>
      </c>
      <c r="F10" s="521">
        <v>16000</v>
      </c>
      <c r="G10" s="523">
        <v>3264000</v>
      </c>
      <c r="H10" s="351" t="s">
        <v>204</v>
      </c>
      <c r="I10" s="525">
        <v>9.6000000000000002E-2</v>
      </c>
      <c r="J10" s="223"/>
      <c r="K10" s="69" t="s">
        <v>96</v>
      </c>
    </row>
    <row r="11" spans="1:11" ht="15.6" customHeight="1">
      <c r="A11" s="69"/>
      <c r="B11" s="224" t="s">
        <v>203</v>
      </c>
      <c r="C11" s="225"/>
      <c r="D11" s="518"/>
      <c r="E11" s="520"/>
      <c r="F11" s="522"/>
      <c r="G11" s="524"/>
      <c r="H11" s="352" t="s">
        <v>201</v>
      </c>
      <c r="I11" s="526"/>
      <c r="J11" s="226"/>
      <c r="K11" s="69" t="s">
        <v>96</v>
      </c>
    </row>
    <row r="12" spans="1:11" ht="15.6" customHeight="1">
      <c r="A12" s="69"/>
      <c r="B12" s="222" t="s">
        <v>205</v>
      </c>
      <c r="C12" s="166"/>
      <c r="D12" s="517" t="s">
        <v>172</v>
      </c>
      <c r="E12" s="519">
        <v>1</v>
      </c>
      <c r="F12" s="521">
        <v>262820</v>
      </c>
      <c r="G12" s="523">
        <v>262820</v>
      </c>
      <c r="H12" s="351" t="s">
        <v>206</v>
      </c>
      <c r="I12" s="525">
        <v>7.7000000000000002E-3</v>
      </c>
      <c r="J12" s="223"/>
      <c r="K12" s="69" t="s">
        <v>96</v>
      </c>
    </row>
    <row r="13" spans="1:11" ht="15.6" customHeight="1">
      <c r="A13" s="69"/>
      <c r="B13" s="224" t="s">
        <v>203</v>
      </c>
      <c r="C13" s="225"/>
      <c r="D13" s="518"/>
      <c r="E13" s="520"/>
      <c r="F13" s="522"/>
      <c r="G13" s="524"/>
      <c r="H13" s="352" t="s">
        <v>201</v>
      </c>
      <c r="I13" s="526"/>
      <c r="J13" s="226"/>
      <c r="K13" s="69" t="s">
        <v>96</v>
      </c>
    </row>
    <row r="14" spans="1:11" ht="15.6" customHeight="1">
      <c r="A14" s="69"/>
      <c r="B14" s="222" t="s">
        <v>207</v>
      </c>
      <c r="C14" s="166"/>
      <c r="D14" s="517"/>
      <c r="E14" s="519"/>
      <c r="F14" s="521"/>
      <c r="G14" s="523">
        <v>22661000</v>
      </c>
      <c r="H14" s="351"/>
      <c r="I14" s="525">
        <v>0.66649999999999998</v>
      </c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/>
      <c r="I15" s="526"/>
      <c r="J15" s="226"/>
      <c r="K15" s="69" t="s">
        <v>96</v>
      </c>
    </row>
    <row r="16" spans="1:11" ht="15.6" customHeight="1">
      <c r="A16" s="69"/>
      <c r="B16" s="222"/>
      <c r="C16" s="166"/>
      <c r="D16" s="517"/>
      <c r="E16" s="519"/>
      <c r="F16" s="521"/>
      <c r="G16" s="523"/>
      <c r="H16" s="351"/>
      <c r="I16" s="525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/>
      <c r="I17" s="526"/>
      <c r="J17" s="226"/>
      <c r="K17" s="69" t="s">
        <v>96</v>
      </c>
    </row>
    <row r="18" spans="1:11" ht="15.6" customHeight="1">
      <c r="A18" s="69"/>
      <c r="B18" s="222" t="s">
        <v>208</v>
      </c>
      <c r="C18" s="166"/>
      <c r="D18" s="517"/>
      <c r="E18" s="519"/>
      <c r="F18" s="521"/>
      <c r="G18" s="523"/>
      <c r="H18" s="351"/>
      <c r="I18" s="525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526"/>
      <c r="J19" s="226"/>
      <c r="K19" s="69" t="s">
        <v>96</v>
      </c>
    </row>
    <row r="20" spans="1:11" ht="15.6" customHeight="1">
      <c r="A20" s="69"/>
      <c r="B20" s="222" t="s">
        <v>209</v>
      </c>
      <c r="C20" s="166"/>
      <c r="D20" s="517"/>
      <c r="E20" s="519"/>
      <c r="F20" s="521"/>
      <c r="G20" s="523"/>
      <c r="H20" s="351"/>
      <c r="I20" s="525"/>
      <c r="J20" s="223"/>
      <c r="K20" s="69" t="s">
        <v>96</v>
      </c>
    </row>
    <row r="21" spans="1:11" ht="15.6" customHeight="1">
      <c r="A21" s="69"/>
      <c r="B21" s="224" t="s">
        <v>203</v>
      </c>
      <c r="C21" s="225"/>
      <c r="D21" s="518"/>
      <c r="E21" s="520"/>
      <c r="F21" s="522"/>
      <c r="G21" s="524"/>
      <c r="H21" s="352"/>
      <c r="I21" s="526"/>
      <c r="J21" s="226"/>
      <c r="K21" s="69" t="s">
        <v>96</v>
      </c>
    </row>
    <row r="22" spans="1:11" ht="15.6" customHeight="1">
      <c r="A22" s="69"/>
      <c r="B22" s="222" t="s">
        <v>210</v>
      </c>
      <c r="C22" s="166"/>
      <c r="D22" s="517" t="s">
        <v>172</v>
      </c>
      <c r="E22" s="519">
        <v>1</v>
      </c>
      <c r="F22" s="521">
        <v>6239000</v>
      </c>
      <c r="G22" s="523">
        <v>6239000</v>
      </c>
      <c r="H22" s="351"/>
      <c r="I22" s="525">
        <v>0.1835</v>
      </c>
      <c r="J22" s="223"/>
      <c r="K22" s="69" t="s">
        <v>96</v>
      </c>
    </row>
    <row r="23" spans="1:11" ht="15.6" customHeight="1">
      <c r="A23" s="69"/>
      <c r="B23" s="224" t="s">
        <v>203</v>
      </c>
      <c r="C23" s="225"/>
      <c r="D23" s="518"/>
      <c r="E23" s="520"/>
      <c r="F23" s="522"/>
      <c r="G23" s="524"/>
      <c r="H23" s="352"/>
      <c r="I23" s="526"/>
      <c r="J23" s="226"/>
      <c r="K23" s="69" t="s">
        <v>96</v>
      </c>
    </row>
    <row r="24" spans="1:11" ht="15.6" customHeight="1">
      <c r="A24" s="69"/>
      <c r="B24" s="222" t="s">
        <v>211</v>
      </c>
      <c r="C24" s="166"/>
      <c r="D24" s="517"/>
      <c r="E24" s="519"/>
      <c r="F24" s="521"/>
      <c r="G24" s="523">
        <v>6239000</v>
      </c>
      <c r="H24" s="351"/>
      <c r="I24" s="525">
        <v>0.1835</v>
      </c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525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 t="s">
        <v>212</v>
      </c>
      <c r="C28" s="166"/>
      <c r="D28" s="517"/>
      <c r="E28" s="519"/>
      <c r="F28" s="521"/>
      <c r="G28" s="523">
        <v>28900000</v>
      </c>
      <c r="H28" s="351"/>
      <c r="I28" s="525">
        <v>0.85</v>
      </c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525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213</v>
      </c>
      <c r="C32" s="166"/>
      <c r="D32" s="532"/>
      <c r="E32" s="519"/>
      <c r="F32" s="521"/>
      <c r="G32" s="523">
        <v>5100000</v>
      </c>
      <c r="H32" s="351"/>
      <c r="I32" s="525">
        <v>0.15</v>
      </c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525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131</v>
      </c>
      <c r="C36" s="302"/>
      <c r="D36" s="517"/>
      <c r="E36" s="519"/>
      <c r="F36" s="521"/>
      <c r="G36" s="523">
        <v>34000000</v>
      </c>
      <c r="H36" s="351"/>
      <c r="I36" s="525">
        <v>1</v>
      </c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</sheetData>
  <mergeCells count="82"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C968D-CA7C-4E28-AFEB-1470618F9ED7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215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154</v>
      </c>
      <c r="C6" s="166"/>
      <c r="D6" s="517" t="s">
        <v>170</v>
      </c>
      <c r="E6" s="519">
        <v>306</v>
      </c>
      <c r="F6" s="521">
        <v>62530</v>
      </c>
      <c r="G6" s="523">
        <v>19134180</v>
      </c>
      <c r="H6" s="351" t="s">
        <v>200</v>
      </c>
      <c r="I6" s="351"/>
      <c r="J6" s="223"/>
      <c r="K6" s="69" t="s">
        <v>96</v>
      </c>
    </row>
    <row r="7" spans="1:11" ht="15.6" customHeight="1">
      <c r="A7" s="69"/>
      <c r="B7" s="224" t="s">
        <v>169</v>
      </c>
      <c r="C7" s="225"/>
      <c r="D7" s="518"/>
      <c r="E7" s="520"/>
      <c r="F7" s="522"/>
      <c r="G7" s="524"/>
      <c r="H7" s="352" t="s">
        <v>201</v>
      </c>
      <c r="I7" s="352"/>
      <c r="J7" s="226"/>
      <c r="K7" s="69" t="s">
        <v>96</v>
      </c>
    </row>
    <row r="8" spans="1:11" ht="15.6" customHeight="1">
      <c r="A8" s="69"/>
      <c r="B8" s="222" t="s">
        <v>155</v>
      </c>
      <c r="C8" s="166"/>
      <c r="D8" s="517" t="s">
        <v>171</v>
      </c>
      <c r="E8" s="519">
        <v>204</v>
      </c>
      <c r="F8" s="521">
        <v>16000</v>
      </c>
      <c r="G8" s="523">
        <v>3264000</v>
      </c>
      <c r="H8" s="351" t="s">
        <v>204</v>
      </c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 t="s">
        <v>201</v>
      </c>
      <c r="I9" s="352"/>
      <c r="J9" s="227"/>
      <c r="K9" s="69" t="s">
        <v>96</v>
      </c>
    </row>
    <row r="10" spans="1:11" ht="15.6" customHeight="1">
      <c r="A10" s="69"/>
      <c r="B10" s="222" t="s">
        <v>156</v>
      </c>
      <c r="C10" s="166"/>
      <c r="D10" s="517" t="s">
        <v>172</v>
      </c>
      <c r="E10" s="519">
        <v>1</v>
      </c>
      <c r="F10" s="521">
        <v>262820</v>
      </c>
      <c r="G10" s="523">
        <v>262820</v>
      </c>
      <c r="H10" s="351" t="s">
        <v>206</v>
      </c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 t="s">
        <v>201</v>
      </c>
      <c r="I11" s="352"/>
      <c r="J11" s="226"/>
      <c r="K11" s="69" t="s">
        <v>96</v>
      </c>
    </row>
    <row r="12" spans="1:11" ht="15.6" customHeight="1">
      <c r="A12" s="69"/>
      <c r="B12" s="222"/>
      <c r="C12" s="166"/>
      <c r="D12" s="517"/>
      <c r="E12" s="519"/>
      <c r="F12" s="521"/>
      <c r="G12" s="523"/>
      <c r="H12" s="351"/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/>
      <c r="I13" s="352"/>
      <c r="J13" s="226"/>
      <c r="K13" s="69" t="s">
        <v>96</v>
      </c>
    </row>
    <row r="14" spans="1:11" ht="15.6" customHeight="1">
      <c r="A14" s="69"/>
      <c r="B14" s="222" t="s">
        <v>214</v>
      </c>
      <c r="C14" s="166"/>
      <c r="D14" s="517"/>
      <c r="E14" s="519"/>
      <c r="F14" s="521"/>
      <c r="G14" s="523">
        <v>22661000</v>
      </c>
      <c r="H14" s="351"/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/>
      <c r="I15" s="352"/>
      <c r="J15" s="226"/>
      <c r="K15" s="69" t="s">
        <v>96</v>
      </c>
    </row>
    <row r="16" spans="1:11" ht="15.6" customHeight="1">
      <c r="A16" s="69"/>
      <c r="B16" s="222"/>
      <c r="C16" s="166"/>
      <c r="D16" s="517"/>
      <c r="E16" s="519"/>
      <c r="F16" s="521"/>
      <c r="G16" s="523"/>
      <c r="H16" s="351"/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/>
      <c r="I17" s="352"/>
      <c r="J17" s="226"/>
      <c r="K17" s="69" t="s">
        <v>96</v>
      </c>
    </row>
    <row r="18" spans="1:11" ht="15.6" customHeight="1">
      <c r="A18" s="69"/>
      <c r="B18" s="222"/>
      <c r="C18" s="166"/>
      <c r="D18" s="517"/>
      <c r="E18" s="519"/>
      <c r="F18" s="521"/>
      <c r="G18" s="523"/>
      <c r="H18" s="351"/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352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352"/>
      <c r="J21" s="226"/>
      <c r="K21" s="69" t="s">
        <v>96</v>
      </c>
    </row>
    <row r="22" spans="1:11" ht="15.6" customHeight="1">
      <c r="A22" s="69"/>
      <c r="B22" s="222"/>
      <c r="C22" s="166"/>
      <c r="D22" s="517"/>
      <c r="E22" s="519"/>
      <c r="F22" s="521"/>
      <c r="G22" s="523"/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22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令和6年度年間単価契約市道維持補修業務委託(第1工区)</v>
      </c>
      <c r="G1" s="306"/>
      <c r="H1" s="190" t="s">
        <v>140</v>
      </c>
      <c r="I1" s="333">
        <v>34000000</v>
      </c>
      <c r="J1" s="339">
        <f>I4/I$1</f>
        <v>0.85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270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216</v>
      </c>
      <c r="D4" s="340" t="s">
        <v>190</v>
      </c>
      <c r="E4" s="342"/>
      <c r="F4" s="345" t="s">
        <v>172</v>
      </c>
      <c r="G4" s="308">
        <v>1</v>
      </c>
      <c r="H4" s="309">
        <v>28900000</v>
      </c>
      <c r="I4" s="309">
        <v>28900000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217</v>
      </c>
      <c r="D5" s="340" t="s">
        <v>218</v>
      </c>
      <c r="E5" s="342"/>
      <c r="F5" s="345" t="s">
        <v>172</v>
      </c>
      <c r="G5" s="308">
        <v>1</v>
      </c>
      <c r="H5" s="309">
        <v>22661000</v>
      </c>
      <c r="I5" s="309">
        <v>22661000</v>
      </c>
      <c r="J5" s="211"/>
      <c r="K5" s="212" t="str">
        <f>IF(OR(J5="",G5=J5),"","*")</f>
        <v/>
      </c>
      <c r="L5" s="338">
        <f>IF($A5&lt;=L$1,I5/I$4,"")</f>
        <v>0.78411764705882347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219</v>
      </c>
      <c r="D6" s="340" t="s">
        <v>220</v>
      </c>
      <c r="E6" s="342" t="s">
        <v>169</v>
      </c>
      <c r="F6" s="345" t="s">
        <v>170</v>
      </c>
      <c r="G6" s="308">
        <v>306</v>
      </c>
      <c r="H6" s="309">
        <v>62530</v>
      </c>
      <c r="I6" s="309">
        <v>19134180</v>
      </c>
      <c r="J6" s="211">
        <v>306</v>
      </c>
      <c r="K6" s="212" t="str">
        <f>IF(OR(J6="",G6=J6),"","*")</f>
        <v/>
      </c>
      <c r="L6" s="338">
        <f>IF($A6&lt;=L$1,I6/I$4,"")</f>
        <v>0.66208235294117646</v>
      </c>
      <c r="M6" s="343"/>
      <c r="N6" s="344" t="s">
        <v>221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182</v>
      </c>
      <c r="D7" s="340" t="s">
        <v>222</v>
      </c>
      <c r="E7" s="342"/>
      <c r="F7" s="345" t="s">
        <v>223</v>
      </c>
      <c r="G7" s="308">
        <v>2.7</v>
      </c>
      <c r="H7" s="309">
        <v>104000</v>
      </c>
      <c r="I7" s="309">
        <v>280800</v>
      </c>
      <c r="J7" s="211"/>
      <c r="K7" s="212" t="str">
        <f>IF(OR(J7="",G7=J7),"","*")</f>
        <v/>
      </c>
      <c r="L7" s="338">
        <f>IF($A7&lt;=L$1,I7/I$4,"")</f>
        <v>9.7162629757785463E-3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 t="s">
        <v>224</v>
      </c>
      <c r="AF7" s="341" t="s">
        <v>225</v>
      </c>
    </row>
    <row r="8" spans="1:32">
      <c r="A8" s="307">
        <v>3</v>
      </c>
      <c r="B8" s="342"/>
      <c r="C8" s="342" t="s">
        <v>182</v>
      </c>
      <c r="D8" s="340" t="s">
        <v>226</v>
      </c>
      <c r="E8" s="342" t="s">
        <v>227</v>
      </c>
      <c r="F8" s="345" t="s">
        <v>223</v>
      </c>
      <c r="G8" s="308">
        <v>306</v>
      </c>
      <c r="H8" s="309">
        <v>14700</v>
      </c>
      <c r="I8" s="309">
        <v>4498200</v>
      </c>
      <c r="J8" s="211"/>
      <c r="K8" s="212" t="str">
        <f>IF(OR(J8="",G8=J8),"","*")</f>
        <v/>
      </c>
      <c r="L8" s="338">
        <f>IF($A8&lt;=L$1,I8/I$4,"")</f>
        <v>0.15564705882352942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228</v>
      </c>
      <c r="AF8" s="341" t="s">
        <v>229</v>
      </c>
    </row>
    <row r="9" spans="1:32">
      <c r="A9" s="307">
        <v>3</v>
      </c>
      <c r="B9" s="342"/>
      <c r="C9" s="342" t="s">
        <v>182</v>
      </c>
      <c r="D9" s="340" t="s">
        <v>230</v>
      </c>
      <c r="E9" s="342"/>
      <c r="F9" s="345" t="s">
        <v>231</v>
      </c>
      <c r="G9" s="308">
        <v>2040</v>
      </c>
      <c r="H9" s="309">
        <v>150</v>
      </c>
      <c r="I9" s="309">
        <v>306000</v>
      </c>
      <c r="J9" s="211"/>
      <c r="K9" s="212" t="str">
        <f>IF(OR(J9="",G9=J9),"","*")</f>
        <v/>
      </c>
      <c r="L9" s="338">
        <f>IF($A9&lt;=L$1,I9/I$4,"")</f>
        <v>1.0588235294117647E-2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232</v>
      </c>
      <c r="AF9" s="341" t="s">
        <v>233</v>
      </c>
    </row>
    <row r="10" spans="1:32">
      <c r="A10" s="307">
        <v>3</v>
      </c>
      <c r="B10" s="342"/>
      <c r="C10" s="342" t="s">
        <v>182</v>
      </c>
      <c r="D10" s="340" t="s">
        <v>234</v>
      </c>
      <c r="E10" s="342"/>
      <c r="F10" s="345" t="s">
        <v>231</v>
      </c>
      <c r="G10" s="308">
        <v>408</v>
      </c>
      <c r="H10" s="309">
        <v>160</v>
      </c>
      <c r="I10" s="309">
        <v>65280</v>
      </c>
      <c r="J10" s="211"/>
      <c r="K10" s="212" t="str">
        <f>IF(OR(J10="",G10=J10),"","*")</f>
        <v/>
      </c>
      <c r="L10" s="338">
        <f>IF($A10&lt;=L$1,I10/I$4,"")</f>
        <v>2.2588235294117645E-3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235</v>
      </c>
      <c r="AF10" s="341" t="s">
        <v>236</v>
      </c>
    </row>
    <row r="11" spans="1:32">
      <c r="A11" s="307">
        <v>3</v>
      </c>
      <c r="B11" s="342"/>
      <c r="C11" s="342" t="s">
        <v>182</v>
      </c>
      <c r="D11" s="340" t="s">
        <v>237</v>
      </c>
      <c r="E11" s="342"/>
      <c r="F11" s="345" t="s">
        <v>238</v>
      </c>
      <c r="G11" s="308">
        <v>1020</v>
      </c>
      <c r="H11" s="309">
        <v>260</v>
      </c>
      <c r="I11" s="309">
        <v>265200</v>
      </c>
      <c r="J11" s="211"/>
      <c r="K11" s="212" t="str">
        <f>IF(OR(J11="",G11=J11),"","*")</f>
        <v/>
      </c>
      <c r="L11" s="338">
        <f>IF($A11&lt;=L$1,I11/I$4,"")</f>
        <v>9.1764705882352946E-3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 t="s">
        <v>239</v>
      </c>
      <c r="AF11" s="341" t="s">
        <v>240</v>
      </c>
    </row>
    <row r="12" spans="1:32">
      <c r="A12" s="307">
        <v>3</v>
      </c>
      <c r="B12" s="342"/>
      <c r="C12" s="342" t="s">
        <v>183</v>
      </c>
      <c r="D12" s="340" t="s">
        <v>241</v>
      </c>
      <c r="E12" s="342" t="s">
        <v>242</v>
      </c>
      <c r="F12" s="345" t="s">
        <v>171</v>
      </c>
      <c r="G12" s="308">
        <v>204</v>
      </c>
      <c r="H12" s="309">
        <v>20000</v>
      </c>
      <c r="I12" s="309">
        <v>4080000</v>
      </c>
      <c r="J12" s="211"/>
      <c r="K12" s="212" t="str">
        <f>IF(OR(J12="",G12=J12),"","*")</f>
        <v/>
      </c>
      <c r="L12" s="338">
        <f>IF($A12&lt;=L$1,I12/I$4,"")</f>
        <v>0.14117647058823529</v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 t="s">
        <v>243</v>
      </c>
      <c r="AF12" s="341" t="s">
        <v>244</v>
      </c>
    </row>
    <row r="13" spans="1:32">
      <c r="A13" s="307">
        <v>3</v>
      </c>
      <c r="B13" s="342"/>
      <c r="C13" s="342" t="s">
        <v>183</v>
      </c>
      <c r="D13" s="340" t="s">
        <v>245</v>
      </c>
      <c r="E13" s="342" t="s">
        <v>246</v>
      </c>
      <c r="F13" s="345" t="s">
        <v>171</v>
      </c>
      <c r="G13" s="308">
        <v>408</v>
      </c>
      <c r="H13" s="309">
        <v>18000</v>
      </c>
      <c r="I13" s="309">
        <v>7344000</v>
      </c>
      <c r="J13" s="211"/>
      <c r="K13" s="212" t="str">
        <f>IF(OR(J13="",G13=J13),"","*")</f>
        <v/>
      </c>
      <c r="L13" s="338">
        <f>IF($A13&lt;=L$1,I13/I$4,"")</f>
        <v>0.2541176470588235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247</v>
      </c>
      <c r="AF13" s="341" t="s">
        <v>248</v>
      </c>
    </row>
    <row r="14" spans="1:32">
      <c r="A14" s="307">
        <v>3</v>
      </c>
      <c r="B14" s="342"/>
      <c r="C14" s="342" t="s">
        <v>185</v>
      </c>
      <c r="D14" s="340" t="s">
        <v>249</v>
      </c>
      <c r="E14" s="342"/>
      <c r="F14" s="345" t="s">
        <v>250</v>
      </c>
      <c r="G14" s="308">
        <v>102</v>
      </c>
      <c r="H14" s="309">
        <v>1500</v>
      </c>
      <c r="I14" s="309">
        <v>153000</v>
      </c>
      <c r="J14" s="211"/>
      <c r="K14" s="212" t="str">
        <f>IF(OR(J14="",G14=J14),"","*")</f>
        <v/>
      </c>
      <c r="L14" s="338">
        <f>IF($A14&lt;=L$1,I14/I$4,"")</f>
        <v>5.2941176470588233E-3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251</v>
      </c>
      <c r="AF14" s="341" t="s">
        <v>252</v>
      </c>
    </row>
    <row r="15" spans="1:32">
      <c r="A15" s="307">
        <v>3</v>
      </c>
      <c r="B15" s="342"/>
      <c r="C15" s="342" t="s">
        <v>185</v>
      </c>
      <c r="D15" s="340" t="s">
        <v>253</v>
      </c>
      <c r="E15" s="342"/>
      <c r="F15" s="345" t="s">
        <v>250</v>
      </c>
      <c r="G15" s="308">
        <v>102</v>
      </c>
      <c r="H15" s="309">
        <v>1000</v>
      </c>
      <c r="I15" s="309">
        <v>102000</v>
      </c>
      <c r="J15" s="211"/>
      <c r="K15" s="212" t="str">
        <f>IF(OR(J15="",G15=J15),"","*")</f>
        <v/>
      </c>
      <c r="L15" s="338">
        <f>IF($A15&lt;=L$1,I15/I$4,"")</f>
        <v>3.5294117647058825E-3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254</v>
      </c>
      <c r="AF15" s="341" t="s">
        <v>252</v>
      </c>
    </row>
    <row r="16" spans="1:32">
      <c r="A16" s="307">
        <v>3</v>
      </c>
      <c r="B16" s="342"/>
      <c r="C16" s="342" t="s">
        <v>186</v>
      </c>
      <c r="D16" s="340" t="s">
        <v>255</v>
      </c>
      <c r="E16" s="342"/>
      <c r="F16" s="345" t="s">
        <v>250</v>
      </c>
      <c r="G16" s="308">
        <v>102</v>
      </c>
      <c r="H16" s="309">
        <v>8000</v>
      </c>
      <c r="I16" s="309">
        <v>816000</v>
      </c>
      <c r="J16" s="211"/>
      <c r="K16" s="212" t="str">
        <f>IF(OR(J16="",G16=J16),"","*")</f>
        <v/>
      </c>
      <c r="L16" s="338">
        <f>IF($A16&lt;=L$1,I16/I$4,"")</f>
        <v>2.823529411764706E-2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256</v>
      </c>
      <c r="AF16" s="341" t="s">
        <v>252</v>
      </c>
    </row>
    <row r="17" spans="1:32">
      <c r="A17" s="307">
        <v>3</v>
      </c>
      <c r="B17" s="342"/>
      <c r="C17" s="342" t="s">
        <v>186</v>
      </c>
      <c r="D17" s="340" t="s">
        <v>257</v>
      </c>
      <c r="E17" s="342" t="s">
        <v>258</v>
      </c>
      <c r="F17" s="345" t="s">
        <v>250</v>
      </c>
      <c r="G17" s="308">
        <v>204</v>
      </c>
      <c r="H17" s="309">
        <v>6000</v>
      </c>
      <c r="I17" s="309">
        <v>1224000</v>
      </c>
      <c r="J17" s="211"/>
      <c r="K17" s="212" t="str">
        <f>IF(OR(J17="",G17=J17),"","*")</f>
        <v/>
      </c>
      <c r="L17" s="338">
        <f>IF($A17&lt;=L$1,I17/I$4,"")</f>
        <v>4.2352941176470586E-2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259</v>
      </c>
      <c r="AF17" s="341" t="s">
        <v>260</v>
      </c>
    </row>
    <row r="18" spans="1:32">
      <c r="A18" s="307">
        <v>2</v>
      </c>
      <c r="B18" s="342"/>
      <c r="C18" s="342" t="s">
        <v>219</v>
      </c>
      <c r="D18" s="340" t="s">
        <v>261</v>
      </c>
      <c r="E18" s="342"/>
      <c r="F18" s="345" t="s">
        <v>171</v>
      </c>
      <c r="G18" s="308">
        <v>204</v>
      </c>
      <c r="H18" s="309">
        <v>16000</v>
      </c>
      <c r="I18" s="309">
        <v>3264000</v>
      </c>
      <c r="J18" s="211">
        <v>204</v>
      </c>
      <c r="K18" s="212" t="str">
        <f>IF(OR(J18="",G18=J18),"","*")</f>
        <v/>
      </c>
      <c r="L18" s="338">
        <f>IF($A18&lt;=L$1,I18/I$4,"")</f>
        <v>0.11294117647058824</v>
      </c>
      <c r="M18" s="343"/>
      <c r="N18" s="344" t="s">
        <v>262</v>
      </c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/>
      <c r="AF18" s="341"/>
    </row>
    <row r="19" spans="1:32">
      <c r="A19" s="307">
        <v>3</v>
      </c>
      <c r="B19" s="342"/>
      <c r="C19" s="342" t="s">
        <v>184</v>
      </c>
      <c r="D19" s="340" t="s">
        <v>263</v>
      </c>
      <c r="E19" s="342"/>
      <c r="F19" s="345" t="s">
        <v>171</v>
      </c>
      <c r="G19" s="308">
        <v>204</v>
      </c>
      <c r="H19" s="309">
        <v>16000</v>
      </c>
      <c r="I19" s="309">
        <v>3264000</v>
      </c>
      <c r="J19" s="211"/>
      <c r="K19" s="212" t="str">
        <f>IF(OR(J19="",G19=J19),"","*")</f>
        <v/>
      </c>
      <c r="L19" s="338">
        <f>IF($A19&lt;=L$1,I19/I$4,"")</f>
        <v>0.11294117647058824</v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264</v>
      </c>
      <c r="AF19" s="341" t="s">
        <v>244</v>
      </c>
    </row>
    <row r="20" spans="1:32">
      <c r="A20" s="307">
        <v>2</v>
      </c>
      <c r="B20" s="342"/>
      <c r="C20" s="342" t="s">
        <v>219</v>
      </c>
      <c r="D20" s="340" t="s">
        <v>265</v>
      </c>
      <c r="E20" s="342"/>
      <c r="F20" s="345" t="s">
        <v>172</v>
      </c>
      <c r="G20" s="308">
        <v>1</v>
      </c>
      <c r="H20" s="309">
        <v>262820</v>
      </c>
      <c r="I20" s="309">
        <v>262820</v>
      </c>
      <c r="J20" s="211">
        <v>1</v>
      </c>
      <c r="K20" s="212" t="str">
        <f>IF(OR(J20="",G20=J20),"","*")</f>
        <v/>
      </c>
      <c r="L20" s="338">
        <f>IF($A20&lt;=L$1,I20/I$4,"")</f>
        <v>9.0941176470588237E-3</v>
      </c>
      <c r="M20" s="343"/>
      <c r="N20" s="344" t="s">
        <v>266</v>
      </c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/>
      <c r="AF20" s="341"/>
    </row>
    <row r="21" spans="1:32">
      <c r="A21" s="307">
        <v>3</v>
      </c>
      <c r="B21" s="342"/>
      <c r="C21" s="342" t="s">
        <v>182</v>
      </c>
      <c r="D21" s="340" t="s">
        <v>267</v>
      </c>
      <c r="E21" s="342" t="s">
        <v>268</v>
      </c>
      <c r="F21" s="345" t="s">
        <v>172</v>
      </c>
      <c r="G21" s="308">
        <v>1</v>
      </c>
      <c r="H21" s="309">
        <v>262820</v>
      </c>
      <c r="I21" s="309">
        <v>262820</v>
      </c>
      <c r="J21" s="211"/>
      <c r="K21" s="212" t="str">
        <f>IF(OR(J21="",G21=J21),"","*")</f>
        <v/>
      </c>
      <c r="L21" s="338">
        <f>IF($A21&lt;=L$1,I21/I$4,"")</f>
        <v>9.0941176470588237E-3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269</v>
      </c>
      <c r="AF21" s="341"/>
    </row>
    <row r="22" spans="1:32">
      <c r="A22" s="217"/>
      <c r="B22" s="217"/>
      <c r="C22" s="312"/>
      <c r="D22" s="217"/>
      <c r="E22" s="217"/>
      <c r="F22" s="218"/>
      <c r="G22" s="217"/>
      <c r="H22" s="217"/>
      <c r="I22" s="217"/>
      <c r="J22" s="217"/>
      <c r="K22" s="218"/>
      <c r="L22" s="217"/>
      <c r="M22" s="217"/>
      <c r="N22" s="217"/>
      <c r="O22" s="217"/>
      <c r="P22" s="217"/>
      <c r="Q22" s="217"/>
      <c r="R22" s="217"/>
      <c r="S22" s="218"/>
      <c r="T22" s="217"/>
      <c r="U22" s="217"/>
      <c r="V22" s="217"/>
      <c r="W22" s="217"/>
      <c r="X22" s="217"/>
      <c r="Y22" s="217"/>
      <c r="Z22" s="217"/>
      <c r="AA22" s="218"/>
      <c r="AB22" s="217"/>
      <c r="AC22" s="217"/>
      <c r="AD22" s="217"/>
      <c r="AE22" s="217"/>
      <c r="AF22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21 AF4:AF21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21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157</v>
      </c>
      <c r="D4" s="315"/>
      <c r="E4" s="120"/>
      <c r="F4" s="119" t="s">
        <v>163</v>
      </c>
      <c r="G4" s="316">
        <v>6239000</v>
      </c>
      <c r="H4" s="69"/>
    </row>
    <row r="5" spans="1:8" ht="27" customHeight="1">
      <c r="A5" s="69"/>
      <c r="B5" s="118"/>
      <c r="C5" s="119" t="s">
        <v>158</v>
      </c>
      <c r="D5" s="315"/>
      <c r="E5" s="120"/>
      <c r="F5" s="119" t="s">
        <v>164</v>
      </c>
      <c r="G5" s="316"/>
      <c r="H5" s="69"/>
    </row>
    <row r="6" spans="1:8" ht="27" customHeight="1">
      <c r="A6" s="69"/>
      <c r="B6" s="118"/>
      <c r="C6" s="119" t="s">
        <v>159</v>
      </c>
      <c r="D6" s="315"/>
      <c r="E6" s="120"/>
      <c r="F6" s="119" t="s">
        <v>165</v>
      </c>
      <c r="G6" s="316"/>
      <c r="H6" s="69"/>
    </row>
    <row r="7" spans="1:8" ht="27" customHeight="1">
      <c r="A7" s="69"/>
      <c r="B7" s="118"/>
      <c r="C7" s="119" t="s">
        <v>160</v>
      </c>
      <c r="D7" s="315"/>
      <c r="E7" s="120"/>
      <c r="F7" s="119" t="s">
        <v>166</v>
      </c>
      <c r="G7" s="316"/>
      <c r="H7" s="69"/>
    </row>
    <row r="8" spans="1:8" ht="27" customHeight="1">
      <c r="A8" s="69"/>
      <c r="B8" s="118"/>
      <c r="C8" s="119" t="s">
        <v>161</v>
      </c>
      <c r="D8" s="315"/>
      <c r="E8" s="120"/>
      <c r="F8" s="119" t="s">
        <v>167</v>
      </c>
      <c r="G8" s="316"/>
      <c r="H8" s="69"/>
    </row>
    <row r="9" spans="1:8" ht="27" customHeight="1">
      <c r="A9" s="69"/>
      <c r="B9" s="118"/>
      <c r="C9" s="119" t="s">
        <v>162</v>
      </c>
      <c r="D9" s="315"/>
      <c r="E9" s="120"/>
      <c r="F9" s="119" t="s">
        <v>168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271</v>
      </c>
      <c r="G10" s="316"/>
      <c r="H10" s="69"/>
    </row>
    <row r="11" spans="1:8" ht="27" customHeight="1">
      <c r="A11" s="69"/>
      <c r="B11" s="118"/>
      <c r="C11" s="119" t="s">
        <v>214</v>
      </c>
      <c r="D11" s="315"/>
      <c r="E11" s="120"/>
      <c r="F11" s="119" t="s">
        <v>272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214</v>
      </c>
      <c r="G13" s="316">
        <v>6239000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182</v>
      </c>
      <c r="H3" s="128" t="s">
        <v>183</v>
      </c>
      <c r="I3" s="128" t="s">
        <v>184</v>
      </c>
      <c r="J3" s="128" t="s">
        <v>185</v>
      </c>
      <c r="K3" s="128" t="s">
        <v>186</v>
      </c>
      <c r="L3" s="128" t="s">
        <v>187</v>
      </c>
      <c r="M3" s="128" t="s">
        <v>188</v>
      </c>
      <c r="N3" s="129" t="s">
        <v>189</v>
      </c>
      <c r="O3" s="69"/>
    </row>
    <row r="4" spans="1:15" ht="30" customHeight="1">
      <c r="A4" s="69"/>
      <c r="B4" s="130" t="s">
        <v>157</v>
      </c>
      <c r="C4" s="131" t="s">
        <v>172</v>
      </c>
      <c r="D4" s="320">
        <v>1</v>
      </c>
      <c r="E4" s="321"/>
      <c r="F4" s="322"/>
      <c r="G4" s="323"/>
      <c r="H4" s="324"/>
      <c r="I4" s="324"/>
      <c r="J4" s="324"/>
      <c r="K4" s="324"/>
      <c r="L4" s="324"/>
      <c r="M4" s="324"/>
      <c r="N4" s="325"/>
      <c r="O4" s="69"/>
    </row>
    <row r="5" spans="1:15" ht="30" customHeight="1">
      <c r="A5" s="69"/>
      <c r="B5" s="130" t="s">
        <v>158</v>
      </c>
      <c r="C5" s="131" t="s">
        <v>172</v>
      </c>
      <c r="D5" s="326">
        <v>1</v>
      </c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159</v>
      </c>
      <c r="C6" s="131" t="s">
        <v>172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160</v>
      </c>
      <c r="C7" s="131" t="s">
        <v>172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161</v>
      </c>
      <c r="C8" s="131" t="s">
        <v>172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162</v>
      </c>
      <c r="C9" s="131" t="s">
        <v>172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214</v>
      </c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2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令和6年度年間単価契約市道維持補修業務委託(第1工区)</v>
      </c>
      <c r="G1" s="306"/>
      <c r="H1" s="190" t="s">
        <v>131</v>
      </c>
      <c r="I1" s="333">
        <v>34000000</v>
      </c>
      <c r="J1" s="339">
        <f>I4/I$1</f>
        <v>0.85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270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216</v>
      </c>
      <c r="D4" s="340" t="s">
        <v>190</v>
      </c>
      <c r="E4" s="342"/>
      <c r="F4" s="345" t="s">
        <v>172</v>
      </c>
      <c r="G4" s="308">
        <v>1</v>
      </c>
      <c r="H4" s="309">
        <v>28900000</v>
      </c>
      <c r="I4" s="309">
        <v>28900000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117</v>
      </c>
      <c r="T4" s="343" t="e">
        <v>#DIV/0!</v>
      </c>
      <c r="U4" s="343" t="s">
        <v>117</v>
      </c>
      <c r="V4" s="344" t="s">
        <v>117</v>
      </c>
      <c r="W4" s="346">
        <v>0</v>
      </c>
      <c r="X4" s="347">
        <v>0</v>
      </c>
      <c r="Y4" s="347">
        <v>0</v>
      </c>
      <c r="Z4" s="348">
        <v>0</v>
      </c>
      <c r="AA4" s="349" t="s">
        <v>117</v>
      </c>
      <c r="AB4" s="343" t="e">
        <v>#DIV/0!</v>
      </c>
      <c r="AC4" s="343" t="s">
        <v>117</v>
      </c>
      <c r="AD4" s="344" t="s">
        <v>117</v>
      </c>
      <c r="AE4" s="342"/>
      <c r="AF4" s="341" t="s">
        <v>117</v>
      </c>
    </row>
    <row r="5" spans="1:32">
      <c r="A5" s="307">
        <v>1</v>
      </c>
      <c r="B5" s="342"/>
      <c r="C5" s="342" t="s">
        <v>217</v>
      </c>
      <c r="D5" s="340" t="s">
        <v>273</v>
      </c>
      <c r="E5" s="342"/>
      <c r="F5" s="345" t="s">
        <v>172</v>
      </c>
      <c r="G5" s="308">
        <v>1</v>
      </c>
      <c r="H5" s="309">
        <v>0</v>
      </c>
      <c r="I5" s="309">
        <v>0</v>
      </c>
      <c r="J5" s="211"/>
      <c r="K5" s="212" t="str">
        <f>IF(OR(J5="",G5=J5),"","*")</f>
        <v/>
      </c>
      <c r="L5" s="338">
        <f>IF($A5&lt;=L$1,I5/I$4,"")</f>
        <v>0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117</v>
      </c>
      <c r="T5" s="343" t="e">
        <v>#DIV/0!</v>
      </c>
      <c r="U5" s="343" t="s">
        <v>117</v>
      </c>
      <c r="V5" s="344" t="s">
        <v>117</v>
      </c>
      <c r="W5" s="346">
        <v>0</v>
      </c>
      <c r="X5" s="347">
        <v>0</v>
      </c>
      <c r="Y5" s="347">
        <v>0</v>
      </c>
      <c r="Z5" s="348">
        <v>0</v>
      </c>
      <c r="AA5" s="349" t="s">
        <v>117</v>
      </c>
      <c r="AB5" s="343" t="e">
        <v>#DIV/0!</v>
      </c>
      <c r="AC5" s="343" t="s">
        <v>117</v>
      </c>
      <c r="AD5" s="344" t="s">
        <v>117</v>
      </c>
      <c r="AE5" s="342"/>
      <c r="AF5" s="341" t="s">
        <v>117</v>
      </c>
    </row>
    <row r="6" spans="1:32">
      <c r="A6" s="307">
        <v>2</v>
      </c>
      <c r="B6" s="342"/>
      <c r="C6" s="342" t="s">
        <v>219</v>
      </c>
      <c r="D6" s="340" t="s">
        <v>274</v>
      </c>
      <c r="E6" s="342"/>
      <c r="F6" s="345" t="s">
        <v>172</v>
      </c>
      <c r="G6" s="308">
        <v>1</v>
      </c>
      <c r="H6" s="309">
        <v>0</v>
      </c>
      <c r="I6" s="309">
        <v>0</v>
      </c>
      <c r="J6" s="211">
        <v>1</v>
      </c>
      <c r="K6" s="212" t="str">
        <f>IF(OR(J6="",G6=J6),"","*")</f>
        <v/>
      </c>
      <c r="L6" s="338">
        <f>IF($A6&lt;=L$1,I6/I$4,"")</f>
        <v>0</v>
      </c>
      <c r="M6" s="343"/>
      <c r="N6" s="344" t="s">
        <v>275</v>
      </c>
      <c r="O6" s="346">
        <v>0</v>
      </c>
      <c r="P6" s="347">
        <v>0</v>
      </c>
      <c r="Q6" s="347">
        <v>0</v>
      </c>
      <c r="R6" s="348">
        <v>0</v>
      </c>
      <c r="S6" s="349" t="s">
        <v>117</v>
      </c>
      <c r="T6" s="343" t="e">
        <v>#DIV/0!</v>
      </c>
      <c r="U6" s="343" t="s">
        <v>117</v>
      </c>
      <c r="V6" s="344" t="s">
        <v>117</v>
      </c>
      <c r="W6" s="346">
        <v>0</v>
      </c>
      <c r="X6" s="347">
        <v>0</v>
      </c>
      <c r="Y6" s="347">
        <v>0</v>
      </c>
      <c r="Z6" s="348">
        <v>0</v>
      </c>
      <c r="AA6" s="349" t="s">
        <v>117</v>
      </c>
      <c r="AB6" s="343" t="e">
        <v>#DIV/0!</v>
      </c>
      <c r="AC6" s="343" t="s">
        <v>117</v>
      </c>
      <c r="AD6" s="344" t="s">
        <v>117</v>
      </c>
      <c r="AE6" s="342"/>
      <c r="AF6" s="341" t="s">
        <v>117</v>
      </c>
    </row>
    <row r="7" spans="1:32">
      <c r="A7" s="307">
        <v>2</v>
      </c>
      <c r="B7" s="342"/>
      <c r="C7" s="342" t="s">
        <v>219</v>
      </c>
      <c r="D7" s="340" t="s">
        <v>276</v>
      </c>
      <c r="E7" s="342" t="s">
        <v>173</v>
      </c>
      <c r="F7" s="345" t="s">
        <v>172</v>
      </c>
      <c r="G7" s="308">
        <v>1</v>
      </c>
      <c r="H7" s="309">
        <v>0</v>
      </c>
      <c r="I7" s="309">
        <v>0</v>
      </c>
      <c r="J7" s="211">
        <v>1</v>
      </c>
      <c r="K7" s="212" t="str">
        <f>IF(OR(J7="",G7=J7),"","*")</f>
        <v/>
      </c>
      <c r="L7" s="338">
        <f>IF($A7&lt;=L$1,I7/I$4,"")</f>
        <v>0</v>
      </c>
      <c r="M7" s="343"/>
      <c r="N7" s="344" t="s">
        <v>277</v>
      </c>
      <c r="O7" s="346">
        <v>0</v>
      </c>
      <c r="P7" s="347">
        <v>0</v>
      </c>
      <c r="Q7" s="347">
        <v>0</v>
      </c>
      <c r="R7" s="348">
        <v>0</v>
      </c>
      <c r="S7" s="349" t="s">
        <v>117</v>
      </c>
      <c r="T7" s="343" t="e">
        <v>#DIV/0!</v>
      </c>
      <c r="U7" s="343" t="s">
        <v>117</v>
      </c>
      <c r="V7" s="344" t="s">
        <v>117</v>
      </c>
      <c r="W7" s="346">
        <v>0</v>
      </c>
      <c r="X7" s="347">
        <v>0</v>
      </c>
      <c r="Y7" s="347">
        <v>0</v>
      </c>
      <c r="Z7" s="348">
        <v>0</v>
      </c>
      <c r="AA7" s="349" t="s">
        <v>117</v>
      </c>
      <c r="AB7" s="343" t="e">
        <v>#DIV/0!</v>
      </c>
      <c r="AC7" s="343" t="s">
        <v>117</v>
      </c>
      <c r="AD7" s="344" t="s">
        <v>117</v>
      </c>
      <c r="AE7" s="342"/>
      <c r="AF7" s="341" t="s">
        <v>117</v>
      </c>
    </row>
    <row r="8" spans="1:32">
      <c r="A8" s="307">
        <v>2</v>
      </c>
      <c r="B8" s="342"/>
      <c r="C8" s="342" t="s">
        <v>219</v>
      </c>
      <c r="D8" s="340" t="s">
        <v>278</v>
      </c>
      <c r="E8" s="342" t="s">
        <v>174</v>
      </c>
      <c r="F8" s="345" t="s">
        <v>172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279</v>
      </c>
      <c r="O8" s="346">
        <v>0</v>
      </c>
      <c r="P8" s="347">
        <v>0</v>
      </c>
      <c r="Q8" s="347">
        <v>0</v>
      </c>
      <c r="R8" s="348">
        <v>0</v>
      </c>
      <c r="S8" s="349" t="s">
        <v>117</v>
      </c>
      <c r="T8" s="343" t="e">
        <v>#DIV/0!</v>
      </c>
      <c r="U8" s="343" t="s">
        <v>117</v>
      </c>
      <c r="V8" s="344" t="s">
        <v>117</v>
      </c>
      <c r="W8" s="346">
        <v>0</v>
      </c>
      <c r="X8" s="347">
        <v>0</v>
      </c>
      <c r="Y8" s="347">
        <v>0</v>
      </c>
      <c r="Z8" s="348">
        <v>0</v>
      </c>
      <c r="AA8" s="349" t="s">
        <v>117</v>
      </c>
      <c r="AB8" s="343" t="e">
        <v>#DIV/0!</v>
      </c>
      <c r="AC8" s="343" t="s">
        <v>117</v>
      </c>
      <c r="AD8" s="344" t="s">
        <v>117</v>
      </c>
      <c r="AE8" s="342"/>
      <c r="AF8" s="341" t="s">
        <v>117</v>
      </c>
    </row>
    <row r="9" spans="1:32">
      <c r="A9" s="307">
        <v>2</v>
      </c>
      <c r="B9" s="342"/>
      <c r="C9" s="342" t="s">
        <v>219</v>
      </c>
      <c r="D9" s="340" t="s">
        <v>280</v>
      </c>
      <c r="E9" s="342" t="s">
        <v>175</v>
      </c>
      <c r="F9" s="345" t="s">
        <v>172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281</v>
      </c>
      <c r="O9" s="346">
        <v>0</v>
      </c>
      <c r="P9" s="347">
        <v>0</v>
      </c>
      <c r="Q9" s="347">
        <v>0</v>
      </c>
      <c r="R9" s="348">
        <v>0</v>
      </c>
      <c r="S9" s="349" t="s">
        <v>117</v>
      </c>
      <c r="T9" s="343" t="e">
        <v>#DIV/0!</v>
      </c>
      <c r="U9" s="343" t="s">
        <v>117</v>
      </c>
      <c r="V9" s="344" t="s">
        <v>117</v>
      </c>
      <c r="W9" s="346">
        <v>0</v>
      </c>
      <c r="X9" s="347">
        <v>0</v>
      </c>
      <c r="Y9" s="347">
        <v>0</v>
      </c>
      <c r="Z9" s="348">
        <v>0</v>
      </c>
      <c r="AA9" s="349" t="s">
        <v>117</v>
      </c>
      <c r="AB9" s="343" t="e">
        <v>#DIV/0!</v>
      </c>
      <c r="AC9" s="343" t="s">
        <v>117</v>
      </c>
      <c r="AD9" s="344" t="s">
        <v>117</v>
      </c>
      <c r="AE9" s="342"/>
      <c r="AF9" s="341" t="s">
        <v>117</v>
      </c>
    </row>
    <row r="10" spans="1:32">
      <c r="A10" s="307">
        <v>2</v>
      </c>
      <c r="B10" s="342"/>
      <c r="C10" s="342" t="s">
        <v>219</v>
      </c>
      <c r="D10" s="340" t="s">
        <v>282</v>
      </c>
      <c r="E10" s="342" t="s">
        <v>176</v>
      </c>
      <c r="F10" s="345" t="s">
        <v>172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283</v>
      </c>
      <c r="O10" s="346">
        <v>0</v>
      </c>
      <c r="P10" s="347">
        <v>0</v>
      </c>
      <c r="Q10" s="347">
        <v>0</v>
      </c>
      <c r="R10" s="348">
        <v>0</v>
      </c>
      <c r="S10" s="349" t="s">
        <v>117</v>
      </c>
      <c r="T10" s="343" t="e">
        <v>#DIV/0!</v>
      </c>
      <c r="U10" s="343" t="s">
        <v>117</v>
      </c>
      <c r="V10" s="344" t="s">
        <v>117</v>
      </c>
      <c r="W10" s="346">
        <v>0</v>
      </c>
      <c r="X10" s="347">
        <v>0</v>
      </c>
      <c r="Y10" s="347">
        <v>0</v>
      </c>
      <c r="Z10" s="348">
        <v>0</v>
      </c>
      <c r="AA10" s="349" t="s">
        <v>117</v>
      </c>
      <c r="AB10" s="343" t="e">
        <v>#DIV/0!</v>
      </c>
      <c r="AC10" s="343" t="s">
        <v>117</v>
      </c>
      <c r="AD10" s="344" t="s">
        <v>117</v>
      </c>
      <c r="AE10" s="342"/>
      <c r="AF10" s="341" t="s">
        <v>117</v>
      </c>
    </row>
    <row r="11" spans="1:32">
      <c r="A11" s="307">
        <v>2</v>
      </c>
      <c r="B11" s="342"/>
      <c r="C11" s="342" t="s">
        <v>219</v>
      </c>
      <c r="D11" s="340" t="s">
        <v>284</v>
      </c>
      <c r="E11" s="342" t="s">
        <v>177</v>
      </c>
      <c r="F11" s="345" t="s">
        <v>172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285</v>
      </c>
      <c r="O11" s="346">
        <v>0</v>
      </c>
      <c r="P11" s="347">
        <v>0</v>
      </c>
      <c r="Q11" s="347">
        <v>0</v>
      </c>
      <c r="R11" s="348">
        <v>0</v>
      </c>
      <c r="S11" s="349" t="s">
        <v>117</v>
      </c>
      <c r="T11" s="343" t="e">
        <v>#DIV/0!</v>
      </c>
      <c r="U11" s="343" t="s">
        <v>117</v>
      </c>
      <c r="V11" s="344" t="s">
        <v>117</v>
      </c>
      <c r="W11" s="346">
        <v>0</v>
      </c>
      <c r="X11" s="347">
        <v>0</v>
      </c>
      <c r="Y11" s="347">
        <v>0</v>
      </c>
      <c r="Z11" s="348">
        <v>0</v>
      </c>
      <c r="AA11" s="349" t="s">
        <v>117</v>
      </c>
      <c r="AB11" s="343" t="e">
        <v>#DIV/0!</v>
      </c>
      <c r="AC11" s="343" t="s">
        <v>117</v>
      </c>
      <c r="AD11" s="344" t="s">
        <v>117</v>
      </c>
      <c r="AE11" s="342"/>
      <c r="AF11" s="341" t="s">
        <v>117</v>
      </c>
    </row>
    <row r="12" spans="1:32">
      <c r="A12" s="217"/>
      <c r="B12" s="217"/>
      <c r="C12" s="312"/>
      <c r="D12" s="217"/>
      <c r="E12" s="217"/>
      <c r="F12" s="218"/>
      <c r="G12" s="217"/>
      <c r="H12" s="217"/>
      <c r="I12" s="217"/>
      <c r="J12" s="217"/>
      <c r="K12" s="218"/>
      <c r="L12" s="217"/>
      <c r="M12" s="217"/>
      <c r="N12" s="217"/>
      <c r="O12" s="217"/>
      <c r="P12" s="217"/>
      <c r="Q12" s="217"/>
      <c r="R12" s="217"/>
      <c r="S12" s="218"/>
      <c r="T12" s="217"/>
      <c r="U12" s="217"/>
      <c r="V12" s="217"/>
      <c r="W12" s="217"/>
      <c r="X12" s="217"/>
      <c r="Y12" s="217"/>
      <c r="Z12" s="217"/>
      <c r="AA12" s="218"/>
      <c r="AB12" s="217"/>
      <c r="AC12" s="217"/>
      <c r="AD12" s="217"/>
      <c r="AE12" s="217"/>
      <c r="AF12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1 AF4:AF11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1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163</v>
      </c>
      <c r="C3" s="561"/>
      <c r="D3" s="563" t="s">
        <v>172</v>
      </c>
      <c r="E3" s="565">
        <v>1</v>
      </c>
      <c r="F3" s="521">
        <v>6239000</v>
      </c>
      <c r="G3" s="557">
        <v>6239000</v>
      </c>
      <c r="H3" s="138" t="s">
        <v>286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201</v>
      </c>
      <c r="I4" s="69"/>
    </row>
    <row r="5" spans="1:9" ht="15.75" customHeight="1">
      <c r="A5" s="69"/>
      <c r="B5" s="559" t="s">
        <v>164</v>
      </c>
      <c r="C5" s="561" t="s">
        <v>178</v>
      </c>
      <c r="D5" s="563" t="s">
        <v>172</v>
      </c>
      <c r="E5" s="565">
        <v>1</v>
      </c>
      <c r="F5" s="521"/>
      <c r="G5" s="557"/>
      <c r="H5" s="138" t="s">
        <v>287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201</v>
      </c>
      <c r="I6" s="69"/>
    </row>
    <row r="7" spans="1:9" ht="15.75" customHeight="1">
      <c r="A7" s="69"/>
      <c r="B7" s="559" t="s">
        <v>165</v>
      </c>
      <c r="C7" s="561"/>
      <c r="D7" s="563" t="s">
        <v>172</v>
      </c>
      <c r="E7" s="565">
        <v>1</v>
      </c>
      <c r="F7" s="521"/>
      <c r="G7" s="557"/>
      <c r="H7" s="138" t="s">
        <v>288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201</v>
      </c>
      <c r="I8" s="69"/>
    </row>
    <row r="9" spans="1:9" ht="15.75" customHeight="1">
      <c r="A9" s="69"/>
      <c r="B9" s="559" t="s">
        <v>166</v>
      </c>
      <c r="C9" s="561" t="s">
        <v>179</v>
      </c>
      <c r="D9" s="563" t="s">
        <v>172</v>
      </c>
      <c r="E9" s="565">
        <v>1</v>
      </c>
      <c r="F9" s="521"/>
      <c r="G9" s="557"/>
      <c r="H9" s="138" t="s">
        <v>289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201</v>
      </c>
      <c r="I10" s="69"/>
    </row>
    <row r="11" spans="1:9" ht="15.75" customHeight="1">
      <c r="A11" s="69"/>
      <c r="B11" s="559" t="s">
        <v>167</v>
      </c>
      <c r="C11" s="561" t="s">
        <v>180</v>
      </c>
      <c r="D11" s="563" t="s">
        <v>172</v>
      </c>
      <c r="E11" s="565">
        <v>1</v>
      </c>
      <c r="F11" s="521"/>
      <c r="G11" s="557"/>
      <c r="H11" s="138" t="s">
        <v>290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201</v>
      </c>
      <c r="I12" s="69"/>
    </row>
    <row r="13" spans="1:9" ht="15.75" customHeight="1">
      <c r="A13" s="69"/>
      <c r="B13" s="559" t="s">
        <v>168</v>
      </c>
      <c r="C13" s="561" t="s">
        <v>181</v>
      </c>
      <c r="D13" s="563" t="s">
        <v>172</v>
      </c>
      <c r="E13" s="565">
        <v>1</v>
      </c>
      <c r="F13" s="521"/>
      <c r="G13" s="557"/>
      <c r="H13" s="138" t="s">
        <v>291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201</v>
      </c>
      <c r="I14" s="69"/>
    </row>
    <row r="15" spans="1:9" ht="15.75" customHeight="1">
      <c r="A15" s="69"/>
      <c r="B15" s="559" t="s">
        <v>271</v>
      </c>
      <c r="C15" s="561" t="s">
        <v>292</v>
      </c>
      <c r="D15" s="563" t="s">
        <v>172</v>
      </c>
      <c r="E15" s="565">
        <v>1</v>
      </c>
      <c r="F15" s="521"/>
      <c r="G15" s="557"/>
      <c r="H15" s="138" t="s">
        <v>293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201</v>
      </c>
      <c r="I16" s="69"/>
    </row>
    <row r="17" spans="1:9" ht="15.75" customHeight="1">
      <c r="A17" s="69"/>
      <c r="B17" s="559" t="s">
        <v>272</v>
      </c>
      <c r="C17" s="561" t="s">
        <v>294</v>
      </c>
      <c r="D17" s="563" t="s">
        <v>172</v>
      </c>
      <c r="E17" s="565">
        <v>1</v>
      </c>
      <c r="F17" s="521"/>
      <c r="G17" s="557"/>
      <c r="H17" s="138" t="s">
        <v>295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201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214</v>
      </c>
      <c r="C21" s="561"/>
      <c r="D21" s="563"/>
      <c r="E21" s="565"/>
      <c r="F21" s="521"/>
      <c r="G21" s="557">
        <v>6239000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6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令和6年度年間単価契約市道維持補修業務委託(第1工区)</v>
      </c>
      <c r="G1" s="306"/>
      <c r="H1" s="190" t="s">
        <v>131</v>
      </c>
      <c r="I1" s="333">
        <v>34000000</v>
      </c>
      <c r="J1" s="339">
        <f>I4/I$1</f>
        <v>0.85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270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216</v>
      </c>
      <c r="D4" s="340" t="s">
        <v>190</v>
      </c>
      <c r="E4" s="342"/>
      <c r="F4" s="345" t="s">
        <v>172</v>
      </c>
      <c r="G4" s="308">
        <v>1</v>
      </c>
      <c r="H4" s="309">
        <v>28900000</v>
      </c>
      <c r="I4" s="309">
        <v>28900000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296</v>
      </c>
      <c r="P4" s="347" t="s">
        <v>296</v>
      </c>
      <c r="Q4" s="347" t="s">
        <v>296</v>
      </c>
      <c r="R4" s="348" t="s">
        <v>296</v>
      </c>
      <c r="S4" s="349"/>
      <c r="T4" s="343" t="s">
        <v>297</v>
      </c>
      <c r="U4" s="343"/>
      <c r="V4" s="344"/>
      <c r="W4" s="346" t="s">
        <v>296</v>
      </c>
      <c r="X4" s="347" t="s">
        <v>296</v>
      </c>
      <c r="Y4" s="347" t="s">
        <v>296</v>
      </c>
      <c r="Z4" s="348" t="s">
        <v>296</v>
      </c>
      <c r="AA4" s="349"/>
      <c r="AB4" s="343" t="s">
        <v>297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217</v>
      </c>
      <c r="D5" s="340" t="s">
        <v>298</v>
      </c>
      <c r="E5" s="342"/>
      <c r="F5" s="345" t="s">
        <v>172</v>
      </c>
      <c r="G5" s="308">
        <v>1</v>
      </c>
      <c r="H5" s="309">
        <v>6239000</v>
      </c>
      <c r="I5" s="309">
        <v>6239000</v>
      </c>
      <c r="J5" s="211"/>
      <c r="K5" s="212" t="str">
        <f>IF(OR(J5="",G5=J5),"","*")</f>
        <v/>
      </c>
      <c r="L5" s="338">
        <f>IF($A5&lt;=L$1,I5/I$4,"")</f>
        <v>0.21588235294117647</v>
      </c>
      <c r="M5" s="343"/>
      <c r="N5" s="344"/>
      <c r="O5" s="346" t="s">
        <v>296</v>
      </c>
      <c r="P5" s="347" t="s">
        <v>296</v>
      </c>
      <c r="Q5" s="347" t="s">
        <v>296</v>
      </c>
      <c r="R5" s="348" t="s">
        <v>296</v>
      </c>
      <c r="S5" s="349"/>
      <c r="T5" s="343" t="s">
        <v>297</v>
      </c>
      <c r="U5" s="343"/>
      <c r="V5" s="344"/>
      <c r="W5" s="346" t="s">
        <v>296</v>
      </c>
      <c r="X5" s="347" t="s">
        <v>296</v>
      </c>
      <c r="Y5" s="347" t="s">
        <v>296</v>
      </c>
      <c r="Z5" s="348" t="s">
        <v>296</v>
      </c>
      <c r="AA5" s="349"/>
      <c r="AB5" s="343" t="s">
        <v>297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219</v>
      </c>
      <c r="D6" s="340" t="s">
        <v>299</v>
      </c>
      <c r="E6" s="342"/>
      <c r="F6" s="345" t="s">
        <v>172</v>
      </c>
      <c r="G6" s="308">
        <v>1</v>
      </c>
      <c r="H6" s="309">
        <v>6239000</v>
      </c>
      <c r="I6" s="309">
        <v>6239000</v>
      </c>
      <c r="J6" s="211">
        <v>1</v>
      </c>
      <c r="K6" s="212" t="str">
        <f>IF(OR(J6="",G6=J6),"","*")</f>
        <v/>
      </c>
      <c r="L6" s="338">
        <f>IF($A6&lt;=L$1,I6/I$4,"")</f>
        <v>0.21588235294117647</v>
      </c>
      <c r="M6" s="343"/>
      <c r="N6" s="344" t="s">
        <v>300</v>
      </c>
      <c r="O6" s="346" t="s">
        <v>296</v>
      </c>
      <c r="P6" s="347" t="s">
        <v>296</v>
      </c>
      <c r="Q6" s="347" t="s">
        <v>296</v>
      </c>
      <c r="R6" s="348" t="s">
        <v>296</v>
      </c>
      <c r="S6" s="349"/>
      <c r="T6" s="343" t="s">
        <v>297</v>
      </c>
      <c r="U6" s="343"/>
      <c r="V6" s="344"/>
      <c r="W6" s="346" t="s">
        <v>296</v>
      </c>
      <c r="X6" s="347" t="s">
        <v>296</v>
      </c>
      <c r="Y6" s="347" t="s">
        <v>296</v>
      </c>
      <c r="Z6" s="348" t="s">
        <v>296</v>
      </c>
      <c r="AA6" s="349"/>
      <c r="AB6" s="343" t="s">
        <v>297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188</v>
      </c>
      <c r="D7" s="340" t="s">
        <v>301</v>
      </c>
      <c r="E7" s="342" t="s">
        <v>302</v>
      </c>
      <c r="F7" s="345" t="s">
        <v>303</v>
      </c>
      <c r="G7" s="308">
        <v>102</v>
      </c>
      <c r="H7" s="309">
        <v>39500</v>
      </c>
      <c r="I7" s="309">
        <v>4029000</v>
      </c>
      <c r="J7" s="211"/>
      <c r="K7" s="212" t="str">
        <f>IF(OR(J7="",G7=J7),"","*")</f>
        <v/>
      </c>
      <c r="L7" s="338">
        <f>IF($A7&lt;=L$1,I7/I$4,"")</f>
        <v>0.13941176470588235</v>
      </c>
      <c r="M7" s="343"/>
      <c r="N7" s="344"/>
      <c r="O7" s="346" t="s">
        <v>296</v>
      </c>
      <c r="P7" s="347" t="s">
        <v>296</v>
      </c>
      <c r="Q7" s="347" t="s">
        <v>296</v>
      </c>
      <c r="R7" s="348" t="s">
        <v>296</v>
      </c>
      <c r="S7" s="349"/>
      <c r="T7" s="343" t="s">
        <v>297</v>
      </c>
      <c r="U7" s="343"/>
      <c r="V7" s="344"/>
      <c r="W7" s="346" t="s">
        <v>296</v>
      </c>
      <c r="X7" s="347" t="s">
        <v>296</v>
      </c>
      <c r="Y7" s="347" t="s">
        <v>296</v>
      </c>
      <c r="Z7" s="348" t="s">
        <v>296</v>
      </c>
      <c r="AA7" s="349"/>
      <c r="AB7" s="343" t="s">
        <v>297</v>
      </c>
      <c r="AC7" s="343"/>
      <c r="AD7" s="344"/>
      <c r="AE7" s="342" t="s">
        <v>304</v>
      </c>
      <c r="AF7" s="341" t="s">
        <v>305</v>
      </c>
    </row>
    <row r="8" spans="1:32">
      <c r="A8" s="307">
        <v>3</v>
      </c>
      <c r="B8" s="342"/>
      <c r="C8" s="342" t="s">
        <v>188</v>
      </c>
      <c r="D8" s="340" t="s">
        <v>301</v>
      </c>
      <c r="E8" s="342" t="s">
        <v>306</v>
      </c>
      <c r="F8" s="345" t="s">
        <v>303</v>
      </c>
      <c r="G8" s="308">
        <v>85</v>
      </c>
      <c r="H8" s="309">
        <v>26000</v>
      </c>
      <c r="I8" s="309">
        <v>2210000</v>
      </c>
      <c r="J8" s="211"/>
      <c r="K8" s="212" t="str">
        <f>IF(OR(J8="",G8=J8),"","*")</f>
        <v/>
      </c>
      <c r="L8" s="338">
        <f>IF($A8&lt;=L$1,I8/I$4,"")</f>
        <v>7.6470588235294124E-2</v>
      </c>
      <c r="M8" s="343"/>
      <c r="N8" s="344"/>
      <c r="O8" s="346" t="s">
        <v>296</v>
      </c>
      <c r="P8" s="347" t="s">
        <v>296</v>
      </c>
      <c r="Q8" s="347" t="s">
        <v>296</v>
      </c>
      <c r="R8" s="348" t="s">
        <v>296</v>
      </c>
      <c r="S8" s="349"/>
      <c r="T8" s="343" t="s">
        <v>297</v>
      </c>
      <c r="U8" s="343"/>
      <c r="V8" s="344"/>
      <c r="W8" s="346" t="s">
        <v>296</v>
      </c>
      <c r="X8" s="347" t="s">
        <v>296</v>
      </c>
      <c r="Y8" s="347" t="s">
        <v>296</v>
      </c>
      <c r="Z8" s="348" t="s">
        <v>296</v>
      </c>
      <c r="AA8" s="349"/>
      <c r="AB8" s="343" t="s">
        <v>297</v>
      </c>
      <c r="AC8" s="343"/>
      <c r="AD8" s="344"/>
      <c r="AE8" s="342" t="s">
        <v>307</v>
      </c>
      <c r="AF8" s="341" t="s">
        <v>308</v>
      </c>
    </row>
    <row r="9" spans="1:32">
      <c r="A9" s="307">
        <v>2</v>
      </c>
      <c r="B9" s="342"/>
      <c r="C9" s="342" t="s">
        <v>219</v>
      </c>
      <c r="D9" s="340" t="s">
        <v>309</v>
      </c>
      <c r="E9" s="342" t="s">
        <v>178</v>
      </c>
      <c r="F9" s="345" t="s">
        <v>172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310</v>
      </c>
      <c r="O9" s="346" t="s">
        <v>296</v>
      </c>
      <c r="P9" s="347" t="s">
        <v>296</v>
      </c>
      <c r="Q9" s="347" t="s">
        <v>296</v>
      </c>
      <c r="R9" s="348" t="s">
        <v>296</v>
      </c>
      <c r="S9" s="349"/>
      <c r="T9" s="343" t="s">
        <v>297</v>
      </c>
      <c r="U9" s="343"/>
      <c r="V9" s="344"/>
      <c r="W9" s="346" t="s">
        <v>296</v>
      </c>
      <c r="X9" s="347" t="s">
        <v>296</v>
      </c>
      <c r="Y9" s="347" t="s">
        <v>296</v>
      </c>
      <c r="Z9" s="348" t="s">
        <v>296</v>
      </c>
      <c r="AA9" s="349"/>
      <c r="AB9" s="343" t="s">
        <v>297</v>
      </c>
      <c r="AC9" s="343"/>
      <c r="AD9" s="344"/>
      <c r="AE9" s="342"/>
      <c r="AF9" s="341"/>
    </row>
    <row r="10" spans="1:32">
      <c r="A10" s="307">
        <v>2</v>
      </c>
      <c r="B10" s="342"/>
      <c r="C10" s="342" t="s">
        <v>219</v>
      </c>
      <c r="D10" s="340" t="s">
        <v>311</v>
      </c>
      <c r="E10" s="342"/>
      <c r="F10" s="345" t="s">
        <v>172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312</v>
      </c>
      <c r="O10" s="346" t="s">
        <v>296</v>
      </c>
      <c r="P10" s="347" t="s">
        <v>296</v>
      </c>
      <c r="Q10" s="347" t="s">
        <v>296</v>
      </c>
      <c r="R10" s="348" t="s">
        <v>296</v>
      </c>
      <c r="S10" s="349"/>
      <c r="T10" s="343" t="s">
        <v>297</v>
      </c>
      <c r="U10" s="343"/>
      <c r="V10" s="344"/>
      <c r="W10" s="346" t="s">
        <v>296</v>
      </c>
      <c r="X10" s="347" t="s">
        <v>296</v>
      </c>
      <c r="Y10" s="347" t="s">
        <v>296</v>
      </c>
      <c r="Z10" s="348" t="s">
        <v>296</v>
      </c>
      <c r="AA10" s="349"/>
      <c r="AB10" s="343" t="s">
        <v>297</v>
      </c>
      <c r="AC10" s="343"/>
      <c r="AD10" s="344"/>
      <c r="AE10" s="342"/>
      <c r="AF10" s="341"/>
    </row>
    <row r="11" spans="1:32">
      <c r="A11" s="307">
        <v>2</v>
      </c>
      <c r="B11" s="342"/>
      <c r="C11" s="342" t="s">
        <v>219</v>
      </c>
      <c r="D11" s="340" t="s">
        <v>313</v>
      </c>
      <c r="E11" s="342" t="s">
        <v>179</v>
      </c>
      <c r="F11" s="345" t="s">
        <v>172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314</v>
      </c>
      <c r="O11" s="346" t="s">
        <v>296</v>
      </c>
      <c r="P11" s="347" t="s">
        <v>296</v>
      </c>
      <c r="Q11" s="347" t="s">
        <v>296</v>
      </c>
      <c r="R11" s="348" t="s">
        <v>296</v>
      </c>
      <c r="S11" s="349"/>
      <c r="T11" s="343" t="s">
        <v>297</v>
      </c>
      <c r="U11" s="343"/>
      <c r="V11" s="344"/>
      <c r="W11" s="346" t="s">
        <v>296</v>
      </c>
      <c r="X11" s="347" t="s">
        <v>296</v>
      </c>
      <c r="Y11" s="347" t="s">
        <v>296</v>
      </c>
      <c r="Z11" s="348" t="s">
        <v>296</v>
      </c>
      <c r="AA11" s="349"/>
      <c r="AB11" s="343" t="s">
        <v>297</v>
      </c>
      <c r="AC11" s="343"/>
      <c r="AD11" s="344"/>
      <c r="AE11" s="342"/>
      <c r="AF11" s="341"/>
    </row>
    <row r="12" spans="1:32">
      <c r="A12" s="307">
        <v>2</v>
      </c>
      <c r="B12" s="342"/>
      <c r="C12" s="342" t="s">
        <v>219</v>
      </c>
      <c r="D12" s="340" t="s">
        <v>315</v>
      </c>
      <c r="E12" s="342" t="s">
        <v>180</v>
      </c>
      <c r="F12" s="345" t="s">
        <v>172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316</v>
      </c>
      <c r="O12" s="346" t="s">
        <v>296</v>
      </c>
      <c r="P12" s="347" t="s">
        <v>296</v>
      </c>
      <c r="Q12" s="347" t="s">
        <v>296</v>
      </c>
      <c r="R12" s="348" t="s">
        <v>296</v>
      </c>
      <c r="S12" s="349"/>
      <c r="T12" s="343" t="s">
        <v>297</v>
      </c>
      <c r="U12" s="343"/>
      <c r="V12" s="344"/>
      <c r="W12" s="346" t="s">
        <v>296</v>
      </c>
      <c r="X12" s="347" t="s">
        <v>296</v>
      </c>
      <c r="Y12" s="347" t="s">
        <v>296</v>
      </c>
      <c r="Z12" s="348" t="s">
        <v>296</v>
      </c>
      <c r="AA12" s="349"/>
      <c r="AB12" s="343" t="s">
        <v>297</v>
      </c>
      <c r="AC12" s="343"/>
      <c r="AD12" s="344"/>
      <c r="AE12" s="342"/>
      <c r="AF12" s="341"/>
    </row>
    <row r="13" spans="1:32">
      <c r="A13" s="307">
        <v>2</v>
      </c>
      <c r="B13" s="342"/>
      <c r="C13" s="342" t="s">
        <v>219</v>
      </c>
      <c r="D13" s="340" t="s">
        <v>317</v>
      </c>
      <c r="E13" s="342" t="s">
        <v>181</v>
      </c>
      <c r="F13" s="345" t="s">
        <v>172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318</v>
      </c>
      <c r="O13" s="346" t="s">
        <v>296</v>
      </c>
      <c r="P13" s="347" t="s">
        <v>296</v>
      </c>
      <c r="Q13" s="347" t="s">
        <v>296</v>
      </c>
      <c r="R13" s="348" t="s">
        <v>296</v>
      </c>
      <c r="S13" s="349"/>
      <c r="T13" s="343" t="s">
        <v>297</v>
      </c>
      <c r="U13" s="343"/>
      <c r="V13" s="344"/>
      <c r="W13" s="346" t="s">
        <v>296</v>
      </c>
      <c r="X13" s="347" t="s">
        <v>296</v>
      </c>
      <c r="Y13" s="347" t="s">
        <v>296</v>
      </c>
      <c r="Z13" s="348" t="s">
        <v>296</v>
      </c>
      <c r="AA13" s="349"/>
      <c r="AB13" s="343" t="s">
        <v>297</v>
      </c>
      <c r="AC13" s="343"/>
      <c r="AD13" s="344"/>
      <c r="AE13" s="342"/>
      <c r="AF13" s="341"/>
    </row>
    <row r="14" spans="1:32">
      <c r="A14" s="307">
        <v>2</v>
      </c>
      <c r="B14" s="342"/>
      <c r="C14" s="342" t="s">
        <v>219</v>
      </c>
      <c r="D14" s="340" t="s">
        <v>319</v>
      </c>
      <c r="E14" s="342" t="s">
        <v>292</v>
      </c>
      <c r="F14" s="345" t="s">
        <v>172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320</v>
      </c>
      <c r="O14" s="346" t="s">
        <v>296</v>
      </c>
      <c r="P14" s="347" t="s">
        <v>296</v>
      </c>
      <c r="Q14" s="347" t="s">
        <v>296</v>
      </c>
      <c r="R14" s="348" t="s">
        <v>296</v>
      </c>
      <c r="S14" s="349"/>
      <c r="T14" s="343" t="s">
        <v>297</v>
      </c>
      <c r="U14" s="343"/>
      <c r="V14" s="344"/>
      <c r="W14" s="346" t="s">
        <v>296</v>
      </c>
      <c r="X14" s="347" t="s">
        <v>296</v>
      </c>
      <c r="Y14" s="347" t="s">
        <v>296</v>
      </c>
      <c r="Z14" s="348" t="s">
        <v>296</v>
      </c>
      <c r="AA14" s="349"/>
      <c r="AB14" s="343" t="s">
        <v>297</v>
      </c>
      <c r="AC14" s="343"/>
      <c r="AD14" s="344"/>
      <c r="AE14" s="342"/>
      <c r="AF14" s="341"/>
    </row>
    <row r="15" spans="1:32">
      <c r="A15" s="307">
        <v>2</v>
      </c>
      <c r="B15" s="342"/>
      <c r="C15" s="342" t="s">
        <v>219</v>
      </c>
      <c r="D15" s="340" t="s">
        <v>321</v>
      </c>
      <c r="E15" s="342" t="s">
        <v>294</v>
      </c>
      <c r="F15" s="345" t="s">
        <v>172</v>
      </c>
      <c r="G15" s="308">
        <v>1</v>
      </c>
      <c r="H15" s="309">
        <v>0</v>
      </c>
      <c r="I15" s="309">
        <v>0</v>
      </c>
      <c r="J15" s="211">
        <v>1</v>
      </c>
      <c r="K15" s="212" t="str">
        <f>IF(OR(J15="",G15=J15),"","*")</f>
        <v/>
      </c>
      <c r="L15" s="338">
        <f>IF($A15&lt;=L$1,I15/I$4,"")</f>
        <v>0</v>
      </c>
      <c r="M15" s="343"/>
      <c r="N15" s="344" t="s">
        <v>322</v>
      </c>
      <c r="O15" s="346" t="s">
        <v>296</v>
      </c>
      <c r="P15" s="347" t="s">
        <v>296</v>
      </c>
      <c r="Q15" s="347" t="s">
        <v>296</v>
      </c>
      <c r="R15" s="348" t="s">
        <v>296</v>
      </c>
      <c r="S15" s="349"/>
      <c r="T15" s="343" t="s">
        <v>297</v>
      </c>
      <c r="U15" s="343"/>
      <c r="V15" s="344"/>
      <c r="W15" s="346" t="s">
        <v>296</v>
      </c>
      <c r="X15" s="347" t="s">
        <v>296</v>
      </c>
      <c r="Y15" s="347" t="s">
        <v>296</v>
      </c>
      <c r="Z15" s="348" t="s">
        <v>296</v>
      </c>
      <c r="AA15" s="349"/>
      <c r="AB15" s="343" t="s">
        <v>297</v>
      </c>
      <c r="AC15" s="343"/>
      <c r="AD15" s="344"/>
      <c r="AE15" s="342"/>
      <c r="AF15" s="341"/>
    </row>
    <row r="16" spans="1:32">
      <c r="A16" s="217"/>
      <c r="B16" s="217"/>
      <c r="C16" s="312"/>
      <c r="D16" s="217"/>
      <c r="E16" s="217"/>
      <c r="F16" s="218"/>
      <c r="G16" s="217"/>
      <c r="H16" s="217"/>
      <c r="I16" s="217"/>
      <c r="J16" s="217"/>
      <c r="K16" s="218"/>
      <c r="L16" s="217"/>
      <c r="M16" s="217"/>
      <c r="N16" s="217"/>
      <c r="O16" s="217"/>
      <c r="P16" s="217"/>
      <c r="Q16" s="217"/>
      <c r="R16" s="217"/>
      <c r="S16" s="218"/>
      <c r="T16" s="217"/>
      <c r="U16" s="217"/>
      <c r="V16" s="217"/>
      <c r="W16" s="217"/>
      <c r="X16" s="217"/>
      <c r="Y16" s="217"/>
      <c r="Z16" s="217"/>
      <c r="AA16" s="218"/>
      <c r="AB16" s="217"/>
      <c r="AC16" s="217"/>
      <c r="AD16" s="217"/>
      <c r="AE16" s="217"/>
      <c r="AF16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5 AF4:AF15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5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323</v>
      </c>
      <c r="C3" s="146" t="s">
        <v>324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325</v>
      </c>
      <c r="K4" s="69"/>
    </row>
    <row r="5" spans="1:11" ht="18" customHeight="1">
      <c r="A5" s="69"/>
      <c r="B5" s="574" t="s">
        <v>326</v>
      </c>
      <c r="C5" s="575"/>
      <c r="D5" s="153" t="s">
        <v>85</v>
      </c>
      <c r="E5" s="153" t="s">
        <v>327</v>
      </c>
      <c r="F5" s="153" t="s">
        <v>328</v>
      </c>
      <c r="G5" s="153" t="s">
        <v>329</v>
      </c>
      <c r="H5" s="154" t="s">
        <v>330</v>
      </c>
      <c r="I5" s="153" t="s">
        <v>331</v>
      </c>
      <c r="J5" s="155" t="s">
        <v>332</v>
      </c>
      <c r="K5" s="69"/>
    </row>
    <row r="6" spans="1:11" ht="10.5" customHeight="1">
      <c r="A6" s="69"/>
      <c r="B6" s="156" t="s">
        <v>333</v>
      </c>
      <c r="C6" s="157"/>
      <c r="D6" s="576" t="s">
        <v>334</v>
      </c>
      <c r="E6" s="578">
        <v>2.7</v>
      </c>
      <c r="F6" s="580">
        <v>104000</v>
      </c>
      <c r="G6" s="582">
        <v>280800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335</v>
      </c>
      <c r="J7" s="161"/>
      <c r="K7" s="69" t="s">
        <v>96</v>
      </c>
    </row>
    <row r="8" spans="1:11" ht="10.5" customHeight="1">
      <c r="A8" s="69"/>
      <c r="B8" s="156" t="s">
        <v>336</v>
      </c>
      <c r="C8" s="157"/>
      <c r="D8" s="576" t="s">
        <v>337</v>
      </c>
      <c r="E8" s="578">
        <v>408</v>
      </c>
      <c r="F8" s="580">
        <v>160</v>
      </c>
      <c r="G8" s="582">
        <v>65280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335</v>
      </c>
      <c r="J9" s="162"/>
      <c r="K9" s="69" t="s">
        <v>96</v>
      </c>
    </row>
    <row r="10" spans="1:11" ht="10.5" customHeight="1">
      <c r="A10" s="69"/>
      <c r="B10" s="156" t="s">
        <v>338</v>
      </c>
      <c r="C10" s="157"/>
      <c r="D10" s="576" t="s">
        <v>339</v>
      </c>
      <c r="E10" s="578">
        <v>1020</v>
      </c>
      <c r="F10" s="580">
        <v>260</v>
      </c>
      <c r="G10" s="582">
        <v>265200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335</v>
      </c>
      <c r="J11" s="161"/>
      <c r="K11" s="69" t="s">
        <v>96</v>
      </c>
    </row>
    <row r="12" spans="1:11" ht="10.5" customHeight="1">
      <c r="A12" s="69"/>
      <c r="B12" s="156" t="s">
        <v>340</v>
      </c>
      <c r="C12" s="157"/>
      <c r="D12" s="576" t="s">
        <v>337</v>
      </c>
      <c r="E12" s="584">
        <v>2040</v>
      </c>
      <c r="F12" s="580">
        <v>150</v>
      </c>
      <c r="G12" s="582">
        <v>306000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335</v>
      </c>
      <c r="J13" s="161"/>
      <c r="K13" s="69" t="s">
        <v>96</v>
      </c>
    </row>
    <row r="14" spans="1:11" ht="10.5" customHeight="1">
      <c r="A14" s="69"/>
      <c r="B14" s="156" t="s">
        <v>341</v>
      </c>
      <c r="C14" s="157"/>
      <c r="D14" s="576" t="s">
        <v>334</v>
      </c>
      <c r="E14" s="584">
        <v>306</v>
      </c>
      <c r="F14" s="580">
        <v>14700</v>
      </c>
      <c r="G14" s="582">
        <v>4498200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342</v>
      </c>
      <c r="C15" s="160"/>
      <c r="D15" s="577"/>
      <c r="E15" s="585"/>
      <c r="F15" s="581"/>
      <c r="G15" s="583"/>
      <c r="H15" s="356"/>
      <c r="I15" s="356" t="s">
        <v>335</v>
      </c>
      <c r="J15" s="161"/>
      <c r="K15" s="69" t="s">
        <v>96</v>
      </c>
    </row>
    <row r="16" spans="1:11" ht="10.5" customHeight="1">
      <c r="A16" s="69"/>
      <c r="B16" s="156" t="s">
        <v>343</v>
      </c>
      <c r="C16" s="157"/>
      <c r="D16" s="576" t="s">
        <v>344</v>
      </c>
      <c r="E16" s="584">
        <v>1</v>
      </c>
      <c r="F16" s="580">
        <v>262820</v>
      </c>
      <c r="G16" s="582">
        <v>262820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345</v>
      </c>
      <c r="C17" s="160"/>
      <c r="D17" s="577"/>
      <c r="E17" s="585"/>
      <c r="F17" s="581"/>
      <c r="G17" s="583"/>
      <c r="H17" s="356"/>
      <c r="I17" s="356" t="s">
        <v>335</v>
      </c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 t="s">
        <v>346</v>
      </c>
      <c r="C20" s="157"/>
      <c r="D20" s="576"/>
      <c r="E20" s="584"/>
      <c r="F20" s="580"/>
      <c r="G20" s="582">
        <v>5678300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323</v>
      </c>
      <c r="C3" s="146" t="s">
        <v>324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325</v>
      </c>
      <c r="K4" s="69"/>
    </row>
    <row r="5" spans="1:11" ht="18" customHeight="1">
      <c r="A5" s="69"/>
      <c r="B5" s="574" t="s">
        <v>326</v>
      </c>
      <c r="C5" s="575"/>
      <c r="D5" s="153" t="s">
        <v>85</v>
      </c>
      <c r="E5" s="153" t="s">
        <v>327</v>
      </c>
      <c r="F5" s="153" t="s">
        <v>328</v>
      </c>
      <c r="G5" s="153" t="s">
        <v>329</v>
      </c>
      <c r="H5" s="154" t="s">
        <v>330</v>
      </c>
      <c r="I5" s="153" t="s">
        <v>331</v>
      </c>
      <c r="J5" s="155" t="s">
        <v>332</v>
      </c>
      <c r="K5" s="69"/>
    </row>
    <row r="6" spans="1:11" ht="10.5" customHeight="1">
      <c r="A6" s="69"/>
      <c r="B6" s="156" t="s">
        <v>347</v>
      </c>
      <c r="C6" s="157"/>
      <c r="D6" s="576" t="s">
        <v>348</v>
      </c>
      <c r="E6" s="578">
        <v>204</v>
      </c>
      <c r="F6" s="580">
        <v>20000</v>
      </c>
      <c r="G6" s="582">
        <v>4080000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349</v>
      </c>
      <c r="C7" s="160"/>
      <c r="D7" s="577"/>
      <c r="E7" s="579"/>
      <c r="F7" s="581"/>
      <c r="G7" s="583"/>
      <c r="H7" s="356"/>
      <c r="I7" s="356" t="s">
        <v>350</v>
      </c>
      <c r="J7" s="161"/>
      <c r="K7" s="69" t="s">
        <v>96</v>
      </c>
    </row>
    <row r="8" spans="1:11" ht="10.5" customHeight="1">
      <c r="A8" s="69"/>
      <c r="B8" s="156" t="s">
        <v>351</v>
      </c>
      <c r="C8" s="157"/>
      <c r="D8" s="576" t="s">
        <v>348</v>
      </c>
      <c r="E8" s="578">
        <v>408</v>
      </c>
      <c r="F8" s="580">
        <v>18000</v>
      </c>
      <c r="G8" s="582">
        <v>7344000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352</v>
      </c>
      <c r="C9" s="160"/>
      <c r="D9" s="577"/>
      <c r="E9" s="579"/>
      <c r="F9" s="581"/>
      <c r="G9" s="583"/>
      <c r="H9" s="356"/>
      <c r="I9" s="356" t="s">
        <v>350</v>
      </c>
      <c r="J9" s="162"/>
      <c r="K9" s="69" t="s">
        <v>96</v>
      </c>
    </row>
    <row r="10" spans="1:11" ht="10.5" customHeight="1">
      <c r="A10" s="69"/>
      <c r="B10" s="156"/>
      <c r="C10" s="157"/>
      <c r="D10" s="576"/>
      <c r="E10" s="578"/>
      <c r="F10" s="580"/>
      <c r="G10" s="582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346</v>
      </c>
      <c r="C12" s="157"/>
      <c r="D12" s="576"/>
      <c r="E12" s="584"/>
      <c r="F12" s="580"/>
      <c r="G12" s="582">
        <v>11424000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323</v>
      </c>
      <c r="C3" s="146" t="s">
        <v>324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325</v>
      </c>
      <c r="K4" s="69"/>
    </row>
    <row r="5" spans="1:11" ht="18" customHeight="1">
      <c r="A5" s="69"/>
      <c r="B5" s="574" t="s">
        <v>326</v>
      </c>
      <c r="C5" s="575"/>
      <c r="D5" s="153" t="s">
        <v>85</v>
      </c>
      <c r="E5" s="153" t="s">
        <v>327</v>
      </c>
      <c r="F5" s="153" t="s">
        <v>328</v>
      </c>
      <c r="G5" s="153" t="s">
        <v>329</v>
      </c>
      <c r="H5" s="154" t="s">
        <v>330</v>
      </c>
      <c r="I5" s="153" t="s">
        <v>331</v>
      </c>
      <c r="J5" s="155" t="s">
        <v>332</v>
      </c>
      <c r="K5" s="69"/>
    </row>
    <row r="6" spans="1:11" ht="10.5" customHeight="1">
      <c r="A6" s="69"/>
      <c r="B6" s="156" t="s">
        <v>353</v>
      </c>
      <c r="C6" s="157"/>
      <c r="D6" s="576" t="s">
        <v>348</v>
      </c>
      <c r="E6" s="578">
        <v>204</v>
      </c>
      <c r="F6" s="580">
        <v>16000</v>
      </c>
      <c r="G6" s="582">
        <v>3264000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354</v>
      </c>
      <c r="J7" s="161"/>
      <c r="K7" s="69" t="s">
        <v>96</v>
      </c>
    </row>
    <row r="8" spans="1:11" ht="10.5" customHeight="1">
      <c r="A8" s="69"/>
      <c r="B8" s="156"/>
      <c r="C8" s="157"/>
      <c r="D8" s="576"/>
      <c r="E8" s="578"/>
      <c r="F8" s="580"/>
      <c r="G8" s="582"/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/>
      <c r="J9" s="162"/>
      <c r="K9" s="69" t="s">
        <v>96</v>
      </c>
    </row>
    <row r="10" spans="1:11" ht="10.5" customHeight="1">
      <c r="A10" s="69"/>
      <c r="B10" s="156" t="s">
        <v>346</v>
      </c>
      <c r="C10" s="157"/>
      <c r="D10" s="576"/>
      <c r="E10" s="578"/>
      <c r="F10" s="580"/>
      <c r="G10" s="582">
        <v>3264000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323</v>
      </c>
      <c r="C3" s="146" t="s">
        <v>324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325</v>
      </c>
      <c r="K4" s="69"/>
    </row>
    <row r="5" spans="1:11" ht="18" customHeight="1">
      <c r="A5" s="69"/>
      <c r="B5" s="574" t="s">
        <v>326</v>
      </c>
      <c r="C5" s="575"/>
      <c r="D5" s="153" t="s">
        <v>85</v>
      </c>
      <c r="E5" s="153" t="s">
        <v>327</v>
      </c>
      <c r="F5" s="153" t="s">
        <v>328</v>
      </c>
      <c r="G5" s="153" t="s">
        <v>329</v>
      </c>
      <c r="H5" s="154" t="s">
        <v>330</v>
      </c>
      <c r="I5" s="153" t="s">
        <v>331</v>
      </c>
      <c r="J5" s="155" t="s">
        <v>332</v>
      </c>
      <c r="K5" s="69"/>
    </row>
    <row r="6" spans="1:11" ht="10.5" customHeight="1">
      <c r="A6" s="69"/>
      <c r="B6" s="156" t="s">
        <v>355</v>
      </c>
      <c r="C6" s="157"/>
      <c r="D6" s="576" t="s">
        <v>356</v>
      </c>
      <c r="E6" s="578">
        <v>102</v>
      </c>
      <c r="F6" s="580">
        <v>1500</v>
      </c>
      <c r="G6" s="582">
        <v>153000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357</v>
      </c>
      <c r="J7" s="161"/>
      <c r="K7" s="69" t="s">
        <v>96</v>
      </c>
    </row>
    <row r="8" spans="1:11" ht="10.5" customHeight="1">
      <c r="A8" s="69"/>
      <c r="B8" s="156" t="s">
        <v>358</v>
      </c>
      <c r="C8" s="157"/>
      <c r="D8" s="576" t="s">
        <v>356</v>
      </c>
      <c r="E8" s="578">
        <v>102</v>
      </c>
      <c r="F8" s="580">
        <v>1000</v>
      </c>
      <c r="G8" s="582">
        <v>102000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357</v>
      </c>
      <c r="J9" s="162"/>
      <c r="K9" s="69" t="s">
        <v>96</v>
      </c>
    </row>
    <row r="10" spans="1:11" ht="10.5" customHeight="1">
      <c r="A10" s="69"/>
      <c r="B10" s="156"/>
      <c r="C10" s="157"/>
      <c r="D10" s="576"/>
      <c r="E10" s="578"/>
      <c r="F10" s="580"/>
      <c r="G10" s="582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346</v>
      </c>
      <c r="C12" s="157"/>
      <c r="D12" s="576"/>
      <c r="E12" s="584"/>
      <c r="F12" s="580"/>
      <c r="G12" s="582">
        <v>255000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323</v>
      </c>
      <c r="C3" s="146" t="s">
        <v>324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325</v>
      </c>
      <c r="K4" s="69"/>
    </row>
    <row r="5" spans="1:11" ht="18" customHeight="1">
      <c r="A5" s="69"/>
      <c r="B5" s="574" t="s">
        <v>326</v>
      </c>
      <c r="C5" s="575"/>
      <c r="D5" s="153" t="s">
        <v>85</v>
      </c>
      <c r="E5" s="153" t="s">
        <v>327</v>
      </c>
      <c r="F5" s="153" t="s">
        <v>328</v>
      </c>
      <c r="G5" s="153" t="s">
        <v>329</v>
      </c>
      <c r="H5" s="154" t="s">
        <v>330</v>
      </c>
      <c r="I5" s="153" t="s">
        <v>331</v>
      </c>
      <c r="J5" s="155" t="s">
        <v>332</v>
      </c>
      <c r="K5" s="69"/>
    </row>
    <row r="6" spans="1:11" ht="10.5" customHeight="1">
      <c r="A6" s="69"/>
      <c r="B6" s="156" t="s">
        <v>359</v>
      </c>
      <c r="C6" s="157"/>
      <c r="D6" s="576" t="s">
        <v>356</v>
      </c>
      <c r="E6" s="578">
        <v>102</v>
      </c>
      <c r="F6" s="580">
        <v>8000</v>
      </c>
      <c r="G6" s="582">
        <v>816000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360</v>
      </c>
      <c r="J7" s="161"/>
      <c r="K7" s="69" t="s">
        <v>96</v>
      </c>
    </row>
    <row r="8" spans="1:11" ht="10.5" customHeight="1">
      <c r="A8" s="69"/>
      <c r="B8" s="156" t="s">
        <v>361</v>
      </c>
      <c r="C8" s="157"/>
      <c r="D8" s="576" t="s">
        <v>356</v>
      </c>
      <c r="E8" s="578">
        <v>204</v>
      </c>
      <c r="F8" s="580">
        <v>6000</v>
      </c>
      <c r="G8" s="582">
        <v>1224000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362</v>
      </c>
      <c r="C9" s="160"/>
      <c r="D9" s="577"/>
      <c r="E9" s="579"/>
      <c r="F9" s="581"/>
      <c r="G9" s="583"/>
      <c r="H9" s="356"/>
      <c r="I9" s="356" t="s">
        <v>360</v>
      </c>
      <c r="J9" s="162"/>
      <c r="K9" s="69" t="s">
        <v>96</v>
      </c>
    </row>
    <row r="10" spans="1:11" ht="10.5" customHeight="1">
      <c r="A10" s="69"/>
      <c r="B10" s="156"/>
      <c r="C10" s="157"/>
      <c r="D10" s="576"/>
      <c r="E10" s="578"/>
      <c r="F10" s="580"/>
      <c r="G10" s="582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346</v>
      </c>
      <c r="C12" s="157"/>
      <c r="D12" s="576"/>
      <c r="E12" s="584"/>
      <c r="F12" s="580"/>
      <c r="G12" s="582">
        <v>2040000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2026-02-03T06:42:41Z</dcterms:modified>
  <cp:category/>
  <cp:contentStatus/>
</cp:coreProperties>
</file>