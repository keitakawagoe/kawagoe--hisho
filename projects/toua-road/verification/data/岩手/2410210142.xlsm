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BADB4AED-B01E-4478-A32D-D8664C602A4F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'工事費一覧表(共通仮設費)'!$A$1:$AF$13</definedName>
    <definedName name="_xlnm.Print_Area" localSheetId="11">'工事費一覧表(現場経費)'!$A$1:$AF$8</definedName>
    <definedName name="_xlnm.Print_Area" localSheetId="6">'工事費一覧表(直接工事費)'!$A$1:$AF$149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<sst xmlns="http://schemas.openxmlformats.org/spreadsheetml/2006/main" count="2015" uniqueCount="576">
  <si>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</si>
  <si>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</si>
  <si>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</si>
  <si>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</si>
  <si>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</si>
  <si>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</si>
  <si>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</si>
  <si>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</si>
  <si>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</si>
  <si>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</si>
  <si>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</si>
  <si>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</si>
  <si>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</si>
  <si>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</si>
  <si>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</si>
  <si>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</si>
  <si>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</si>
  <si>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</si>
  <si>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</si>
  <si>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</si>
  <si>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</si>
  <si>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</si>
  <si>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</si>
  <si>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</si>
  <si>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</si>
  <si>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</si>
  <si>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</si>
  <si>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</si>
  <si>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</si>
  <si>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</si>
  <si>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</si>
  <si>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</si>
  <si>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</si>
  <si>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</si>
  <si>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</si>
  <si>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</si>
  <si>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</si>
  <si>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</si>
  <si>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</si>
  <si>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</si>
  <si>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</si>
  <si>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</si>
  <si>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</si>
  <si>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</si>
  <si>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</si>
  <si>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</si>
  <si>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</si>
  <si>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</si>
  <si>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</si>
  <si>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</si>
  <si>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</si>
  <si>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</si>
  <si>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</si>
  <si>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</si>
  <si>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</si>
  <si>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</si>
  <si>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</si>
  <si>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</si>
  <si>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</si>
  <si>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</si>
  <si>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</si>
  <si>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</si>
  <si>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</si>
  <si>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</si>
  <si>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</si>
  <si>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</si>
  <si>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</si>
  <si>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</si>
  <si>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</si>
  <si>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</si>
  <si>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</si>
  <si>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</si>
  <si>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</si>
  <si>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</si>
  <si>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</si>
  <si>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</si>
  <si>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</si>
  <si>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</si>
  <si>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</si>
  <si>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</si>
  <si>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</si>
  <si>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</si>
  <si>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</si>
  <si>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</si>
  <si>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</si>
  <si>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</si>
  <si>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</si>
  <si>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</si>
  <si>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</si>
  <si>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</si>
  <si>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</si>
  <si>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</si>
  <si>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</si>
  <si>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</si>
  <si>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</si>
  <si>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</si>
  <si>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</si>
  <si>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</si>
  <si>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</si>
  <si>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</si>
  <si>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</si>
  <si>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</si>
  <si>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</si>
  <si>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</si>
  <si>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</si>
  <si>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</si>
  <si>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</si>
  <si>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</si>
  <si>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</si>
  <si>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</si>
  <si>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</si>
  <si>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</si>
  <si>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</si>
  <si>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</si>
  <si>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</si>
  <si>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</si>
  <si>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</si>
  <si>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</si>
  <si>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</si>
  <si>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</si>
  <si>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</si>
  <si>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</si>
  <si>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</si>
  <si>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</si>
  <si>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</si>
  <si>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</si>
  <si>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</si>
  <si>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</si>
  <si>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</si>
  <si>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</si>
  <si>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</si>
  <si>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</si>
  <si>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</si>
  <si>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</si>
  <si>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</si>
  <si>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</si>
  <si>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</si>
  <si>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</si>
  <si>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</si>
  <si>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</si>
  <si>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</si>
  <si>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</si>
  <si>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</si>
  <si>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</si>
  <si>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2410210142 F</t>
  </si>
  <si>
    <t>（当　初）</t>
  </si>
  <si>
    <t>漆真下　鎮</t>
  </si>
  <si>
    <t>二戸国道管内防災工事</t>
  </si>
  <si>
    <t>菱和建設株式会社</t>
  </si>
  <si>
    <t>岩手営業所</t>
  </si>
  <si>
    <t>岩手県二戸郡一戸町小鳥谷～二戸市石切所地内</t>
  </si>
  <si>
    <t>2024年10月1日</t>
  </si>
  <si>
    <t>2024年12月20日</t>
  </si>
  <si>
    <t>2024年10月21日</t>
  </si>
  <si>
    <t>路面切削</t>
  </si>
  <si>
    <t>殻運搬　切削材</t>
  </si>
  <si>
    <t>殻処分　切削材</t>
  </si>
  <si>
    <t>舗装版破砕</t>
  </si>
  <si>
    <t>殻運搬</t>
  </si>
  <si>
    <t>殻処分</t>
  </si>
  <si>
    <t>不陸・上層・基層</t>
  </si>
  <si>
    <t>クラック抑制シート</t>
  </si>
  <si>
    <t>表層</t>
  </si>
  <si>
    <t>区画線工</t>
  </si>
  <si>
    <t>間詰舗装</t>
  </si>
  <si>
    <t>不陸･上層･基層･表層</t>
  </si>
  <si>
    <t>雑材</t>
  </si>
  <si>
    <t>ICT施工</t>
  </si>
  <si>
    <t>m2</t>
  </si>
  <si>
    <t>運搬距離L=30㎞</t>
  </si>
  <si>
    <t>m3</t>
  </si>
  <si>
    <t>As版　t=15cm</t>
  </si>
  <si>
    <t>再As安10cm・再粗5㎝</t>
  </si>
  <si>
    <t>W=33cm　ｶﾞﾗｽ繊維ﾒｯｼｭ基材</t>
  </si>
  <si>
    <t>ｍ</t>
  </si>
  <si>
    <t>再密20T　5cm</t>
  </si>
  <si>
    <t>ペイント式</t>
  </si>
  <si>
    <t>式</t>
  </si>
  <si>
    <t>不陸・上層再As安10㎝</t>
  </si>
  <si>
    <t>基層・表層　再粗5㎝・再密改Ⅱ5㎝</t>
  </si>
  <si>
    <t>再As安10㎝･再粗5㎝･再密改Ⅱ5㎝</t>
  </si>
  <si>
    <t>再密20T　5㎝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</si>
  <si>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</si>
  <si>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</si>
  <si>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</si>
  <si>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</si>
  <si>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</si>
  <si>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</si>
  <si>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</si>
  <si>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</si>
  <si>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二戸国道</t>
  </si>
  <si>
    <t>東北支社</t>
  </si>
  <si>
    <t>国土交通省東北地方整備局</t>
  </si>
  <si>
    <t>単独</t>
  </si>
  <si>
    <t>F</t>
  </si>
  <si>
    <t>2024年9月25日</t>
  </si>
  <si>
    <t>2024年10月1日 ～ 2024年12月20日</t>
  </si>
  <si>
    <t>2024年10月21日 ～ 2024年12月20日</t>
  </si>
  <si>
    <t>直接工事費</t>
  </si>
  <si>
    <t xml:space="preserve">  【笹目子地区】</t>
  </si>
  <si>
    <t xml:space="preserve">  　路面切削工</t>
  </si>
  <si>
    <t>15号</t>
  </si>
  <si>
    <t>内訳書</t>
  </si>
  <si>
    <t xml:space="preserve">  　舗装打換え工</t>
  </si>
  <si>
    <t>19号</t>
  </si>
  <si>
    <t xml:space="preserve">  　クラック抑制工</t>
  </si>
  <si>
    <t>24号</t>
  </si>
  <si>
    <t xml:space="preserve">  　オーバレイ工</t>
  </si>
  <si>
    <t>26号</t>
  </si>
  <si>
    <t xml:space="preserve">  　区画線工</t>
  </si>
  <si>
    <t>28号</t>
  </si>
  <si>
    <t xml:space="preserve">  　ｱｽﾌｧﾙﾄ舗装工</t>
  </si>
  <si>
    <t>30号</t>
  </si>
  <si>
    <t xml:space="preserve">  【岩舘地区】</t>
  </si>
  <si>
    <t>33号</t>
  </si>
  <si>
    <t xml:space="preserve">  【石切所地区】</t>
  </si>
  <si>
    <t>35号</t>
  </si>
  <si>
    <t xml:space="preserve">  【各地区共通】</t>
  </si>
  <si>
    <t xml:space="preserve">  　雑材</t>
  </si>
  <si>
    <t>37号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</si>
  <si>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</si>
  <si>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</si>
  <si>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</si>
  <si>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</si>
  <si>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</si>
  <si>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</si>
  <si>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</si>
  <si>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</si>
  <si>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>【笹目子地区】</t>
  </si>
  <si>
    <t>　路面切削工</t>
  </si>
  <si>
    <t>　舗装打換え工</t>
  </si>
  <si>
    <t>　クラック抑制工</t>
  </si>
  <si>
    <t>　オーバレイ工</t>
  </si>
  <si>
    <t>　区画線工</t>
  </si>
  <si>
    <t>　ｱｽﾌｧﾙﾄ舗装工</t>
  </si>
  <si>
    <t>【岩舘地区】</t>
  </si>
  <si>
    <t>【石切所地区】</t>
  </si>
  <si>
    <t>【各地区共通】</t>
  </si>
  <si>
    <t>　雑材</t>
  </si>
  <si>
    <t>計</t>
  </si>
  <si>
    <t>二戸国道管内防災工事</t>
    <phoneticPr fontId="4"/>
  </si>
  <si>
    <t>総括</t>
  </si>
  <si>
    <t>集計行</t>
  </si>
  <si>
    <t>｜直接工事費</t>
  </si>
  <si>
    <t>｜｜【笹目子地区】</t>
  </si>
  <si>
    <t>15号内訳書</t>
  </si>
  <si>
    <t>内訳代価</t>
  </si>
  <si>
    <t>｜｜｜路面切削</t>
  </si>
  <si>
    <t>16号内訳書</t>
  </si>
  <si>
    <t>｜｜｜｜軽油</t>
  </si>
  <si>
    <t>ℓ</t>
  </si>
  <si>
    <t xml:space="preserve">s5001 </t>
  </si>
  <si>
    <t xml:space="preserve">300L*1日 </t>
  </si>
  <si>
    <t>｜｜｜｜運転工</t>
  </si>
  <si>
    <t>外注作業員</t>
  </si>
  <si>
    <t>人</t>
  </si>
  <si>
    <t xml:space="preserve">r2003 </t>
  </si>
  <si>
    <t xml:space="preserve">2人*1日 </t>
  </si>
  <si>
    <t>｜｜｜｜土工</t>
  </si>
  <si>
    <t xml:space="preserve">r2004 </t>
  </si>
  <si>
    <t xml:space="preserve">4人*1日 </t>
  </si>
  <si>
    <t>｜｜｜｜路面切削</t>
  </si>
  <si>
    <t>As切削　t=3～5㎝　1500m2</t>
  </si>
  <si>
    <t>日</t>
  </si>
  <si>
    <t>東北カッター㈱</t>
  </si>
  <si>
    <t>｜｜｜｜ICT施工</t>
  </si>
  <si>
    <t>MMNaV Guidance</t>
  </si>
  <si>
    <t>回</t>
  </si>
  <si>
    <t>｜｜｜｜切削機回送費</t>
  </si>
  <si>
    <t>往復</t>
  </si>
  <si>
    <t>｜｜｜｜外注経費</t>
  </si>
  <si>
    <t xml:space="preserve">g10218001 </t>
  </si>
  <si>
    <t>｜｜｜｜法定福利費</t>
  </si>
  <si>
    <t xml:space="preserve">g10218002 </t>
  </si>
  <si>
    <t>｜｜｜｜ﾀｲﾔｼｮﾍﾞﾙ</t>
  </si>
  <si>
    <t>0.4m3</t>
  </si>
  <si>
    <t>台</t>
  </si>
  <si>
    <t xml:space="preserve">k0007 </t>
  </si>
  <si>
    <t xml:space="preserve">1台*1日 </t>
  </si>
  <si>
    <t>｜｜｜｜散水車</t>
  </si>
  <si>
    <t>4t</t>
  </si>
  <si>
    <t xml:space="preserve">k0016 </t>
  </si>
  <si>
    <t>｜｜｜｜連絡車</t>
  </si>
  <si>
    <t>Wﾋﾟｯｸ</t>
  </si>
  <si>
    <t xml:space="preserve">u0005 </t>
  </si>
  <si>
    <t xml:space="preserve">2台*1日 </t>
  </si>
  <si>
    <t>｜｜｜殻運搬　切削材</t>
  </si>
  <si>
    <t>17号内訳書</t>
  </si>
  <si>
    <t>｜｜｜｜10tﾀﾞﾝﾌﾟ常用</t>
  </si>
  <si>
    <t>昼間</t>
  </si>
  <si>
    <t xml:space="preserve">u0009 </t>
  </si>
  <si>
    <t xml:space="preserve">7台*1日 </t>
  </si>
  <si>
    <t>｜｜｜殻処分　切削材</t>
  </si>
  <si>
    <t>18号内訳書</t>
  </si>
  <si>
    <t>｜｜｜｜Asガラ処分費</t>
  </si>
  <si>
    <t>ｔ</t>
  </si>
  <si>
    <t xml:space="preserve">s10218017 </t>
  </si>
  <si>
    <t xml:space="preserve">150m2*5㎝*2.4 </t>
  </si>
  <si>
    <t>19号内訳書</t>
  </si>
  <si>
    <t>｜｜｜舗装版破砕</t>
  </si>
  <si>
    <t>20号内訳書</t>
  </si>
  <si>
    <t xml:space="preserve">200L*1日 </t>
  </si>
  <si>
    <t>｜｜｜｜切削機</t>
  </si>
  <si>
    <t>2.0ｍ</t>
  </si>
  <si>
    <t xml:space="preserve">k10218012 </t>
  </si>
  <si>
    <t>｜｜｜殻運搬</t>
  </si>
  <si>
    <t>21号内訳書</t>
  </si>
  <si>
    <t xml:space="preserve">5台*1日 </t>
  </si>
  <si>
    <t>｜｜｜殻処分</t>
  </si>
  <si>
    <t>22号内訳書</t>
  </si>
  <si>
    <t xml:space="preserve">350m2*15cm*2.4 </t>
  </si>
  <si>
    <t>｜｜｜不陸・上層・基層</t>
  </si>
  <si>
    <t>23号内訳書</t>
  </si>
  <si>
    <t>｜｜｜｜RSK-3</t>
  </si>
  <si>
    <t>t</t>
  </si>
  <si>
    <t xml:space="preserve">s1002 </t>
  </si>
  <si>
    <t xml:space="preserve">350m2*1.26L/1000 </t>
  </si>
  <si>
    <t>｜｜｜｜川砂</t>
  </si>
  <si>
    <t>ｍ3</t>
  </si>
  <si>
    <t xml:space="preserve">s10218001 </t>
  </si>
  <si>
    <t xml:space="preserve">350m2*2㎜ </t>
  </si>
  <si>
    <t>｜｜｜｜RSK-4</t>
  </si>
  <si>
    <t xml:space="preserve">350m2*0.43L/1000 </t>
  </si>
  <si>
    <t>｜｜｜｜再生瀝青安定処理</t>
  </si>
  <si>
    <t>現着</t>
  </si>
  <si>
    <t>盛岡中央アスコン</t>
  </si>
  <si>
    <t xml:space="preserve">s0009 </t>
  </si>
  <si>
    <t xml:space="preserve">350m2*10㎝*2.4*1.07 </t>
  </si>
  <si>
    <t xml:space="preserve">｜｜｜｜再生粗粒度As20 </t>
  </si>
  <si>
    <t xml:space="preserve">s2003 </t>
  </si>
  <si>
    <t xml:space="preserve">350m2*5㎝*2.4*1.05 </t>
  </si>
  <si>
    <t xml:space="preserve">150L*1日 </t>
  </si>
  <si>
    <t xml:space="preserve">6人*1日 </t>
  </si>
  <si>
    <t>｜｜｜｜ｱｽﾌｧﾙﾄﾌｨﾆｯｼｬ</t>
  </si>
  <si>
    <t>W=6.0m級</t>
  </si>
  <si>
    <t xml:space="preserve">k0001 </t>
  </si>
  <si>
    <t>｜｜｜｜ﾀｲﾔﾛｰﾗ</t>
  </si>
  <si>
    <t>10t</t>
  </si>
  <si>
    <t xml:space="preserve">k0004 </t>
  </si>
  <si>
    <t>｜｜｜｜ﾏｶﾀﾞﾑﾛｰﾗ</t>
  </si>
  <si>
    <t xml:space="preserve">k0005 </t>
  </si>
  <si>
    <t>｜｜｜｜ｺﾝﾊﾞｲﾝﾄﾞﾛｰﾗ</t>
  </si>
  <si>
    <t xml:space="preserve">k0006 </t>
  </si>
  <si>
    <t>｜｜｜｜ﾊﾝﾄﾞｶﾞｲﾄﾞﾛｰﾗ</t>
  </si>
  <si>
    <t xml:space="preserve">k0013 </t>
  </si>
  <si>
    <t>｜｜｜｜ﾗﾝﾏ</t>
  </si>
  <si>
    <t xml:space="preserve">k0014 </t>
  </si>
  <si>
    <t>｜｜｜｜ﾌﾟﾚｰﾄ</t>
  </si>
  <si>
    <t xml:space="preserve">k0015 </t>
  </si>
  <si>
    <t>｜｜｜｜2tﾀﾞﾝﾌﾟ</t>
  </si>
  <si>
    <t xml:space="preserve">u0001 </t>
  </si>
  <si>
    <t xml:space="preserve">3台*1日 </t>
  </si>
  <si>
    <t>24号内訳書</t>
  </si>
  <si>
    <t>｜｜｜クラック抑制シート</t>
  </si>
  <si>
    <t>25号内訳書</t>
  </si>
  <si>
    <t xml:space="preserve">1人*1日 </t>
  </si>
  <si>
    <t>｜｜｜｜クラック抑制シート設置</t>
  </si>
  <si>
    <t>昼間施工　W=330</t>
  </si>
  <si>
    <t>㈱雄交</t>
  </si>
  <si>
    <t>｜｜｜｜端数調整</t>
  </si>
  <si>
    <t xml:space="preserve">g10218003 </t>
  </si>
  <si>
    <t>26号内訳書</t>
  </si>
  <si>
    <t>｜｜｜表層</t>
  </si>
  <si>
    <t>27号内訳書</t>
  </si>
  <si>
    <t>｜｜｜｜TFE(ﾀｯｸﾌｧｲﾝE)</t>
  </si>
  <si>
    <t xml:space="preserve">s1005 </t>
  </si>
  <si>
    <t xml:space="preserve">1500m2*0.43L/1000 </t>
  </si>
  <si>
    <t>｜｜｜｜再生密粒度As</t>
  </si>
  <si>
    <t>20T　現着</t>
  </si>
  <si>
    <t xml:space="preserve">s10218003 </t>
  </si>
  <si>
    <t xml:space="preserve">1500m2*5㎝*2.4*1.05 </t>
  </si>
  <si>
    <t>｜｜｜｜ｶﾞｿﾘﾝ</t>
  </si>
  <si>
    <t xml:space="preserve">s5002 </t>
  </si>
  <si>
    <t xml:space="preserve">4L*1日 </t>
  </si>
  <si>
    <t>｜｜｜｜ﾌﾟﾛﾊﾟﾝｶﾞｽ</t>
  </si>
  <si>
    <t>kg</t>
  </si>
  <si>
    <t xml:space="preserve">s5003 </t>
  </si>
  <si>
    <t xml:space="preserve">10㎏/本*3本 </t>
  </si>
  <si>
    <t>｜｜｜｜ﾃﾞｨｽﾄﾘﾋﾞｭｰﾀ</t>
  </si>
  <si>
    <t>車</t>
  </si>
  <si>
    <t xml:space="preserve">k1001 </t>
  </si>
  <si>
    <t>28号内訳書</t>
  </si>
  <si>
    <t>｜｜｜区画線工</t>
  </si>
  <si>
    <t>29号内訳書</t>
  </si>
  <si>
    <t>｜｜｜｜区画線設置(加熱式)</t>
  </si>
  <si>
    <t>W=150　実線</t>
  </si>
  <si>
    <t>m</t>
  </si>
  <si>
    <t>協積産業㈱</t>
  </si>
  <si>
    <t xml:space="preserve">g1010 </t>
  </si>
  <si>
    <t>｜｜｜｜区画線設置(常温式)</t>
  </si>
  <si>
    <t xml:space="preserve">g1012 </t>
  </si>
  <si>
    <t>30号内訳書</t>
  </si>
  <si>
    <t>｜｜｜間詰舗装</t>
  </si>
  <si>
    <t>31号内訳書</t>
  </si>
  <si>
    <t xml:space="preserve">124m2*10㎝*2.4*1.07 </t>
  </si>
  <si>
    <t xml:space="preserve">124m2*1.03L </t>
  </si>
  <si>
    <t xml:space="preserve">124m2*2㎜ </t>
  </si>
  <si>
    <t xml:space="preserve">40L*1日 </t>
  </si>
  <si>
    <t xml:space="preserve">10㎏/本*2本 </t>
  </si>
  <si>
    <t>｜｜｜｜ﾊﾞｯｸﾎｳ</t>
  </si>
  <si>
    <t>0.25m3</t>
  </si>
  <si>
    <t xml:space="preserve">k0011 </t>
  </si>
  <si>
    <t>32号内訳書</t>
  </si>
  <si>
    <t xml:space="preserve">124m2*0.43L/1000*2回 </t>
  </si>
  <si>
    <t xml:space="preserve">124m2*5㎝*2.4*1.05 </t>
  </si>
  <si>
    <t>20T改Ⅱ　現着</t>
  </si>
  <si>
    <t xml:space="preserve">s10218006 </t>
  </si>
  <si>
    <t xml:space="preserve">80L*1日 </t>
  </si>
  <si>
    <t>｜｜｜｜MAF</t>
  </si>
  <si>
    <t>0.8-1.3</t>
  </si>
  <si>
    <t>｜｜【岩舘地区】</t>
  </si>
  <si>
    <t>33号内訳書</t>
  </si>
  <si>
    <t>｜｜｜不陸･上層･基層･表層</t>
  </si>
  <si>
    <t>34号内訳書</t>
  </si>
  <si>
    <t xml:space="preserve">22m2*1.26L/1000 </t>
  </si>
  <si>
    <t xml:space="preserve">22m2*0.43L/1000*2回 </t>
  </si>
  <si>
    <t>引取</t>
  </si>
  <si>
    <t xml:space="preserve">s0010 </t>
  </si>
  <si>
    <t xml:space="preserve">22m2*10㎝*2.4*1.07 </t>
  </si>
  <si>
    <t xml:space="preserve">s2004 </t>
  </si>
  <si>
    <t xml:space="preserve">22m2*5㎝*2.4*1.05 </t>
  </si>
  <si>
    <t>20T　引取</t>
  </si>
  <si>
    <t xml:space="preserve">20L*1日 </t>
  </si>
  <si>
    <t>｜｜｜｜ﾐﾆﾊﾞｯｸﾎｳ</t>
  </si>
  <si>
    <t>0.07m3</t>
  </si>
  <si>
    <t>｜｜｜｜4tﾀﾞﾝﾌﾟ</t>
  </si>
  <si>
    <t xml:space="preserve">u0003 </t>
  </si>
  <si>
    <t>｜｜【石切所地区】</t>
  </si>
  <si>
    <t>35号内訳書</t>
  </si>
  <si>
    <t>36号内訳書</t>
  </si>
  <si>
    <t xml:space="preserve">2*m2*5㎝*2.4*1.07 </t>
  </si>
  <si>
    <t xml:space="preserve">3人*1日 </t>
  </si>
  <si>
    <t>｜｜【各地区共通】</t>
  </si>
  <si>
    <t>37号内訳書</t>
  </si>
  <si>
    <t>｜｜｜雑材</t>
  </si>
  <si>
    <t>38号内訳書</t>
  </si>
  <si>
    <t>｜｜｜｜雑材</t>
  </si>
  <si>
    <t xml:space="preserve">s10218016 </t>
  </si>
  <si>
    <t>予算</t>
    <phoneticPr fontId="6"/>
  </si>
  <si>
    <t>重機運搬費</t>
  </si>
  <si>
    <t>社員給料</t>
  </si>
  <si>
    <t>0</t>
  </si>
  <si>
    <t>#DIV/0!</t>
  </si>
  <si>
    <t>｜共通仮設費</t>
  </si>
  <si>
    <t>｜｜重機運搬費</t>
  </si>
  <si>
    <t>1号内訳書</t>
  </si>
  <si>
    <t>｜｜｜ﾄﾚｰﾗｰ回送</t>
  </si>
  <si>
    <t>切削機　舗装打換分</t>
  </si>
  <si>
    <t xml:space="preserve">u0015 </t>
  </si>
  <si>
    <t>1台*2回 笹目子地区</t>
  </si>
  <si>
    <t>｜｜｜12t車回送</t>
  </si>
  <si>
    <t>AF6.0</t>
  </si>
  <si>
    <t xml:space="preserve">u0014 </t>
  </si>
  <si>
    <t>｜｜｜10t車回送</t>
  </si>
  <si>
    <t>TR・MR</t>
  </si>
  <si>
    <t xml:space="preserve">u0013 </t>
  </si>
  <si>
    <t>2台*2回 笹目子地区</t>
  </si>
  <si>
    <t>｜｜｜8t車回送</t>
  </si>
  <si>
    <t>BH0.25</t>
  </si>
  <si>
    <t xml:space="preserve">u0012 </t>
  </si>
  <si>
    <t>｜｜｜4t車回送</t>
  </si>
  <si>
    <t>MAF・TS・CVR</t>
  </si>
  <si>
    <t xml:space="preserve">u0011 </t>
  </si>
  <si>
    <t>3台*2回 笹目子地区</t>
  </si>
  <si>
    <t>BH0.25・CVR</t>
  </si>
  <si>
    <t>1台*2回 岩舘地区</t>
  </si>
  <si>
    <t>7号</t>
  </si>
  <si>
    <t>｜現場経費</t>
  </si>
  <si>
    <t>｜｜社員給料</t>
  </si>
  <si>
    <t>7号内訳書</t>
  </si>
  <si>
    <t>｜｜｜社員給料</t>
  </si>
  <si>
    <t>総合Ⅱ4級　昼間</t>
  </si>
  <si>
    <t xml:space="preserve">m0020 </t>
  </si>
  <si>
    <t>1人*15日 打合せ・書類含む</t>
  </si>
  <si>
    <t>工事名称</t>
    <phoneticPr fontId="6"/>
  </si>
  <si>
    <t>二戸国道管内防災工事</t>
    <phoneticPr fontId="6"/>
  </si>
  <si>
    <t>2410210142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</si>
  <si>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</si>
  <si>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</si>
  <si>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</si>
  <si>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</si>
  <si>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</si>
  <si>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</si>
  <si>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</si>
  <si>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RSK-3</t>
    <phoneticPr fontId="6"/>
  </si>
  <si>
    <t>t</t>
    <phoneticPr fontId="6"/>
  </si>
  <si>
    <t>材料費</t>
    <phoneticPr fontId="6"/>
  </si>
  <si>
    <t>RSK-4</t>
    <phoneticPr fontId="6"/>
  </si>
  <si>
    <t>TFE(ﾀｯｸﾌｧｲﾝE)</t>
    <phoneticPr fontId="6"/>
  </si>
  <si>
    <t>ｶﾞｿﾘﾝ</t>
    <phoneticPr fontId="6"/>
  </si>
  <si>
    <t>ℓ</t>
    <phoneticPr fontId="6"/>
  </si>
  <si>
    <t>ﾌﾟﾛﾊﾟﾝｶﾞｽ</t>
    <phoneticPr fontId="6"/>
  </si>
  <si>
    <t>kg</t>
    <phoneticPr fontId="6"/>
  </si>
  <si>
    <t>軽油</t>
    <phoneticPr fontId="6"/>
  </si>
  <si>
    <t xml:space="preserve">再生粗粒度As20 </t>
    <phoneticPr fontId="6"/>
  </si>
  <si>
    <t>引取</t>
    <phoneticPr fontId="6"/>
  </si>
  <si>
    <t>現着</t>
    <phoneticPr fontId="6"/>
  </si>
  <si>
    <t>再生密粒度As</t>
    <phoneticPr fontId="6"/>
  </si>
  <si>
    <t>ｔ</t>
    <phoneticPr fontId="6"/>
  </si>
  <si>
    <t>20T　引取</t>
    <phoneticPr fontId="6"/>
  </si>
  <si>
    <t>20T　現着</t>
    <phoneticPr fontId="6"/>
  </si>
  <si>
    <t>20T改Ⅱ　現着</t>
    <phoneticPr fontId="6"/>
  </si>
  <si>
    <t>再生瀝青安定処理</t>
    <phoneticPr fontId="6"/>
  </si>
  <si>
    <t>雑材</t>
    <phoneticPr fontId="6"/>
  </si>
  <si>
    <t>式</t>
    <phoneticPr fontId="6"/>
  </si>
  <si>
    <t>川砂</t>
    <phoneticPr fontId="6"/>
  </si>
  <si>
    <t>ｍ3</t>
    <phoneticPr fontId="6"/>
  </si>
  <si>
    <t>計</t>
    <phoneticPr fontId="6"/>
  </si>
  <si>
    <t>運転工</t>
    <phoneticPr fontId="6"/>
  </si>
  <si>
    <t>人</t>
    <phoneticPr fontId="6"/>
  </si>
  <si>
    <t>外注作業員</t>
    <phoneticPr fontId="6"/>
  </si>
  <si>
    <t>労務費</t>
    <phoneticPr fontId="6"/>
  </si>
  <si>
    <t>土工</t>
    <phoneticPr fontId="6"/>
  </si>
  <si>
    <t>ICT施工</t>
    <phoneticPr fontId="6"/>
  </si>
  <si>
    <t>回</t>
    <phoneticPr fontId="6"/>
  </si>
  <si>
    <t>MMNaV Guidance</t>
    <phoneticPr fontId="6"/>
  </si>
  <si>
    <t>外注費</t>
    <phoneticPr fontId="6"/>
  </si>
  <si>
    <t>クラック抑制シート設置</t>
    <phoneticPr fontId="6"/>
  </si>
  <si>
    <t>ｍ</t>
    <phoneticPr fontId="6"/>
  </si>
  <si>
    <t>昼間施工　W=330</t>
    <phoneticPr fontId="6"/>
  </si>
  <si>
    <t>外注経費</t>
    <phoneticPr fontId="6"/>
  </si>
  <si>
    <t>区画線設置(加熱式)</t>
    <phoneticPr fontId="6"/>
  </si>
  <si>
    <t>m</t>
    <phoneticPr fontId="6"/>
  </si>
  <si>
    <t>W=150　実線</t>
    <phoneticPr fontId="6"/>
  </si>
  <si>
    <t>区画線設置(常温式)</t>
    <phoneticPr fontId="6"/>
  </si>
  <si>
    <t>切削機回送費</t>
    <phoneticPr fontId="6"/>
  </si>
  <si>
    <t>往復</t>
    <phoneticPr fontId="6"/>
  </si>
  <si>
    <t>端数調整</t>
    <phoneticPr fontId="6"/>
  </si>
  <si>
    <t>法定福利費</t>
    <phoneticPr fontId="6"/>
  </si>
  <si>
    <t>路面切削</t>
    <phoneticPr fontId="6"/>
  </si>
  <si>
    <t>日</t>
    <phoneticPr fontId="6"/>
  </si>
  <si>
    <t>As切削　t=3～5㎝　1500m2</t>
    <phoneticPr fontId="6"/>
  </si>
  <si>
    <t>MAF</t>
    <phoneticPr fontId="6"/>
  </si>
  <si>
    <t>台</t>
    <phoneticPr fontId="6"/>
  </si>
  <si>
    <t>0.8-1.3</t>
    <phoneticPr fontId="6"/>
  </si>
  <si>
    <t>機械費</t>
    <phoneticPr fontId="6"/>
  </si>
  <si>
    <t>ｱｽﾌｧﾙﾄﾌｨﾆｯｼｬ</t>
    <phoneticPr fontId="6"/>
  </si>
  <si>
    <t>W=6.0m級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</si>
  <si>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</si>
  <si>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</si>
  <si>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</si>
  <si>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</si>
  <si>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</si>
  <si>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</si>
  <si>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ﾃﾞｨｽﾄﾘﾋﾞｭｰﾀ</t>
    <phoneticPr fontId="6"/>
  </si>
  <si>
    <t>車</t>
    <phoneticPr fontId="6"/>
  </si>
  <si>
    <t>ﾊﾞｯｸﾎｳ</t>
    <phoneticPr fontId="6"/>
  </si>
  <si>
    <t>0.25m3</t>
    <phoneticPr fontId="6"/>
  </si>
  <si>
    <t>ﾊﾝﾄﾞｶﾞｲﾄﾞﾛｰﾗ</t>
    <phoneticPr fontId="6"/>
  </si>
  <si>
    <t>ﾌﾟﾚｰﾄ</t>
    <phoneticPr fontId="6"/>
  </si>
  <si>
    <t>ﾏｶﾀﾞﾑﾛｰﾗ</t>
    <phoneticPr fontId="6"/>
  </si>
  <si>
    <t>ﾐﾆﾊﾞｯｸﾎｳ</t>
    <phoneticPr fontId="6"/>
  </si>
  <si>
    <t>0.07m3</t>
    <phoneticPr fontId="6"/>
  </si>
  <si>
    <t>ﾗﾝﾏ</t>
    <phoneticPr fontId="6"/>
  </si>
  <si>
    <t>散水車</t>
    <phoneticPr fontId="6"/>
  </si>
  <si>
    <t>切削機</t>
    <phoneticPr fontId="6"/>
  </si>
  <si>
    <t>2.0ｍ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</si>
  <si>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</si>
  <si>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</si>
  <si>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</si>
  <si>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</si>
  <si>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TR・MR</t>
    <phoneticPr fontId="6"/>
  </si>
  <si>
    <t>12t車回送</t>
    <phoneticPr fontId="6"/>
  </si>
  <si>
    <t>AF6.0</t>
    <phoneticPr fontId="6"/>
  </si>
  <si>
    <t>BH0.25・CVR</t>
    <phoneticPr fontId="6"/>
  </si>
  <si>
    <t>2tﾀﾞﾝﾌﾟ</t>
    <phoneticPr fontId="6"/>
  </si>
  <si>
    <t>4tﾀﾞﾝﾌﾟ</t>
    <phoneticPr fontId="6"/>
  </si>
  <si>
    <t>4t車回送</t>
    <phoneticPr fontId="6"/>
  </si>
  <si>
    <t>MAF・TS・CVR</t>
    <phoneticPr fontId="6"/>
  </si>
  <si>
    <t>8t車回送</t>
    <phoneticPr fontId="6"/>
  </si>
  <si>
    <t>BH0.25</t>
    <phoneticPr fontId="6"/>
  </si>
  <si>
    <t>Asガラ処分費</t>
    <phoneticPr fontId="6"/>
  </si>
  <si>
    <t>ﾄﾚｰﾗｰ回送</t>
    <phoneticPr fontId="6"/>
  </si>
  <si>
    <t>切削機　舗装打換分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</si>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</sst>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13000000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11250000</v>
      </c>
      <c r="J16" s="420"/>
      <c r="K16" s="420"/>
      <c r="L16" s="420"/>
      <c r="M16" s="420"/>
      <c r="N16" s="420"/>
      <c r="O16" s="420"/>
      <c r="P16" s="420"/>
      <c r="Q16" s="416">
        <v>0.86539999999999995</v>
      </c>
      <c r="R16" s="416"/>
      <c r="S16" s="416"/>
      <c r="U16" s="417" t="s">
        <v>16</v>
      </c>
      <c r="V16" s="418"/>
      <c r="W16" s="418"/>
      <c r="X16" s="418"/>
      <c r="Y16" s="419">
        <v>1750000</v>
      </c>
      <c r="Z16" s="420"/>
      <c r="AA16" s="420"/>
      <c r="AB16" s="420"/>
      <c r="AC16" s="420"/>
      <c r="AD16" s="420"/>
      <c r="AE16" s="420"/>
      <c r="AF16" s="420"/>
      <c r="AG16" s="416">
        <v>0.1346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9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45566</v>
      </c>
      <c r="D3" s="458"/>
      <c r="E3" s="272" t="s">
        <v>138</v>
      </c>
      <c r="F3" s="459">
        <v>45646</v>
      </c>
      <c r="G3" s="459"/>
      <c r="H3" s="459"/>
      <c r="I3" s="273"/>
      <c r="J3" s="273"/>
      <c r="K3" s="460" t="s">
        <v>30</v>
      </c>
      <c r="L3" s="461"/>
      <c r="M3" s="462"/>
      <c r="N3" s="449">
        <v>13000000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1536000</v>
      </c>
      <c r="D5" s="335">
        <f>IF(C5&lt;&gt;"",C5/$C$20,"")</f>
        <v>0.15056609322158507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279975</v>
      </c>
      <c r="D6" s="336">
        <f t="shared" ref="D6:D17" si="0">IF(C6&lt;&gt;"",C6/$C$20,"")</f>
        <v>2.7444493456844583E-2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306000</v>
      </c>
      <c r="D7" s="336">
        <f t="shared" si="0"/>
        <v>2.9995588883987651E-2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371700</v>
      </c>
      <c r="D8" s="336">
        <f t="shared" si="0"/>
        <v>3.6435818262020289E-2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199969</v>
      </c>
      <c r="D9" s="336">
        <f t="shared" si="0"/>
        <v>1.9601921286085379E-2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62964</v>
      </c>
      <c r="D10" s="336">
        <f t="shared" si="0"/>
        <v>6.1720335244816937E-3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2020550</v>
      </c>
      <c r="D11" s="336">
        <f t="shared" si="0"/>
        <v>0.19806401019457923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573900</v>
      </c>
      <c r="D12" s="336">
        <f t="shared" si="0"/>
        <v>5.6256432877518012E-2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3022500</v>
      </c>
      <c r="D13" s="336">
        <f t="shared" si="0"/>
        <v>0.29627995882958391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80000</v>
      </c>
      <c r="D14" s="336">
        <f t="shared" si="0"/>
        <v>7.8419840219575553E-3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549692</v>
      </c>
      <c r="D15" s="336">
        <f t="shared" si="0"/>
        <v>5.3883448512473654E-2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727136</v>
      </c>
      <c r="D16" s="336">
        <f t="shared" si="0"/>
        <v>7.127736117237661E-2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339086</v>
      </c>
      <c r="D17" s="336">
        <f t="shared" si="0"/>
        <v>3.3238837425868743E-2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162</v>
      </c>
      <c r="C18" s="278">
        <v>76350</v>
      </c>
      <c r="D18" s="336">
        <f>IF(C18&lt;&gt;"",C18/$C$20,"")</f>
        <v>7.4841935009557414E-3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55678</v>
      </c>
      <c r="D19" s="336">
        <f>IF(C19&lt;&gt;"",C19/$C$20,"")</f>
        <v>5.4578248296819091E-3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10201500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167</v>
      </c>
      <c r="L5" s="283" t="s">
        <v>168</v>
      </c>
      <c r="M5" s="284">
        <v>1500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169</v>
      </c>
      <c r="L6" s="290" t="s">
        <v>170</v>
      </c>
      <c r="M6" s="291">
        <v>75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170</v>
      </c>
      <c r="M7" s="291">
        <v>75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171</v>
      </c>
      <c r="L8" s="290" t="s">
        <v>168</v>
      </c>
      <c r="M8" s="291">
        <v>350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170</v>
      </c>
      <c r="M9" s="291">
        <v>53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170</v>
      </c>
      <c r="M10" s="291">
        <v>53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172</v>
      </c>
      <c r="L11" s="290" t="s">
        <v>168</v>
      </c>
      <c r="M11" s="291">
        <v>350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173</v>
      </c>
      <c r="L12" s="290" t="s">
        <v>174</v>
      </c>
      <c r="M12" s="291">
        <v>300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175</v>
      </c>
      <c r="L13" s="290" t="s">
        <v>168</v>
      </c>
      <c r="M13" s="291">
        <v>1500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176</v>
      </c>
      <c r="L14" s="290" t="s">
        <v>177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178</v>
      </c>
      <c r="L15" s="290" t="s">
        <v>168</v>
      </c>
      <c r="M15" s="291">
        <v>124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 t="s">
        <v>179</v>
      </c>
      <c r="L16" s="290" t="s">
        <v>168</v>
      </c>
      <c r="M16" s="291">
        <v>124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180</v>
      </c>
      <c r="L17" s="290" t="s">
        <v>168</v>
      </c>
      <c r="M17" s="291">
        <v>22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162</v>
      </c>
      <c r="K18" s="289" t="s">
        <v>181</v>
      </c>
      <c r="L18" s="290" t="s">
        <v>168</v>
      </c>
      <c r="M18" s="291">
        <v>2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/>
      <c r="L19" s="296" t="s">
        <v>177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190</v>
      </c>
      <c r="D5" s="512"/>
      <c r="E5" s="246" t="s">
        <v>132</v>
      </c>
      <c r="F5" s="513" t="s">
        <v>191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182</v>
      </c>
      <c r="I6" s="110" t="s">
        <v>183</v>
      </c>
      <c r="J6" s="110" t="s">
        <v>184</v>
      </c>
      <c r="K6" s="110" t="s">
        <v>185</v>
      </c>
      <c r="L6" s="110" t="s">
        <v>186</v>
      </c>
      <c r="M6" s="111" t="s">
        <v>187</v>
      </c>
      <c r="N6" s="110" t="s">
        <v>188</v>
      </c>
      <c r="O6" s="112" t="s">
        <v>189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13000000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192</v>
      </c>
      <c r="D8" s="492"/>
      <c r="E8" s="113" t="s">
        <v>59</v>
      </c>
      <c r="F8" s="249">
        <v>11250000</v>
      </c>
      <c r="G8" s="334">
        <v>0.86539999999999995</v>
      </c>
      <c r="H8" s="250">
        <v>5513633</v>
      </c>
      <c r="I8" s="251">
        <v>1122000</v>
      </c>
      <c r="J8" s="251">
        <v>1970000</v>
      </c>
      <c r="K8" s="251">
        <v>570700</v>
      </c>
      <c r="L8" s="252">
        <v>1483000</v>
      </c>
      <c r="M8" s="252"/>
      <c r="N8" s="253">
        <v>592500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10201500</v>
      </c>
      <c r="G9" s="334">
        <v>0.78469999999999995</v>
      </c>
      <c r="H9" s="250">
        <v>5513633</v>
      </c>
      <c r="I9" s="251">
        <v>1122000</v>
      </c>
      <c r="J9" s="251">
        <v>1970000</v>
      </c>
      <c r="K9" s="251">
        <v>570700</v>
      </c>
      <c r="L9" s="252">
        <v>1027000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456000</v>
      </c>
      <c r="G10" s="334">
        <v>3.5099999999999999E-2</v>
      </c>
      <c r="H10" s="250"/>
      <c r="I10" s="253"/>
      <c r="J10" s="253"/>
      <c r="K10" s="253"/>
      <c r="L10" s="251">
        <v>456000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592500</v>
      </c>
      <c r="G11" s="334">
        <v>4.5600000000000002E-2</v>
      </c>
      <c r="H11" s="250"/>
      <c r="I11" s="253"/>
      <c r="J11" s="253"/>
      <c r="K11" s="253"/>
      <c r="L11" s="251"/>
      <c r="M11" s="252"/>
      <c r="N11" s="253">
        <v>592500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193</v>
      </c>
      <c r="D12" s="492"/>
      <c r="E12" s="113" t="s">
        <v>66</v>
      </c>
      <c r="F12" s="249">
        <v>1750000</v>
      </c>
      <c r="G12" s="334">
        <v>0.1346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194</v>
      </c>
      <c r="D13" s="492"/>
      <c r="E13" s="169" t="s">
        <v>110</v>
      </c>
      <c r="F13" s="249">
        <v>1027000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195</v>
      </c>
      <c r="D14" s="493"/>
      <c r="E14" s="114" t="s">
        <v>111</v>
      </c>
      <c r="F14" s="249">
        <v>676000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196</v>
      </c>
      <c r="D15" s="495"/>
      <c r="E15" s="114" t="s">
        <v>112</v>
      </c>
      <c r="F15" s="249">
        <v>351000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197</v>
      </c>
      <c r="D16" s="493"/>
      <c r="E16" s="113" t="s">
        <v>113</v>
      </c>
      <c r="F16" s="249">
        <v>723000</v>
      </c>
      <c r="G16" s="334">
        <v>5.5599999999999997E-2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169000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554000</v>
      </c>
      <c r="G18" s="334">
        <v>4.2599999999999999E-2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198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199</v>
      </c>
      <c r="C8" s="166"/>
      <c r="D8" s="517" t="s">
        <v>177</v>
      </c>
      <c r="E8" s="519">
        <v>1</v>
      </c>
      <c r="F8" s="521">
        <v>2121975</v>
      </c>
      <c r="G8" s="523">
        <v>2121975</v>
      </c>
      <c r="H8" s="351" t="s">
        <v>201</v>
      </c>
      <c r="I8" s="525">
        <v>0.16320000000000001</v>
      </c>
      <c r="J8" s="227"/>
      <c r="K8" s="69" t="s">
        <v>96</v>
      </c>
    </row>
    <row r="9" spans="1:11" ht="15.6" customHeight="1">
      <c r="A9" s="69"/>
      <c r="B9" s="224" t="s">
        <v>200</v>
      </c>
      <c r="C9" s="225"/>
      <c r="D9" s="518"/>
      <c r="E9" s="520"/>
      <c r="F9" s="522"/>
      <c r="G9" s="524"/>
      <c r="H9" s="352" t="s">
        <v>202</v>
      </c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177</v>
      </c>
      <c r="E10" s="519">
        <v>1</v>
      </c>
      <c r="F10" s="521">
        <v>2655183</v>
      </c>
      <c r="G10" s="523">
        <v>2655183</v>
      </c>
      <c r="H10" s="351" t="s">
        <v>204</v>
      </c>
      <c r="I10" s="525">
        <v>0.20419999999999999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202</v>
      </c>
      <c r="I11" s="526"/>
      <c r="J11" s="226"/>
      <c r="K11" s="69" t="s">
        <v>96</v>
      </c>
    </row>
    <row r="12" spans="1:11" ht="15.6" customHeight="1">
      <c r="A12" s="69"/>
      <c r="B12" s="222" t="s">
        <v>199</v>
      </c>
      <c r="C12" s="166"/>
      <c r="D12" s="517" t="s">
        <v>177</v>
      </c>
      <c r="E12" s="519">
        <v>1</v>
      </c>
      <c r="F12" s="521">
        <v>573900</v>
      </c>
      <c r="G12" s="523">
        <v>573900</v>
      </c>
      <c r="H12" s="351" t="s">
        <v>206</v>
      </c>
      <c r="I12" s="525">
        <v>4.41E-2</v>
      </c>
      <c r="J12" s="223"/>
      <c r="K12" s="69" t="s">
        <v>96</v>
      </c>
    </row>
    <row r="13" spans="1:11" ht="15.6" customHeight="1">
      <c r="A13" s="69"/>
      <c r="B13" s="224" t="s">
        <v>205</v>
      </c>
      <c r="C13" s="225"/>
      <c r="D13" s="518"/>
      <c r="E13" s="520"/>
      <c r="F13" s="522"/>
      <c r="G13" s="524"/>
      <c r="H13" s="352" t="s">
        <v>202</v>
      </c>
      <c r="I13" s="526"/>
      <c r="J13" s="226"/>
      <c r="K13" s="69" t="s">
        <v>96</v>
      </c>
    </row>
    <row r="14" spans="1:11" ht="15.6" customHeight="1">
      <c r="A14" s="69"/>
      <c r="B14" s="222" t="s">
        <v>199</v>
      </c>
      <c r="C14" s="166"/>
      <c r="D14" s="517" t="s">
        <v>177</v>
      </c>
      <c r="E14" s="519">
        <v>1</v>
      </c>
      <c r="F14" s="521">
        <v>3022500</v>
      </c>
      <c r="G14" s="523">
        <v>3022500</v>
      </c>
      <c r="H14" s="351" t="s">
        <v>208</v>
      </c>
      <c r="I14" s="525">
        <v>0.23250000000000001</v>
      </c>
      <c r="J14" s="223"/>
      <c r="K14" s="69" t="s">
        <v>96</v>
      </c>
    </row>
    <row r="15" spans="1:11" ht="15.6" customHeight="1">
      <c r="A15" s="69"/>
      <c r="B15" s="224" t="s">
        <v>207</v>
      </c>
      <c r="C15" s="225"/>
      <c r="D15" s="518"/>
      <c r="E15" s="520"/>
      <c r="F15" s="522"/>
      <c r="G15" s="524"/>
      <c r="H15" s="352" t="s">
        <v>202</v>
      </c>
      <c r="I15" s="526"/>
      <c r="J15" s="226"/>
      <c r="K15" s="69" t="s">
        <v>96</v>
      </c>
    </row>
    <row r="16" spans="1:11" ht="15.6" customHeight="1">
      <c r="A16" s="69"/>
      <c r="B16" s="222" t="s">
        <v>199</v>
      </c>
      <c r="C16" s="166"/>
      <c r="D16" s="517" t="s">
        <v>177</v>
      </c>
      <c r="E16" s="519">
        <v>1</v>
      </c>
      <c r="F16" s="521">
        <v>80000</v>
      </c>
      <c r="G16" s="523">
        <v>80000</v>
      </c>
      <c r="H16" s="351" t="s">
        <v>210</v>
      </c>
      <c r="I16" s="525">
        <v>6.1000000000000004E-3</v>
      </c>
      <c r="J16" s="223"/>
      <c r="K16" s="69" t="s">
        <v>96</v>
      </c>
    </row>
    <row r="17" spans="1:11" ht="15.6" customHeight="1">
      <c r="A17" s="69"/>
      <c r="B17" s="224" t="s">
        <v>209</v>
      </c>
      <c r="C17" s="225"/>
      <c r="D17" s="518"/>
      <c r="E17" s="520"/>
      <c r="F17" s="522"/>
      <c r="G17" s="524"/>
      <c r="H17" s="352" t="s">
        <v>202</v>
      </c>
      <c r="I17" s="526"/>
      <c r="J17" s="226"/>
      <c r="K17" s="69" t="s">
        <v>96</v>
      </c>
    </row>
    <row r="18" spans="1:11" ht="15.6" customHeight="1">
      <c r="A18" s="69"/>
      <c r="B18" s="222" t="s">
        <v>199</v>
      </c>
      <c r="C18" s="166"/>
      <c r="D18" s="517" t="s">
        <v>177</v>
      </c>
      <c r="E18" s="519">
        <v>1</v>
      </c>
      <c r="F18" s="521">
        <v>1276828</v>
      </c>
      <c r="G18" s="523">
        <v>1276828</v>
      </c>
      <c r="H18" s="351" t="s">
        <v>212</v>
      </c>
      <c r="I18" s="525">
        <v>9.8199999999999996E-2</v>
      </c>
      <c r="J18" s="223"/>
      <c r="K18" s="69" t="s">
        <v>96</v>
      </c>
    </row>
    <row r="19" spans="1:11" ht="15.6" customHeight="1">
      <c r="A19" s="69"/>
      <c r="B19" s="224" t="s">
        <v>211</v>
      </c>
      <c r="C19" s="225"/>
      <c r="D19" s="518"/>
      <c r="E19" s="520"/>
      <c r="F19" s="522"/>
      <c r="G19" s="524"/>
      <c r="H19" s="352" t="s">
        <v>202</v>
      </c>
      <c r="I19" s="526"/>
      <c r="J19" s="226"/>
      <c r="K19" s="69" t="s">
        <v>96</v>
      </c>
    </row>
    <row r="20" spans="1:11" ht="15.6" customHeight="1">
      <c r="A20" s="69"/>
      <c r="B20" s="222" t="s">
        <v>213</v>
      </c>
      <c r="C20" s="166"/>
      <c r="D20" s="517" t="s">
        <v>177</v>
      </c>
      <c r="E20" s="519">
        <v>1</v>
      </c>
      <c r="F20" s="521">
        <v>339086</v>
      </c>
      <c r="G20" s="523">
        <v>339086</v>
      </c>
      <c r="H20" s="351" t="s">
        <v>214</v>
      </c>
      <c r="I20" s="525">
        <v>2.5999999999999999E-2</v>
      </c>
      <c r="J20" s="223"/>
      <c r="K20" s="69" t="s">
        <v>96</v>
      </c>
    </row>
    <row r="21" spans="1:11" ht="15.6" customHeight="1">
      <c r="A21" s="69"/>
      <c r="B21" s="224" t="s">
        <v>211</v>
      </c>
      <c r="C21" s="225"/>
      <c r="D21" s="518"/>
      <c r="E21" s="520"/>
      <c r="F21" s="522"/>
      <c r="G21" s="524"/>
      <c r="H21" s="352" t="s">
        <v>202</v>
      </c>
      <c r="I21" s="526"/>
      <c r="J21" s="226"/>
      <c r="K21" s="69" t="s">
        <v>96</v>
      </c>
    </row>
    <row r="22" spans="1:11" ht="15.6" customHeight="1">
      <c r="A22" s="69"/>
      <c r="B22" s="222" t="s">
        <v>215</v>
      </c>
      <c r="C22" s="166"/>
      <c r="D22" s="517" t="s">
        <v>177</v>
      </c>
      <c r="E22" s="519">
        <v>1</v>
      </c>
      <c r="F22" s="521">
        <v>76350</v>
      </c>
      <c r="G22" s="523">
        <v>76350</v>
      </c>
      <c r="H22" s="351" t="s">
        <v>216</v>
      </c>
      <c r="I22" s="525">
        <v>5.7999999999999996E-3</v>
      </c>
      <c r="J22" s="223"/>
      <c r="K22" s="69" t="s">
        <v>96</v>
      </c>
    </row>
    <row r="23" spans="1:11" ht="15.6" customHeight="1">
      <c r="A23" s="69"/>
      <c r="B23" s="224" t="s">
        <v>211</v>
      </c>
      <c r="C23" s="225"/>
      <c r="D23" s="518"/>
      <c r="E23" s="520"/>
      <c r="F23" s="522"/>
      <c r="G23" s="524"/>
      <c r="H23" s="352" t="s">
        <v>202</v>
      </c>
      <c r="I23" s="526"/>
      <c r="J23" s="226"/>
      <c r="K23" s="69" t="s">
        <v>96</v>
      </c>
    </row>
    <row r="24" spans="1:11" ht="15.6" customHeight="1">
      <c r="A24" s="69"/>
      <c r="B24" s="222" t="s">
        <v>217</v>
      </c>
      <c r="C24" s="166"/>
      <c r="D24" s="517" t="s">
        <v>177</v>
      </c>
      <c r="E24" s="519">
        <v>1</v>
      </c>
      <c r="F24" s="521">
        <v>55678</v>
      </c>
      <c r="G24" s="523">
        <v>55678</v>
      </c>
      <c r="H24" s="351" t="s">
        <v>219</v>
      </c>
      <c r="I24" s="525">
        <v>4.1999999999999997E-3</v>
      </c>
      <c r="J24" s="223"/>
      <c r="K24" s="69" t="s">
        <v>96</v>
      </c>
    </row>
    <row r="25" spans="1:11" ht="15.6" customHeight="1">
      <c r="A25" s="69"/>
      <c r="B25" s="224" t="s">
        <v>218</v>
      </c>
      <c r="C25" s="225"/>
      <c r="D25" s="518"/>
      <c r="E25" s="520"/>
      <c r="F25" s="522"/>
      <c r="G25" s="524"/>
      <c r="H25" s="352" t="s">
        <v>202</v>
      </c>
      <c r="I25" s="526"/>
      <c r="J25" s="226"/>
      <c r="K25" s="69" t="s">
        <v>96</v>
      </c>
    </row>
    <row r="26" spans="1:11" ht="15.6" customHeight="1">
      <c r="A26" s="69"/>
      <c r="B26" s="222" t="s">
        <v>220</v>
      </c>
      <c r="C26" s="166"/>
      <c r="D26" s="517"/>
      <c r="E26" s="519"/>
      <c r="F26" s="521"/>
      <c r="G26" s="523">
        <v>10201500</v>
      </c>
      <c r="H26" s="351"/>
      <c r="I26" s="525">
        <v>0.78469999999999995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221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222</v>
      </c>
      <c r="C32" s="166"/>
      <c r="D32" s="532" t="s">
        <v>177</v>
      </c>
      <c r="E32" s="519">
        <v>1</v>
      </c>
      <c r="F32" s="521">
        <v>456000</v>
      </c>
      <c r="G32" s="523">
        <v>456000</v>
      </c>
      <c r="H32" s="351"/>
      <c r="I32" s="525">
        <v>3.5099999999999999E-2</v>
      </c>
      <c r="J32" s="223"/>
      <c r="K32" s="69" t="s">
        <v>96</v>
      </c>
    </row>
    <row r="33" spans="1:11" ht="15.6" customHeight="1">
      <c r="A33" s="69"/>
      <c r="B33" s="224" t="s">
        <v>223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224</v>
      </c>
      <c r="C34" s="166"/>
      <c r="D34" s="517" t="s">
        <v>177</v>
      </c>
      <c r="E34" s="519">
        <v>1</v>
      </c>
      <c r="F34" s="521">
        <v>592500</v>
      </c>
      <c r="G34" s="523">
        <v>592500</v>
      </c>
      <c r="H34" s="351"/>
      <c r="I34" s="525">
        <v>4.5600000000000002E-2</v>
      </c>
      <c r="J34" s="223"/>
      <c r="K34" s="69" t="s">
        <v>96</v>
      </c>
    </row>
    <row r="35" spans="1:11" ht="15.6" customHeight="1">
      <c r="A35" s="69"/>
      <c r="B35" s="224" t="s">
        <v>223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225</v>
      </c>
      <c r="C36" s="302"/>
      <c r="D36" s="517"/>
      <c r="E36" s="519"/>
      <c r="F36" s="521"/>
      <c r="G36" s="523">
        <v>1048500</v>
      </c>
      <c r="H36" s="351"/>
      <c r="I36" s="525">
        <v>8.0600000000000005E-2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226</v>
      </c>
      <c r="C45" s="166"/>
      <c r="D45" s="517"/>
      <c r="E45" s="519"/>
      <c r="F45" s="521"/>
      <c r="G45" s="523">
        <v>11250000</v>
      </c>
      <c r="H45" s="351"/>
      <c r="I45" s="525">
        <v>0.86539999999999995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227</v>
      </c>
      <c r="C49" s="166"/>
      <c r="D49" s="517"/>
      <c r="E49" s="519"/>
      <c r="F49" s="521"/>
      <c r="G49" s="523">
        <v>1750000</v>
      </c>
      <c r="H49" s="351"/>
      <c r="I49" s="525">
        <v>0.1346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130</v>
      </c>
      <c r="C53" s="166"/>
      <c r="D53" s="517"/>
      <c r="E53" s="519"/>
      <c r="F53" s="521"/>
      <c r="G53" s="523">
        <v>13000000</v>
      </c>
      <c r="H53" s="351"/>
      <c r="I53" s="525">
        <v>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07EAC-A9D2-4511-9921-7BAF73D8669A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240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228</v>
      </c>
      <c r="C6" s="166"/>
      <c r="D6" s="517" t="s">
        <v>177</v>
      </c>
      <c r="E6" s="519">
        <v>1</v>
      </c>
      <c r="F6" s="521">
        <v>2121975</v>
      </c>
      <c r="G6" s="523">
        <v>2121975</v>
      </c>
      <c r="H6" s="351" t="s">
        <v>201</v>
      </c>
      <c r="I6" s="351"/>
      <c r="J6" s="223"/>
      <c r="K6" s="69" t="s">
        <v>96</v>
      </c>
    </row>
    <row r="7" spans="1:11" ht="15.6" customHeight="1">
      <c r="A7" s="69"/>
      <c r="B7" s="224" t="s">
        <v>229</v>
      </c>
      <c r="C7" s="225"/>
      <c r="D7" s="518"/>
      <c r="E7" s="520"/>
      <c r="F7" s="522"/>
      <c r="G7" s="524"/>
      <c r="H7" s="352" t="s">
        <v>202</v>
      </c>
      <c r="I7" s="352"/>
      <c r="J7" s="226"/>
      <c r="K7" s="69" t="s">
        <v>96</v>
      </c>
    </row>
    <row r="8" spans="1:11" ht="15.6" customHeight="1">
      <c r="A8" s="69"/>
      <c r="B8" s="222" t="s">
        <v>228</v>
      </c>
      <c r="C8" s="166"/>
      <c r="D8" s="517" t="s">
        <v>177</v>
      </c>
      <c r="E8" s="519">
        <v>1</v>
      </c>
      <c r="F8" s="521">
        <v>2655183</v>
      </c>
      <c r="G8" s="523">
        <v>2655183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 t="s">
        <v>230</v>
      </c>
      <c r="C9" s="225"/>
      <c r="D9" s="518"/>
      <c r="E9" s="520"/>
      <c r="F9" s="522"/>
      <c r="G9" s="524"/>
      <c r="H9" s="352" t="s">
        <v>202</v>
      </c>
      <c r="I9" s="352"/>
      <c r="J9" s="227"/>
      <c r="K9" s="69" t="s">
        <v>96</v>
      </c>
    </row>
    <row r="10" spans="1:11" ht="15.6" customHeight="1">
      <c r="A10" s="69"/>
      <c r="B10" s="222" t="s">
        <v>228</v>
      </c>
      <c r="C10" s="166"/>
      <c r="D10" s="517" t="s">
        <v>177</v>
      </c>
      <c r="E10" s="519">
        <v>1</v>
      </c>
      <c r="F10" s="521">
        <v>573900</v>
      </c>
      <c r="G10" s="523">
        <v>573900</v>
      </c>
      <c r="H10" s="351" t="s">
        <v>206</v>
      </c>
      <c r="I10" s="351"/>
      <c r="J10" s="223"/>
      <c r="K10" s="69" t="s">
        <v>96</v>
      </c>
    </row>
    <row r="11" spans="1:11" ht="15.6" customHeight="1">
      <c r="A11" s="69"/>
      <c r="B11" s="224" t="s">
        <v>231</v>
      </c>
      <c r="C11" s="225"/>
      <c r="D11" s="518"/>
      <c r="E11" s="520"/>
      <c r="F11" s="522"/>
      <c r="G11" s="524"/>
      <c r="H11" s="352" t="s">
        <v>202</v>
      </c>
      <c r="I11" s="352"/>
      <c r="J11" s="226"/>
      <c r="K11" s="69" t="s">
        <v>96</v>
      </c>
    </row>
    <row r="12" spans="1:11" ht="15.6" customHeight="1">
      <c r="A12" s="69"/>
      <c r="B12" s="222" t="s">
        <v>228</v>
      </c>
      <c r="C12" s="166"/>
      <c r="D12" s="517" t="s">
        <v>177</v>
      </c>
      <c r="E12" s="519">
        <v>1</v>
      </c>
      <c r="F12" s="521">
        <v>3022500</v>
      </c>
      <c r="G12" s="523">
        <v>3022500</v>
      </c>
      <c r="H12" s="351" t="s">
        <v>208</v>
      </c>
      <c r="I12" s="351"/>
      <c r="J12" s="223"/>
      <c r="K12" s="69" t="s">
        <v>96</v>
      </c>
    </row>
    <row r="13" spans="1:11" ht="15.6" customHeight="1">
      <c r="A13" s="69"/>
      <c r="B13" s="224" t="s">
        <v>232</v>
      </c>
      <c r="C13" s="225"/>
      <c r="D13" s="518"/>
      <c r="E13" s="520"/>
      <c r="F13" s="522"/>
      <c r="G13" s="524"/>
      <c r="H13" s="352" t="s">
        <v>202</v>
      </c>
      <c r="I13" s="352"/>
      <c r="J13" s="226"/>
      <c r="K13" s="69" t="s">
        <v>96</v>
      </c>
    </row>
    <row r="14" spans="1:11" ht="15.6" customHeight="1">
      <c r="A14" s="69"/>
      <c r="B14" s="222" t="s">
        <v>228</v>
      </c>
      <c r="C14" s="166"/>
      <c r="D14" s="517" t="s">
        <v>177</v>
      </c>
      <c r="E14" s="519">
        <v>1</v>
      </c>
      <c r="F14" s="521">
        <v>80000</v>
      </c>
      <c r="G14" s="523">
        <v>80000</v>
      </c>
      <c r="H14" s="351" t="s">
        <v>210</v>
      </c>
      <c r="I14" s="351"/>
      <c r="J14" s="223"/>
      <c r="K14" s="69" t="s">
        <v>96</v>
      </c>
    </row>
    <row r="15" spans="1:11" ht="15.6" customHeight="1">
      <c r="A15" s="69"/>
      <c r="B15" s="224" t="s">
        <v>233</v>
      </c>
      <c r="C15" s="225"/>
      <c r="D15" s="518"/>
      <c r="E15" s="520"/>
      <c r="F15" s="522"/>
      <c r="G15" s="524"/>
      <c r="H15" s="352" t="s">
        <v>202</v>
      </c>
      <c r="I15" s="352"/>
      <c r="J15" s="226"/>
      <c r="K15" s="69" t="s">
        <v>96</v>
      </c>
    </row>
    <row r="16" spans="1:11" ht="15.6" customHeight="1">
      <c r="A16" s="69"/>
      <c r="B16" s="222" t="s">
        <v>228</v>
      </c>
      <c r="C16" s="166"/>
      <c r="D16" s="517" t="s">
        <v>177</v>
      </c>
      <c r="E16" s="519">
        <v>1</v>
      </c>
      <c r="F16" s="521">
        <v>1276828</v>
      </c>
      <c r="G16" s="523">
        <v>1276828</v>
      </c>
      <c r="H16" s="351" t="s">
        <v>212</v>
      </c>
      <c r="I16" s="351"/>
      <c r="J16" s="223"/>
      <c r="K16" s="69" t="s">
        <v>96</v>
      </c>
    </row>
    <row r="17" spans="1:11" ht="15.6" customHeight="1">
      <c r="A17" s="69"/>
      <c r="B17" s="224" t="s">
        <v>234</v>
      </c>
      <c r="C17" s="225"/>
      <c r="D17" s="518"/>
      <c r="E17" s="520"/>
      <c r="F17" s="522"/>
      <c r="G17" s="524"/>
      <c r="H17" s="352" t="s">
        <v>202</v>
      </c>
      <c r="I17" s="352"/>
      <c r="J17" s="226"/>
      <c r="K17" s="69" t="s">
        <v>96</v>
      </c>
    </row>
    <row r="18" spans="1:11" ht="15.6" customHeight="1">
      <c r="A18" s="69"/>
      <c r="B18" s="222" t="s">
        <v>235</v>
      </c>
      <c r="C18" s="166"/>
      <c r="D18" s="517" t="s">
        <v>177</v>
      </c>
      <c r="E18" s="519">
        <v>1</v>
      </c>
      <c r="F18" s="521">
        <v>339086</v>
      </c>
      <c r="G18" s="523">
        <v>339086</v>
      </c>
      <c r="H18" s="351" t="s">
        <v>214</v>
      </c>
      <c r="I18" s="351"/>
      <c r="J18" s="223"/>
      <c r="K18" s="69" t="s">
        <v>96</v>
      </c>
    </row>
    <row r="19" spans="1:11" ht="15.6" customHeight="1">
      <c r="A19" s="69"/>
      <c r="B19" s="224" t="s">
        <v>234</v>
      </c>
      <c r="C19" s="225"/>
      <c r="D19" s="518"/>
      <c r="E19" s="520"/>
      <c r="F19" s="522"/>
      <c r="G19" s="524"/>
      <c r="H19" s="352" t="s">
        <v>202</v>
      </c>
      <c r="I19" s="352"/>
      <c r="J19" s="226"/>
      <c r="K19" s="69" t="s">
        <v>96</v>
      </c>
    </row>
    <row r="20" spans="1:11" ht="15.6" customHeight="1">
      <c r="A20" s="69"/>
      <c r="B20" s="222" t="s">
        <v>236</v>
      </c>
      <c r="C20" s="166"/>
      <c r="D20" s="517" t="s">
        <v>177</v>
      </c>
      <c r="E20" s="519">
        <v>1</v>
      </c>
      <c r="F20" s="521">
        <v>76350</v>
      </c>
      <c r="G20" s="523">
        <v>76350</v>
      </c>
      <c r="H20" s="351" t="s">
        <v>216</v>
      </c>
      <c r="I20" s="351"/>
      <c r="J20" s="223"/>
      <c r="K20" s="69" t="s">
        <v>96</v>
      </c>
    </row>
    <row r="21" spans="1:11" ht="15.6" customHeight="1">
      <c r="A21" s="69"/>
      <c r="B21" s="224" t="s">
        <v>234</v>
      </c>
      <c r="C21" s="225"/>
      <c r="D21" s="518"/>
      <c r="E21" s="520"/>
      <c r="F21" s="522"/>
      <c r="G21" s="524"/>
      <c r="H21" s="352" t="s">
        <v>202</v>
      </c>
      <c r="I21" s="352"/>
      <c r="J21" s="226"/>
      <c r="K21" s="69" t="s">
        <v>96</v>
      </c>
    </row>
    <row r="22" spans="1:11" ht="15.6" customHeight="1">
      <c r="A22" s="69"/>
      <c r="B22" s="222" t="s">
        <v>237</v>
      </c>
      <c r="C22" s="166"/>
      <c r="D22" s="517" t="s">
        <v>177</v>
      </c>
      <c r="E22" s="519">
        <v>1</v>
      </c>
      <c r="F22" s="521">
        <v>55678</v>
      </c>
      <c r="G22" s="523">
        <v>55678</v>
      </c>
      <c r="H22" s="351" t="s">
        <v>219</v>
      </c>
      <c r="I22" s="351"/>
      <c r="J22" s="223"/>
      <c r="K22" s="69" t="s">
        <v>96</v>
      </c>
    </row>
    <row r="23" spans="1:11" ht="15.6" customHeight="1">
      <c r="A23" s="69"/>
      <c r="B23" s="224" t="s">
        <v>238</v>
      </c>
      <c r="C23" s="225"/>
      <c r="D23" s="518"/>
      <c r="E23" s="520"/>
      <c r="F23" s="522"/>
      <c r="G23" s="524"/>
      <c r="H23" s="352" t="s">
        <v>202</v>
      </c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 t="s">
        <v>239</v>
      </c>
      <c r="C26" s="166"/>
      <c r="D26" s="517"/>
      <c r="E26" s="519"/>
      <c r="F26" s="521"/>
      <c r="G26" s="523">
        <v>10201500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49"/>
  <sheetViews>
    <sheetView zoomScaleNormal="100" zoomScaleSheetLayoutView="85" workbookViewId="0">
      <pane xSplit="4" ySplit="4" topLeftCell="E53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二戸国道管内防災工事</v>
      </c>
      <c r="G1" s="306"/>
      <c r="H1" s="190" t="s">
        <v>139</v>
      </c>
      <c r="I1" s="333">
        <v>13000000</v>
      </c>
      <c r="J1" s="339">
        <f>I4/I$1</f>
        <v>0.86538461538461542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438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190</v>
      </c>
      <c r="E4" s="342"/>
      <c r="F4" s="345" t="s">
        <v>177</v>
      </c>
      <c r="G4" s="308">
        <v>1</v>
      </c>
      <c r="H4" s="309">
        <v>11250000</v>
      </c>
      <c r="I4" s="309">
        <v>11250000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242</v>
      </c>
      <c r="D5" s="340" t="s">
        <v>243</v>
      </c>
      <c r="E5" s="342"/>
      <c r="F5" s="345" t="s">
        <v>177</v>
      </c>
      <c r="G5" s="308">
        <v>1</v>
      </c>
      <c r="H5" s="309">
        <v>10201500</v>
      </c>
      <c r="I5" s="309">
        <v>10201500</v>
      </c>
      <c r="J5" s="211"/>
      <c r="K5" s="212" t="str">
        <f>IF(OR(J5="",G5=J5),"","*")</f>
        <v/>
      </c>
      <c r="L5" s="338">
        <f>IF($A5&lt;=L$1,I5/I$4,"")</f>
        <v>0.90680000000000005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202</v>
      </c>
      <c r="D6" s="340" t="s">
        <v>244</v>
      </c>
      <c r="E6" s="342" t="s">
        <v>229</v>
      </c>
      <c r="F6" s="345" t="s">
        <v>177</v>
      </c>
      <c r="G6" s="308">
        <v>1</v>
      </c>
      <c r="H6" s="309">
        <v>2121975</v>
      </c>
      <c r="I6" s="309">
        <v>2121975</v>
      </c>
      <c r="J6" s="211">
        <v>1</v>
      </c>
      <c r="K6" s="212" t="str">
        <f>IF(OR(J6="",G6=J6),"","*")</f>
        <v/>
      </c>
      <c r="L6" s="338">
        <f>IF($A6&lt;=L$1,I6/I$4,"")</f>
        <v>0.18862000000000001</v>
      </c>
      <c r="M6" s="343"/>
      <c r="N6" s="344" t="s">
        <v>245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246</v>
      </c>
      <c r="D7" s="340" t="s">
        <v>247</v>
      </c>
      <c r="E7" s="342" t="s">
        <v>167</v>
      </c>
      <c r="F7" s="345" t="s">
        <v>168</v>
      </c>
      <c r="G7" s="308">
        <v>1500</v>
      </c>
      <c r="H7" s="309">
        <v>1024</v>
      </c>
      <c r="I7" s="309">
        <v>1536000</v>
      </c>
      <c r="J7" s="211">
        <v>1500</v>
      </c>
      <c r="K7" s="212" t="str">
        <f>IF(OR(J7="",G7=J7),"","*")</f>
        <v/>
      </c>
      <c r="L7" s="338">
        <f>IF($A7&lt;=L$1,I7/I$4,"")</f>
        <v>0.13653333333333334</v>
      </c>
      <c r="M7" s="343"/>
      <c r="N7" s="344" t="s">
        <v>248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182</v>
      </c>
      <c r="D8" s="340" t="s">
        <v>249</v>
      </c>
      <c r="E8" s="342"/>
      <c r="F8" s="345" t="s">
        <v>250</v>
      </c>
      <c r="G8" s="308">
        <v>300</v>
      </c>
      <c r="H8" s="309">
        <v>150</v>
      </c>
      <c r="I8" s="309">
        <v>45000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251</v>
      </c>
      <c r="AF8" s="341" t="s">
        <v>252</v>
      </c>
    </row>
    <row r="9" spans="1:32">
      <c r="A9" s="307">
        <v>4</v>
      </c>
      <c r="B9" s="342"/>
      <c r="C9" s="342" t="s">
        <v>183</v>
      </c>
      <c r="D9" s="340" t="s">
        <v>253</v>
      </c>
      <c r="E9" s="342" t="s">
        <v>254</v>
      </c>
      <c r="F9" s="345" t="s">
        <v>255</v>
      </c>
      <c r="G9" s="308">
        <v>2</v>
      </c>
      <c r="H9" s="309">
        <v>20000</v>
      </c>
      <c r="I9" s="309">
        <v>40000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256</v>
      </c>
      <c r="AF9" s="341" t="s">
        <v>257</v>
      </c>
    </row>
    <row r="10" spans="1:32">
      <c r="A10" s="307">
        <v>4</v>
      </c>
      <c r="B10" s="342"/>
      <c r="C10" s="342" t="s">
        <v>183</v>
      </c>
      <c r="D10" s="340" t="s">
        <v>258</v>
      </c>
      <c r="E10" s="342" t="s">
        <v>254</v>
      </c>
      <c r="F10" s="345" t="s">
        <v>255</v>
      </c>
      <c r="G10" s="308">
        <v>4</v>
      </c>
      <c r="H10" s="309">
        <v>18000</v>
      </c>
      <c r="I10" s="309">
        <v>72000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259</v>
      </c>
      <c r="AF10" s="341" t="s">
        <v>260</v>
      </c>
    </row>
    <row r="11" spans="1:32">
      <c r="A11" s="307">
        <v>4</v>
      </c>
      <c r="B11" s="342"/>
      <c r="C11" s="342" t="s">
        <v>184</v>
      </c>
      <c r="D11" s="340" t="s">
        <v>261</v>
      </c>
      <c r="E11" s="342" t="s">
        <v>262</v>
      </c>
      <c r="F11" s="345" t="s">
        <v>263</v>
      </c>
      <c r="G11" s="308">
        <v>1</v>
      </c>
      <c r="H11" s="309">
        <v>270000</v>
      </c>
      <c r="I11" s="309">
        <v>270000</v>
      </c>
      <c r="J11" s="211"/>
      <c r="K11" s="212" t="str">
        <f>IF(OR(J11="",G11=J11),"","*")</f>
        <v/>
      </c>
      <c r="L11" s="338" t="str">
        <f>IF($A11&lt;=L$1,I11/I$4,"")</f>
        <v/>
      </c>
      <c r="M11" s="343" t="s">
        <v>264</v>
      </c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4</v>
      </c>
      <c r="B12" s="342"/>
      <c r="C12" s="342" t="s">
        <v>184</v>
      </c>
      <c r="D12" s="340" t="s">
        <v>265</v>
      </c>
      <c r="E12" s="342" t="s">
        <v>266</v>
      </c>
      <c r="F12" s="345" t="s">
        <v>267</v>
      </c>
      <c r="G12" s="308">
        <v>1</v>
      </c>
      <c r="H12" s="309">
        <v>600000</v>
      </c>
      <c r="I12" s="309">
        <v>600000</v>
      </c>
      <c r="J12" s="211"/>
      <c r="K12" s="212" t="str">
        <f>IF(OR(J12="",G12=J12),"","*")</f>
        <v/>
      </c>
      <c r="L12" s="338" t="str">
        <f>IF($A12&lt;=L$1,I12/I$4,"")</f>
        <v/>
      </c>
      <c r="M12" s="343" t="s">
        <v>264</v>
      </c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4</v>
      </c>
      <c r="B13" s="342"/>
      <c r="C13" s="342" t="s">
        <v>184</v>
      </c>
      <c r="D13" s="340" t="s">
        <v>268</v>
      </c>
      <c r="E13" s="342" t="s">
        <v>269</v>
      </c>
      <c r="F13" s="345" t="s">
        <v>267</v>
      </c>
      <c r="G13" s="308">
        <v>2</v>
      </c>
      <c r="H13" s="309">
        <v>100000</v>
      </c>
      <c r="I13" s="309">
        <v>200000</v>
      </c>
      <c r="J13" s="211"/>
      <c r="K13" s="212" t="str">
        <f>IF(OR(J13="",G13=J13),"","*")</f>
        <v/>
      </c>
      <c r="L13" s="338" t="str">
        <f>IF($A13&lt;=L$1,I13/I$4,"")</f>
        <v/>
      </c>
      <c r="M13" s="343" t="s">
        <v>264</v>
      </c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4</v>
      </c>
      <c r="B14" s="342"/>
      <c r="C14" s="342" t="s">
        <v>184</v>
      </c>
      <c r="D14" s="340" t="s">
        <v>270</v>
      </c>
      <c r="E14" s="342"/>
      <c r="F14" s="345" t="s">
        <v>177</v>
      </c>
      <c r="G14" s="308">
        <v>1</v>
      </c>
      <c r="H14" s="309">
        <v>250000</v>
      </c>
      <c r="I14" s="309">
        <v>250000</v>
      </c>
      <c r="J14" s="211"/>
      <c r="K14" s="212" t="str">
        <f>IF(OR(J14="",G14=J14),"","*")</f>
        <v/>
      </c>
      <c r="L14" s="338" t="str">
        <f>IF($A14&lt;=L$1,I14/I$4,"")</f>
        <v/>
      </c>
      <c r="M14" s="343" t="s">
        <v>264</v>
      </c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271</v>
      </c>
      <c r="AF14" s="341"/>
    </row>
    <row r="15" spans="1:32">
      <c r="A15" s="307">
        <v>4</v>
      </c>
      <c r="B15" s="342"/>
      <c r="C15" s="342" t="s">
        <v>184</v>
      </c>
      <c r="D15" s="340" t="s">
        <v>272</v>
      </c>
      <c r="E15" s="342"/>
      <c r="F15" s="345" t="s">
        <v>177</v>
      </c>
      <c r="G15" s="308">
        <v>1</v>
      </c>
      <c r="H15" s="309">
        <v>30000</v>
      </c>
      <c r="I15" s="309">
        <v>30000</v>
      </c>
      <c r="J15" s="211"/>
      <c r="K15" s="212" t="str">
        <f>IF(OR(J15="",G15=J15),"","*")</f>
        <v/>
      </c>
      <c r="L15" s="338" t="str">
        <f>IF($A15&lt;=L$1,I15/I$4,"")</f>
        <v/>
      </c>
      <c r="M15" s="343" t="s">
        <v>264</v>
      </c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273</v>
      </c>
      <c r="AF15" s="341"/>
    </row>
    <row r="16" spans="1:32">
      <c r="A16" s="307">
        <v>4</v>
      </c>
      <c r="B16" s="342"/>
      <c r="C16" s="342" t="s">
        <v>185</v>
      </c>
      <c r="D16" s="340" t="s">
        <v>274</v>
      </c>
      <c r="E16" s="342" t="s">
        <v>275</v>
      </c>
      <c r="F16" s="345" t="s">
        <v>276</v>
      </c>
      <c r="G16" s="308">
        <v>1</v>
      </c>
      <c r="H16" s="309">
        <v>7000</v>
      </c>
      <c r="I16" s="309">
        <v>7000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277</v>
      </c>
      <c r="AF16" s="341" t="s">
        <v>278</v>
      </c>
    </row>
    <row r="17" spans="1:32">
      <c r="A17" s="307">
        <v>4</v>
      </c>
      <c r="B17" s="342"/>
      <c r="C17" s="342" t="s">
        <v>185</v>
      </c>
      <c r="D17" s="340" t="s">
        <v>279</v>
      </c>
      <c r="E17" s="342" t="s">
        <v>280</v>
      </c>
      <c r="F17" s="345" t="s">
        <v>276</v>
      </c>
      <c r="G17" s="308">
        <v>1</v>
      </c>
      <c r="H17" s="309">
        <v>10800</v>
      </c>
      <c r="I17" s="309">
        <v>10800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281</v>
      </c>
      <c r="AF17" s="341" t="s">
        <v>278</v>
      </c>
    </row>
    <row r="18" spans="1:32">
      <c r="A18" s="307">
        <v>4</v>
      </c>
      <c r="B18" s="342"/>
      <c r="C18" s="342" t="s">
        <v>186</v>
      </c>
      <c r="D18" s="340" t="s">
        <v>282</v>
      </c>
      <c r="E18" s="342" t="s">
        <v>283</v>
      </c>
      <c r="F18" s="345" t="s">
        <v>276</v>
      </c>
      <c r="G18" s="308">
        <v>2</v>
      </c>
      <c r="H18" s="309">
        <v>6000</v>
      </c>
      <c r="I18" s="309">
        <v>12000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284</v>
      </c>
      <c r="AF18" s="341" t="s">
        <v>285</v>
      </c>
    </row>
    <row r="19" spans="1:32">
      <c r="A19" s="307">
        <v>3</v>
      </c>
      <c r="B19" s="342"/>
      <c r="C19" s="342" t="s">
        <v>246</v>
      </c>
      <c r="D19" s="340" t="s">
        <v>286</v>
      </c>
      <c r="E19" s="342" t="s">
        <v>169</v>
      </c>
      <c r="F19" s="345" t="s">
        <v>170</v>
      </c>
      <c r="G19" s="308">
        <v>75</v>
      </c>
      <c r="H19" s="309">
        <v>3733</v>
      </c>
      <c r="I19" s="309">
        <v>279975</v>
      </c>
      <c r="J19" s="211">
        <v>75</v>
      </c>
      <c r="K19" s="212" t="str">
        <f>IF(OR(J19="",G19=J19),"","*")</f>
        <v/>
      </c>
      <c r="L19" s="338">
        <f>IF($A19&lt;=L$1,I19/I$4,"")</f>
        <v>2.4886666666666668E-2</v>
      </c>
      <c r="M19" s="343"/>
      <c r="N19" s="344" t="s">
        <v>287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4</v>
      </c>
      <c r="B20" s="342"/>
      <c r="C20" s="342" t="s">
        <v>186</v>
      </c>
      <c r="D20" s="340" t="s">
        <v>288</v>
      </c>
      <c r="E20" s="342" t="s">
        <v>289</v>
      </c>
      <c r="F20" s="345" t="s">
        <v>276</v>
      </c>
      <c r="G20" s="308">
        <v>7</v>
      </c>
      <c r="H20" s="309">
        <v>40000</v>
      </c>
      <c r="I20" s="309">
        <v>280000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290</v>
      </c>
      <c r="AF20" s="341" t="s">
        <v>291</v>
      </c>
    </row>
    <row r="21" spans="1:32">
      <c r="A21" s="307">
        <v>3</v>
      </c>
      <c r="B21" s="342"/>
      <c r="C21" s="342" t="s">
        <v>246</v>
      </c>
      <c r="D21" s="340" t="s">
        <v>292</v>
      </c>
      <c r="E21" s="342"/>
      <c r="F21" s="345" t="s">
        <v>170</v>
      </c>
      <c r="G21" s="308">
        <v>75</v>
      </c>
      <c r="H21" s="309">
        <v>4080</v>
      </c>
      <c r="I21" s="309">
        <v>306000</v>
      </c>
      <c r="J21" s="211">
        <v>75</v>
      </c>
      <c r="K21" s="212" t="str">
        <f>IF(OR(J21="",G21=J21),"","*")</f>
        <v/>
      </c>
      <c r="L21" s="338">
        <f>IF($A21&lt;=L$1,I21/I$4,"")</f>
        <v>2.7199999999999998E-2</v>
      </c>
      <c r="M21" s="343"/>
      <c r="N21" s="344" t="s">
        <v>293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186</v>
      </c>
      <c r="D22" s="340" t="s">
        <v>294</v>
      </c>
      <c r="E22" s="342"/>
      <c r="F22" s="345" t="s">
        <v>295</v>
      </c>
      <c r="G22" s="308">
        <v>180</v>
      </c>
      <c r="H22" s="309">
        <v>1700</v>
      </c>
      <c r="I22" s="309">
        <v>306000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296</v>
      </c>
      <c r="AF22" s="341" t="s">
        <v>297</v>
      </c>
    </row>
    <row r="23" spans="1:32">
      <c r="A23" s="307">
        <v>2</v>
      </c>
      <c r="B23" s="342"/>
      <c r="C23" s="342" t="s">
        <v>202</v>
      </c>
      <c r="D23" s="340" t="s">
        <v>244</v>
      </c>
      <c r="E23" s="342" t="s">
        <v>230</v>
      </c>
      <c r="F23" s="345" t="s">
        <v>177</v>
      </c>
      <c r="G23" s="308">
        <v>1</v>
      </c>
      <c r="H23" s="309">
        <v>2655183</v>
      </c>
      <c r="I23" s="309">
        <v>2655183</v>
      </c>
      <c r="J23" s="211">
        <v>1</v>
      </c>
      <c r="K23" s="212" t="str">
        <f>IF(OR(J23="",G23=J23),"","*")</f>
        <v/>
      </c>
      <c r="L23" s="338">
        <f>IF($A23&lt;=L$1,I23/I$4,"")</f>
        <v>0.23601626666666667</v>
      </c>
      <c r="M23" s="343"/>
      <c r="N23" s="344" t="s">
        <v>298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3</v>
      </c>
      <c r="B24" s="342"/>
      <c r="C24" s="342" t="s">
        <v>246</v>
      </c>
      <c r="D24" s="340" t="s">
        <v>299</v>
      </c>
      <c r="E24" s="342" t="s">
        <v>171</v>
      </c>
      <c r="F24" s="345" t="s">
        <v>168</v>
      </c>
      <c r="G24" s="308">
        <v>350</v>
      </c>
      <c r="H24" s="309">
        <v>1062</v>
      </c>
      <c r="I24" s="309">
        <v>371700</v>
      </c>
      <c r="J24" s="211">
        <v>350</v>
      </c>
      <c r="K24" s="212" t="str">
        <f>IF(OR(J24="",G24=J24),"","*")</f>
        <v/>
      </c>
      <c r="L24" s="338">
        <f>IF($A24&lt;=L$1,I24/I$4,"")</f>
        <v>3.304E-2</v>
      </c>
      <c r="M24" s="343"/>
      <c r="N24" s="344" t="s">
        <v>300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182</v>
      </c>
      <c r="D25" s="340" t="s">
        <v>249</v>
      </c>
      <c r="E25" s="342"/>
      <c r="F25" s="345" t="s">
        <v>250</v>
      </c>
      <c r="G25" s="308">
        <v>200</v>
      </c>
      <c r="H25" s="309">
        <v>150</v>
      </c>
      <c r="I25" s="309">
        <v>30000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251</v>
      </c>
      <c r="AF25" s="341" t="s">
        <v>301</v>
      </c>
    </row>
    <row r="26" spans="1:32">
      <c r="A26" s="307">
        <v>4</v>
      </c>
      <c r="B26" s="342"/>
      <c r="C26" s="342" t="s">
        <v>183</v>
      </c>
      <c r="D26" s="340" t="s">
        <v>253</v>
      </c>
      <c r="E26" s="342" t="s">
        <v>254</v>
      </c>
      <c r="F26" s="345" t="s">
        <v>255</v>
      </c>
      <c r="G26" s="308">
        <v>2</v>
      </c>
      <c r="H26" s="309">
        <v>20000</v>
      </c>
      <c r="I26" s="309">
        <v>40000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256</v>
      </c>
      <c r="AF26" s="341" t="s">
        <v>257</v>
      </c>
    </row>
    <row r="27" spans="1:32">
      <c r="A27" s="307">
        <v>4</v>
      </c>
      <c r="B27" s="342"/>
      <c r="C27" s="342" t="s">
        <v>183</v>
      </c>
      <c r="D27" s="340" t="s">
        <v>258</v>
      </c>
      <c r="E27" s="342" t="s">
        <v>254</v>
      </c>
      <c r="F27" s="345" t="s">
        <v>255</v>
      </c>
      <c r="G27" s="308">
        <v>4</v>
      </c>
      <c r="H27" s="309">
        <v>18000</v>
      </c>
      <c r="I27" s="309">
        <v>72000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259</v>
      </c>
      <c r="AF27" s="341" t="s">
        <v>260</v>
      </c>
    </row>
    <row r="28" spans="1:32">
      <c r="A28" s="307">
        <v>4</v>
      </c>
      <c r="B28" s="342"/>
      <c r="C28" s="342" t="s">
        <v>185</v>
      </c>
      <c r="D28" s="340" t="s">
        <v>274</v>
      </c>
      <c r="E28" s="342" t="s">
        <v>275</v>
      </c>
      <c r="F28" s="345" t="s">
        <v>276</v>
      </c>
      <c r="G28" s="308">
        <v>1</v>
      </c>
      <c r="H28" s="309">
        <v>7000</v>
      </c>
      <c r="I28" s="309">
        <v>7000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277</v>
      </c>
      <c r="AF28" s="341" t="s">
        <v>278</v>
      </c>
    </row>
    <row r="29" spans="1:32">
      <c r="A29" s="307">
        <v>4</v>
      </c>
      <c r="B29" s="342"/>
      <c r="C29" s="342" t="s">
        <v>185</v>
      </c>
      <c r="D29" s="340" t="s">
        <v>279</v>
      </c>
      <c r="E29" s="342" t="s">
        <v>280</v>
      </c>
      <c r="F29" s="345" t="s">
        <v>276</v>
      </c>
      <c r="G29" s="308">
        <v>1</v>
      </c>
      <c r="H29" s="309">
        <v>10800</v>
      </c>
      <c r="I29" s="309">
        <v>10800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281</v>
      </c>
      <c r="AF29" s="341" t="s">
        <v>278</v>
      </c>
    </row>
    <row r="30" spans="1:32">
      <c r="A30" s="307">
        <v>4</v>
      </c>
      <c r="B30" s="342"/>
      <c r="C30" s="342" t="s">
        <v>185</v>
      </c>
      <c r="D30" s="340" t="s">
        <v>302</v>
      </c>
      <c r="E30" s="342" t="s">
        <v>303</v>
      </c>
      <c r="F30" s="345" t="s">
        <v>276</v>
      </c>
      <c r="G30" s="308">
        <v>1</v>
      </c>
      <c r="H30" s="309">
        <v>200000</v>
      </c>
      <c r="I30" s="309">
        <v>200000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304</v>
      </c>
      <c r="AF30" s="341" t="s">
        <v>278</v>
      </c>
    </row>
    <row r="31" spans="1:32">
      <c r="A31" s="307">
        <v>4</v>
      </c>
      <c r="B31" s="342"/>
      <c r="C31" s="342" t="s">
        <v>186</v>
      </c>
      <c r="D31" s="340" t="s">
        <v>282</v>
      </c>
      <c r="E31" s="342" t="s">
        <v>283</v>
      </c>
      <c r="F31" s="345" t="s">
        <v>276</v>
      </c>
      <c r="G31" s="308">
        <v>2</v>
      </c>
      <c r="H31" s="309">
        <v>6000</v>
      </c>
      <c r="I31" s="309">
        <v>12000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284</v>
      </c>
      <c r="AF31" s="341" t="s">
        <v>285</v>
      </c>
    </row>
    <row r="32" spans="1:32">
      <c r="A32" s="307">
        <v>3</v>
      </c>
      <c r="B32" s="342"/>
      <c r="C32" s="342" t="s">
        <v>246</v>
      </c>
      <c r="D32" s="340" t="s">
        <v>305</v>
      </c>
      <c r="E32" s="342"/>
      <c r="F32" s="345" t="s">
        <v>170</v>
      </c>
      <c r="G32" s="308">
        <v>53</v>
      </c>
      <c r="H32" s="309">
        <v>3773</v>
      </c>
      <c r="I32" s="309">
        <v>199969</v>
      </c>
      <c r="J32" s="211">
        <v>53</v>
      </c>
      <c r="K32" s="212" t="str">
        <f>IF(OR(J32="",G32=J32),"","*")</f>
        <v/>
      </c>
      <c r="L32" s="338">
        <f>IF($A32&lt;=L$1,I32/I$4,"")</f>
        <v>1.7775022222222221E-2</v>
      </c>
      <c r="M32" s="343"/>
      <c r="N32" s="344" t="s">
        <v>306</v>
      </c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186</v>
      </c>
      <c r="D33" s="340" t="s">
        <v>288</v>
      </c>
      <c r="E33" s="342" t="s">
        <v>289</v>
      </c>
      <c r="F33" s="345" t="s">
        <v>276</v>
      </c>
      <c r="G33" s="308">
        <v>5</v>
      </c>
      <c r="H33" s="309">
        <v>40000</v>
      </c>
      <c r="I33" s="309">
        <v>200000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290</v>
      </c>
      <c r="AF33" s="341" t="s">
        <v>307</v>
      </c>
    </row>
    <row r="34" spans="1:32">
      <c r="A34" s="307">
        <v>3</v>
      </c>
      <c r="B34" s="342"/>
      <c r="C34" s="342" t="s">
        <v>246</v>
      </c>
      <c r="D34" s="340" t="s">
        <v>308</v>
      </c>
      <c r="E34" s="342"/>
      <c r="F34" s="345" t="s">
        <v>170</v>
      </c>
      <c r="G34" s="308">
        <v>53</v>
      </c>
      <c r="H34" s="309">
        <v>1188</v>
      </c>
      <c r="I34" s="309">
        <v>62964</v>
      </c>
      <c r="J34" s="211">
        <v>53</v>
      </c>
      <c r="K34" s="212" t="str">
        <f>IF(OR(J34="",G34=J34),"","*")</f>
        <v/>
      </c>
      <c r="L34" s="338">
        <f>IF($A34&lt;=L$1,I34/I$4,"")</f>
        <v>5.5967999999999999E-3</v>
      </c>
      <c r="M34" s="343"/>
      <c r="N34" s="344" t="s">
        <v>309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4</v>
      </c>
      <c r="B35" s="342"/>
      <c r="C35" s="342" t="s">
        <v>186</v>
      </c>
      <c r="D35" s="340" t="s">
        <v>294</v>
      </c>
      <c r="E35" s="342"/>
      <c r="F35" s="345" t="s">
        <v>295</v>
      </c>
      <c r="G35" s="308">
        <v>126</v>
      </c>
      <c r="H35" s="309">
        <v>500</v>
      </c>
      <c r="I35" s="309">
        <v>63000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296</v>
      </c>
      <c r="AF35" s="341" t="s">
        <v>310</v>
      </c>
    </row>
    <row r="36" spans="1:32">
      <c r="A36" s="307">
        <v>3</v>
      </c>
      <c r="B36" s="342"/>
      <c r="C36" s="342" t="s">
        <v>246</v>
      </c>
      <c r="D36" s="340" t="s">
        <v>311</v>
      </c>
      <c r="E36" s="342" t="s">
        <v>172</v>
      </c>
      <c r="F36" s="345" t="s">
        <v>168</v>
      </c>
      <c r="G36" s="308">
        <v>350</v>
      </c>
      <c r="H36" s="309">
        <v>5773</v>
      </c>
      <c r="I36" s="309">
        <v>2020550</v>
      </c>
      <c r="J36" s="211">
        <v>350</v>
      </c>
      <c r="K36" s="212" t="str">
        <f>IF(OR(J36="",G36=J36),"","*")</f>
        <v/>
      </c>
      <c r="L36" s="338">
        <f>IF($A36&lt;=L$1,I36/I$4,"")</f>
        <v>0.17960444444444446</v>
      </c>
      <c r="M36" s="343"/>
      <c r="N36" s="344" t="s">
        <v>312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182</v>
      </c>
      <c r="D37" s="340" t="s">
        <v>313</v>
      </c>
      <c r="E37" s="342"/>
      <c r="F37" s="345" t="s">
        <v>314</v>
      </c>
      <c r="G37" s="308">
        <v>0.45</v>
      </c>
      <c r="H37" s="309">
        <v>104000</v>
      </c>
      <c r="I37" s="309">
        <v>46800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315</v>
      </c>
      <c r="AF37" s="341" t="s">
        <v>316</v>
      </c>
    </row>
    <row r="38" spans="1:32">
      <c r="A38" s="307">
        <v>4</v>
      </c>
      <c r="B38" s="342"/>
      <c r="C38" s="342" t="s">
        <v>182</v>
      </c>
      <c r="D38" s="340" t="s">
        <v>317</v>
      </c>
      <c r="E38" s="342"/>
      <c r="F38" s="345" t="s">
        <v>318</v>
      </c>
      <c r="G38" s="308">
        <v>0.7</v>
      </c>
      <c r="H38" s="309">
        <v>4000</v>
      </c>
      <c r="I38" s="309">
        <v>2800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319</v>
      </c>
      <c r="AF38" s="341" t="s">
        <v>320</v>
      </c>
    </row>
    <row r="39" spans="1:32">
      <c r="A39" s="307">
        <v>4</v>
      </c>
      <c r="B39" s="342"/>
      <c r="C39" s="342" t="s">
        <v>182</v>
      </c>
      <c r="D39" s="340" t="s">
        <v>321</v>
      </c>
      <c r="E39" s="342"/>
      <c r="F39" s="345" t="s">
        <v>314</v>
      </c>
      <c r="G39" s="308">
        <v>0.15</v>
      </c>
      <c r="H39" s="309">
        <v>104000</v>
      </c>
      <c r="I39" s="309">
        <v>15600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315</v>
      </c>
      <c r="AF39" s="341" t="s">
        <v>322</v>
      </c>
    </row>
    <row r="40" spans="1:32">
      <c r="A40" s="307">
        <v>4</v>
      </c>
      <c r="B40" s="342"/>
      <c r="C40" s="342" t="s">
        <v>182</v>
      </c>
      <c r="D40" s="340" t="s">
        <v>323</v>
      </c>
      <c r="E40" s="342" t="s">
        <v>324</v>
      </c>
      <c r="F40" s="345" t="s">
        <v>314</v>
      </c>
      <c r="G40" s="308">
        <v>90</v>
      </c>
      <c r="H40" s="309">
        <v>11700</v>
      </c>
      <c r="I40" s="309">
        <v>1053000</v>
      </c>
      <c r="J40" s="211"/>
      <c r="K40" s="212" t="str">
        <f>IF(OR(J40="",G40=J40),"","*")</f>
        <v/>
      </c>
      <c r="L40" s="338" t="str">
        <f>IF($A40&lt;=L$1,I40/I$4,"")</f>
        <v/>
      </c>
      <c r="M40" s="343" t="s">
        <v>325</v>
      </c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326</v>
      </c>
      <c r="AF40" s="341" t="s">
        <v>327</v>
      </c>
    </row>
    <row r="41" spans="1:32">
      <c r="A41" s="307">
        <v>4</v>
      </c>
      <c r="B41" s="342"/>
      <c r="C41" s="342" t="s">
        <v>182</v>
      </c>
      <c r="D41" s="340" t="s">
        <v>328</v>
      </c>
      <c r="E41" s="342" t="s">
        <v>324</v>
      </c>
      <c r="F41" s="345" t="s">
        <v>314</v>
      </c>
      <c r="G41" s="308">
        <v>44</v>
      </c>
      <c r="H41" s="309">
        <v>12700</v>
      </c>
      <c r="I41" s="309">
        <v>558800</v>
      </c>
      <c r="J41" s="211"/>
      <c r="K41" s="212" t="str">
        <f>IF(OR(J41="",G41=J41),"","*")</f>
        <v/>
      </c>
      <c r="L41" s="338" t="str">
        <f>IF($A41&lt;=L$1,I41/I$4,"")</f>
        <v/>
      </c>
      <c r="M41" s="343" t="s">
        <v>325</v>
      </c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329</v>
      </c>
      <c r="AF41" s="341" t="s">
        <v>330</v>
      </c>
    </row>
    <row r="42" spans="1:32">
      <c r="A42" s="307">
        <v>4</v>
      </c>
      <c r="B42" s="342"/>
      <c r="C42" s="342" t="s">
        <v>182</v>
      </c>
      <c r="D42" s="340" t="s">
        <v>249</v>
      </c>
      <c r="E42" s="342"/>
      <c r="F42" s="345" t="s">
        <v>250</v>
      </c>
      <c r="G42" s="308">
        <v>150</v>
      </c>
      <c r="H42" s="309">
        <v>150</v>
      </c>
      <c r="I42" s="309">
        <v>22500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251</v>
      </c>
      <c r="AF42" s="341" t="s">
        <v>331</v>
      </c>
    </row>
    <row r="43" spans="1:32">
      <c r="A43" s="307">
        <v>4</v>
      </c>
      <c r="B43" s="342"/>
      <c r="C43" s="342" t="s">
        <v>183</v>
      </c>
      <c r="D43" s="340" t="s">
        <v>253</v>
      </c>
      <c r="E43" s="342" t="s">
        <v>254</v>
      </c>
      <c r="F43" s="345" t="s">
        <v>255</v>
      </c>
      <c r="G43" s="308">
        <v>4</v>
      </c>
      <c r="H43" s="309">
        <v>20000</v>
      </c>
      <c r="I43" s="309">
        <v>80000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256</v>
      </c>
      <c r="AF43" s="341" t="s">
        <v>260</v>
      </c>
    </row>
    <row r="44" spans="1:32">
      <c r="A44" s="307">
        <v>4</v>
      </c>
      <c r="B44" s="342"/>
      <c r="C44" s="342" t="s">
        <v>183</v>
      </c>
      <c r="D44" s="340" t="s">
        <v>258</v>
      </c>
      <c r="E44" s="342" t="s">
        <v>254</v>
      </c>
      <c r="F44" s="345" t="s">
        <v>255</v>
      </c>
      <c r="G44" s="308">
        <v>6</v>
      </c>
      <c r="H44" s="309">
        <v>18000</v>
      </c>
      <c r="I44" s="309">
        <v>108000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259</v>
      </c>
      <c r="AF44" s="341" t="s">
        <v>332</v>
      </c>
    </row>
    <row r="45" spans="1:32">
      <c r="A45" s="307">
        <v>4</v>
      </c>
      <c r="B45" s="342"/>
      <c r="C45" s="342" t="s">
        <v>185</v>
      </c>
      <c r="D45" s="340" t="s">
        <v>333</v>
      </c>
      <c r="E45" s="342" t="s">
        <v>334</v>
      </c>
      <c r="F45" s="345" t="s">
        <v>276</v>
      </c>
      <c r="G45" s="308">
        <v>1</v>
      </c>
      <c r="H45" s="309">
        <v>65000</v>
      </c>
      <c r="I45" s="309">
        <v>65000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335</v>
      </c>
      <c r="AF45" s="341" t="s">
        <v>278</v>
      </c>
    </row>
    <row r="46" spans="1:32">
      <c r="A46" s="307">
        <v>4</v>
      </c>
      <c r="B46" s="342"/>
      <c r="C46" s="342" t="s">
        <v>185</v>
      </c>
      <c r="D46" s="340" t="s">
        <v>336</v>
      </c>
      <c r="E46" s="342" t="s">
        <v>337</v>
      </c>
      <c r="F46" s="345" t="s">
        <v>276</v>
      </c>
      <c r="G46" s="308">
        <v>1</v>
      </c>
      <c r="H46" s="309">
        <v>8000</v>
      </c>
      <c r="I46" s="309">
        <v>8000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338</v>
      </c>
      <c r="AF46" s="341" t="s">
        <v>278</v>
      </c>
    </row>
    <row r="47" spans="1:32">
      <c r="A47" s="307">
        <v>4</v>
      </c>
      <c r="B47" s="342"/>
      <c r="C47" s="342" t="s">
        <v>185</v>
      </c>
      <c r="D47" s="340" t="s">
        <v>339</v>
      </c>
      <c r="E47" s="342" t="s">
        <v>337</v>
      </c>
      <c r="F47" s="345" t="s">
        <v>276</v>
      </c>
      <c r="G47" s="308">
        <v>1</v>
      </c>
      <c r="H47" s="309">
        <v>8000</v>
      </c>
      <c r="I47" s="309">
        <v>8000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340</v>
      </c>
      <c r="AF47" s="341" t="s">
        <v>278</v>
      </c>
    </row>
    <row r="48" spans="1:32">
      <c r="A48" s="307">
        <v>4</v>
      </c>
      <c r="B48" s="342"/>
      <c r="C48" s="342" t="s">
        <v>185</v>
      </c>
      <c r="D48" s="340" t="s">
        <v>341</v>
      </c>
      <c r="E48" s="342" t="s">
        <v>280</v>
      </c>
      <c r="F48" s="345" t="s">
        <v>276</v>
      </c>
      <c r="G48" s="308">
        <v>1</v>
      </c>
      <c r="H48" s="309">
        <v>5000</v>
      </c>
      <c r="I48" s="309">
        <v>5000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342</v>
      </c>
      <c r="AF48" s="341" t="s">
        <v>278</v>
      </c>
    </row>
    <row r="49" spans="1:32">
      <c r="A49" s="307">
        <v>4</v>
      </c>
      <c r="B49" s="342"/>
      <c r="C49" s="342" t="s">
        <v>185</v>
      </c>
      <c r="D49" s="340" t="s">
        <v>274</v>
      </c>
      <c r="E49" s="342" t="s">
        <v>275</v>
      </c>
      <c r="F49" s="345" t="s">
        <v>276</v>
      </c>
      <c r="G49" s="308">
        <v>1</v>
      </c>
      <c r="H49" s="309">
        <v>7000</v>
      </c>
      <c r="I49" s="309">
        <v>7000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277</v>
      </c>
      <c r="AF49" s="341" t="s">
        <v>278</v>
      </c>
    </row>
    <row r="50" spans="1:32">
      <c r="A50" s="307">
        <v>4</v>
      </c>
      <c r="B50" s="342"/>
      <c r="C50" s="342" t="s">
        <v>185</v>
      </c>
      <c r="D50" s="340" t="s">
        <v>343</v>
      </c>
      <c r="E50" s="342"/>
      <c r="F50" s="345" t="s">
        <v>276</v>
      </c>
      <c r="G50" s="308">
        <v>1</v>
      </c>
      <c r="H50" s="309">
        <v>1500</v>
      </c>
      <c r="I50" s="309">
        <v>1500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344</v>
      </c>
      <c r="AF50" s="341" t="s">
        <v>278</v>
      </c>
    </row>
    <row r="51" spans="1:32">
      <c r="A51" s="307">
        <v>4</v>
      </c>
      <c r="B51" s="342"/>
      <c r="C51" s="342" t="s">
        <v>185</v>
      </c>
      <c r="D51" s="340" t="s">
        <v>345</v>
      </c>
      <c r="E51" s="342"/>
      <c r="F51" s="345" t="s">
        <v>276</v>
      </c>
      <c r="G51" s="308">
        <v>1</v>
      </c>
      <c r="H51" s="309">
        <v>1000</v>
      </c>
      <c r="I51" s="309">
        <v>1000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346</v>
      </c>
      <c r="AF51" s="341" t="s">
        <v>278</v>
      </c>
    </row>
    <row r="52" spans="1:32">
      <c r="A52" s="307">
        <v>4</v>
      </c>
      <c r="B52" s="342"/>
      <c r="C52" s="342" t="s">
        <v>185</v>
      </c>
      <c r="D52" s="340" t="s">
        <v>347</v>
      </c>
      <c r="E52" s="342"/>
      <c r="F52" s="345" t="s">
        <v>276</v>
      </c>
      <c r="G52" s="308">
        <v>1</v>
      </c>
      <c r="H52" s="309">
        <v>1000</v>
      </c>
      <c r="I52" s="309">
        <v>1000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348</v>
      </c>
      <c r="AF52" s="341" t="s">
        <v>278</v>
      </c>
    </row>
    <row r="53" spans="1:32">
      <c r="A53" s="307">
        <v>4</v>
      </c>
      <c r="B53" s="342"/>
      <c r="C53" s="342" t="s">
        <v>185</v>
      </c>
      <c r="D53" s="340" t="s">
        <v>279</v>
      </c>
      <c r="E53" s="342" t="s">
        <v>280</v>
      </c>
      <c r="F53" s="345" t="s">
        <v>276</v>
      </c>
      <c r="G53" s="308">
        <v>1</v>
      </c>
      <c r="H53" s="309">
        <v>10800</v>
      </c>
      <c r="I53" s="309">
        <v>10800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281</v>
      </c>
      <c r="AF53" s="341" t="s">
        <v>278</v>
      </c>
    </row>
    <row r="54" spans="1:32">
      <c r="A54" s="307">
        <v>4</v>
      </c>
      <c r="B54" s="342"/>
      <c r="C54" s="342" t="s">
        <v>186</v>
      </c>
      <c r="D54" s="340" t="s">
        <v>349</v>
      </c>
      <c r="E54" s="342"/>
      <c r="F54" s="345" t="s">
        <v>276</v>
      </c>
      <c r="G54" s="308">
        <v>1</v>
      </c>
      <c r="H54" s="309">
        <v>8000</v>
      </c>
      <c r="I54" s="309">
        <v>8000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350</v>
      </c>
      <c r="AF54" s="341" t="s">
        <v>278</v>
      </c>
    </row>
    <row r="55" spans="1:32">
      <c r="A55" s="307">
        <v>4</v>
      </c>
      <c r="B55" s="342"/>
      <c r="C55" s="342" t="s">
        <v>186</v>
      </c>
      <c r="D55" s="340" t="s">
        <v>282</v>
      </c>
      <c r="E55" s="342" t="s">
        <v>283</v>
      </c>
      <c r="F55" s="345" t="s">
        <v>276</v>
      </c>
      <c r="G55" s="308">
        <v>3</v>
      </c>
      <c r="H55" s="309">
        <v>6000</v>
      </c>
      <c r="I55" s="309">
        <v>18000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284</v>
      </c>
      <c r="AF55" s="341" t="s">
        <v>351</v>
      </c>
    </row>
    <row r="56" spans="1:32">
      <c r="A56" s="307">
        <v>2</v>
      </c>
      <c r="B56" s="342"/>
      <c r="C56" s="342" t="s">
        <v>202</v>
      </c>
      <c r="D56" s="340" t="s">
        <v>244</v>
      </c>
      <c r="E56" s="342" t="s">
        <v>231</v>
      </c>
      <c r="F56" s="345" t="s">
        <v>177</v>
      </c>
      <c r="G56" s="308">
        <v>1</v>
      </c>
      <c r="H56" s="309">
        <v>573900</v>
      </c>
      <c r="I56" s="309">
        <v>573900</v>
      </c>
      <c r="J56" s="211">
        <v>1</v>
      </c>
      <c r="K56" s="212" t="str">
        <f>IF(OR(J56="",G56=J56),"","*")</f>
        <v/>
      </c>
      <c r="L56" s="338">
        <f>IF($A56&lt;=L$1,I56/I$4,"")</f>
        <v>5.1013333333333334E-2</v>
      </c>
      <c r="M56" s="343"/>
      <c r="N56" s="344" t="s">
        <v>352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246</v>
      </c>
      <c r="D57" s="340" t="s">
        <v>353</v>
      </c>
      <c r="E57" s="342" t="s">
        <v>173</v>
      </c>
      <c r="F57" s="345" t="s">
        <v>174</v>
      </c>
      <c r="G57" s="308">
        <v>300</v>
      </c>
      <c r="H57" s="309">
        <v>1913</v>
      </c>
      <c r="I57" s="309">
        <v>573900</v>
      </c>
      <c r="J57" s="211">
        <v>300</v>
      </c>
      <c r="K57" s="212" t="str">
        <f>IF(OR(J57="",G57=J57),"","*")</f>
        <v/>
      </c>
      <c r="L57" s="338">
        <f>IF($A57&lt;=L$1,I57/I$4,"")</f>
        <v>5.1013333333333334E-2</v>
      </c>
      <c r="M57" s="343"/>
      <c r="N57" s="344" t="s">
        <v>354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4</v>
      </c>
      <c r="B58" s="342"/>
      <c r="C58" s="342" t="s">
        <v>183</v>
      </c>
      <c r="D58" s="340" t="s">
        <v>253</v>
      </c>
      <c r="E58" s="342" t="s">
        <v>254</v>
      </c>
      <c r="F58" s="345" t="s">
        <v>255</v>
      </c>
      <c r="G58" s="308">
        <v>1</v>
      </c>
      <c r="H58" s="309">
        <v>20000</v>
      </c>
      <c r="I58" s="309">
        <v>20000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256</v>
      </c>
      <c r="AF58" s="341" t="s">
        <v>355</v>
      </c>
    </row>
    <row r="59" spans="1:32">
      <c r="A59" s="307">
        <v>4</v>
      </c>
      <c r="B59" s="342"/>
      <c r="C59" s="342" t="s">
        <v>184</v>
      </c>
      <c r="D59" s="340" t="s">
        <v>356</v>
      </c>
      <c r="E59" s="342" t="s">
        <v>357</v>
      </c>
      <c r="F59" s="345" t="s">
        <v>174</v>
      </c>
      <c r="G59" s="308">
        <v>300</v>
      </c>
      <c r="H59" s="309">
        <v>1750</v>
      </c>
      <c r="I59" s="309">
        <v>525000</v>
      </c>
      <c r="J59" s="211"/>
      <c r="K59" s="212" t="str">
        <f>IF(OR(J59="",G59=J59),"","*")</f>
        <v/>
      </c>
      <c r="L59" s="338" t="str">
        <f>IF($A59&lt;=L$1,I59/I$4,"")</f>
        <v/>
      </c>
      <c r="M59" s="343" t="s">
        <v>358</v>
      </c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4</v>
      </c>
      <c r="B60" s="342"/>
      <c r="C60" s="342" t="s">
        <v>184</v>
      </c>
      <c r="D60" s="340" t="s">
        <v>272</v>
      </c>
      <c r="E60" s="342"/>
      <c r="F60" s="345" t="s">
        <v>177</v>
      </c>
      <c r="G60" s="308">
        <v>1</v>
      </c>
      <c r="H60" s="309">
        <v>16270</v>
      </c>
      <c r="I60" s="309">
        <v>16270</v>
      </c>
      <c r="J60" s="211"/>
      <c r="K60" s="212" t="str">
        <f>IF(OR(J60="",G60=J60),"","*")</f>
        <v/>
      </c>
      <c r="L60" s="338" t="str">
        <f>IF($A60&lt;=L$1,I60/I$4,"")</f>
        <v/>
      </c>
      <c r="M60" s="343" t="s">
        <v>358</v>
      </c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273</v>
      </c>
      <c r="AF60" s="341"/>
    </row>
    <row r="61" spans="1:32">
      <c r="A61" s="307">
        <v>4</v>
      </c>
      <c r="B61" s="342"/>
      <c r="C61" s="342" t="s">
        <v>184</v>
      </c>
      <c r="D61" s="340" t="s">
        <v>359</v>
      </c>
      <c r="E61" s="342"/>
      <c r="F61" s="345" t="s">
        <v>177</v>
      </c>
      <c r="G61" s="308">
        <v>1</v>
      </c>
      <c r="H61" s="309">
        <v>-1270</v>
      </c>
      <c r="I61" s="309">
        <v>-1270</v>
      </c>
      <c r="J61" s="211"/>
      <c r="K61" s="212" t="str">
        <f>IF(OR(J61="",G61=J61),"","*")</f>
        <v/>
      </c>
      <c r="L61" s="338" t="str">
        <f>IF($A61&lt;=L$1,I61/I$4,"")</f>
        <v/>
      </c>
      <c r="M61" s="343" t="s">
        <v>358</v>
      </c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360</v>
      </c>
      <c r="AF61" s="341"/>
    </row>
    <row r="62" spans="1:32">
      <c r="A62" s="307">
        <v>4</v>
      </c>
      <c r="B62" s="342"/>
      <c r="C62" s="342" t="s">
        <v>185</v>
      </c>
      <c r="D62" s="340" t="s">
        <v>336</v>
      </c>
      <c r="E62" s="342" t="s">
        <v>337</v>
      </c>
      <c r="F62" s="345" t="s">
        <v>276</v>
      </c>
      <c r="G62" s="308">
        <v>1</v>
      </c>
      <c r="H62" s="309">
        <v>8000</v>
      </c>
      <c r="I62" s="309">
        <v>8000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338</v>
      </c>
      <c r="AF62" s="341" t="s">
        <v>278</v>
      </c>
    </row>
    <row r="63" spans="1:32">
      <c r="A63" s="307">
        <v>4</v>
      </c>
      <c r="B63" s="342"/>
      <c r="C63" s="342" t="s">
        <v>186</v>
      </c>
      <c r="D63" s="340" t="s">
        <v>282</v>
      </c>
      <c r="E63" s="342" t="s">
        <v>283</v>
      </c>
      <c r="F63" s="345" t="s">
        <v>276</v>
      </c>
      <c r="G63" s="308">
        <v>1</v>
      </c>
      <c r="H63" s="309">
        <v>6000</v>
      </c>
      <c r="I63" s="309">
        <v>6000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284</v>
      </c>
      <c r="AF63" s="341" t="s">
        <v>278</v>
      </c>
    </row>
    <row r="64" spans="1:32">
      <c r="A64" s="307">
        <v>2</v>
      </c>
      <c r="B64" s="342"/>
      <c r="C64" s="342" t="s">
        <v>202</v>
      </c>
      <c r="D64" s="340" t="s">
        <v>244</v>
      </c>
      <c r="E64" s="342" t="s">
        <v>232</v>
      </c>
      <c r="F64" s="345" t="s">
        <v>177</v>
      </c>
      <c r="G64" s="308">
        <v>1</v>
      </c>
      <c r="H64" s="309">
        <v>3022500</v>
      </c>
      <c r="I64" s="309">
        <v>3022500</v>
      </c>
      <c r="J64" s="211">
        <v>1</v>
      </c>
      <c r="K64" s="212" t="str">
        <f>IF(OR(J64="",G64=J64),"","*")</f>
        <v/>
      </c>
      <c r="L64" s="338">
        <f>IF($A64&lt;=L$1,I64/I$4,"")</f>
        <v>0.26866666666666666</v>
      </c>
      <c r="M64" s="343"/>
      <c r="N64" s="344" t="s">
        <v>361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246</v>
      </c>
      <c r="D65" s="340" t="s">
        <v>362</v>
      </c>
      <c r="E65" s="342" t="s">
        <v>175</v>
      </c>
      <c r="F65" s="345" t="s">
        <v>168</v>
      </c>
      <c r="G65" s="308">
        <v>1500</v>
      </c>
      <c r="H65" s="309">
        <v>2015</v>
      </c>
      <c r="I65" s="309">
        <v>3022500</v>
      </c>
      <c r="J65" s="211">
        <v>1500</v>
      </c>
      <c r="K65" s="212" t="str">
        <f>IF(OR(J65="",G65=J65),"","*")</f>
        <v/>
      </c>
      <c r="L65" s="338">
        <f>IF($A65&lt;=L$1,I65/I$4,"")</f>
        <v>0.26866666666666666</v>
      </c>
      <c r="M65" s="343"/>
      <c r="N65" s="344" t="s">
        <v>363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4</v>
      </c>
      <c r="B66" s="342"/>
      <c r="C66" s="342" t="s">
        <v>182</v>
      </c>
      <c r="D66" s="340" t="s">
        <v>364</v>
      </c>
      <c r="E66" s="342"/>
      <c r="F66" s="345" t="s">
        <v>314</v>
      </c>
      <c r="G66" s="308">
        <v>0.65</v>
      </c>
      <c r="H66" s="309">
        <v>154500</v>
      </c>
      <c r="I66" s="309">
        <v>100425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365</v>
      </c>
      <c r="AF66" s="341" t="s">
        <v>366</v>
      </c>
    </row>
    <row r="67" spans="1:32">
      <c r="A67" s="307">
        <v>4</v>
      </c>
      <c r="B67" s="342"/>
      <c r="C67" s="342" t="s">
        <v>182</v>
      </c>
      <c r="D67" s="340" t="s">
        <v>367</v>
      </c>
      <c r="E67" s="342" t="s">
        <v>368</v>
      </c>
      <c r="F67" s="345" t="s">
        <v>295</v>
      </c>
      <c r="G67" s="308">
        <v>189</v>
      </c>
      <c r="H67" s="309">
        <v>13300</v>
      </c>
      <c r="I67" s="309">
        <v>2513700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369</v>
      </c>
      <c r="AF67" s="341" t="s">
        <v>370</v>
      </c>
    </row>
    <row r="68" spans="1:32">
      <c r="A68" s="307">
        <v>4</v>
      </c>
      <c r="B68" s="342"/>
      <c r="C68" s="342" t="s">
        <v>182</v>
      </c>
      <c r="D68" s="340" t="s">
        <v>249</v>
      </c>
      <c r="E68" s="342"/>
      <c r="F68" s="345" t="s">
        <v>250</v>
      </c>
      <c r="G68" s="308">
        <v>200</v>
      </c>
      <c r="H68" s="309">
        <v>150</v>
      </c>
      <c r="I68" s="309">
        <v>30000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251</v>
      </c>
      <c r="AF68" s="341" t="s">
        <v>301</v>
      </c>
    </row>
    <row r="69" spans="1:32">
      <c r="A69" s="307">
        <v>4</v>
      </c>
      <c r="B69" s="342"/>
      <c r="C69" s="342" t="s">
        <v>182</v>
      </c>
      <c r="D69" s="340" t="s">
        <v>371</v>
      </c>
      <c r="E69" s="342"/>
      <c r="F69" s="345" t="s">
        <v>250</v>
      </c>
      <c r="G69" s="308">
        <v>4</v>
      </c>
      <c r="H69" s="309">
        <v>160</v>
      </c>
      <c r="I69" s="309">
        <v>640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372</v>
      </c>
      <c r="AF69" s="341" t="s">
        <v>373</v>
      </c>
    </row>
    <row r="70" spans="1:32">
      <c r="A70" s="307">
        <v>4</v>
      </c>
      <c r="B70" s="342"/>
      <c r="C70" s="342" t="s">
        <v>182</v>
      </c>
      <c r="D70" s="340" t="s">
        <v>374</v>
      </c>
      <c r="E70" s="342"/>
      <c r="F70" s="345" t="s">
        <v>375</v>
      </c>
      <c r="G70" s="308">
        <v>30</v>
      </c>
      <c r="H70" s="309">
        <v>260</v>
      </c>
      <c r="I70" s="309">
        <v>7800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376</v>
      </c>
      <c r="AF70" s="341" t="s">
        <v>377</v>
      </c>
    </row>
    <row r="71" spans="1:32">
      <c r="A71" s="307">
        <v>4</v>
      </c>
      <c r="B71" s="342"/>
      <c r="C71" s="342" t="s">
        <v>183</v>
      </c>
      <c r="D71" s="340" t="s">
        <v>253</v>
      </c>
      <c r="E71" s="342" t="s">
        <v>254</v>
      </c>
      <c r="F71" s="345" t="s">
        <v>255</v>
      </c>
      <c r="G71" s="308">
        <v>4</v>
      </c>
      <c r="H71" s="309">
        <v>20000</v>
      </c>
      <c r="I71" s="309">
        <v>80000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256</v>
      </c>
      <c r="AF71" s="341" t="s">
        <v>260</v>
      </c>
    </row>
    <row r="72" spans="1:32">
      <c r="A72" s="307">
        <v>4</v>
      </c>
      <c r="B72" s="342"/>
      <c r="C72" s="342" t="s">
        <v>183</v>
      </c>
      <c r="D72" s="340" t="s">
        <v>258</v>
      </c>
      <c r="E72" s="342" t="s">
        <v>254</v>
      </c>
      <c r="F72" s="345" t="s">
        <v>255</v>
      </c>
      <c r="G72" s="308">
        <v>6</v>
      </c>
      <c r="H72" s="309">
        <v>18000</v>
      </c>
      <c r="I72" s="309">
        <v>108000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259</v>
      </c>
      <c r="AF72" s="341" t="s">
        <v>332</v>
      </c>
    </row>
    <row r="73" spans="1:32">
      <c r="A73" s="307">
        <v>4</v>
      </c>
      <c r="B73" s="342"/>
      <c r="C73" s="342" t="s">
        <v>185</v>
      </c>
      <c r="D73" s="340" t="s">
        <v>333</v>
      </c>
      <c r="E73" s="342" t="s">
        <v>334</v>
      </c>
      <c r="F73" s="345" t="s">
        <v>276</v>
      </c>
      <c r="G73" s="308">
        <v>1</v>
      </c>
      <c r="H73" s="309">
        <v>65000</v>
      </c>
      <c r="I73" s="309">
        <v>65000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335</v>
      </c>
      <c r="AF73" s="341" t="s">
        <v>278</v>
      </c>
    </row>
    <row r="74" spans="1:32">
      <c r="A74" s="307">
        <v>4</v>
      </c>
      <c r="B74" s="342"/>
      <c r="C74" s="342" t="s">
        <v>185</v>
      </c>
      <c r="D74" s="340" t="s">
        <v>336</v>
      </c>
      <c r="E74" s="342" t="s">
        <v>337</v>
      </c>
      <c r="F74" s="345" t="s">
        <v>276</v>
      </c>
      <c r="G74" s="308">
        <v>1</v>
      </c>
      <c r="H74" s="309">
        <v>8000</v>
      </c>
      <c r="I74" s="309">
        <v>8000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338</v>
      </c>
      <c r="AF74" s="341" t="s">
        <v>278</v>
      </c>
    </row>
    <row r="75" spans="1:32">
      <c r="A75" s="307">
        <v>4</v>
      </c>
      <c r="B75" s="342"/>
      <c r="C75" s="342" t="s">
        <v>185</v>
      </c>
      <c r="D75" s="340" t="s">
        <v>339</v>
      </c>
      <c r="E75" s="342" t="s">
        <v>337</v>
      </c>
      <c r="F75" s="345" t="s">
        <v>276</v>
      </c>
      <c r="G75" s="308">
        <v>1</v>
      </c>
      <c r="H75" s="309">
        <v>8000</v>
      </c>
      <c r="I75" s="309">
        <v>8000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340</v>
      </c>
      <c r="AF75" s="341" t="s">
        <v>278</v>
      </c>
    </row>
    <row r="76" spans="1:32">
      <c r="A76" s="307">
        <v>4</v>
      </c>
      <c r="B76" s="342"/>
      <c r="C76" s="342" t="s">
        <v>185</v>
      </c>
      <c r="D76" s="340" t="s">
        <v>341</v>
      </c>
      <c r="E76" s="342" t="s">
        <v>280</v>
      </c>
      <c r="F76" s="345" t="s">
        <v>276</v>
      </c>
      <c r="G76" s="308">
        <v>1</v>
      </c>
      <c r="H76" s="309">
        <v>5000</v>
      </c>
      <c r="I76" s="309">
        <v>5000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342</v>
      </c>
      <c r="AF76" s="341" t="s">
        <v>278</v>
      </c>
    </row>
    <row r="77" spans="1:32">
      <c r="A77" s="307">
        <v>4</v>
      </c>
      <c r="B77" s="342"/>
      <c r="C77" s="342" t="s">
        <v>185</v>
      </c>
      <c r="D77" s="340" t="s">
        <v>274</v>
      </c>
      <c r="E77" s="342" t="s">
        <v>275</v>
      </c>
      <c r="F77" s="345" t="s">
        <v>276</v>
      </c>
      <c r="G77" s="308">
        <v>1</v>
      </c>
      <c r="H77" s="309">
        <v>7000</v>
      </c>
      <c r="I77" s="309">
        <v>7000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277</v>
      </c>
      <c r="AF77" s="341" t="s">
        <v>278</v>
      </c>
    </row>
    <row r="78" spans="1:32">
      <c r="A78" s="307">
        <v>4</v>
      </c>
      <c r="B78" s="342"/>
      <c r="C78" s="342" t="s">
        <v>185</v>
      </c>
      <c r="D78" s="340" t="s">
        <v>343</v>
      </c>
      <c r="E78" s="342"/>
      <c r="F78" s="345" t="s">
        <v>276</v>
      </c>
      <c r="G78" s="308">
        <v>1</v>
      </c>
      <c r="H78" s="309">
        <v>1500</v>
      </c>
      <c r="I78" s="309">
        <v>1500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344</v>
      </c>
      <c r="AF78" s="341" t="s">
        <v>278</v>
      </c>
    </row>
    <row r="79" spans="1:32">
      <c r="A79" s="307">
        <v>4</v>
      </c>
      <c r="B79" s="342"/>
      <c r="C79" s="342" t="s">
        <v>185</v>
      </c>
      <c r="D79" s="340" t="s">
        <v>347</v>
      </c>
      <c r="E79" s="342"/>
      <c r="F79" s="345" t="s">
        <v>276</v>
      </c>
      <c r="G79" s="308">
        <v>1</v>
      </c>
      <c r="H79" s="309">
        <v>1000</v>
      </c>
      <c r="I79" s="309">
        <v>1000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348</v>
      </c>
      <c r="AF79" s="341" t="s">
        <v>278</v>
      </c>
    </row>
    <row r="80" spans="1:32">
      <c r="A80" s="307">
        <v>4</v>
      </c>
      <c r="B80" s="342"/>
      <c r="C80" s="342" t="s">
        <v>185</v>
      </c>
      <c r="D80" s="340" t="s">
        <v>279</v>
      </c>
      <c r="E80" s="342" t="s">
        <v>280</v>
      </c>
      <c r="F80" s="345" t="s">
        <v>276</v>
      </c>
      <c r="G80" s="308">
        <v>1</v>
      </c>
      <c r="H80" s="309">
        <v>10800</v>
      </c>
      <c r="I80" s="309">
        <v>10800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281</v>
      </c>
      <c r="AF80" s="341" t="s">
        <v>278</v>
      </c>
    </row>
    <row r="81" spans="1:32">
      <c r="A81" s="307">
        <v>4</v>
      </c>
      <c r="B81" s="342"/>
      <c r="C81" s="342" t="s">
        <v>186</v>
      </c>
      <c r="D81" s="340" t="s">
        <v>349</v>
      </c>
      <c r="E81" s="342"/>
      <c r="F81" s="345" t="s">
        <v>276</v>
      </c>
      <c r="G81" s="308">
        <v>1</v>
      </c>
      <c r="H81" s="309">
        <v>8000</v>
      </c>
      <c r="I81" s="309">
        <v>8000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350</v>
      </c>
      <c r="AF81" s="341" t="s">
        <v>278</v>
      </c>
    </row>
    <row r="82" spans="1:32">
      <c r="A82" s="307">
        <v>4</v>
      </c>
      <c r="B82" s="342"/>
      <c r="C82" s="342" t="s">
        <v>186</v>
      </c>
      <c r="D82" s="340" t="s">
        <v>282</v>
      </c>
      <c r="E82" s="342" t="s">
        <v>283</v>
      </c>
      <c r="F82" s="345" t="s">
        <v>276</v>
      </c>
      <c r="G82" s="308">
        <v>3</v>
      </c>
      <c r="H82" s="309">
        <v>6000</v>
      </c>
      <c r="I82" s="309">
        <v>18000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284</v>
      </c>
      <c r="AF82" s="341" t="s">
        <v>278</v>
      </c>
    </row>
    <row r="83" spans="1:32">
      <c r="A83" s="307">
        <v>4</v>
      </c>
      <c r="B83" s="342"/>
      <c r="C83" s="342" t="s">
        <v>185</v>
      </c>
      <c r="D83" s="340" t="s">
        <v>378</v>
      </c>
      <c r="E83" s="342"/>
      <c r="F83" s="345" t="s">
        <v>379</v>
      </c>
      <c r="G83" s="308">
        <v>1</v>
      </c>
      <c r="H83" s="309">
        <v>50000</v>
      </c>
      <c r="I83" s="309">
        <v>50000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380</v>
      </c>
      <c r="AF83" s="341" t="s">
        <v>351</v>
      </c>
    </row>
    <row r="84" spans="1:32">
      <c r="A84" s="307">
        <v>2</v>
      </c>
      <c r="B84" s="342"/>
      <c r="C84" s="342" t="s">
        <v>202</v>
      </c>
      <c r="D84" s="340" t="s">
        <v>244</v>
      </c>
      <c r="E84" s="342" t="s">
        <v>233</v>
      </c>
      <c r="F84" s="345" t="s">
        <v>177</v>
      </c>
      <c r="G84" s="308">
        <v>1</v>
      </c>
      <c r="H84" s="309">
        <v>80000</v>
      </c>
      <c r="I84" s="309">
        <v>80000</v>
      </c>
      <c r="J84" s="211">
        <v>1</v>
      </c>
      <c r="K84" s="212" t="str">
        <f>IF(OR(J84="",G84=J84),"","*")</f>
        <v/>
      </c>
      <c r="L84" s="338">
        <f>IF($A84&lt;=L$1,I84/I$4,"")</f>
        <v>7.1111111111111115E-3</v>
      </c>
      <c r="M84" s="343"/>
      <c r="N84" s="344" t="s">
        <v>381</v>
      </c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3</v>
      </c>
      <c r="B85" s="342"/>
      <c r="C85" s="342" t="s">
        <v>246</v>
      </c>
      <c r="D85" s="340" t="s">
        <v>382</v>
      </c>
      <c r="E85" s="342" t="s">
        <v>176</v>
      </c>
      <c r="F85" s="345" t="s">
        <v>177</v>
      </c>
      <c r="G85" s="308">
        <v>1</v>
      </c>
      <c r="H85" s="309">
        <v>80000</v>
      </c>
      <c r="I85" s="309">
        <v>80000</v>
      </c>
      <c r="J85" s="211">
        <v>1</v>
      </c>
      <c r="K85" s="212" t="str">
        <f>IF(OR(J85="",G85=J85),"","*")</f>
        <v/>
      </c>
      <c r="L85" s="338">
        <f>IF($A85&lt;=L$1,I85/I$4,"")</f>
        <v>7.1111111111111115E-3</v>
      </c>
      <c r="M85" s="343"/>
      <c r="N85" s="344" t="s">
        <v>383</v>
      </c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/>
    </row>
    <row r="86" spans="1:32">
      <c r="A86" s="307">
        <v>4</v>
      </c>
      <c r="B86" s="342"/>
      <c r="C86" s="342" t="s">
        <v>184</v>
      </c>
      <c r="D86" s="340" t="s">
        <v>384</v>
      </c>
      <c r="E86" s="342" t="s">
        <v>385</v>
      </c>
      <c r="F86" s="345" t="s">
        <v>386</v>
      </c>
      <c r="G86" s="308">
        <v>75</v>
      </c>
      <c r="H86" s="309">
        <v>160</v>
      </c>
      <c r="I86" s="309">
        <v>12000</v>
      </c>
      <c r="J86" s="211"/>
      <c r="K86" s="212" t="str">
        <f>IF(OR(J86="",G86=J86),"","*")</f>
        <v/>
      </c>
      <c r="L86" s="338" t="str">
        <f>IF($A86&lt;=L$1,I86/I$4,"")</f>
        <v/>
      </c>
      <c r="M86" s="343" t="s">
        <v>387</v>
      </c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388</v>
      </c>
      <c r="AF86" s="341"/>
    </row>
    <row r="87" spans="1:32">
      <c r="A87" s="307">
        <v>4</v>
      </c>
      <c r="B87" s="342"/>
      <c r="C87" s="342" t="s">
        <v>184</v>
      </c>
      <c r="D87" s="340" t="s">
        <v>389</v>
      </c>
      <c r="E87" s="342" t="s">
        <v>385</v>
      </c>
      <c r="F87" s="345" t="s">
        <v>386</v>
      </c>
      <c r="G87" s="308">
        <v>300</v>
      </c>
      <c r="H87" s="309">
        <v>160</v>
      </c>
      <c r="I87" s="309">
        <v>48000</v>
      </c>
      <c r="J87" s="211"/>
      <c r="K87" s="212" t="str">
        <f>IF(OR(J87="",G87=J87),"","*")</f>
        <v/>
      </c>
      <c r="L87" s="338" t="str">
        <f>IF($A87&lt;=L$1,I87/I$4,"")</f>
        <v/>
      </c>
      <c r="M87" s="343" t="s">
        <v>387</v>
      </c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390</v>
      </c>
      <c r="AF87" s="341"/>
    </row>
    <row r="88" spans="1:32">
      <c r="A88" s="307">
        <v>4</v>
      </c>
      <c r="B88" s="342"/>
      <c r="C88" s="342" t="s">
        <v>184</v>
      </c>
      <c r="D88" s="340" t="s">
        <v>270</v>
      </c>
      <c r="E88" s="342"/>
      <c r="F88" s="345" t="s">
        <v>177</v>
      </c>
      <c r="G88" s="308">
        <v>1</v>
      </c>
      <c r="H88" s="309">
        <v>15000</v>
      </c>
      <c r="I88" s="309">
        <v>15000</v>
      </c>
      <c r="J88" s="211"/>
      <c r="K88" s="212" t="str">
        <f>IF(OR(J88="",G88=J88),"","*")</f>
        <v/>
      </c>
      <c r="L88" s="338" t="str">
        <f>IF($A88&lt;=L$1,I88/I$4,"")</f>
        <v/>
      </c>
      <c r="M88" s="343" t="s">
        <v>387</v>
      </c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271</v>
      </c>
      <c r="AF88" s="341"/>
    </row>
    <row r="89" spans="1:32">
      <c r="A89" s="307">
        <v>4</v>
      </c>
      <c r="B89" s="342"/>
      <c r="C89" s="342" t="s">
        <v>184</v>
      </c>
      <c r="D89" s="340" t="s">
        <v>272</v>
      </c>
      <c r="E89" s="342"/>
      <c r="F89" s="345" t="s">
        <v>177</v>
      </c>
      <c r="G89" s="308">
        <v>1</v>
      </c>
      <c r="H89" s="309">
        <v>5000</v>
      </c>
      <c r="I89" s="309">
        <v>5000</v>
      </c>
      <c r="J89" s="211"/>
      <c r="K89" s="212" t="str">
        <f>IF(OR(J89="",G89=J89),"","*")</f>
        <v/>
      </c>
      <c r="L89" s="338" t="str">
        <f>IF($A89&lt;=L$1,I89/I$4,"")</f>
        <v/>
      </c>
      <c r="M89" s="343" t="s">
        <v>387</v>
      </c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273</v>
      </c>
      <c r="AF89" s="341"/>
    </row>
    <row r="90" spans="1:32">
      <c r="A90" s="307">
        <v>2</v>
      </c>
      <c r="B90" s="342"/>
      <c r="C90" s="342" t="s">
        <v>202</v>
      </c>
      <c r="D90" s="340" t="s">
        <v>244</v>
      </c>
      <c r="E90" s="342" t="s">
        <v>234</v>
      </c>
      <c r="F90" s="345" t="s">
        <v>177</v>
      </c>
      <c r="G90" s="308">
        <v>1</v>
      </c>
      <c r="H90" s="309">
        <v>1276828</v>
      </c>
      <c r="I90" s="309">
        <v>1276828</v>
      </c>
      <c r="J90" s="211">
        <v>1</v>
      </c>
      <c r="K90" s="212" t="str">
        <f>IF(OR(J90="",G90=J90),"","*")</f>
        <v/>
      </c>
      <c r="L90" s="338">
        <f>IF($A90&lt;=L$1,I90/I$4,"")</f>
        <v>0.11349582222222222</v>
      </c>
      <c r="M90" s="343"/>
      <c r="N90" s="344" t="s">
        <v>391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3</v>
      </c>
      <c r="B91" s="342"/>
      <c r="C91" s="342" t="s">
        <v>246</v>
      </c>
      <c r="D91" s="340" t="s">
        <v>392</v>
      </c>
      <c r="E91" s="342" t="s">
        <v>178</v>
      </c>
      <c r="F91" s="345" t="s">
        <v>168</v>
      </c>
      <c r="G91" s="308">
        <v>124</v>
      </c>
      <c r="H91" s="309">
        <v>4433</v>
      </c>
      <c r="I91" s="309">
        <v>549692</v>
      </c>
      <c r="J91" s="211">
        <v>124</v>
      </c>
      <c r="K91" s="212" t="str">
        <f>IF(OR(J91="",G91=J91),"","*")</f>
        <v/>
      </c>
      <c r="L91" s="338">
        <f>IF($A91&lt;=L$1,I91/I$4,"")</f>
        <v>4.886151111111111E-2</v>
      </c>
      <c r="M91" s="343"/>
      <c r="N91" s="344" t="s">
        <v>393</v>
      </c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4</v>
      </c>
      <c r="B92" s="342"/>
      <c r="C92" s="342" t="s">
        <v>182</v>
      </c>
      <c r="D92" s="340" t="s">
        <v>323</v>
      </c>
      <c r="E92" s="342" t="s">
        <v>324</v>
      </c>
      <c r="F92" s="345" t="s">
        <v>314</v>
      </c>
      <c r="G92" s="308">
        <v>32</v>
      </c>
      <c r="H92" s="309">
        <v>11700</v>
      </c>
      <c r="I92" s="309">
        <v>374400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326</v>
      </c>
      <c r="AF92" s="341" t="s">
        <v>394</v>
      </c>
    </row>
    <row r="93" spans="1:32">
      <c r="A93" s="307">
        <v>4</v>
      </c>
      <c r="B93" s="342"/>
      <c r="C93" s="342" t="s">
        <v>182</v>
      </c>
      <c r="D93" s="340" t="s">
        <v>313</v>
      </c>
      <c r="E93" s="342"/>
      <c r="F93" s="345" t="s">
        <v>314</v>
      </c>
      <c r="G93" s="308">
        <v>0.15</v>
      </c>
      <c r="H93" s="309">
        <v>104000</v>
      </c>
      <c r="I93" s="309">
        <v>15600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315</v>
      </c>
      <c r="AF93" s="341" t="s">
        <v>395</v>
      </c>
    </row>
    <row r="94" spans="1:32">
      <c r="A94" s="307">
        <v>4</v>
      </c>
      <c r="B94" s="342"/>
      <c r="C94" s="342" t="s">
        <v>182</v>
      </c>
      <c r="D94" s="340" t="s">
        <v>317</v>
      </c>
      <c r="E94" s="342"/>
      <c r="F94" s="345" t="s">
        <v>318</v>
      </c>
      <c r="G94" s="308">
        <v>0.25</v>
      </c>
      <c r="H94" s="309">
        <v>4000</v>
      </c>
      <c r="I94" s="309">
        <v>1000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319</v>
      </c>
      <c r="AF94" s="341" t="s">
        <v>396</v>
      </c>
    </row>
    <row r="95" spans="1:32">
      <c r="A95" s="307">
        <v>4</v>
      </c>
      <c r="B95" s="342"/>
      <c r="C95" s="342" t="s">
        <v>182</v>
      </c>
      <c r="D95" s="340" t="s">
        <v>249</v>
      </c>
      <c r="E95" s="342"/>
      <c r="F95" s="345" t="s">
        <v>250</v>
      </c>
      <c r="G95" s="308">
        <v>40</v>
      </c>
      <c r="H95" s="309">
        <v>150</v>
      </c>
      <c r="I95" s="309">
        <v>6000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251</v>
      </c>
      <c r="AF95" s="341" t="s">
        <v>397</v>
      </c>
    </row>
    <row r="96" spans="1:32">
      <c r="A96" s="307">
        <v>4</v>
      </c>
      <c r="B96" s="342"/>
      <c r="C96" s="342" t="s">
        <v>182</v>
      </c>
      <c r="D96" s="340" t="s">
        <v>374</v>
      </c>
      <c r="E96" s="342"/>
      <c r="F96" s="345" t="s">
        <v>375</v>
      </c>
      <c r="G96" s="308">
        <v>20</v>
      </c>
      <c r="H96" s="309">
        <v>260</v>
      </c>
      <c r="I96" s="309">
        <v>5200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376</v>
      </c>
      <c r="AF96" s="341" t="s">
        <v>398</v>
      </c>
    </row>
    <row r="97" spans="1:32">
      <c r="A97" s="307">
        <v>4</v>
      </c>
      <c r="B97" s="342"/>
      <c r="C97" s="342" t="s">
        <v>183</v>
      </c>
      <c r="D97" s="340" t="s">
        <v>253</v>
      </c>
      <c r="E97" s="342" t="s">
        <v>254</v>
      </c>
      <c r="F97" s="345" t="s">
        <v>255</v>
      </c>
      <c r="G97" s="308">
        <v>2</v>
      </c>
      <c r="H97" s="309">
        <v>20000</v>
      </c>
      <c r="I97" s="309">
        <v>40000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256</v>
      </c>
      <c r="AF97" s="341" t="s">
        <v>257</v>
      </c>
    </row>
    <row r="98" spans="1:32">
      <c r="A98" s="307">
        <v>4</v>
      </c>
      <c r="B98" s="342"/>
      <c r="C98" s="342" t="s">
        <v>183</v>
      </c>
      <c r="D98" s="340" t="s">
        <v>258</v>
      </c>
      <c r="E98" s="342" t="s">
        <v>254</v>
      </c>
      <c r="F98" s="345" t="s">
        <v>255</v>
      </c>
      <c r="G98" s="308">
        <v>4</v>
      </c>
      <c r="H98" s="309">
        <v>18000</v>
      </c>
      <c r="I98" s="309">
        <v>72000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259</v>
      </c>
      <c r="AF98" s="341" t="s">
        <v>260</v>
      </c>
    </row>
    <row r="99" spans="1:32">
      <c r="A99" s="307">
        <v>4</v>
      </c>
      <c r="B99" s="342"/>
      <c r="C99" s="342" t="s">
        <v>185</v>
      </c>
      <c r="D99" s="340" t="s">
        <v>399</v>
      </c>
      <c r="E99" s="342" t="s">
        <v>400</v>
      </c>
      <c r="F99" s="345" t="s">
        <v>276</v>
      </c>
      <c r="G99" s="308">
        <v>1</v>
      </c>
      <c r="H99" s="309">
        <v>12000</v>
      </c>
      <c r="I99" s="309">
        <v>12000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401</v>
      </c>
      <c r="AF99" s="341" t="s">
        <v>278</v>
      </c>
    </row>
    <row r="100" spans="1:32">
      <c r="A100" s="307">
        <v>4</v>
      </c>
      <c r="B100" s="342"/>
      <c r="C100" s="342" t="s">
        <v>185</v>
      </c>
      <c r="D100" s="340" t="s">
        <v>343</v>
      </c>
      <c r="E100" s="342"/>
      <c r="F100" s="345" t="s">
        <v>276</v>
      </c>
      <c r="G100" s="308">
        <v>1</v>
      </c>
      <c r="H100" s="309">
        <v>1500</v>
      </c>
      <c r="I100" s="309">
        <v>1500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344</v>
      </c>
      <c r="AF100" s="341" t="s">
        <v>278</v>
      </c>
    </row>
    <row r="101" spans="1:32">
      <c r="A101" s="307">
        <v>4</v>
      </c>
      <c r="B101" s="342"/>
      <c r="C101" s="342" t="s">
        <v>185</v>
      </c>
      <c r="D101" s="340" t="s">
        <v>345</v>
      </c>
      <c r="E101" s="342"/>
      <c r="F101" s="345" t="s">
        <v>276</v>
      </c>
      <c r="G101" s="308">
        <v>1</v>
      </c>
      <c r="H101" s="309">
        <v>1000</v>
      </c>
      <c r="I101" s="309">
        <v>1000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346</v>
      </c>
      <c r="AF101" s="341" t="s">
        <v>278</v>
      </c>
    </row>
    <row r="102" spans="1:32">
      <c r="A102" s="307">
        <v>4</v>
      </c>
      <c r="B102" s="342"/>
      <c r="C102" s="342" t="s">
        <v>185</v>
      </c>
      <c r="D102" s="340" t="s">
        <v>347</v>
      </c>
      <c r="E102" s="342"/>
      <c r="F102" s="345" t="s">
        <v>276</v>
      </c>
      <c r="G102" s="308">
        <v>1</v>
      </c>
      <c r="H102" s="309">
        <v>1000</v>
      </c>
      <c r="I102" s="309">
        <v>1000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348</v>
      </c>
      <c r="AF102" s="341" t="s">
        <v>278</v>
      </c>
    </row>
    <row r="103" spans="1:32">
      <c r="A103" s="307">
        <v>4</v>
      </c>
      <c r="B103" s="342"/>
      <c r="C103" s="342" t="s">
        <v>186</v>
      </c>
      <c r="D103" s="340" t="s">
        <v>349</v>
      </c>
      <c r="E103" s="342"/>
      <c r="F103" s="345" t="s">
        <v>276</v>
      </c>
      <c r="G103" s="308">
        <v>1</v>
      </c>
      <c r="H103" s="309">
        <v>8000</v>
      </c>
      <c r="I103" s="309">
        <v>8000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350</v>
      </c>
      <c r="AF103" s="341" t="s">
        <v>278</v>
      </c>
    </row>
    <row r="104" spans="1:32">
      <c r="A104" s="307">
        <v>4</v>
      </c>
      <c r="B104" s="342"/>
      <c r="C104" s="342" t="s">
        <v>186</v>
      </c>
      <c r="D104" s="340" t="s">
        <v>282</v>
      </c>
      <c r="E104" s="342" t="s">
        <v>283</v>
      </c>
      <c r="F104" s="345" t="s">
        <v>276</v>
      </c>
      <c r="G104" s="308">
        <v>2</v>
      </c>
      <c r="H104" s="309">
        <v>6000</v>
      </c>
      <c r="I104" s="309">
        <v>12000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284</v>
      </c>
      <c r="AF104" s="341" t="s">
        <v>285</v>
      </c>
    </row>
    <row r="105" spans="1:32">
      <c r="A105" s="307">
        <v>3</v>
      </c>
      <c r="B105" s="342"/>
      <c r="C105" s="342" t="s">
        <v>246</v>
      </c>
      <c r="D105" s="340" t="s">
        <v>392</v>
      </c>
      <c r="E105" s="342" t="s">
        <v>179</v>
      </c>
      <c r="F105" s="345" t="s">
        <v>168</v>
      </c>
      <c r="G105" s="308">
        <v>124</v>
      </c>
      <c r="H105" s="309">
        <v>5864</v>
      </c>
      <c r="I105" s="309">
        <v>727136</v>
      </c>
      <c r="J105" s="211">
        <v>124</v>
      </c>
      <c r="K105" s="212" t="str">
        <f>IF(OR(J105="",G105=J105),"","*")</f>
        <v/>
      </c>
      <c r="L105" s="338">
        <f>IF($A105&lt;=L$1,I105/I$4,"")</f>
        <v>6.4634311111111106E-2</v>
      </c>
      <c r="M105" s="343"/>
      <c r="N105" s="344" t="s">
        <v>402</v>
      </c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4</v>
      </c>
      <c r="B106" s="342"/>
      <c r="C106" s="342" t="s">
        <v>182</v>
      </c>
      <c r="D106" s="340" t="s">
        <v>321</v>
      </c>
      <c r="E106" s="342"/>
      <c r="F106" s="345" t="s">
        <v>314</v>
      </c>
      <c r="G106" s="308">
        <v>0.11</v>
      </c>
      <c r="H106" s="309">
        <v>104000</v>
      </c>
      <c r="I106" s="309">
        <v>11440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315</v>
      </c>
      <c r="AF106" s="341" t="s">
        <v>403</v>
      </c>
    </row>
    <row r="107" spans="1:32">
      <c r="A107" s="307">
        <v>4</v>
      </c>
      <c r="B107" s="342"/>
      <c r="C107" s="342" t="s">
        <v>182</v>
      </c>
      <c r="D107" s="340" t="s">
        <v>328</v>
      </c>
      <c r="E107" s="342" t="s">
        <v>324</v>
      </c>
      <c r="F107" s="345" t="s">
        <v>314</v>
      </c>
      <c r="G107" s="308">
        <v>16</v>
      </c>
      <c r="H107" s="309">
        <v>12700</v>
      </c>
      <c r="I107" s="309">
        <v>203200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329</v>
      </c>
      <c r="AF107" s="341" t="s">
        <v>404</v>
      </c>
    </row>
    <row r="108" spans="1:32">
      <c r="A108" s="307">
        <v>4</v>
      </c>
      <c r="B108" s="342"/>
      <c r="C108" s="342" t="s">
        <v>182</v>
      </c>
      <c r="D108" s="340" t="s">
        <v>367</v>
      </c>
      <c r="E108" s="342" t="s">
        <v>405</v>
      </c>
      <c r="F108" s="345" t="s">
        <v>295</v>
      </c>
      <c r="G108" s="308">
        <v>16</v>
      </c>
      <c r="H108" s="309">
        <v>15300</v>
      </c>
      <c r="I108" s="309">
        <v>244800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406</v>
      </c>
      <c r="AF108" s="341" t="s">
        <v>404</v>
      </c>
    </row>
    <row r="109" spans="1:32">
      <c r="A109" s="307">
        <v>4</v>
      </c>
      <c r="B109" s="342"/>
      <c r="C109" s="342" t="s">
        <v>182</v>
      </c>
      <c r="D109" s="340" t="s">
        <v>249</v>
      </c>
      <c r="E109" s="342"/>
      <c r="F109" s="345" t="s">
        <v>250</v>
      </c>
      <c r="G109" s="308">
        <v>80</v>
      </c>
      <c r="H109" s="309">
        <v>150</v>
      </c>
      <c r="I109" s="309">
        <v>12000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251</v>
      </c>
      <c r="AF109" s="341" t="s">
        <v>407</v>
      </c>
    </row>
    <row r="110" spans="1:32">
      <c r="A110" s="307">
        <v>4</v>
      </c>
      <c r="B110" s="342"/>
      <c r="C110" s="342" t="s">
        <v>182</v>
      </c>
      <c r="D110" s="340" t="s">
        <v>374</v>
      </c>
      <c r="E110" s="342"/>
      <c r="F110" s="345" t="s">
        <v>375</v>
      </c>
      <c r="G110" s="308">
        <v>30</v>
      </c>
      <c r="H110" s="309">
        <v>260</v>
      </c>
      <c r="I110" s="309">
        <v>7800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376</v>
      </c>
      <c r="AF110" s="341" t="s">
        <v>377</v>
      </c>
    </row>
    <row r="111" spans="1:32">
      <c r="A111" s="307">
        <v>4</v>
      </c>
      <c r="B111" s="342"/>
      <c r="C111" s="342" t="s">
        <v>183</v>
      </c>
      <c r="D111" s="340" t="s">
        <v>253</v>
      </c>
      <c r="E111" s="342" t="s">
        <v>254</v>
      </c>
      <c r="F111" s="345" t="s">
        <v>255</v>
      </c>
      <c r="G111" s="308">
        <v>4</v>
      </c>
      <c r="H111" s="309">
        <v>20000</v>
      </c>
      <c r="I111" s="309">
        <v>80000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 t="s">
        <v>256</v>
      </c>
      <c r="AF111" s="341"/>
    </row>
    <row r="112" spans="1:32">
      <c r="A112" s="307">
        <v>4</v>
      </c>
      <c r="B112" s="342"/>
      <c r="C112" s="342" t="s">
        <v>183</v>
      </c>
      <c r="D112" s="340" t="s">
        <v>258</v>
      </c>
      <c r="E112" s="342" t="s">
        <v>254</v>
      </c>
      <c r="F112" s="345" t="s">
        <v>255</v>
      </c>
      <c r="G112" s="308">
        <v>6</v>
      </c>
      <c r="H112" s="309">
        <v>18000</v>
      </c>
      <c r="I112" s="309">
        <v>108000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 t="s">
        <v>259</v>
      </c>
      <c r="AF112" s="341"/>
    </row>
    <row r="113" spans="1:32">
      <c r="A113" s="307">
        <v>4</v>
      </c>
      <c r="B113" s="342"/>
      <c r="C113" s="342" t="s">
        <v>185</v>
      </c>
      <c r="D113" s="340" t="s">
        <v>408</v>
      </c>
      <c r="E113" s="342" t="s">
        <v>409</v>
      </c>
      <c r="F113" s="345" t="s">
        <v>276</v>
      </c>
      <c r="G113" s="308">
        <v>1</v>
      </c>
      <c r="H113" s="309">
        <v>15000</v>
      </c>
      <c r="I113" s="309">
        <v>15000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/>
    </row>
    <row r="114" spans="1:32">
      <c r="A114" s="307">
        <v>4</v>
      </c>
      <c r="B114" s="342"/>
      <c r="C114" s="342" t="s">
        <v>185</v>
      </c>
      <c r="D114" s="340" t="s">
        <v>399</v>
      </c>
      <c r="E114" s="342" t="s">
        <v>400</v>
      </c>
      <c r="F114" s="345" t="s">
        <v>276</v>
      </c>
      <c r="G114" s="308">
        <v>1</v>
      </c>
      <c r="H114" s="309">
        <v>12000</v>
      </c>
      <c r="I114" s="309">
        <v>12000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401</v>
      </c>
      <c r="AF114" s="341"/>
    </row>
    <row r="115" spans="1:32">
      <c r="A115" s="307">
        <v>4</v>
      </c>
      <c r="B115" s="342"/>
      <c r="C115" s="342" t="s">
        <v>185</v>
      </c>
      <c r="D115" s="340" t="s">
        <v>341</v>
      </c>
      <c r="E115" s="342" t="s">
        <v>280</v>
      </c>
      <c r="F115" s="345" t="s">
        <v>276</v>
      </c>
      <c r="G115" s="308">
        <v>1</v>
      </c>
      <c r="H115" s="309">
        <v>4500</v>
      </c>
      <c r="I115" s="309">
        <v>4500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342</v>
      </c>
      <c r="AF115" s="341"/>
    </row>
    <row r="116" spans="1:32">
      <c r="A116" s="307">
        <v>4</v>
      </c>
      <c r="B116" s="342"/>
      <c r="C116" s="342" t="s">
        <v>185</v>
      </c>
      <c r="D116" s="340" t="s">
        <v>343</v>
      </c>
      <c r="E116" s="342"/>
      <c r="F116" s="345" t="s">
        <v>276</v>
      </c>
      <c r="G116" s="308">
        <v>1</v>
      </c>
      <c r="H116" s="309">
        <v>1500</v>
      </c>
      <c r="I116" s="309">
        <v>1500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344</v>
      </c>
      <c r="AF116" s="341"/>
    </row>
    <row r="117" spans="1:32">
      <c r="A117" s="307">
        <v>4</v>
      </c>
      <c r="B117" s="342"/>
      <c r="C117" s="342" t="s">
        <v>185</v>
      </c>
      <c r="D117" s="340" t="s">
        <v>347</v>
      </c>
      <c r="E117" s="342"/>
      <c r="F117" s="345" t="s">
        <v>276</v>
      </c>
      <c r="G117" s="308">
        <v>1</v>
      </c>
      <c r="H117" s="309">
        <v>1000</v>
      </c>
      <c r="I117" s="309">
        <v>1000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348</v>
      </c>
      <c r="AF117" s="341"/>
    </row>
    <row r="118" spans="1:32">
      <c r="A118" s="307">
        <v>4</v>
      </c>
      <c r="B118" s="342"/>
      <c r="C118" s="342" t="s">
        <v>186</v>
      </c>
      <c r="D118" s="340" t="s">
        <v>349</v>
      </c>
      <c r="E118" s="342"/>
      <c r="F118" s="345" t="s">
        <v>276</v>
      </c>
      <c r="G118" s="308">
        <v>1</v>
      </c>
      <c r="H118" s="309">
        <v>8000</v>
      </c>
      <c r="I118" s="309">
        <v>8000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350</v>
      </c>
      <c r="AF118" s="341"/>
    </row>
    <row r="119" spans="1:32">
      <c r="A119" s="307">
        <v>4</v>
      </c>
      <c r="B119" s="342"/>
      <c r="C119" s="342" t="s">
        <v>186</v>
      </c>
      <c r="D119" s="340" t="s">
        <v>282</v>
      </c>
      <c r="E119" s="342" t="s">
        <v>283</v>
      </c>
      <c r="F119" s="345" t="s">
        <v>276</v>
      </c>
      <c r="G119" s="308">
        <v>3</v>
      </c>
      <c r="H119" s="309">
        <v>6000</v>
      </c>
      <c r="I119" s="309">
        <v>18000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 t="s">
        <v>284</v>
      </c>
      <c r="AF119" s="341"/>
    </row>
    <row r="120" spans="1:32">
      <c r="A120" s="307">
        <v>2</v>
      </c>
      <c r="B120" s="342"/>
      <c r="C120" s="342" t="s">
        <v>202</v>
      </c>
      <c r="D120" s="340" t="s">
        <v>410</v>
      </c>
      <c r="E120" s="342" t="s">
        <v>234</v>
      </c>
      <c r="F120" s="345" t="s">
        <v>177</v>
      </c>
      <c r="G120" s="308">
        <v>1</v>
      </c>
      <c r="H120" s="309">
        <v>339086</v>
      </c>
      <c r="I120" s="309">
        <v>339086</v>
      </c>
      <c r="J120" s="211">
        <v>1</v>
      </c>
      <c r="K120" s="212" t="str">
        <f>IF(OR(J120="",G120=J120),"","*")</f>
        <v/>
      </c>
      <c r="L120" s="338">
        <f>IF($A120&lt;=L$1,I120/I$4,"")</f>
        <v>3.0140977777777779E-2</v>
      </c>
      <c r="M120" s="343"/>
      <c r="N120" s="344" t="s">
        <v>411</v>
      </c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/>
    </row>
    <row r="121" spans="1:32">
      <c r="A121" s="307">
        <v>3</v>
      </c>
      <c r="B121" s="342"/>
      <c r="C121" s="342" t="s">
        <v>246</v>
      </c>
      <c r="D121" s="340" t="s">
        <v>412</v>
      </c>
      <c r="E121" s="342" t="s">
        <v>180</v>
      </c>
      <c r="F121" s="345" t="s">
        <v>168</v>
      </c>
      <c r="G121" s="308">
        <v>22</v>
      </c>
      <c r="H121" s="309">
        <v>15413</v>
      </c>
      <c r="I121" s="309">
        <v>339086</v>
      </c>
      <c r="J121" s="211">
        <v>22</v>
      </c>
      <c r="K121" s="212" t="str">
        <f>IF(OR(J121="",G121=J121),"","*")</f>
        <v/>
      </c>
      <c r="L121" s="338">
        <f>IF($A121&lt;=L$1,I121/I$4,"")</f>
        <v>3.0140977777777779E-2</v>
      </c>
      <c r="M121" s="343"/>
      <c r="N121" s="344" t="s">
        <v>413</v>
      </c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/>
      <c r="AF121" s="341"/>
    </row>
    <row r="122" spans="1:32">
      <c r="A122" s="307">
        <v>4</v>
      </c>
      <c r="B122" s="342"/>
      <c r="C122" s="342" t="s">
        <v>182</v>
      </c>
      <c r="D122" s="340" t="s">
        <v>313</v>
      </c>
      <c r="E122" s="342"/>
      <c r="F122" s="345" t="s">
        <v>314</v>
      </c>
      <c r="G122" s="308">
        <v>0.03</v>
      </c>
      <c r="H122" s="309">
        <v>104000</v>
      </c>
      <c r="I122" s="309">
        <v>3120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 t="s">
        <v>315</v>
      </c>
      <c r="AF122" s="341" t="s">
        <v>414</v>
      </c>
    </row>
    <row r="123" spans="1:32">
      <c r="A123" s="307">
        <v>4</v>
      </c>
      <c r="B123" s="342"/>
      <c r="C123" s="342" t="s">
        <v>182</v>
      </c>
      <c r="D123" s="340" t="s">
        <v>321</v>
      </c>
      <c r="E123" s="342"/>
      <c r="F123" s="345" t="s">
        <v>314</v>
      </c>
      <c r="G123" s="308">
        <v>0.02</v>
      </c>
      <c r="H123" s="309">
        <v>104000</v>
      </c>
      <c r="I123" s="309">
        <v>2080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 t="s">
        <v>315</v>
      </c>
      <c r="AF123" s="341" t="s">
        <v>415</v>
      </c>
    </row>
    <row r="124" spans="1:32">
      <c r="A124" s="307">
        <v>4</v>
      </c>
      <c r="B124" s="342"/>
      <c r="C124" s="342" t="s">
        <v>182</v>
      </c>
      <c r="D124" s="340" t="s">
        <v>323</v>
      </c>
      <c r="E124" s="342" t="s">
        <v>416</v>
      </c>
      <c r="F124" s="345" t="s">
        <v>314</v>
      </c>
      <c r="G124" s="308">
        <v>6</v>
      </c>
      <c r="H124" s="309">
        <v>10300</v>
      </c>
      <c r="I124" s="309">
        <v>61800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 t="s">
        <v>417</v>
      </c>
      <c r="AF124" s="341" t="s">
        <v>418</v>
      </c>
    </row>
    <row r="125" spans="1:32">
      <c r="A125" s="307">
        <v>4</v>
      </c>
      <c r="B125" s="342"/>
      <c r="C125" s="342" t="s">
        <v>182</v>
      </c>
      <c r="D125" s="340" t="s">
        <v>328</v>
      </c>
      <c r="E125" s="342" t="s">
        <v>416</v>
      </c>
      <c r="F125" s="345" t="s">
        <v>314</v>
      </c>
      <c r="G125" s="308">
        <v>3</v>
      </c>
      <c r="H125" s="309">
        <v>11100</v>
      </c>
      <c r="I125" s="309">
        <v>33300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419</v>
      </c>
      <c r="AF125" s="341" t="s">
        <v>420</v>
      </c>
    </row>
    <row r="126" spans="1:32">
      <c r="A126" s="307">
        <v>4</v>
      </c>
      <c r="B126" s="342"/>
      <c r="C126" s="342" t="s">
        <v>182</v>
      </c>
      <c r="D126" s="340" t="s">
        <v>367</v>
      </c>
      <c r="E126" s="342" t="s">
        <v>421</v>
      </c>
      <c r="F126" s="345" t="s">
        <v>295</v>
      </c>
      <c r="G126" s="308">
        <v>3</v>
      </c>
      <c r="H126" s="309">
        <v>11700</v>
      </c>
      <c r="I126" s="309">
        <v>35100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 t="s">
        <v>369</v>
      </c>
      <c r="AF126" s="341" t="s">
        <v>420</v>
      </c>
    </row>
    <row r="127" spans="1:32">
      <c r="A127" s="307">
        <v>4</v>
      </c>
      <c r="B127" s="342"/>
      <c r="C127" s="342" t="s">
        <v>182</v>
      </c>
      <c r="D127" s="340" t="s">
        <v>249</v>
      </c>
      <c r="E127" s="342"/>
      <c r="F127" s="345" t="s">
        <v>250</v>
      </c>
      <c r="G127" s="308">
        <v>20</v>
      </c>
      <c r="H127" s="309">
        <v>150</v>
      </c>
      <c r="I127" s="309">
        <v>3000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251</v>
      </c>
      <c r="AF127" s="341" t="s">
        <v>422</v>
      </c>
    </row>
    <row r="128" spans="1:32">
      <c r="A128" s="307">
        <v>4</v>
      </c>
      <c r="B128" s="342"/>
      <c r="C128" s="342" t="s">
        <v>182</v>
      </c>
      <c r="D128" s="340" t="s">
        <v>374</v>
      </c>
      <c r="E128" s="342"/>
      <c r="F128" s="345" t="s">
        <v>375</v>
      </c>
      <c r="G128" s="308">
        <v>20</v>
      </c>
      <c r="H128" s="309">
        <v>260</v>
      </c>
      <c r="I128" s="309">
        <v>5200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376</v>
      </c>
      <c r="AF128" s="341" t="s">
        <v>398</v>
      </c>
    </row>
    <row r="129" spans="1:32">
      <c r="A129" s="307">
        <v>4</v>
      </c>
      <c r="B129" s="342"/>
      <c r="C129" s="342" t="s">
        <v>183</v>
      </c>
      <c r="D129" s="340" t="s">
        <v>253</v>
      </c>
      <c r="E129" s="342" t="s">
        <v>254</v>
      </c>
      <c r="F129" s="345" t="s">
        <v>255</v>
      </c>
      <c r="G129" s="308">
        <v>2</v>
      </c>
      <c r="H129" s="309">
        <v>20000</v>
      </c>
      <c r="I129" s="309">
        <v>40000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256</v>
      </c>
      <c r="AF129" s="341" t="s">
        <v>257</v>
      </c>
    </row>
    <row r="130" spans="1:32">
      <c r="A130" s="307">
        <v>4</v>
      </c>
      <c r="B130" s="342"/>
      <c r="C130" s="342" t="s">
        <v>183</v>
      </c>
      <c r="D130" s="340" t="s">
        <v>258</v>
      </c>
      <c r="E130" s="342" t="s">
        <v>254</v>
      </c>
      <c r="F130" s="345" t="s">
        <v>255</v>
      </c>
      <c r="G130" s="308">
        <v>6</v>
      </c>
      <c r="H130" s="309">
        <v>18000</v>
      </c>
      <c r="I130" s="309">
        <v>108000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259</v>
      </c>
      <c r="AF130" s="341" t="s">
        <v>332</v>
      </c>
    </row>
    <row r="131" spans="1:32">
      <c r="A131" s="307">
        <v>4</v>
      </c>
      <c r="B131" s="342"/>
      <c r="C131" s="342" t="s">
        <v>185</v>
      </c>
      <c r="D131" s="340" t="s">
        <v>423</v>
      </c>
      <c r="E131" s="342" t="s">
        <v>424</v>
      </c>
      <c r="F131" s="345" t="s">
        <v>276</v>
      </c>
      <c r="G131" s="308">
        <v>1</v>
      </c>
      <c r="H131" s="309">
        <v>8000</v>
      </c>
      <c r="I131" s="309">
        <v>8000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/>
      <c r="AF131" s="341" t="s">
        <v>278</v>
      </c>
    </row>
    <row r="132" spans="1:32">
      <c r="A132" s="307">
        <v>4</v>
      </c>
      <c r="B132" s="342"/>
      <c r="C132" s="342" t="s">
        <v>185</v>
      </c>
      <c r="D132" s="340" t="s">
        <v>343</v>
      </c>
      <c r="E132" s="342"/>
      <c r="F132" s="345" t="s">
        <v>276</v>
      </c>
      <c r="G132" s="308">
        <v>1</v>
      </c>
      <c r="H132" s="309">
        <v>1500</v>
      </c>
      <c r="I132" s="309">
        <v>1500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344</v>
      </c>
      <c r="AF132" s="341" t="s">
        <v>278</v>
      </c>
    </row>
    <row r="133" spans="1:32">
      <c r="A133" s="307">
        <v>4</v>
      </c>
      <c r="B133" s="342"/>
      <c r="C133" s="342" t="s">
        <v>185</v>
      </c>
      <c r="D133" s="340" t="s">
        <v>345</v>
      </c>
      <c r="E133" s="342"/>
      <c r="F133" s="345" t="s">
        <v>276</v>
      </c>
      <c r="G133" s="308">
        <v>1</v>
      </c>
      <c r="H133" s="309">
        <v>1000</v>
      </c>
      <c r="I133" s="309">
        <v>1000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346</v>
      </c>
      <c r="AF133" s="341" t="s">
        <v>278</v>
      </c>
    </row>
    <row r="134" spans="1:32">
      <c r="A134" s="307">
        <v>4</v>
      </c>
      <c r="B134" s="342"/>
      <c r="C134" s="342" t="s">
        <v>185</v>
      </c>
      <c r="D134" s="340" t="s">
        <v>347</v>
      </c>
      <c r="E134" s="342"/>
      <c r="F134" s="345" t="s">
        <v>276</v>
      </c>
      <c r="G134" s="308">
        <v>1</v>
      </c>
      <c r="H134" s="309">
        <v>1000</v>
      </c>
      <c r="I134" s="309">
        <v>1000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348</v>
      </c>
      <c r="AF134" s="341" t="s">
        <v>278</v>
      </c>
    </row>
    <row r="135" spans="1:32">
      <c r="A135" s="307">
        <v>4</v>
      </c>
      <c r="B135" s="342"/>
      <c r="C135" s="342" t="s">
        <v>186</v>
      </c>
      <c r="D135" s="340" t="s">
        <v>349</v>
      </c>
      <c r="E135" s="342"/>
      <c r="F135" s="345" t="s">
        <v>276</v>
      </c>
      <c r="G135" s="308">
        <v>1</v>
      </c>
      <c r="H135" s="309">
        <v>8000</v>
      </c>
      <c r="I135" s="309">
        <v>8000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 t="s">
        <v>350</v>
      </c>
      <c r="AF135" s="341" t="s">
        <v>278</v>
      </c>
    </row>
    <row r="136" spans="1:32">
      <c r="A136" s="307">
        <v>4</v>
      </c>
      <c r="B136" s="342"/>
      <c r="C136" s="342" t="s">
        <v>186</v>
      </c>
      <c r="D136" s="340" t="s">
        <v>425</v>
      </c>
      <c r="E136" s="342"/>
      <c r="F136" s="345" t="s">
        <v>276</v>
      </c>
      <c r="G136" s="308">
        <v>1</v>
      </c>
      <c r="H136" s="309">
        <v>10000</v>
      </c>
      <c r="I136" s="309">
        <v>10000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 t="s">
        <v>426</v>
      </c>
      <c r="AF136" s="341" t="s">
        <v>278</v>
      </c>
    </row>
    <row r="137" spans="1:32">
      <c r="A137" s="307">
        <v>4</v>
      </c>
      <c r="B137" s="342"/>
      <c r="C137" s="342" t="s">
        <v>186</v>
      </c>
      <c r="D137" s="340" t="s">
        <v>282</v>
      </c>
      <c r="E137" s="342" t="s">
        <v>283</v>
      </c>
      <c r="F137" s="345" t="s">
        <v>276</v>
      </c>
      <c r="G137" s="308">
        <v>3</v>
      </c>
      <c r="H137" s="309">
        <v>6000</v>
      </c>
      <c r="I137" s="309">
        <v>18000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284</v>
      </c>
      <c r="AF137" s="341" t="s">
        <v>351</v>
      </c>
    </row>
    <row r="138" spans="1:32">
      <c r="A138" s="307">
        <v>2</v>
      </c>
      <c r="B138" s="342"/>
      <c r="C138" s="342" t="s">
        <v>202</v>
      </c>
      <c r="D138" s="340" t="s">
        <v>427</v>
      </c>
      <c r="E138" s="342" t="s">
        <v>234</v>
      </c>
      <c r="F138" s="345" t="s">
        <v>177</v>
      </c>
      <c r="G138" s="308">
        <v>1</v>
      </c>
      <c r="H138" s="309">
        <v>76350</v>
      </c>
      <c r="I138" s="309">
        <v>76350</v>
      </c>
      <c r="J138" s="211">
        <v>1</v>
      </c>
      <c r="K138" s="212" t="str">
        <f>IF(OR(J138="",G138=J138),"","*")</f>
        <v/>
      </c>
      <c r="L138" s="338">
        <f>IF($A138&lt;=L$1,I138/I$4,"")</f>
        <v>6.7866666666666665E-3</v>
      </c>
      <c r="M138" s="343"/>
      <c r="N138" s="344" t="s">
        <v>428</v>
      </c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/>
    </row>
    <row r="139" spans="1:32">
      <c r="A139" s="307">
        <v>3</v>
      </c>
      <c r="B139" s="342"/>
      <c r="C139" s="342" t="s">
        <v>246</v>
      </c>
      <c r="D139" s="340" t="s">
        <v>362</v>
      </c>
      <c r="E139" s="342" t="s">
        <v>181</v>
      </c>
      <c r="F139" s="345" t="s">
        <v>168</v>
      </c>
      <c r="G139" s="308">
        <v>2</v>
      </c>
      <c r="H139" s="309">
        <v>38175</v>
      </c>
      <c r="I139" s="309">
        <v>76350</v>
      </c>
      <c r="J139" s="211">
        <v>2</v>
      </c>
      <c r="K139" s="212" t="str">
        <f>IF(OR(J139="",G139=J139),"","*")</f>
        <v/>
      </c>
      <c r="L139" s="338">
        <f>IF($A139&lt;=L$1,I139/I$4,"")</f>
        <v>6.7866666666666665E-3</v>
      </c>
      <c r="M139" s="343"/>
      <c r="N139" s="344" t="s">
        <v>429</v>
      </c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/>
    </row>
    <row r="140" spans="1:32">
      <c r="A140" s="307">
        <v>4</v>
      </c>
      <c r="B140" s="342"/>
      <c r="C140" s="342" t="s">
        <v>182</v>
      </c>
      <c r="D140" s="340" t="s">
        <v>367</v>
      </c>
      <c r="E140" s="342" t="s">
        <v>421</v>
      </c>
      <c r="F140" s="345" t="s">
        <v>295</v>
      </c>
      <c r="G140" s="308">
        <v>0.5</v>
      </c>
      <c r="H140" s="309">
        <v>11700</v>
      </c>
      <c r="I140" s="309">
        <v>5850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369</v>
      </c>
      <c r="AF140" s="341" t="s">
        <v>430</v>
      </c>
    </row>
    <row r="141" spans="1:32">
      <c r="A141" s="307">
        <v>4</v>
      </c>
      <c r="B141" s="342"/>
      <c r="C141" s="342" t="s">
        <v>183</v>
      </c>
      <c r="D141" s="340" t="s">
        <v>258</v>
      </c>
      <c r="E141" s="342" t="s">
        <v>254</v>
      </c>
      <c r="F141" s="345" t="s">
        <v>255</v>
      </c>
      <c r="G141" s="308">
        <v>3</v>
      </c>
      <c r="H141" s="309">
        <v>18000</v>
      </c>
      <c r="I141" s="309">
        <v>54000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259</v>
      </c>
      <c r="AF141" s="341" t="s">
        <v>431</v>
      </c>
    </row>
    <row r="142" spans="1:32">
      <c r="A142" s="307">
        <v>4</v>
      </c>
      <c r="B142" s="342"/>
      <c r="C142" s="342" t="s">
        <v>185</v>
      </c>
      <c r="D142" s="340" t="s">
        <v>343</v>
      </c>
      <c r="E142" s="342"/>
      <c r="F142" s="345" t="s">
        <v>276</v>
      </c>
      <c r="G142" s="308">
        <v>1</v>
      </c>
      <c r="H142" s="309">
        <v>1500</v>
      </c>
      <c r="I142" s="309">
        <v>1500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 t="s">
        <v>344</v>
      </c>
      <c r="AF142" s="341" t="s">
        <v>278</v>
      </c>
    </row>
    <row r="143" spans="1:32">
      <c r="A143" s="307">
        <v>4</v>
      </c>
      <c r="B143" s="342"/>
      <c r="C143" s="342" t="s">
        <v>185</v>
      </c>
      <c r="D143" s="340" t="s">
        <v>347</v>
      </c>
      <c r="E143" s="342"/>
      <c r="F143" s="345" t="s">
        <v>276</v>
      </c>
      <c r="G143" s="308">
        <v>1</v>
      </c>
      <c r="H143" s="309">
        <v>1000</v>
      </c>
      <c r="I143" s="309">
        <v>1000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 t="s">
        <v>348</v>
      </c>
      <c r="AF143" s="341" t="s">
        <v>278</v>
      </c>
    </row>
    <row r="144" spans="1:32">
      <c r="A144" s="307">
        <v>4</v>
      </c>
      <c r="B144" s="342"/>
      <c r="C144" s="342" t="s">
        <v>186</v>
      </c>
      <c r="D144" s="340" t="s">
        <v>349</v>
      </c>
      <c r="E144" s="342"/>
      <c r="F144" s="345" t="s">
        <v>276</v>
      </c>
      <c r="G144" s="308">
        <v>1</v>
      </c>
      <c r="H144" s="309">
        <v>8000</v>
      </c>
      <c r="I144" s="309">
        <v>8000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350</v>
      </c>
      <c r="AF144" s="341" t="s">
        <v>278</v>
      </c>
    </row>
    <row r="145" spans="1:32">
      <c r="A145" s="307">
        <v>4</v>
      </c>
      <c r="B145" s="342"/>
      <c r="C145" s="342" t="s">
        <v>186</v>
      </c>
      <c r="D145" s="340" t="s">
        <v>282</v>
      </c>
      <c r="E145" s="342" t="s">
        <v>283</v>
      </c>
      <c r="F145" s="345" t="s">
        <v>276</v>
      </c>
      <c r="G145" s="308">
        <v>1</v>
      </c>
      <c r="H145" s="309">
        <v>6000</v>
      </c>
      <c r="I145" s="309">
        <v>6000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 t="s">
        <v>284</v>
      </c>
      <c r="AF145" s="341" t="s">
        <v>278</v>
      </c>
    </row>
    <row r="146" spans="1:32">
      <c r="A146" s="307">
        <v>2</v>
      </c>
      <c r="B146" s="342"/>
      <c r="C146" s="342" t="s">
        <v>202</v>
      </c>
      <c r="D146" s="340" t="s">
        <v>432</v>
      </c>
      <c r="E146" s="342" t="s">
        <v>238</v>
      </c>
      <c r="F146" s="345" t="s">
        <v>177</v>
      </c>
      <c r="G146" s="308">
        <v>1</v>
      </c>
      <c r="H146" s="309">
        <v>55678</v>
      </c>
      <c r="I146" s="309">
        <v>55678</v>
      </c>
      <c r="J146" s="211">
        <v>1</v>
      </c>
      <c r="K146" s="212" t="str">
        <f>IF(OR(J146="",G146=J146),"","*")</f>
        <v/>
      </c>
      <c r="L146" s="338">
        <f>IF($A146&lt;=L$1,I146/I$4,"")</f>
        <v>4.9491555555555558E-3</v>
      </c>
      <c r="M146" s="343"/>
      <c r="N146" s="344" t="s">
        <v>433</v>
      </c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3</v>
      </c>
      <c r="B147" s="342"/>
      <c r="C147" s="342" t="s">
        <v>246</v>
      </c>
      <c r="D147" s="340" t="s">
        <v>434</v>
      </c>
      <c r="E147" s="342"/>
      <c r="F147" s="345" t="s">
        <v>177</v>
      </c>
      <c r="G147" s="308">
        <v>1</v>
      </c>
      <c r="H147" s="309">
        <v>55678</v>
      </c>
      <c r="I147" s="309">
        <v>55678</v>
      </c>
      <c r="J147" s="211">
        <v>1</v>
      </c>
      <c r="K147" s="212" t="str">
        <f>IF(OR(J147="",G147=J147),"","*")</f>
        <v/>
      </c>
      <c r="L147" s="338">
        <f>IF($A147&lt;=L$1,I147/I$4,"")</f>
        <v>4.9491555555555558E-3</v>
      </c>
      <c r="M147" s="343"/>
      <c r="N147" s="344" t="s">
        <v>435</v>
      </c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4</v>
      </c>
      <c r="B148" s="342"/>
      <c r="C148" s="342" t="s">
        <v>182</v>
      </c>
      <c r="D148" s="340" t="s">
        <v>436</v>
      </c>
      <c r="E148" s="342"/>
      <c r="F148" s="345" t="s">
        <v>177</v>
      </c>
      <c r="G148" s="308">
        <v>1</v>
      </c>
      <c r="H148" s="309">
        <v>55678</v>
      </c>
      <c r="I148" s="309">
        <v>55678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 t="s">
        <v>437</v>
      </c>
      <c r="AF148" s="341"/>
    </row>
    <row r="149" spans="1:32">
      <c r="A149" s="217"/>
      <c r="B149" s="217"/>
      <c r="C149" s="312"/>
      <c r="D149" s="217"/>
      <c r="E149" s="217"/>
      <c r="F149" s="218"/>
      <c r="G149" s="217"/>
      <c r="H149" s="217"/>
      <c r="I149" s="217"/>
      <c r="J149" s="217"/>
      <c r="K149" s="218"/>
      <c r="L149" s="217"/>
      <c r="M149" s="217"/>
      <c r="N149" s="217"/>
      <c r="O149" s="217"/>
      <c r="P149" s="217"/>
      <c r="Q149" s="217"/>
      <c r="R149" s="217"/>
      <c r="S149" s="218"/>
      <c r="T149" s="217"/>
      <c r="U149" s="217"/>
      <c r="V149" s="217"/>
      <c r="W149" s="217"/>
      <c r="X149" s="217"/>
      <c r="Y149" s="217"/>
      <c r="Z149" s="217"/>
      <c r="AA149" s="218"/>
      <c r="AB149" s="217"/>
      <c r="AC149" s="217"/>
      <c r="AD149" s="217"/>
      <c r="AE149" s="217"/>
      <c r="AF149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48 AF4:AF148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48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439</v>
      </c>
      <c r="D4" s="315">
        <v>456000</v>
      </c>
      <c r="E4" s="120"/>
      <c r="F4" s="119" t="s">
        <v>440</v>
      </c>
      <c r="G4" s="316">
        <v>592500</v>
      </c>
      <c r="H4" s="69"/>
    </row>
    <row r="5" spans="1:8" ht="27" customHeight="1">
      <c r="A5" s="69"/>
      <c r="B5" s="118"/>
      <c r="C5" s="119"/>
      <c r="D5" s="315"/>
      <c r="E5" s="120"/>
      <c r="F5" s="119"/>
      <c r="G5" s="316"/>
      <c r="H5" s="69"/>
    </row>
    <row r="6" spans="1:8" ht="27" customHeight="1">
      <c r="A6" s="69"/>
      <c r="B6" s="118"/>
      <c r="C6" s="119" t="s">
        <v>239</v>
      </c>
      <c r="D6" s="315">
        <v>456000</v>
      </c>
      <c r="E6" s="120"/>
      <c r="F6" s="119" t="s">
        <v>239</v>
      </c>
      <c r="G6" s="316">
        <v>592500</v>
      </c>
      <c r="H6" s="69"/>
    </row>
    <row r="7" spans="1:8" ht="27" customHeight="1">
      <c r="A7" s="69"/>
      <c r="B7" s="118"/>
      <c r="C7" s="119"/>
      <c r="D7" s="315"/>
      <c r="E7" s="120"/>
      <c r="F7" s="119"/>
      <c r="G7" s="316"/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182</v>
      </c>
      <c r="H3" s="128" t="s">
        <v>183</v>
      </c>
      <c r="I3" s="128" t="s">
        <v>184</v>
      </c>
      <c r="J3" s="128" t="s">
        <v>185</v>
      </c>
      <c r="K3" s="128" t="s">
        <v>186</v>
      </c>
      <c r="L3" s="128" t="s">
        <v>187</v>
      </c>
      <c r="M3" s="128" t="s">
        <v>188</v>
      </c>
      <c r="N3" s="129" t="s">
        <v>189</v>
      </c>
      <c r="O3" s="69"/>
    </row>
    <row r="4" spans="1:15" ht="30" customHeight="1">
      <c r="A4" s="69"/>
      <c r="B4" s="130" t="s">
        <v>439</v>
      </c>
      <c r="C4" s="131" t="s">
        <v>177</v>
      </c>
      <c r="D4" s="320">
        <v>1</v>
      </c>
      <c r="E4" s="321">
        <v>456000</v>
      </c>
      <c r="F4" s="322">
        <v>456000</v>
      </c>
      <c r="G4" s="323"/>
      <c r="H4" s="324"/>
      <c r="I4" s="324"/>
      <c r="J4" s="324"/>
      <c r="K4" s="324">
        <v>456000</v>
      </c>
      <c r="L4" s="324"/>
      <c r="M4" s="324"/>
      <c r="N4" s="325"/>
      <c r="O4" s="69"/>
    </row>
    <row r="5" spans="1:15" ht="30" customHeight="1">
      <c r="A5" s="69"/>
      <c r="B5" s="130"/>
      <c r="C5" s="131"/>
      <c r="D5" s="326"/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239</v>
      </c>
      <c r="C6" s="131"/>
      <c r="D6" s="326"/>
      <c r="E6" s="321"/>
      <c r="F6" s="322">
        <v>456000</v>
      </c>
      <c r="G6" s="323"/>
      <c r="H6" s="324"/>
      <c r="I6" s="324"/>
      <c r="J6" s="324"/>
      <c r="K6" s="324">
        <v>456000</v>
      </c>
      <c r="L6" s="324"/>
      <c r="M6" s="324"/>
      <c r="N6" s="325"/>
      <c r="O6" s="69"/>
    </row>
    <row r="7" spans="1:15" ht="30" customHeight="1">
      <c r="A7" s="69"/>
      <c r="B7" s="130"/>
      <c r="C7" s="131"/>
      <c r="D7" s="326"/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二戸国道管内防災工事</v>
      </c>
      <c r="G1" s="306"/>
      <c r="H1" s="190" t="s">
        <v>130</v>
      </c>
      <c r="I1" s="333">
        <v>13000000</v>
      </c>
      <c r="J1" s="339">
        <f>I4/I$1</f>
        <v>0.86538461538461542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438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190</v>
      </c>
      <c r="E4" s="342"/>
      <c r="F4" s="345" t="s">
        <v>177</v>
      </c>
      <c r="G4" s="308">
        <v>1</v>
      </c>
      <c r="H4" s="309">
        <v>11250000</v>
      </c>
      <c r="I4" s="309">
        <v>11250000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441</v>
      </c>
      <c r="P4" s="347" t="s">
        <v>441</v>
      </c>
      <c r="Q4" s="347" t="s">
        <v>441</v>
      </c>
      <c r="R4" s="348" t="s">
        <v>441</v>
      </c>
      <c r="S4" s="349"/>
      <c r="T4" s="343" t="s">
        <v>442</v>
      </c>
      <c r="U4" s="343"/>
      <c r="V4" s="344"/>
      <c r="W4" s="346" t="s">
        <v>441</v>
      </c>
      <c r="X4" s="347" t="s">
        <v>441</v>
      </c>
      <c r="Y4" s="347" t="s">
        <v>441</v>
      </c>
      <c r="Z4" s="348" t="s">
        <v>441</v>
      </c>
      <c r="AA4" s="349"/>
      <c r="AB4" s="343" t="s">
        <v>442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242</v>
      </c>
      <c r="D5" s="340" t="s">
        <v>443</v>
      </c>
      <c r="E5" s="342"/>
      <c r="F5" s="345" t="s">
        <v>177</v>
      </c>
      <c r="G5" s="308">
        <v>1</v>
      </c>
      <c r="H5" s="309">
        <v>456000</v>
      </c>
      <c r="I5" s="309">
        <v>456000</v>
      </c>
      <c r="J5" s="211"/>
      <c r="K5" s="212" t="str">
        <f>IF(OR(J5="",G5=J5),"","*")</f>
        <v/>
      </c>
      <c r="L5" s="338">
        <f>IF($A5&lt;=L$1,I5/I$4,"")</f>
        <v>4.0533333333333331E-2</v>
      </c>
      <c r="M5" s="343"/>
      <c r="N5" s="344"/>
      <c r="O5" s="346" t="s">
        <v>441</v>
      </c>
      <c r="P5" s="347" t="s">
        <v>441</v>
      </c>
      <c r="Q5" s="347" t="s">
        <v>441</v>
      </c>
      <c r="R5" s="348" t="s">
        <v>441</v>
      </c>
      <c r="S5" s="349"/>
      <c r="T5" s="343" t="s">
        <v>442</v>
      </c>
      <c r="U5" s="343"/>
      <c r="V5" s="344"/>
      <c r="W5" s="346" t="s">
        <v>441</v>
      </c>
      <c r="X5" s="347" t="s">
        <v>441</v>
      </c>
      <c r="Y5" s="347" t="s">
        <v>441</v>
      </c>
      <c r="Z5" s="348" t="s">
        <v>441</v>
      </c>
      <c r="AA5" s="349"/>
      <c r="AB5" s="343" t="s">
        <v>442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246</v>
      </c>
      <c r="D6" s="340" t="s">
        <v>444</v>
      </c>
      <c r="E6" s="342"/>
      <c r="F6" s="345" t="s">
        <v>177</v>
      </c>
      <c r="G6" s="308">
        <v>1</v>
      </c>
      <c r="H6" s="309">
        <v>456000</v>
      </c>
      <c r="I6" s="309">
        <v>456000</v>
      </c>
      <c r="J6" s="211">
        <v>1</v>
      </c>
      <c r="K6" s="212" t="str">
        <f>IF(OR(J6="",G6=J6),"","*")</f>
        <v/>
      </c>
      <c r="L6" s="338">
        <f>IF($A6&lt;=L$1,I6/I$4,"")</f>
        <v>4.0533333333333331E-2</v>
      </c>
      <c r="M6" s="343"/>
      <c r="N6" s="344" t="s">
        <v>445</v>
      </c>
      <c r="O6" s="346" t="s">
        <v>441</v>
      </c>
      <c r="P6" s="347" t="s">
        <v>441</v>
      </c>
      <c r="Q6" s="347" t="s">
        <v>441</v>
      </c>
      <c r="R6" s="348" t="s">
        <v>441</v>
      </c>
      <c r="S6" s="349"/>
      <c r="T6" s="343" t="s">
        <v>442</v>
      </c>
      <c r="U6" s="343"/>
      <c r="V6" s="344"/>
      <c r="W6" s="346" t="s">
        <v>441</v>
      </c>
      <c r="X6" s="347" t="s">
        <v>441</v>
      </c>
      <c r="Y6" s="347" t="s">
        <v>441</v>
      </c>
      <c r="Z6" s="348" t="s">
        <v>441</v>
      </c>
      <c r="AA6" s="349"/>
      <c r="AB6" s="343" t="s">
        <v>442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446</v>
      </c>
      <c r="E7" s="342" t="s">
        <v>447</v>
      </c>
      <c r="F7" s="345" t="s">
        <v>267</v>
      </c>
      <c r="G7" s="308">
        <v>2</v>
      </c>
      <c r="H7" s="309">
        <v>75000</v>
      </c>
      <c r="I7" s="309">
        <v>150000</v>
      </c>
      <c r="J7" s="211"/>
      <c r="K7" s="212" t="str">
        <f>IF(OR(J7="",G7=J7),"","*")</f>
        <v/>
      </c>
      <c r="L7" s="338">
        <f>IF($A7&lt;=L$1,I7/I$4,"")</f>
        <v>1.3333333333333334E-2</v>
      </c>
      <c r="M7" s="343"/>
      <c r="N7" s="344"/>
      <c r="O7" s="346" t="s">
        <v>441</v>
      </c>
      <c r="P7" s="347" t="s">
        <v>441</v>
      </c>
      <c r="Q7" s="347" t="s">
        <v>441</v>
      </c>
      <c r="R7" s="348" t="s">
        <v>441</v>
      </c>
      <c r="S7" s="349"/>
      <c r="T7" s="343" t="s">
        <v>442</v>
      </c>
      <c r="U7" s="343"/>
      <c r="V7" s="344"/>
      <c r="W7" s="346" t="s">
        <v>441</v>
      </c>
      <c r="X7" s="347" t="s">
        <v>441</v>
      </c>
      <c r="Y7" s="347" t="s">
        <v>441</v>
      </c>
      <c r="Z7" s="348" t="s">
        <v>441</v>
      </c>
      <c r="AA7" s="349"/>
      <c r="AB7" s="343" t="s">
        <v>442</v>
      </c>
      <c r="AC7" s="343"/>
      <c r="AD7" s="344"/>
      <c r="AE7" s="342" t="s">
        <v>448</v>
      </c>
      <c r="AF7" s="341" t="s">
        <v>449</v>
      </c>
    </row>
    <row r="8" spans="1:32">
      <c r="A8" s="307">
        <v>3</v>
      </c>
      <c r="B8" s="342"/>
      <c r="C8" s="342" t="s">
        <v>186</v>
      </c>
      <c r="D8" s="340" t="s">
        <v>450</v>
      </c>
      <c r="E8" s="342" t="s">
        <v>451</v>
      </c>
      <c r="F8" s="345" t="s">
        <v>267</v>
      </c>
      <c r="G8" s="308">
        <v>2</v>
      </c>
      <c r="H8" s="309">
        <v>25000</v>
      </c>
      <c r="I8" s="309">
        <v>50000</v>
      </c>
      <c r="J8" s="211"/>
      <c r="K8" s="212" t="str">
        <f>IF(OR(J8="",G8=J8),"","*")</f>
        <v/>
      </c>
      <c r="L8" s="338">
        <f>IF($A8&lt;=L$1,I8/I$4,"")</f>
        <v>4.4444444444444444E-3</v>
      </c>
      <c r="M8" s="343"/>
      <c r="N8" s="344"/>
      <c r="O8" s="346" t="s">
        <v>441</v>
      </c>
      <c r="P8" s="347" t="s">
        <v>441</v>
      </c>
      <c r="Q8" s="347" t="s">
        <v>441</v>
      </c>
      <c r="R8" s="348" t="s">
        <v>441</v>
      </c>
      <c r="S8" s="349"/>
      <c r="T8" s="343" t="s">
        <v>442</v>
      </c>
      <c r="U8" s="343"/>
      <c r="V8" s="344"/>
      <c r="W8" s="346" t="s">
        <v>441</v>
      </c>
      <c r="X8" s="347" t="s">
        <v>441</v>
      </c>
      <c r="Y8" s="347" t="s">
        <v>441</v>
      </c>
      <c r="Z8" s="348" t="s">
        <v>441</v>
      </c>
      <c r="AA8" s="349"/>
      <c r="AB8" s="343" t="s">
        <v>442</v>
      </c>
      <c r="AC8" s="343"/>
      <c r="AD8" s="344"/>
      <c r="AE8" s="342" t="s">
        <v>452</v>
      </c>
      <c r="AF8" s="341" t="s">
        <v>449</v>
      </c>
    </row>
    <row r="9" spans="1:32">
      <c r="A9" s="307">
        <v>3</v>
      </c>
      <c r="B9" s="342"/>
      <c r="C9" s="342" t="s">
        <v>186</v>
      </c>
      <c r="D9" s="340" t="s">
        <v>453</v>
      </c>
      <c r="E9" s="342" t="s">
        <v>454</v>
      </c>
      <c r="F9" s="345" t="s">
        <v>267</v>
      </c>
      <c r="G9" s="308">
        <v>4</v>
      </c>
      <c r="H9" s="309">
        <v>20000</v>
      </c>
      <c r="I9" s="309">
        <v>80000</v>
      </c>
      <c r="J9" s="211"/>
      <c r="K9" s="212" t="str">
        <f>IF(OR(J9="",G9=J9),"","*")</f>
        <v/>
      </c>
      <c r="L9" s="338">
        <f>IF($A9&lt;=L$1,I9/I$4,"")</f>
        <v>7.1111111111111115E-3</v>
      </c>
      <c r="M9" s="343"/>
      <c r="N9" s="344"/>
      <c r="O9" s="346" t="s">
        <v>441</v>
      </c>
      <c r="P9" s="347" t="s">
        <v>441</v>
      </c>
      <c r="Q9" s="347" t="s">
        <v>441</v>
      </c>
      <c r="R9" s="348" t="s">
        <v>441</v>
      </c>
      <c r="S9" s="349"/>
      <c r="T9" s="343" t="s">
        <v>442</v>
      </c>
      <c r="U9" s="343"/>
      <c r="V9" s="344"/>
      <c r="W9" s="346" t="s">
        <v>441</v>
      </c>
      <c r="X9" s="347" t="s">
        <v>441</v>
      </c>
      <c r="Y9" s="347" t="s">
        <v>441</v>
      </c>
      <c r="Z9" s="348" t="s">
        <v>441</v>
      </c>
      <c r="AA9" s="349"/>
      <c r="AB9" s="343" t="s">
        <v>442</v>
      </c>
      <c r="AC9" s="343"/>
      <c r="AD9" s="344"/>
      <c r="AE9" s="342" t="s">
        <v>455</v>
      </c>
      <c r="AF9" s="341" t="s">
        <v>456</v>
      </c>
    </row>
    <row r="10" spans="1:32">
      <c r="A10" s="307">
        <v>3</v>
      </c>
      <c r="B10" s="342"/>
      <c r="C10" s="342" t="s">
        <v>186</v>
      </c>
      <c r="D10" s="340" t="s">
        <v>457</v>
      </c>
      <c r="E10" s="342" t="s">
        <v>458</v>
      </c>
      <c r="F10" s="345" t="s">
        <v>267</v>
      </c>
      <c r="G10" s="308">
        <v>2</v>
      </c>
      <c r="H10" s="309">
        <v>18000</v>
      </c>
      <c r="I10" s="309">
        <v>36000</v>
      </c>
      <c r="J10" s="211"/>
      <c r="K10" s="212" t="str">
        <f>IF(OR(J10="",G10=J10),"","*")</f>
        <v/>
      </c>
      <c r="L10" s="338">
        <f>IF($A10&lt;=L$1,I10/I$4,"")</f>
        <v>3.2000000000000002E-3</v>
      </c>
      <c r="M10" s="343"/>
      <c r="N10" s="344"/>
      <c r="O10" s="346" t="s">
        <v>441</v>
      </c>
      <c r="P10" s="347" t="s">
        <v>441</v>
      </c>
      <c r="Q10" s="347" t="s">
        <v>441</v>
      </c>
      <c r="R10" s="348" t="s">
        <v>441</v>
      </c>
      <c r="S10" s="349"/>
      <c r="T10" s="343" t="s">
        <v>442</v>
      </c>
      <c r="U10" s="343"/>
      <c r="V10" s="344"/>
      <c r="W10" s="346" t="s">
        <v>441</v>
      </c>
      <c r="X10" s="347" t="s">
        <v>441</v>
      </c>
      <c r="Y10" s="347" t="s">
        <v>441</v>
      </c>
      <c r="Z10" s="348" t="s">
        <v>441</v>
      </c>
      <c r="AA10" s="349"/>
      <c r="AB10" s="343" t="s">
        <v>442</v>
      </c>
      <c r="AC10" s="343"/>
      <c r="AD10" s="344"/>
      <c r="AE10" s="342" t="s">
        <v>459</v>
      </c>
      <c r="AF10" s="341" t="s">
        <v>449</v>
      </c>
    </row>
    <row r="11" spans="1:32">
      <c r="A11" s="307">
        <v>3</v>
      </c>
      <c r="B11" s="342"/>
      <c r="C11" s="342" t="s">
        <v>186</v>
      </c>
      <c r="D11" s="340" t="s">
        <v>460</v>
      </c>
      <c r="E11" s="342" t="s">
        <v>461</v>
      </c>
      <c r="F11" s="345" t="s">
        <v>267</v>
      </c>
      <c r="G11" s="308">
        <v>6</v>
      </c>
      <c r="H11" s="309">
        <v>15000</v>
      </c>
      <c r="I11" s="309">
        <v>90000</v>
      </c>
      <c r="J11" s="211"/>
      <c r="K11" s="212" t="str">
        <f>IF(OR(J11="",G11=J11),"","*")</f>
        <v/>
      </c>
      <c r="L11" s="338">
        <f>IF($A11&lt;=L$1,I11/I$4,"")</f>
        <v>8.0000000000000002E-3</v>
      </c>
      <c r="M11" s="343"/>
      <c r="N11" s="344"/>
      <c r="O11" s="346" t="s">
        <v>441</v>
      </c>
      <c r="P11" s="347" t="s">
        <v>441</v>
      </c>
      <c r="Q11" s="347" t="s">
        <v>441</v>
      </c>
      <c r="R11" s="348" t="s">
        <v>441</v>
      </c>
      <c r="S11" s="349"/>
      <c r="T11" s="343" t="s">
        <v>442</v>
      </c>
      <c r="U11" s="343"/>
      <c r="V11" s="344"/>
      <c r="W11" s="346" t="s">
        <v>441</v>
      </c>
      <c r="X11" s="347" t="s">
        <v>441</v>
      </c>
      <c r="Y11" s="347" t="s">
        <v>441</v>
      </c>
      <c r="Z11" s="348" t="s">
        <v>441</v>
      </c>
      <c r="AA11" s="349"/>
      <c r="AB11" s="343" t="s">
        <v>442</v>
      </c>
      <c r="AC11" s="343"/>
      <c r="AD11" s="344"/>
      <c r="AE11" s="342" t="s">
        <v>462</v>
      </c>
      <c r="AF11" s="341" t="s">
        <v>463</v>
      </c>
    </row>
    <row r="12" spans="1:32">
      <c r="A12" s="307">
        <v>3</v>
      </c>
      <c r="B12" s="342"/>
      <c r="C12" s="342" t="s">
        <v>186</v>
      </c>
      <c r="D12" s="340" t="s">
        <v>450</v>
      </c>
      <c r="E12" s="342" t="s">
        <v>464</v>
      </c>
      <c r="F12" s="345" t="s">
        <v>267</v>
      </c>
      <c r="G12" s="308">
        <v>2</v>
      </c>
      <c r="H12" s="309">
        <v>25000</v>
      </c>
      <c r="I12" s="309">
        <v>50000</v>
      </c>
      <c r="J12" s="211"/>
      <c r="K12" s="212" t="str">
        <f>IF(OR(J12="",G12=J12),"","*")</f>
        <v/>
      </c>
      <c r="L12" s="338">
        <f>IF($A12&lt;=L$1,I12/I$4,"")</f>
        <v>4.4444444444444444E-3</v>
      </c>
      <c r="M12" s="343"/>
      <c r="N12" s="344"/>
      <c r="O12" s="346" t="s">
        <v>441</v>
      </c>
      <c r="P12" s="347" t="s">
        <v>441</v>
      </c>
      <c r="Q12" s="347" t="s">
        <v>441</v>
      </c>
      <c r="R12" s="348" t="s">
        <v>441</v>
      </c>
      <c r="S12" s="349"/>
      <c r="T12" s="343" t="s">
        <v>442</v>
      </c>
      <c r="U12" s="343"/>
      <c r="V12" s="344"/>
      <c r="W12" s="346" t="s">
        <v>441</v>
      </c>
      <c r="X12" s="347" t="s">
        <v>441</v>
      </c>
      <c r="Y12" s="347" t="s">
        <v>441</v>
      </c>
      <c r="Z12" s="348" t="s">
        <v>441</v>
      </c>
      <c r="AA12" s="349"/>
      <c r="AB12" s="343" t="s">
        <v>442</v>
      </c>
      <c r="AC12" s="343"/>
      <c r="AD12" s="344"/>
      <c r="AE12" s="342" t="s">
        <v>452</v>
      </c>
      <c r="AF12" s="341" t="s">
        <v>465</v>
      </c>
    </row>
    <row r="13" spans="1:32">
      <c r="A13" s="217"/>
      <c r="B13" s="217"/>
      <c r="C13" s="312"/>
      <c r="D13" s="217"/>
      <c r="E13" s="217"/>
      <c r="F13" s="218"/>
      <c r="G13" s="217"/>
      <c r="H13" s="217"/>
      <c r="I13" s="217"/>
      <c r="J13" s="217"/>
      <c r="K13" s="218"/>
      <c r="L13" s="217"/>
      <c r="M13" s="217"/>
      <c r="N13" s="217"/>
      <c r="O13" s="217"/>
      <c r="P13" s="217"/>
      <c r="Q13" s="217"/>
      <c r="R13" s="217"/>
      <c r="S13" s="218"/>
      <c r="T13" s="217"/>
      <c r="U13" s="217"/>
      <c r="V13" s="217"/>
      <c r="W13" s="217"/>
      <c r="X13" s="217"/>
      <c r="Y13" s="217"/>
      <c r="Z13" s="217"/>
      <c r="AA13" s="218"/>
      <c r="AB13" s="217"/>
      <c r="AC13" s="217"/>
      <c r="AD13" s="217"/>
      <c r="AE13" s="217"/>
      <c r="AF1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2 AF4:AF1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440</v>
      </c>
      <c r="C3" s="561"/>
      <c r="D3" s="563" t="s">
        <v>177</v>
      </c>
      <c r="E3" s="565">
        <v>1</v>
      </c>
      <c r="F3" s="521">
        <v>592500</v>
      </c>
      <c r="G3" s="557">
        <v>592500</v>
      </c>
      <c r="H3" s="138" t="s">
        <v>466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202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239</v>
      </c>
      <c r="C7" s="561"/>
      <c r="D7" s="563"/>
      <c r="E7" s="565"/>
      <c r="F7" s="521"/>
      <c r="G7" s="557">
        <v>592500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二戸国道管内防災工事</v>
      </c>
      <c r="G1" s="306"/>
      <c r="H1" s="190" t="s">
        <v>130</v>
      </c>
      <c r="I1" s="333">
        <v>13000000</v>
      </c>
      <c r="J1" s="339">
        <f>I4/I$1</f>
        <v>0.86538461538461542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438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190</v>
      </c>
      <c r="E4" s="342"/>
      <c r="F4" s="345" t="s">
        <v>177</v>
      </c>
      <c r="G4" s="308">
        <v>1</v>
      </c>
      <c r="H4" s="309">
        <v>11250000</v>
      </c>
      <c r="I4" s="309">
        <v>11250000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441</v>
      </c>
      <c r="P4" s="347" t="s">
        <v>441</v>
      </c>
      <c r="Q4" s="347" t="s">
        <v>441</v>
      </c>
      <c r="R4" s="348" t="s">
        <v>441</v>
      </c>
      <c r="S4" s="349"/>
      <c r="T4" s="343" t="s">
        <v>442</v>
      </c>
      <c r="U4" s="343"/>
      <c r="V4" s="344"/>
      <c r="W4" s="346" t="s">
        <v>441</v>
      </c>
      <c r="X4" s="347" t="s">
        <v>441</v>
      </c>
      <c r="Y4" s="347" t="s">
        <v>441</v>
      </c>
      <c r="Z4" s="348" t="s">
        <v>441</v>
      </c>
      <c r="AA4" s="349"/>
      <c r="AB4" s="343" t="s">
        <v>442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242</v>
      </c>
      <c r="D5" s="340" t="s">
        <v>467</v>
      </c>
      <c r="E5" s="342"/>
      <c r="F5" s="345" t="s">
        <v>177</v>
      </c>
      <c r="G5" s="308">
        <v>1</v>
      </c>
      <c r="H5" s="309">
        <v>592500</v>
      </c>
      <c r="I5" s="309">
        <v>592500</v>
      </c>
      <c r="J5" s="211"/>
      <c r="K5" s="212" t="str">
        <f>IF(OR(J5="",G5=J5),"","*")</f>
        <v/>
      </c>
      <c r="L5" s="338">
        <f>IF($A5&lt;=L$1,I5/I$4,"")</f>
        <v>5.2666666666666667E-2</v>
      </c>
      <c r="M5" s="343"/>
      <c r="N5" s="344"/>
      <c r="O5" s="346" t="s">
        <v>441</v>
      </c>
      <c r="P5" s="347" t="s">
        <v>441</v>
      </c>
      <c r="Q5" s="347" t="s">
        <v>441</v>
      </c>
      <c r="R5" s="348" t="s">
        <v>441</v>
      </c>
      <c r="S5" s="349"/>
      <c r="T5" s="343" t="s">
        <v>442</v>
      </c>
      <c r="U5" s="343"/>
      <c r="V5" s="344"/>
      <c r="W5" s="346" t="s">
        <v>441</v>
      </c>
      <c r="X5" s="347" t="s">
        <v>441</v>
      </c>
      <c r="Y5" s="347" t="s">
        <v>441</v>
      </c>
      <c r="Z5" s="348" t="s">
        <v>441</v>
      </c>
      <c r="AA5" s="349"/>
      <c r="AB5" s="343" t="s">
        <v>442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246</v>
      </c>
      <c r="D6" s="340" t="s">
        <v>468</v>
      </c>
      <c r="E6" s="342"/>
      <c r="F6" s="345" t="s">
        <v>177</v>
      </c>
      <c r="G6" s="308">
        <v>1</v>
      </c>
      <c r="H6" s="309">
        <v>592500</v>
      </c>
      <c r="I6" s="309">
        <v>592500</v>
      </c>
      <c r="J6" s="211">
        <v>1</v>
      </c>
      <c r="K6" s="212" t="str">
        <f>IF(OR(J6="",G6=J6),"","*")</f>
        <v/>
      </c>
      <c r="L6" s="338">
        <f>IF($A6&lt;=L$1,I6/I$4,"")</f>
        <v>5.2666666666666667E-2</v>
      </c>
      <c r="M6" s="343"/>
      <c r="N6" s="344" t="s">
        <v>469</v>
      </c>
      <c r="O6" s="346" t="s">
        <v>441</v>
      </c>
      <c r="P6" s="347" t="s">
        <v>441</v>
      </c>
      <c r="Q6" s="347" t="s">
        <v>441</v>
      </c>
      <c r="R6" s="348" t="s">
        <v>441</v>
      </c>
      <c r="S6" s="349"/>
      <c r="T6" s="343" t="s">
        <v>442</v>
      </c>
      <c r="U6" s="343"/>
      <c r="V6" s="344"/>
      <c r="W6" s="346" t="s">
        <v>441</v>
      </c>
      <c r="X6" s="347" t="s">
        <v>441</v>
      </c>
      <c r="Y6" s="347" t="s">
        <v>441</v>
      </c>
      <c r="Z6" s="348" t="s">
        <v>441</v>
      </c>
      <c r="AA6" s="349"/>
      <c r="AB6" s="343" t="s">
        <v>442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188</v>
      </c>
      <c r="D7" s="340" t="s">
        <v>470</v>
      </c>
      <c r="E7" s="342" t="s">
        <v>471</v>
      </c>
      <c r="F7" s="345" t="s">
        <v>263</v>
      </c>
      <c r="G7" s="308">
        <v>15</v>
      </c>
      <c r="H7" s="309">
        <v>39500</v>
      </c>
      <c r="I7" s="309">
        <v>592500</v>
      </c>
      <c r="J7" s="211"/>
      <c r="K7" s="212" t="str">
        <f>IF(OR(J7="",G7=J7),"","*")</f>
        <v/>
      </c>
      <c r="L7" s="338">
        <f>IF($A7&lt;=L$1,I7/I$4,"")</f>
        <v>5.2666666666666667E-2</v>
      </c>
      <c r="M7" s="343"/>
      <c r="N7" s="344"/>
      <c r="O7" s="346" t="s">
        <v>441</v>
      </c>
      <c r="P7" s="347" t="s">
        <v>441</v>
      </c>
      <c r="Q7" s="347" t="s">
        <v>441</v>
      </c>
      <c r="R7" s="348" t="s">
        <v>441</v>
      </c>
      <c r="S7" s="349"/>
      <c r="T7" s="343" t="s">
        <v>442</v>
      </c>
      <c r="U7" s="343"/>
      <c r="V7" s="344"/>
      <c r="W7" s="346" t="s">
        <v>441</v>
      </c>
      <c r="X7" s="347" t="s">
        <v>441</v>
      </c>
      <c r="Y7" s="347" t="s">
        <v>441</v>
      </c>
      <c r="Z7" s="348" t="s">
        <v>441</v>
      </c>
      <c r="AA7" s="349"/>
      <c r="AB7" s="343" t="s">
        <v>442</v>
      </c>
      <c r="AC7" s="343"/>
      <c r="AD7" s="344"/>
      <c r="AE7" s="342" t="s">
        <v>472</v>
      </c>
      <c r="AF7" s="341" t="s">
        <v>473</v>
      </c>
    </row>
    <row r="8" spans="1:32">
      <c r="A8" s="217"/>
      <c r="B8" s="217"/>
      <c r="C8" s="312"/>
      <c r="D8" s="217"/>
      <c r="E8" s="217"/>
      <c r="F8" s="218"/>
      <c r="G8" s="217"/>
      <c r="H8" s="217"/>
      <c r="I8" s="217"/>
      <c r="J8" s="217"/>
      <c r="K8" s="218"/>
      <c r="L8" s="217"/>
      <c r="M8" s="217"/>
      <c r="N8" s="217"/>
      <c r="O8" s="217"/>
      <c r="P8" s="217"/>
      <c r="Q8" s="217"/>
      <c r="R8" s="217"/>
      <c r="S8" s="218"/>
      <c r="T8" s="217"/>
      <c r="U8" s="217"/>
      <c r="V8" s="217"/>
      <c r="W8" s="217"/>
      <c r="X8" s="217"/>
      <c r="Y8" s="217"/>
      <c r="Z8" s="217"/>
      <c r="AA8" s="218"/>
      <c r="AB8" s="217"/>
      <c r="AC8" s="217"/>
      <c r="AD8" s="217"/>
      <c r="AE8" s="217"/>
      <c r="AF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474</v>
      </c>
      <c r="C3" s="146" t="s">
        <v>475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476</v>
      </c>
      <c r="K4" s="69"/>
    </row>
    <row r="5" spans="1:11" ht="18" customHeight="1">
      <c r="A5" s="69"/>
      <c r="B5" s="574" t="s">
        <v>477</v>
      </c>
      <c r="C5" s="575"/>
      <c r="D5" s="153" t="s">
        <v>85</v>
      </c>
      <c r="E5" s="153" t="s">
        <v>478</v>
      </c>
      <c r="F5" s="153" t="s">
        <v>479</v>
      </c>
      <c r="G5" s="153" t="s">
        <v>480</v>
      </c>
      <c r="H5" s="154" t="s">
        <v>481</v>
      </c>
      <c r="I5" s="153" t="s">
        <v>482</v>
      </c>
      <c r="J5" s="155" t="s">
        <v>483</v>
      </c>
      <c r="K5" s="69"/>
    </row>
    <row r="6" spans="1:11" ht="10.5" customHeight="1">
      <c r="A6" s="69"/>
      <c r="B6" s="156" t="s">
        <v>484</v>
      </c>
      <c r="C6" s="157"/>
      <c r="D6" s="576" t="s">
        <v>485</v>
      </c>
      <c r="E6" s="578">
        <v>0.63</v>
      </c>
      <c r="F6" s="580">
        <v>104000</v>
      </c>
      <c r="G6" s="582">
        <v>65520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486</v>
      </c>
      <c r="J7" s="161"/>
      <c r="K7" s="69" t="s">
        <v>96</v>
      </c>
    </row>
    <row r="8" spans="1:11" ht="10.5" customHeight="1">
      <c r="A8" s="69"/>
      <c r="B8" s="156" t="s">
        <v>487</v>
      </c>
      <c r="C8" s="157"/>
      <c r="D8" s="576" t="s">
        <v>485</v>
      </c>
      <c r="E8" s="578">
        <v>0.28000000000000003</v>
      </c>
      <c r="F8" s="580">
        <v>104000</v>
      </c>
      <c r="G8" s="582">
        <v>29120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486</v>
      </c>
      <c r="J9" s="162"/>
      <c r="K9" s="69" t="s">
        <v>96</v>
      </c>
    </row>
    <row r="10" spans="1:11" ht="10.5" customHeight="1">
      <c r="A10" s="69"/>
      <c r="B10" s="156" t="s">
        <v>488</v>
      </c>
      <c r="C10" s="157"/>
      <c r="D10" s="576" t="s">
        <v>485</v>
      </c>
      <c r="E10" s="578">
        <v>0.65</v>
      </c>
      <c r="F10" s="580">
        <v>154500</v>
      </c>
      <c r="G10" s="582">
        <v>100425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486</v>
      </c>
      <c r="J11" s="161"/>
      <c r="K11" s="69" t="s">
        <v>96</v>
      </c>
    </row>
    <row r="12" spans="1:11" ht="10.5" customHeight="1">
      <c r="A12" s="69"/>
      <c r="B12" s="156" t="s">
        <v>489</v>
      </c>
      <c r="C12" s="157"/>
      <c r="D12" s="576" t="s">
        <v>490</v>
      </c>
      <c r="E12" s="584">
        <v>4</v>
      </c>
      <c r="F12" s="580">
        <v>160</v>
      </c>
      <c r="G12" s="582">
        <v>640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486</v>
      </c>
      <c r="J13" s="161"/>
      <c r="K13" s="69" t="s">
        <v>96</v>
      </c>
    </row>
    <row r="14" spans="1:11" ht="10.5" customHeight="1">
      <c r="A14" s="69"/>
      <c r="B14" s="156" t="s">
        <v>491</v>
      </c>
      <c r="C14" s="157"/>
      <c r="D14" s="576" t="s">
        <v>492</v>
      </c>
      <c r="E14" s="584">
        <v>100</v>
      </c>
      <c r="F14" s="580">
        <v>260</v>
      </c>
      <c r="G14" s="582">
        <v>26000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486</v>
      </c>
      <c r="J15" s="161"/>
      <c r="K15" s="69" t="s">
        <v>96</v>
      </c>
    </row>
    <row r="16" spans="1:11" ht="10.5" customHeight="1">
      <c r="A16" s="69"/>
      <c r="B16" s="156" t="s">
        <v>493</v>
      </c>
      <c r="C16" s="157"/>
      <c r="D16" s="576" t="s">
        <v>490</v>
      </c>
      <c r="E16" s="584">
        <v>990</v>
      </c>
      <c r="F16" s="580">
        <v>150</v>
      </c>
      <c r="G16" s="582">
        <v>148500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486</v>
      </c>
      <c r="J17" s="161"/>
      <c r="K17" s="69" t="s">
        <v>96</v>
      </c>
    </row>
    <row r="18" spans="1:11" ht="10.5" customHeight="1">
      <c r="A18" s="69"/>
      <c r="B18" s="156" t="s">
        <v>494</v>
      </c>
      <c r="C18" s="157"/>
      <c r="D18" s="576" t="s">
        <v>485</v>
      </c>
      <c r="E18" s="584">
        <v>3</v>
      </c>
      <c r="F18" s="580">
        <v>11100</v>
      </c>
      <c r="G18" s="582">
        <v>33300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495</v>
      </c>
      <c r="C19" s="160"/>
      <c r="D19" s="577"/>
      <c r="E19" s="585"/>
      <c r="F19" s="581"/>
      <c r="G19" s="583"/>
      <c r="H19" s="356"/>
      <c r="I19" s="356" t="s">
        <v>486</v>
      </c>
      <c r="J19" s="161"/>
      <c r="K19" s="69" t="s">
        <v>96</v>
      </c>
    </row>
    <row r="20" spans="1:11" ht="10.5" customHeight="1">
      <c r="A20" s="69"/>
      <c r="B20" s="156" t="s">
        <v>494</v>
      </c>
      <c r="C20" s="157"/>
      <c r="D20" s="576" t="s">
        <v>485</v>
      </c>
      <c r="E20" s="584">
        <v>60</v>
      </c>
      <c r="F20" s="580">
        <v>12700</v>
      </c>
      <c r="G20" s="582">
        <v>762000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496</v>
      </c>
      <c r="C21" s="160"/>
      <c r="D21" s="577"/>
      <c r="E21" s="585"/>
      <c r="F21" s="581"/>
      <c r="G21" s="583"/>
      <c r="H21" s="356"/>
      <c r="I21" s="356" t="s">
        <v>486</v>
      </c>
      <c r="J21" s="161"/>
      <c r="K21" s="69" t="s">
        <v>96</v>
      </c>
    </row>
    <row r="22" spans="1:11" ht="10.5" customHeight="1">
      <c r="A22" s="69"/>
      <c r="B22" s="156" t="s">
        <v>497</v>
      </c>
      <c r="C22" s="157"/>
      <c r="D22" s="576" t="s">
        <v>498</v>
      </c>
      <c r="E22" s="584">
        <v>3.5</v>
      </c>
      <c r="F22" s="580">
        <v>11700</v>
      </c>
      <c r="G22" s="582">
        <v>40950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499</v>
      </c>
      <c r="C23" s="160"/>
      <c r="D23" s="577"/>
      <c r="E23" s="585"/>
      <c r="F23" s="581"/>
      <c r="G23" s="583"/>
      <c r="H23" s="356"/>
      <c r="I23" s="356" t="s">
        <v>486</v>
      </c>
      <c r="J23" s="161"/>
      <c r="K23" s="69" t="s">
        <v>96</v>
      </c>
    </row>
    <row r="24" spans="1:11" ht="10.5" customHeight="1">
      <c r="A24" s="69"/>
      <c r="B24" s="156" t="s">
        <v>497</v>
      </c>
      <c r="C24" s="157"/>
      <c r="D24" s="576" t="s">
        <v>498</v>
      </c>
      <c r="E24" s="578">
        <v>189</v>
      </c>
      <c r="F24" s="580">
        <v>13300</v>
      </c>
      <c r="G24" s="582">
        <v>2513700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500</v>
      </c>
      <c r="C25" s="160"/>
      <c r="D25" s="577"/>
      <c r="E25" s="579"/>
      <c r="F25" s="581"/>
      <c r="G25" s="583"/>
      <c r="H25" s="356"/>
      <c r="I25" s="356" t="s">
        <v>486</v>
      </c>
      <c r="J25" s="161"/>
      <c r="K25" s="69" t="s">
        <v>96</v>
      </c>
    </row>
    <row r="26" spans="1:11" ht="10.5" customHeight="1">
      <c r="A26" s="69"/>
      <c r="B26" s="156" t="s">
        <v>497</v>
      </c>
      <c r="C26" s="157"/>
      <c r="D26" s="576" t="s">
        <v>498</v>
      </c>
      <c r="E26" s="584">
        <v>16</v>
      </c>
      <c r="F26" s="580">
        <v>15300</v>
      </c>
      <c r="G26" s="582">
        <v>244800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501</v>
      </c>
      <c r="C27" s="160"/>
      <c r="D27" s="577"/>
      <c r="E27" s="585"/>
      <c r="F27" s="581"/>
      <c r="G27" s="583"/>
      <c r="H27" s="356"/>
      <c r="I27" s="356" t="s">
        <v>486</v>
      </c>
      <c r="J27" s="161"/>
      <c r="K27" s="69" t="s">
        <v>96</v>
      </c>
    </row>
    <row r="28" spans="1:11" ht="10.5" customHeight="1">
      <c r="A28" s="69"/>
      <c r="B28" s="156" t="s">
        <v>502</v>
      </c>
      <c r="C28" s="157"/>
      <c r="D28" s="576" t="s">
        <v>485</v>
      </c>
      <c r="E28" s="584">
        <v>6</v>
      </c>
      <c r="F28" s="580">
        <v>10300</v>
      </c>
      <c r="G28" s="582">
        <v>61800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495</v>
      </c>
      <c r="C29" s="160"/>
      <c r="D29" s="577"/>
      <c r="E29" s="585"/>
      <c r="F29" s="581"/>
      <c r="G29" s="583"/>
      <c r="H29" s="356"/>
      <c r="I29" s="356" t="s">
        <v>486</v>
      </c>
      <c r="J29" s="161"/>
      <c r="K29" s="69" t="s">
        <v>96</v>
      </c>
    </row>
    <row r="30" spans="1:11" ht="10.5" customHeight="1">
      <c r="A30" s="69"/>
      <c r="B30" s="156" t="s">
        <v>502</v>
      </c>
      <c r="C30" s="157"/>
      <c r="D30" s="576" t="s">
        <v>485</v>
      </c>
      <c r="E30" s="584">
        <v>122</v>
      </c>
      <c r="F30" s="580">
        <v>11700</v>
      </c>
      <c r="G30" s="582">
        <v>1427400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496</v>
      </c>
      <c r="C31" s="160"/>
      <c r="D31" s="577"/>
      <c r="E31" s="585"/>
      <c r="F31" s="581"/>
      <c r="G31" s="583"/>
      <c r="H31" s="356"/>
      <c r="I31" s="356" t="s">
        <v>486</v>
      </c>
      <c r="J31" s="161"/>
      <c r="K31" s="69" t="s">
        <v>96</v>
      </c>
    </row>
    <row r="32" spans="1:11" ht="10.5" customHeight="1">
      <c r="A32" s="69"/>
      <c r="B32" s="156" t="s">
        <v>503</v>
      </c>
      <c r="C32" s="157"/>
      <c r="D32" s="576" t="s">
        <v>504</v>
      </c>
      <c r="E32" s="584">
        <v>1</v>
      </c>
      <c r="F32" s="580">
        <v>55678</v>
      </c>
      <c r="G32" s="582">
        <v>55678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486</v>
      </c>
      <c r="J33" s="161"/>
      <c r="K33" s="69" t="s">
        <v>96</v>
      </c>
    </row>
    <row r="34" spans="1:11" ht="10.5" customHeight="1">
      <c r="A34" s="69"/>
      <c r="B34" s="156" t="s">
        <v>505</v>
      </c>
      <c r="C34" s="157"/>
      <c r="D34" s="576" t="s">
        <v>506</v>
      </c>
      <c r="E34" s="584">
        <v>0.95</v>
      </c>
      <c r="F34" s="580">
        <v>4000</v>
      </c>
      <c r="G34" s="582">
        <v>3800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486</v>
      </c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 t="s">
        <v>507</v>
      </c>
      <c r="C38" s="157"/>
      <c r="D38" s="576"/>
      <c r="E38" s="584"/>
      <c r="F38" s="580"/>
      <c r="G38" s="582">
        <v>5513633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474</v>
      </c>
      <c r="C3" s="146" t="s">
        <v>475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476</v>
      </c>
      <c r="K4" s="69"/>
    </row>
    <row r="5" spans="1:11" ht="18" customHeight="1">
      <c r="A5" s="69"/>
      <c r="B5" s="574" t="s">
        <v>477</v>
      </c>
      <c r="C5" s="575"/>
      <c r="D5" s="153" t="s">
        <v>85</v>
      </c>
      <c r="E5" s="153" t="s">
        <v>478</v>
      </c>
      <c r="F5" s="153" t="s">
        <v>479</v>
      </c>
      <c r="G5" s="153" t="s">
        <v>480</v>
      </c>
      <c r="H5" s="154" t="s">
        <v>481</v>
      </c>
      <c r="I5" s="153" t="s">
        <v>482</v>
      </c>
      <c r="J5" s="155" t="s">
        <v>483</v>
      </c>
      <c r="K5" s="69"/>
    </row>
    <row r="6" spans="1:11" ht="10.5" customHeight="1">
      <c r="A6" s="69"/>
      <c r="B6" s="156" t="s">
        <v>508</v>
      </c>
      <c r="C6" s="157"/>
      <c r="D6" s="576" t="s">
        <v>509</v>
      </c>
      <c r="E6" s="578">
        <v>21</v>
      </c>
      <c r="F6" s="580">
        <v>20000</v>
      </c>
      <c r="G6" s="582">
        <v>420000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510</v>
      </c>
      <c r="C7" s="160"/>
      <c r="D7" s="577"/>
      <c r="E7" s="579"/>
      <c r="F7" s="581"/>
      <c r="G7" s="583"/>
      <c r="H7" s="356"/>
      <c r="I7" s="356" t="s">
        <v>511</v>
      </c>
      <c r="J7" s="161"/>
      <c r="K7" s="69" t="s">
        <v>96</v>
      </c>
    </row>
    <row r="8" spans="1:11" ht="10.5" customHeight="1">
      <c r="A8" s="69"/>
      <c r="B8" s="156" t="s">
        <v>512</v>
      </c>
      <c r="C8" s="157"/>
      <c r="D8" s="576" t="s">
        <v>509</v>
      </c>
      <c r="E8" s="578">
        <v>39</v>
      </c>
      <c r="F8" s="580">
        <v>18000</v>
      </c>
      <c r="G8" s="582">
        <v>702000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510</v>
      </c>
      <c r="C9" s="160"/>
      <c r="D9" s="577"/>
      <c r="E9" s="579"/>
      <c r="F9" s="581"/>
      <c r="G9" s="583"/>
      <c r="H9" s="356"/>
      <c r="I9" s="356" t="s">
        <v>511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507</v>
      </c>
      <c r="C12" s="157"/>
      <c r="D12" s="576"/>
      <c r="E12" s="584"/>
      <c r="F12" s="580"/>
      <c r="G12" s="582">
        <v>1122000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474</v>
      </c>
      <c r="C3" s="146" t="s">
        <v>475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476</v>
      </c>
      <c r="K4" s="69"/>
    </row>
    <row r="5" spans="1:11" ht="18" customHeight="1">
      <c r="A5" s="69"/>
      <c r="B5" s="574" t="s">
        <v>477</v>
      </c>
      <c r="C5" s="575"/>
      <c r="D5" s="153" t="s">
        <v>85</v>
      </c>
      <c r="E5" s="153" t="s">
        <v>478</v>
      </c>
      <c r="F5" s="153" t="s">
        <v>479</v>
      </c>
      <c r="G5" s="153" t="s">
        <v>480</v>
      </c>
      <c r="H5" s="154" t="s">
        <v>481</v>
      </c>
      <c r="I5" s="153" t="s">
        <v>482</v>
      </c>
      <c r="J5" s="155" t="s">
        <v>483</v>
      </c>
      <c r="K5" s="69"/>
    </row>
    <row r="6" spans="1:11" ht="10.5" customHeight="1">
      <c r="A6" s="69"/>
      <c r="B6" s="156" t="s">
        <v>513</v>
      </c>
      <c r="C6" s="157"/>
      <c r="D6" s="576" t="s">
        <v>514</v>
      </c>
      <c r="E6" s="578">
        <v>1</v>
      </c>
      <c r="F6" s="580">
        <v>600000</v>
      </c>
      <c r="G6" s="582">
        <v>600000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515</v>
      </c>
      <c r="C7" s="160"/>
      <c r="D7" s="577"/>
      <c r="E7" s="579"/>
      <c r="F7" s="581"/>
      <c r="G7" s="583"/>
      <c r="H7" s="356"/>
      <c r="I7" s="356" t="s">
        <v>516</v>
      </c>
      <c r="J7" s="161"/>
      <c r="K7" s="69" t="s">
        <v>96</v>
      </c>
    </row>
    <row r="8" spans="1:11" ht="10.5" customHeight="1">
      <c r="A8" s="69"/>
      <c r="B8" s="156" t="s">
        <v>517</v>
      </c>
      <c r="C8" s="157"/>
      <c r="D8" s="576" t="s">
        <v>518</v>
      </c>
      <c r="E8" s="578">
        <v>300</v>
      </c>
      <c r="F8" s="580">
        <v>1750</v>
      </c>
      <c r="G8" s="582">
        <v>525000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519</v>
      </c>
      <c r="C9" s="160"/>
      <c r="D9" s="577"/>
      <c r="E9" s="579"/>
      <c r="F9" s="581"/>
      <c r="G9" s="583"/>
      <c r="H9" s="356"/>
      <c r="I9" s="356" t="s">
        <v>516</v>
      </c>
      <c r="J9" s="162"/>
      <c r="K9" s="69" t="s">
        <v>96</v>
      </c>
    </row>
    <row r="10" spans="1:11" ht="10.5" customHeight="1">
      <c r="A10" s="69"/>
      <c r="B10" s="156" t="s">
        <v>520</v>
      </c>
      <c r="C10" s="157"/>
      <c r="D10" s="576" t="s">
        <v>504</v>
      </c>
      <c r="E10" s="578">
        <v>1</v>
      </c>
      <c r="F10" s="580">
        <v>250000</v>
      </c>
      <c r="G10" s="582">
        <v>250000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516</v>
      </c>
      <c r="J11" s="161"/>
      <c r="K11" s="69" t="s">
        <v>96</v>
      </c>
    </row>
    <row r="12" spans="1:11" ht="10.5" customHeight="1">
      <c r="A12" s="69"/>
      <c r="B12" s="156" t="s">
        <v>520</v>
      </c>
      <c r="C12" s="157"/>
      <c r="D12" s="576" t="s">
        <v>504</v>
      </c>
      <c r="E12" s="584">
        <v>1</v>
      </c>
      <c r="F12" s="580">
        <v>15000</v>
      </c>
      <c r="G12" s="582">
        <v>15000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516</v>
      </c>
      <c r="J13" s="161"/>
      <c r="K13" s="69" t="s">
        <v>96</v>
      </c>
    </row>
    <row r="14" spans="1:11" ht="10.5" customHeight="1">
      <c r="A14" s="69"/>
      <c r="B14" s="156" t="s">
        <v>521</v>
      </c>
      <c r="C14" s="157"/>
      <c r="D14" s="576" t="s">
        <v>522</v>
      </c>
      <c r="E14" s="584">
        <v>75</v>
      </c>
      <c r="F14" s="580">
        <v>160</v>
      </c>
      <c r="G14" s="582">
        <v>12000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523</v>
      </c>
      <c r="C15" s="160"/>
      <c r="D15" s="577"/>
      <c r="E15" s="585"/>
      <c r="F15" s="581"/>
      <c r="G15" s="583"/>
      <c r="H15" s="356"/>
      <c r="I15" s="356" t="s">
        <v>516</v>
      </c>
      <c r="J15" s="161"/>
      <c r="K15" s="69" t="s">
        <v>96</v>
      </c>
    </row>
    <row r="16" spans="1:11" ht="10.5" customHeight="1">
      <c r="A16" s="69"/>
      <c r="B16" s="156" t="s">
        <v>524</v>
      </c>
      <c r="C16" s="157"/>
      <c r="D16" s="576" t="s">
        <v>522</v>
      </c>
      <c r="E16" s="584">
        <v>300</v>
      </c>
      <c r="F16" s="580">
        <v>160</v>
      </c>
      <c r="G16" s="582">
        <v>48000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523</v>
      </c>
      <c r="C17" s="160"/>
      <c r="D17" s="577"/>
      <c r="E17" s="585"/>
      <c r="F17" s="581"/>
      <c r="G17" s="583"/>
      <c r="H17" s="356"/>
      <c r="I17" s="356" t="s">
        <v>516</v>
      </c>
      <c r="J17" s="161"/>
      <c r="K17" s="69" t="s">
        <v>96</v>
      </c>
    </row>
    <row r="18" spans="1:11" ht="10.5" customHeight="1">
      <c r="A18" s="69"/>
      <c r="B18" s="156" t="s">
        <v>525</v>
      </c>
      <c r="C18" s="157"/>
      <c r="D18" s="576" t="s">
        <v>514</v>
      </c>
      <c r="E18" s="584">
        <v>2</v>
      </c>
      <c r="F18" s="580">
        <v>100000</v>
      </c>
      <c r="G18" s="582">
        <v>200000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526</v>
      </c>
      <c r="C19" s="160"/>
      <c r="D19" s="577"/>
      <c r="E19" s="585"/>
      <c r="F19" s="581"/>
      <c r="G19" s="583"/>
      <c r="H19" s="356"/>
      <c r="I19" s="356" t="s">
        <v>516</v>
      </c>
      <c r="J19" s="161"/>
      <c r="K19" s="69" t="s">
        <v>96</v>
      </c>
    </row>
    <row r="20" spans="1:11" ht="10.5" customHeight="1">
      <c r="A20" s="69"/>
      <c r="B20" s="156" t="s">
        <v>527</v>
      </c>
      <c r="C20" s="157"/>
      <c r="D20" s="576" t="s">
        <v>504</v>
      </c>
      <c r="E20" s="584">
        <v>1</v>
      </c>
      <c r="F20" s="580">
        <v>-1270</v>
      </c>
      <c r="G20" s="582">
        <v>-1270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516</v>
      </c>
      <c r="J21" s="161"/>
      <c r="K21" s="69" t="s">
        <v>96</v>
      </c>
    </row>
    <row r="22" spans="1:11" ht="10.5" customHeight="1">
      <c r="A22" s="69"/>
      <c r="B22" s="156" t="s">
        <v>528</v>
      </c>
      <c r="C22" s="157"/>
      <c r="D22" s="576" t="s">
        <v>504</v>
      </c>
      <c r="E22" s="584">
        <v>1</v>
      </c>
      <c r="F22" s="580">
        <v>30000</v>
      </c>
      <c r="G22" s="582">
        <v>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516</v>
      </c>
      <c r="J23" s="161"/>
      <c r="K23" s="69" t="s">
        <v>96</v>
      </c>
    </row>
    <row r="24" spans="1:11" ht="10.5" customHeight="1">
      <c r="A24" s="69"/>
      <c r="B24" s="156" t="s">
        <v>528</v>
      </c>
      <c r="C24" s="157"/>
      <c r="D24" s="576" t="s">
        <v>504</v>
      </c>
      <c r="E24" s="578">
        <v>1</v>
      </c>
      <c r="F24" s="580">
        <v>16270</v>
      </c>
      <c r="G24" s="582">
        <v>16270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516</v>
      </c>
      <c r="J25" s="161"/>
      <c r="K25" s="69" t="s">
        <v>96</v>
      </c>
    </row>
    <row r="26" spans="1:11" ht="10.5" customHeight="1">
      <c r="A26" s="69"/>
      <c r="B26" s="156" t="s">
        <v>528</v>
      </c>
      <c r="C26" s="157"/>
      <c r="D26" s="576" t="s">
        <v>504</v>
      </c>
      <c r="E26" s="584">
        <v>1</v>
      </c>
      <c r="F26" s="580">
        <v>5000</v>
      </c>
      <c r="G26" s="582">
        <v>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516</v>
      </c>
      <c r="J27" s="161"/>
      <c r="K27" s="69" t="s">
        <v>96</v>
      </c>
    </row>
    <row r="28" spans="1:11" ht="10.5" customHeight="1">
      <c r="A28" s="69"/>
      <c r="B28" s="156" t="s">
        <v>529</v>
      </c>
      <c r="C28" s="157"/>
      <c r="D28" s="576" t="s">
        <v>530</v>
      </c>
      <c r="E28" s="584">
        <v>1</v>
      </c>
      <c r="F28" s="580">
        <v>270000</v>
      </c>
      <c r="G28" s="582">
        <v>270000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531</v>
      </c>
      <c r="C29" s="160"/>
      <c r="D29" s="577"/>
      <c r="E29" s="585"/>
      <c r="F29" s="581"/>
      <c r="G29" s="583"/>
      <c r="H29" s="356"/>
      <c r="I29" s="356" t="s">
        <v>516</v>
      </c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 t="s">
        <v>507</v>
      </c>
      <c r="C32" s="157"/>
      <c r="D32" s="576"/>
      <c r="E32" s="584"/>
      <c r="F32" s="580"/>
      <c r="G32" s="582">
        <v>1970000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474</v>
      </c>
      <c r="C3" s="146" t="s">
        <v>475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476</v>
      </c>
      <c r="K4" s="69"/>
    </row>
    <row r="5" spans="1:11" ht="18" customHeight="1">
      <c r="A5" s="69"/>
      <c r="B5" s="574" t="s">
        <v>477</v>
      </c>
      <c r="C5" s="575"/>
      <c r="D5" s="153" t="s">
        <v>85</v>
      </c>
      <c r="E5" s="153" t="s">
        <v>478</v>
      </c>
      <c r="F5" s="153" t="s">
        <v>479</v>
      </c>
      <c r="G5" s="153" t="s">
        <v>480</v>
      </c>
      <c r="H5" s="154" t="s">
        <v>481</v>
      </c>
      <c r="I5" s="153" t="s">
        <v>482</v>
      </c>
      <c r="J5" s="155" t="s">
        <v>483</v>
      </c>
      <c r="K5" s="69"/>
    </row>
    <row r="6" spans="1:11" ht="10.5" customHeight="1">
      <c r="A6" s="69"/>
      <c r="B6" s="156" t="s">
        <v>532</v>
      </c>
      <c r="C6" s="157"/>
      <c r="D6" s="576" t="s">
        <v>533</v>
      </c>
      <c r="E6" s="578">
        <v>1</v>
      </c>
      <c r="F6" s="580">
        <v>15000</v>
      </c>
      <c r="G6" s="582">
        <v>15000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534</v>
      </c>
      <c r="C7" s="160"/>
      <c r="D7" s="577"/>
      <c r="E7" s="579"/>
      <c r="F7" s="581"/>
      <c r="G7" s="583"/>
      <c r="H7" s="356"/>
      <c r="I7" s="356" t="s">
        <v>535</v>
      </c>
      <c r="J7" s="161"/>
      <c r="K7" s="69" t="s">
        <v>96</v>
      </c>
    </row>
    <row r="8" spans="1:11" ht="10.5" customHeight="1">
      <c r="A8" s="69"/>
      <c r="B8" s="156" t="s">
        <v>536</v>
      </c>
      <c r="C8" s="157"/>
      <c r="D8" s="576" t="s">
        <v>533</v>
      </c>
      <c r="E8" s="578">
        <v>2</v>
      </c>
      <c r="F8" s="580">
        <v>65000</v>
      </c>
      <c r="G8" s="582">
        <v>130000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537</v>
      </c>
      <c r="C9" s="160"/>
      <c r="D9" s="577"/>
      <c r="E9" s="579"/>
      <c r="F9" s="581"/>
      <c r="G9" s="583"/>
      <c r="H9" s="356"/>
      <c r="I9" s="356" t="s">
        <v>535</v>
      </c>
      <c r="J9" s="162"/>
      <c r="K9" s="69" t="s">
        <v>96</v>
      </c>
    </row>
    <row r="10" spans="1:11" ht="10.5" customHeight="1">
      <c r="A10" s="69"/>
      <c r="B10" s="156" t="s">
        <v>538</v>
      </c>
      <c r="C10" s="157"/>
      <c r="D10" s="576" t="s">
        <v>533</v>
      </c>
      <c r="E10" s="578">
        <v>2</v>
      </c>
      <c r="F10" s="580">
        <v>5000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539</v>
      </c>
      <c r="C11" s="160"/>
      <c r="D11" s="577"/>
      <c r="E11" s="579"/>
      <c r="F11" s="581"/>
      <c r="G11" s="583"/>
      <c r="H11" s="356"/>
      <c r="I11" s="356" t="s">
        <v>535</v>
      </c>
      <c r="J11" s="161"/>
      <c r="K11" s="69" t="s">
        <v>96</v>
      </c>
    </row>
    <row r="12" spans="1:11" ht="10.5" customHeight="1">
      <c r="A12" s="69"/>
      <c r="B12" s="156" t="s">
        <v>538</v>
      </c>
      <c r="C12" s="157"/>
      <c r="D12" s="576" t="s">
        <v>533</v>
      </c>
      <c r="E12" s="584">
        <v>1</v>
      </c>
      <c r="F12" s="580">
        <v>4500</v>
      </c>
      <c r="G12" s="582">
        <v>4500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539</v>
      </c>
      <c r="C13" s="160"/>
      <c r="D13" s="577"/>
      <c r="E13" s="585"/>
      <c r="F13" s="581"/>
      <c r="G13" s="583"/>
      <c r="H13" s="356"/>
      <c r="I13" s="356" t="s">
        <v>535</v>
      </c>
      <c r="J13" s="161"/>
      <c r="K13" s="69" t="s">
        <v>96</v>
      </c>
    </row>
    <row r="14" spans="1:11" ht="10.5" customHeight="1">
      <c r="A14" s="69"/>
      <c r="B14" s="156" t="s">
        <v>540</v>
      </c>
      <c r="C14" s="157"/>
      <c r="D14" s="576" t="s">
        <v>533</v>
      </c>
      <c r="E14" s="584">
        <v>4</v>
      </c>
      <c r="F14" s="580">
        <v>7000</v>
      </c>
      <c r="G14" s="582">
        <v>28000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541</v>
      </c>
      <c r="C15" s="160"/>
      <c r="D15" s="577"/>
      <c r="E15" s="585"/>
      <c r="F15" s="581"/>
      <c r="G15" s="583"/>
      <c r="H15" s="356"/>
      <c r="I15" s="356" t="s">
        <v>535</v>
      </c>
      <c r="J15" s="161"/>
      <c r="K15" s="69" t="s">
        <v>96</v>
      </c>
    </row>
    <row r="16" spans="1:11" ht="10.5" customHeight="1">
      <c r="A16" s="69"/>
      <c r="B16" s="156" t="s">
        <v>542</v>
      </c>
      <c r="C16" s="157"/>
      <c r="D16" s="576" t="s">
        <v>533</v>
      </c>
      <c r="E16" s="584">
        <v>3</v>
      </c>
      <c r="F16" s="580">
        <v>8000</v>
      </c>
      <c r="G16" s="582">
        <v>24000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543</v>
      </c>
      <c r="C17" s="160"/>
      <c r="D17" s="577"/>
      <c r="E17" s="585"/>
      <c r="F17" s="581"/>
      <c r="G17" s="583"/>
      <c r="H17" s="356"/>
      <c r="I17" s="356" t="s">
        <v>535</v>
      </c>
      <c r="J17" s="161"/>
      <c r="K17" s="69" t="s">
        <v>96</v>
      </c>
    </row>
    <row r="18" spans="1:11" ht="10.5" customHeight="1">
      <c r="A18" s="69"/>
      <c r="B18" s="156" t="s">
        <v>544</v>
      </c>
      <c r="C18" s="157"/>
      <c r="D18" s="576" t="s">
        <v>545</v>
      </c>
      <c r="E18" s="584">
        <v>1</v>
      </c>
      <c r="F18" s="580">
        <v>50000</v>
      </c>
      <c r="G18" s="582">
        <v>50000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535</v>
      </c>
      <c r="J19" s="161"/>
      <c r="K19" s="69" t="s">
        <v>96</v>
      </c>
    </row>
    <row r="20" spans="1:11" ht="10.5" customHeight="1">
      <c r="A20" s="69"/>
      <c r="B20" s="156" t="s">
        <v>546</v>
      </c>
      <c r="C20" s="157"/>
      <c r="D20" s="576" t="s">
        <v>533</v>
      </c>
      <c r="E20" s="584">
        <v>2</v>
      </c>
      <c r="F20" s="580">
        <v>12000</v>
      </c>
      <c r="G20" s="582">
        <v>24000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547</v>
      </c>
      <c r="C21" s="160"/>
      <c r="D21" s="577"/>
      <c r="E21" s="585"/>
      <c r="F21" s="581"/>
      <c r="G21" s="583"/>
      <c r="H21" s="356"/>
      <c r="I21" s="356" t="s">
        <v>535</v>
      </c>
      <c r="J21" s="161"/>
      <c r="K21" s="69" t="s">
        <v>96</v>
      </c>
    </row>
    <row r="22" spans="1:11" ht="10.5" customHeight="1">
      <c r="A22" s="69"/>
      <c r="B22" s="156" t="s">
        <v>548</v>
      </c>
      <c r="C22" s="157"/>
      <c r="D22" s="576" t="s">
        <v>533</v>
      </c>
      <c r="E22" s="584">
        <v>6</v>
      </c>
      <c r="F22" s="580">
        <v>1500</v>
      </c>
      <c r="G22" s="582">
        <v>9000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535</v>
      </c>
      <c r="J23" s="161"/>
      <c r="K23" s="69" t="s">
        <v>96</v>
      </c>
    </row>
    <row r="24" spans="1:11" ht="10.5" customHeight="1">
      <c r="A24" s="69"/>
      <c r="B24" s="156" t="s">
        <v>549</v>
      </c>
      <c r="C24" s="157"/>
      <c r="D24" s="576" t="s">
        <v>533</v>
      </c>
      <c r="E24" s="578">
        <v>6</v>
      </c>
      <c r="F24" s="580">
        <v>1000</v>
      </c>
      <c r="G24" s="582">
        <v>6000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535</v>
      </c>
      <c r="J25" s="161"/>
      <c r="K25" s="69" t="s">
        <v>96</v>
      </c>
    </row>
    <row r="26" spans="1:11" ht="10.5" customHeight="1">
      <c r="A26" s="69"/>
      <c r="B26" s="156" t="s">
        <v>550</v>
      </c>
      <c r="C26" s="157"/>
      <c r="D26" s="576" t="s">
        <v>533</v>
      </c>
      <c r="E26" s="584">
        <v>2</v>
      </c>
      <c r="F26" s="580">
        <v>8000</v>
      </c>
      <c r="G26" s="582">
        <v>16000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543</v>
      </c>
      <c r="C27" s="160"/>
      <c r="D27" s="577"/>
      <c r="E27" s="585"/>
      <c r="F27" s="581"/>
      <c r="G27" s="583"/>
      <c r="H27" s="356"/>
      <c r="I27" s="356" t="s">
        <v>535</v>
      </c>
      <c r="J27" s="161"/>
      <c r="K27" s="69" t="s">
        <v>96</v>
      </c>
    </row>
    <row r="28" spans="1:11" ht="10.5" customHeight="1">
      <c r="A28" s="69"/>
      <c r="B28" s="156" t="s">
        <v>551</v>
      </c>
      <c r="C28" s="157"/>
      <c r="D28" s="576" t="s">
        <v>533</v>
      </c>
      <c r="E28" s="584">
        <v>1</v>
      </c>
      <c r="F28" s="580">
        <v>8000</v>
      </c>
      <c r="G28" s="582">
        <v>8000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552</v>
      </c>
      <c r="C29" s="160"/>
      <c r="D29" s="577"/>
      <c r="E29" s="585"/>
      <c r="F29" s="581"/>
      <c r="G29" s="583"/>
      <c r="H29" s="356"/>
      <c r="I29" s="356" t="s">
        <v>535</v>
      </c>
      <c r="J29" s="161"/>
      <c r="K29" s="69" t="s">
        <v>96</v>
      </c>
    </row>
    <row r="30" spans="1:11" ht="10.5" customHeight="1">
      <c r="A30" s="69"/>
      <c r="B30" s="156" t="s">
        <v>553</v>
      </c>
      <c r="C30" s="157"/>
      <c r="D30" s="576" t="s">
        <v>533</v>
      </c>
      <c r="E30" s="584">
        <v>3</v>
      </c>
      <c r="F30" s="580">
        <v>1000</v>
      </c>
      <c r="G30" s="582">
        <v>3000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535</v>
      </c>
      <c r="J31" s="161"/>
      <c r="K31" s="69" t="s">
        <v>96</v>
      </c>
    </row>
    <row r="32" spans="1:11" ht="10.5" customHeight="1">
      <c r="A32" s="69"/>
      <c r="B32" s="156" t="s">
        <v>554</v>
      </c>
      <c r="C32" s="157"/>
      <c r="D32" s="576" t="s">
        <v>533</v>
      </c>
      <c r="E32" s="584">
        <v>4</v>
      </c>
      <c r="F32" s="580">
        <v>10800</v>
      </c>
      <c r="G32" s="582">
        <v>43200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539</v>
      </c>
      <c r="C33" s="160"/>
      <c r="D33" s="577"/>
      <c r="E33" s="585"/>
      <c r="F33" s="581"/>
      <c r="G33" s="583"/>
      <c r="H33" s="356"/>
      <c r="I33" s="356" t="s">
        <v>535</v>
      </c>
      <c r="J33" s="161"/>
      <c r="K33" s="69" t="s">
        <v>96</v>
      </c>
    </row>
    <row r="34" spans="1:11" ht="10.5" customHeight="1">
      <c r="A34" s="69"/>
      <c r="B34" s="156" t="s">
        <v>555</v>
      </c>
      <c r="C34" s="157"/>
      <c r="D34" s="576" t="s">
        <v>533</v>
      </c>
      <c r="E34" s="584">
        <v>1</v>
      </c>
      <c r="F34" s="580">
        <v>200000</v>
      </c>
      <c r="G34" s="582">
        <v>200000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556</v>
      </c>
      <c r="C35" s="160"/>
      <c r="D35" s="577"/>
      <c r="E35" s="585"/>
      <c r="F35" s="581"/>
      <c r="G35" s="583"/>
      <c r="H35" s="356"/>
      <c r="I35" s="356" t="s">
        <v>535</v>
      </c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 t="s">
        <v>507</v>
      </c>
      <c r="C38" s="157"/>
      <c r="D38" s="576"/>
      <c r="E38" s="584"/>
      <c r="F38" s="580"/>
      <c r="G38" s="582">
        <v>570700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474</v>
      </c>
      <c r="C3" s="146" t="s">
        <v>475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476</v>
      </c>
      <c r="K4" s="69"/>
    </row>
    <row r="5" spans="1:11" ht="18" customHeight="1">
      <c r="A5" s="69"/>
      <c r="B5" s="574" t="s">
        <v>477</v>
      </c>
      <c r="C5" s="575"/>
      <c r="D5" s="153" t="s">
        <v>85</v>
      </c>
      <c r="E5" s="153" t="s">
        <v>478</v>
      </c>
      <c r="F5" s="153" t="s">
        <v>479</v>
      </c>
      <c r="G5" s="153" t="s">
        <v>480</v>
      </c>
      <c r="H5" s="154" t="s">
        <v>481</v>
      </c>
      <c r="I5" s="153" t="s">
        <v>482</v>
      </c>
      <c r="J5" s="155" t="s">
        <v>483</v>
      </c>
      <c r="K5" s="69"/>
    </row>
    <row r="6" spans="1:11" ht="10.5" customHeight="1">
      <c r="A6" s="69"/>
      <c r="B6" s="156" t="s">
        <v>557</v>
      </c>
      <c r="C6" s="157"/>
      <c r="D6" s="576" t="s">
        <v>533</v>
      </c>
      <c r="E6" s="578">
        <v>12</v>
      </c>
      <c r="F6" s="580">
        <v>40000</v>
      </c>
      <c r="G6" s="582">
        <v>480000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558</v>
      </c>
      <c r="C7" s="160"/>
      <c r="D7" s="577"/>
      <c r="E7" s="579"/>
      <c r="F7" s="581"/>
      <c r="G7" s="583"/>
      <c r="H7" s="356"/>
      <c r="I7" s="356" t="s">
        <v>559</v>
      </c>
      <c r="J7" s="161"/>
      <c r="K7" s="69" t="s">
        <v>96</v>
      </c>
    </row>
    <row r="8" spans="1:11" ht="10.5" customHeight="1">
      <c r="A8" s="69"/>
      <c r="B8" s="156" t="s">
        <v>560</v>
      </c>
      <c r="C8" s="157"/>
      <c r="D8" s="576" t="s">
        <v>514</v>
      </c>
      <c r="E8" s="578">
        <v>4</v>
      </c>
      <c r="F8" s="580">
        <v>20000</v>
      </c>
      <c r="G8" s="582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561</v>
      </c>
      <c r="C9" s="160"/>
      <c r="D9" s="577"/>
      <c r="E9" s="579"/>
      <c r="F9" s="581"/>
      <c r="G9" s="583"/>
      <c r="H9" s="356"/>
      <c r="I9" s="356" t="s">
        <v>559</v>
      </c>
      <c r="J9" s="162"/>
      <c r="K9" s="69" t="s">
        <v>96</v>
      </c>
    </row>
    <row r="10" spans="1:11" ht="10.5" customHeight="1">
      <c r="A10" s="69"/>
      <c r="B10" s="156" t="s">
        <v>562</v>
      </c>
      <c r="C10" s="157"/>
      <c r="D10" s="576" t="s">
        <v>514</v>
      </c>
      <c r="E10" s="578">
        <v>2</v>
      </c>
      <c r="F10" s="580">
        <v>25000</v>
      </c>
      <c r="G10" s="582">
        <v>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563</v>
      </c>
      <c r="C11" s="160"/>
      <c r="D11" s="577"/>
      <c r="E11" s="579"/>
      <c r="F11" s="581"/>
      <c r="G11" s="583"/>
      <c r="H11" s="356"/>
      <c r="I11" s="356" t="s">
        <v>559</v>
      </c>
      <c r="J11" s="161"/>
      <c r="K11" s="69" t="s">
        <v>96</v>
      </c>
    </row>
    <row r="12" spans="1:11" ht="10.5" customHeight="1">
      <c r="A12" s="69"/>
      <c r="B12" s="156" t="s">
        <v>562</v>
      </c>
      <c r="C12" s="157"/>
      <c r="D12" s="576" t="s">
        <v>514</v>
      </c>
      <c r="E12" s="584">
        <v>2</v>
      </c>
      <c r="F12" s="580">
        <v>25000</v>
      </c>
      <c r="G12" s="582">
        <v>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564</v>
      </c>
      <c r="C13" s="160"/>
      <c r="D13" s="577"/>
      <c r="E13" s="585"/>
      <c r="F13" s="581"/>
      <c r="G13" s="583"/>
      <c r="H13" s="356"/>
      <c r="I13" s="356" t="s">
        <v>559</v>
      </c>
      <c r="J13" s="161"/>
      <c r="K13" s="69" t="s">
        <v>96</v>
      </c>
    </row>
    <row r="14" spans="1:11" ht="10.5" customHeight="1">
      <c r="A14" s="69"/>
      <c r="B14" s="156" t="s">
        <v>565</v>
      </c>
      <c r="C14" s="157"/>
      <c r="D14" s="576" t="s">
        <v>533</v>
      </c>
      <c r="E14" s="584">
        <v>6</v>
      </c>
      <c r="F14" s="580">
        <v>8000</v>
      </c>
      <c r="G14" s="582">
        <v>48000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559</v>
      </c>
      <c r="J15" s="161"/>
      <c r="K15" s="69" t="s">
        <v>96</v>
      </c>
    </row>
    <row r="16" spans="1:11" ht="10.5" customHeight="1">
      <c r="A16" s="69"/>
      <c r="B16" s="156" t="s">
        <v>566</v>
      </c>
      <c r="C16" s="157"/>
      <c r="D16" s="576" t="s">
        <v>533</v>
      </c>
      <c r="E16" s="584">
        <v>1</v>
      </c>
      <c r="F16" s="580">
        <v>10000</v>
      </c>
      <c r="G16" s="582">
        <v>10000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559</v>
      </c>
      <c r="J17" s="161"/>
      <c r="K17" s="69" t="s">
        <v>96</v>
      </c>
    </row>
    <row r="18" spans="1:11" ht="10.5" customHeight="1">
      <c r="A18" s="69"/>
      <c r="B18" s="156" t="s">
        <v>567</v>
      </c>
      <c r="C18" s="157"/>
      <c r="D18" s="576" t="s">
        <v>514</v>
      </c>
      <c r="E18" s="584">
        <v>6</v>
      </c>
      <c r="F18" s="580">
        <v>15000</v>
      </c>
      <c r="G18" s="582">
        <v>90000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568</v>
      </c>
      <c r="C19" s="160"/>
      <c r="D19" s="577"/>
      <c r="E19" s="585"/>
      <c r="F19" s="581"/>
      <c r="G19" s="583"/>
      <c r="H19" s="356"/>
      <c r="I19" s="356" t="s">
        <v>559</v>
      </c>
      <c r="J19" s="161"/>
      <c r="K19" s="69" t="s">
        <v>96</v>
      </c>
    </row>
    <row r="20" spans="1:11" ht="10.5" customHeight="1">
      <c r="A20" s="69"/>
      <c r="B20" s="156" t="s">
        <v>569</v>
      </c>
      <c r="C20" s="157"/>
      <c r="D20" s="576" t="s">
        <v>514</v>
      </c>
      <c r="E20" s="584">
        <v>2</v>
      </c>
      <c r="F20" s="580">
        <v>18000</v>
      </c>
      <c r="G20" s="582">
        <v>36000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570</v>
      </c>
      <c r="C21" s="160"/>
      <c r="D21" s="577"/>
      <c r="E21" s="585"/>
      <c r="F21" s="581"/>
      <c r="G21" s="583"/>
      <c r="H21" s="356"/>
      <c r="I21" s="356" t="s">
        <v>559</v>
      </c>
      <c r="J21" s="161"/>
      <c r="K21" s="69" t="s">
        <v>96</v>
      </c>
    </row>
    <row r="22" spans="1:11" ht="10.5" customHeight="1">
      <c r="A22" s="69"/>
      <c r="B22" s="156" t="s">
        <v>571</v>
      </c>
      <c r="C22" s="157"/>
      <c r="D22" s="576" t="s">
        <v>498</v>
      </c>
      <c r="E22" s="584">
        <v>180</v>
      </c>
      <c r="F22" s="580">
        <v>1700</v>
      </c>
      <c r="G22" s="582">
        <v>306000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559</v>
      </c>
      <c r="J23" s="161"/>
      <c r="K23" s="69" t="s">
        <v>96</v>
      </c>
    </row>
    <row r="24" spans="1:11" ht="10.5" customHeight="1">
      <c r="A24" s="69"/>
      <c r="B24" s="156" t="s">
        <v>571</v>
      </c>
      <c r="C24" s="157"/>
      <c r="D24" s="576" t="s">
        <v>498</v>
      </c>
      <c r="E24" s="578">
        <v>126</v>
      </c>
      <c r="F24" s="580">
        <v>500</v>
      </c>
      <c r="G24" s="582">
        <v>63000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559</v>
      </c>
      <c r="J25" s="161"/>
      <c r="K25" s="69" t="s">
        <v>96</v>
      </c>
    </row>
    <row r="26" spans="1:11" ht="10.5" customHeight="1">
      <c r="A26" s="69"/>
      <c r="B26" s="156" t="s">
        <v>572</v>
      </c>
      <c r="C26" s="157"/>
      <c r="D26" s="576" t="s">
        <v>514</v>
      </c>
      <c r="E26" s="584">
        <v>2</v>
      </c>
      <c r="F26" s="580">
        <v>75000</v>
      </c>
      <c r="G26" s="582">
        <v>150000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573</v>
      </c>
      <c r="C27" s="160"/>
      <c r="D27" s="577"/>
      <c r="E27" s="585"/>
      <c r="F27" s="581"/>
      <c r="G27" s="583"/>
      <c r="H27" s="356"/>
      <c r="I27" s="356" t="s">
        <v>559</v>
      </c>
      <c r="J27" s="161"/>
      <c r="K27" s="69" t="s">
        <v>96</v>
      </c>
    </row>
    <row r="28" spans="1:11" ht="10.5" customHeight="1">
      <c r="A28" s="69"/>
      <c r="B28" s="156" t="s">
        <v>574</v>
      </c>
      <c r="C28" s="157"/>
      <c r="D28" s="576" t="s">
        <v>533</v>
      </c>
      <c r="E28" s="584">
        <v>20</v>
      </c>
      <c r="F28" s="580">
        <v>6000</v>
      </c>
      <c r="G28" s="582">
        <v>120000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575</v>
      </c>
      <c r="C29" s="160"/>
      <c r="D29" s="577"/>
      <c r="E29" s="585"/>
      <c r="F29" s="581"/>
      <c r="G29" s="583"/>
      <c r="H29" s="356"/>
      <c r="I29" s="356" t="s">
        <v>559</v>
      </c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 t="s">
        <v>507</v>
      </c>
      <c r="C32" s="157"/>
      <c r="D32" s="576"/>
      <c r="E32" s="584"/>
      <c r="F32" s="580"/>
      <c r="G32" s="582">
        <v>1483000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2026-02-05T02:29:53Z</dcterms:modified>
  <cp:category/>
  <cp:contentStatus/>
</cp:coreProperties>
</file>