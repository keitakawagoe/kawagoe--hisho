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D262C202-09A3-4563-81FD-16BDB83761A1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運搬費)" sheetId="15" r:id="rId15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'工事費一覧表(現場経費)'!$A$1:$AF$15</definedName>
    <definedName name="_xlnm.Print_Area" localSheetId="6">'工事費一覧表(直接工事費)'!$A$1:$AF$67</definedName>
    <definedName name="_xlnm.Print_Area" localSheetId="0">実行予算書鑑!$A$1:$AM$32</definedName>
    <definedName name="_xlnm.Print_Area" localSheetId="14">'調書(運搬費)'!#REF!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O22" i="25" s="1"/>
  <c r="Q26" i="25"/>
  <c r="Q21" i="25" s="1"/>
  <c r="D10" i="25"/>
  <c r="D18" i="25"/>
  <c r="H26" i="25"/>
  <c r="H21" i="25" s="1"/>
  <c r="H22" i="25" s="1"/>
  <c r="P26" i="25"/>
  <c r="P21" i="25" s="1"/>
  <c r="P22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<sst xmlns="http://schemas.openxmlformats.org/spreadsheetml/2006/main" count="1567" uniqueCount="438">
  <si>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</si>
  <si>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</si>
  <si>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</si>
  <si>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</si>
  <si>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</si>
  <si>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</si>
  <si>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</si>
  <si>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</si>
  <si>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</si>
  <si>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</si>
  <si>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</si>
  <si>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</si>
  <si>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</si>
  <si>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</si>
  <si>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</si>
  <si>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</si>
  <si>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</si>
  <si>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</si>
  <si>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</si>
  <si>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</si>
  <si>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</si>
  <si>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</si>
  <si>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</si>
  <si>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</si>
  <si>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</si>
  <si>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</si>
  <si>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</si>
  <si>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</si>
  <si>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</si>
  <si>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</si>
  <si>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</si>
  <si>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</si>
  <si>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</si>
  <si>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</si>
  <si>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</si>
  <si>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</si>
  <si>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</si>
  <si>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</si>
  <si>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</si>
  <si>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</si>
  <si>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</si>
  <si>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</si>
  <si>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</si>
  <si>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</si>
  <si>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</si>
  <si>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</si>
  <si>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</si>
  <si>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</si>
  <si>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</si>
  <si>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</si>
  <si>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</si>
  <si>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</si>
  <si>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</si>
  <si>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</si>
  <si>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</si>
  <si>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</si>
  <si>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</si>
  <si>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</si>
  <si>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</si>
  <si>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</si>
  <si>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</si>
  <si>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</si>
  <si>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</si>
  <si>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</si>
  <si>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</si>
  <si>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</si>
  <si>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</si>
  <si>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</si>
  <si>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</si>
  <si>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</si>
  <si>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</si>
  <si>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</si>
  <si>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</si>
  <si>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</si>
  <si>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</si>
  <si>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</si>
  <si>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</si>
  <si>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</si>
  <si>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</si>
  <si>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</si>
  <si>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</si>
  <si>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</si>
  <si>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</si>
  <si>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</si>
  <si>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</si>
  <si>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</si>
  <si>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</si>
  <si>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</si>
  <si>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</si>
  <si>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</si>
  <si>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</si>
  <si>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</si>
  <si>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</si>
  <si>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</si>
  <si>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</si>
  <si>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</si>
  <si>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</si>
  <si>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</si>
  <si>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</si>
  <si>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</si>
  <si>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</si>
  <si>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</si>
  <si>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</si>
  <si>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</si>
  <si>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</si>
  <si>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</si>
  <si>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</si>
  <si>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</si>
  <si>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</si>
  <si>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</si>
  <si>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</si>
  <si>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</si>
  <si>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</si>
  <si>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</si>
  <si>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</si>
  <si>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</si>
  <si>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</si>
  <si>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</si>
  <si>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</si>
  <si>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</si>
  <si>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</si>
  <si>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</si>
  <si>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</si>
  <si>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</si>
  <si>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</si>
  <si>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</si>
  <si>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</si>
  <si>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</si>
  <si>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</si>
  <si>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</si>
  <si>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</si>
  <si>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</si>
  <si>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</si>
  <si>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</si>
  <si>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</si>
  <si>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</si>
  <si>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</si>
  <si>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</si>
  <si>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</si>
  <si>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</si>
  <si>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</si>
  <si>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</si>
  <si>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</si>
  <si>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2410210009 G</t>
  </si>
  <si>
    <t>（第3回変更予算）</t>
  </si>
  <si>
    <t>刈屋　潤紀</t>
  </si>
  <si>
    <t>（仮称）東北生産・物流センター建設プロジェクト</t>
  </si>
  <si>
    <t>株式会社NIPPO</t>
  </si>
  <si>
    <t>岩手営業所</t>
  </si>
  <si>
    <t>奥州市江刺岩谷堂字袖山11-1地内</t>
  </si>
  <si>
    <t>2024年4月15日</t>
  </si>
  <si>
    <t>2025年9月25日</t>
  </si>
  <si>
    <t>盛土　東面</t>
  </si>
  <si>
    <t>切盛土工　外周緑地</t>
  </si>
  <si>
    <t>切盛土工　舗装・客土断面分</t>
  </si>
  <si>
    <t>クローラー範囲部</t>
  </si>
  <si>
    <t>重舗装部</t>
  </si>
  <si>
    <t>地盤改良手間　ｔ＝300</t>
  </si>
  <si>
    <t>砕石敷・転圧</t>
  </si>
  <si>
    <t>路盤工</t>
  </si>
  <si>
    <t>雑材</t>
  </si>
  <si>
    <t>各所鉄板撤去</t>
  </si>
  <si>
    <t>通路鉄板敷き　南通路</t>
  </si>
  <si>
    <t>掘削</t>
  </si>
  <si>
    <t>砕石基礎</t>
  </si>
  <si>
    <t>山砂</t>
  </si>
  <si>
    <t>埋め戻し</t>
  </si>
  <si>
    <t>盛土・地盤改良・路盤・鉄板敷設</t>
  </si>
  <si>
    <t>m3</t>
  </si>
  <si>
    <t>(駐車場)</t>
  </si>
  <si>
    <t>ジオセット200　ｔ＝800　87㎏/ｍ3</t>
  </si>
  <si>
    <t>m2</t>
  </si>
  <si>
    <t>ジオセット200　ｔ＝600　78㎏/ｍ3</t>
  </si>
  <si>
    <t>式</t>
  </si>
  <si>
    <t>ｈ＝0.4ｍ</t>
  </si>
  <si>
    <t>ｔ＝0.1ｍ</t>
  </si>
  <si>
    <t>ｔ＝0.7ｍ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</si>
  <si>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</si>
  <si>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</si>
  <si>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</si>
  <si>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</si>
  <si>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</si>
  <si>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</si>
  <si>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</si>
  <si>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</si>
  <si>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物流センター</t>
  </si>
  <si>
    <t>東北支社</t>
  </si>
  <si>
    <t>単独</t>
  </si>
  <si>
    <t>G</t>
  </si>
  <si>
    <t>2024年4月12日</t>
  </si>
  <si>
    <t>2024年4月15日 ～ 2025年9月25日</t>
  </si>
  <si>
    <t>盛土・地盤改良・路盤・鉄板敷設</t>
    <phoneticPr fontId="4"/>
  </si>
  <si>
    <t>直接工事費</t>
  </si>
  <si>
    <t xml:space="preserve">    流用土盛土</t>
  </si>
  <si>
    <t xml:space="preserve">    </t>
  </si>
  <si>
    <t>工種行</t>
  </si>
  <si>
    <t xml:space="preserve">      盛土　東面</t>
  </si>
  <si>
    <t xml:space="preserve">      </t>
  </si>
  <si>
    <t>16号</t>
  </si>
  <si>
    <t>内訳書</t>
  </si>
  <si>
    <t xml:space="preserve">      切盛土工　外周緑地</t>
  </si>
  <si>
    <t xml:space="preserve">      (駐車場)</t>
  </si>
  <si>
    <t>20号</t>
  </si>
  <si>
    <t xml:space="preserve">      切盛土工　舗装・客土断面分</t>
  </si>
  <si>
    <t>21号</t>
  </si>
  <si>
    <t xml:space="preserve">    地盤改良</t>
  </si>
  <si>
    <t xml:space="preserve">      クローラー範囲部</t>
  </si>
  <si>
    <t xml:space="preserve">      ジオセット200　ｔ＝800　87㎏/ｍ3</t>
  </si>
  <si>
    <t>15号</t>
  </si>
  <si>
    <t xml:space="preserve">      重舗装部</t>
  </si>
  <si>
    <t xml:space="preserve">      ジオセット200　ｔ＝600　78㎏/ｍ3</t>
  </si>
  <si>
    <t>17号</t>
  </si>
  <si>
    <t xml:space="preserve">      地盤改良手間　ｔ＝300</t>
  </si>
  <si>
    <t>22号</t>
  </si>
  <si>
    <t xml:space="preserve">      砕石敷・転圧</t>
  </si>
  <si>
    <t>18号</t>
  </si>
  <si>
    <t xml:space="preserve">      路盤工</t>
  </si>
  <si>
    <t>23号</t>
  </si>
  <si>
    <t xml:space="preserve">    雑材</t>
  </si>
  <si>
    <t xml:space="preserve">      雑材</t>
  </si>
  <si>
    <t>19号</t>
  </si>
  <si>
    <t xml:space="preserve">    仮設工</t>
  </si>
  <si>
    <t xml:space="preserve">      各所鉄板撤去</t>
  </si>
  <si>
    <t>24号</t>
  </si>
  <si>
    <t xml:space="preserve">      通路鉄板敷き　南通路</t>
  </si>
  <si>
    <t>25号</t>
  </si>
  <si>
    <t xml:space="preserve">    給水管</t>
  </si>
  <si>
    <t xml:space="preserve">      掘削</t>
  </si>
  <si>
    <t xml:space="preserve">      ｈ＝0.4ｍ</t>
  </si>
  <si>
    <t>26号</t>
  </si>
  <si>
    <t xml:space="preserve">      砕石基礎</t>
  </si>
  <si>
    <t xml:space="preserve">      ｔ＝0.1ｍ</t>
  </si>
  <si>
    <t>27号</t>
  </si>
  <si>
    <t xml:space="preserve">      山砂</t>
  </si>
  <si>
    <t xml:space="preserve">      ｔ＝0.7ｍ</t>
  </si>
  <si>
    <t>28号</t>
  </si>
  <si>
    <t xml:space="preserve">      埋め戻し</t>
  </si>
  <si>
    <t>29号</t>
  </si>
  <si>
    <t>直接工事費　計</t>
  </si>
  <si>
    <t>間接費</t>
  </si>
  <si>
    <t xml:space="preserve">  共通仮設費</t>
  </si>
  <si>
    <t xml:space="preserve">  </t>
  </si>
  <si>
    <t xml:space="preserve">  現場経費</t>
  </si>
  <si>
    <t>間接費 計</t>
  </si>
  <si>
    <t>工事原価</t>
  </si>
  <si>
    <t>粗利益</t>
  </si>
  <si>
    <t xml:space="preserve">  流用土盛土</t>
  </si>
  <si>
    <t xml:space="preserve">    盛土　東面</t>
  </si>
  <si>
    <t xml:space="preserve">    切盛土工　外周緑地</t>
  </si>
  <si>
    <t xml:space="preserve">    (駐車場)</t>
  </si>
  <si>
    <t xml:space="preserve">    切盛土工　舗装・客土断面分</t>
  </si>
  <si>
    <t xml:space="preserve">  地盤改良</t>
  </si>
  <si>
    <t xml:space="preserve">    クローラー範囲部</t>
  </si>
  <si>
    <t xml:space="preserve">    ジオセット200　ｔ＝800　87㎏/ｍ3</t>
  </si>
  <si>
    <t xml:space="preserve">    重舗装部</t>
  </si>
  <si>
    <t xml:space="preserve">    ジオセット200　ｔ＝600　78㎏/ｍ3</t>
  </si>
  <si>
    <t xml:space="preserve">    地盤改良手間　ｔ＝300</t>
  </si>
  <si>
    <t xml:space="preserve">    砕石敷・転圧</t>
  </si>
  <si>
    <t xml:space="preserve">    路盤工</t>
  </si>
  <si>
    <t xml:space="preserve">  雑材</t>
  </si>
  <si>
    <t xml:space="preserve">  仮設工</t>
  </si>
  <si>
    <t xml:space="preserve">    各所鉄板撤去</t>
  </si>
  <si>
    <t xml:space="preserve">    通路鉄板敷き　南通路</t>
  </si>
  <si>
    <t xml:space="preserve">  給水管</t>
  </si>
  <si>
    <t xml:space="preserve">    掘削</t>
  </si>
  <si>
    <t xml:space="preserve">    ｈ＝0.4ｍ</t>
  </si>
  <si>
    <t xml:space="preserve">    砕石基礎</t>
  </si>
  <si>
    <t xml:space="preserve">    ｔ＝0.1ｍ</t>
  </si>
  <si>
    <t xml:space="preserve">    山砂</t>
  </si>
  <si>
    <t xml:space="preserve">    ｔ＝0.7ｍ</t>
  </si>
  <si>
    <t xml:space="preserve">    埋め戻し</t>
  </si>
  <si>
    <t>計</t>
  </si>
  <si>
    <t>（仮称）東北生産・物流センター建設プロジェクト</t>
    <phoneticPr fontId="4"/>
  </si>
  <si>
    <t>総括</t>
  </si>
  <si>
    <t>集計行</t>
  </si>
  <si>
    <t>｜直接工事費</t>
  </si>
  <si>
    <t>｜｜流用土盛土</t>
  </si>
  <si>
    <t>内訳代価</t>
  </si>
  <si>
    <t>｜｜｜盛土　東面</t>
  </si>
  <si>
    <t>16号内訳書</t>
  </si>
  <si>
    <t>｜｜｜｜軽油</t>
  </si>
  <si>
    <t>ℓ</t>
  </si>
  <si>
    <t xml:space="preserve">s5001 </t>
  </si>
  <si>
    <t xml:space="preserve">{数量=60*10} </t>
  </si>
  <si>
    <t>｜｜｜｜運転工</t>
  </si>
  <si>
    <t>直営作業員</t>
  </si>
  <si>
    <t>人</t>
  </si>
  <si>
    <t xml:space="preserve">r0003 </t>
  </si>
  <si>
    <t xml:space="preserve">{数量=2*10} </t>
  </si>
  <si>
    <t>｜｜｜｜連絡車</t>
  </si>
  <si>
    <t>Wﾋﾟｯｸ</t>
  </si>
  <si>
    <t>台</t>
  </si>
  <si>
    <t xml:space="preserve">u0005 </t>
  </si>
  <si>
    <t xml:space="preserve">{数量=1*10} </t>
  </si>
  <si>
    <t>｜｜｜切盛土工　外周緑地</t>
  </si>
  <si>
    <t>20号内訳書</t>
  </si>
  <si>
    <t xml:space="preserve">{数量=60*4} </t>
  </si>
  <si>
    <t xml:space="preserve">{数量=2*4} </t>
  </si>
  <si>
    <t xml:space="preserve">{数量=1*4} </t>
  </si>
  <si>
    <t>｜｜｜切盛土工　舗装・客土断面分</t>
  </si>
  <si>
    <t>21号内訳書</t>
  </si>
  <si>
    <t xml:space="preserve">{数量=3*4} </t>
  </si>
  <si>
    <t>｜｜地盤改良</t>
  </si>
  <si>
    <t>｜｜｜クローラー範囲部</t>
  </si>
  <si>
    <t>15号内訳書</t>
  </si>
  <si>
    <t xml:space="preserve">{数量=4*10} </t>
  </si>
  <si>
    <t>｜｜｜重舗装部</t>
  </si>
  <si>
    <t>17号内訳書</t>
  </si>
  <si>
    <t>｜｜｜地盤改良手間　ｔ＝300</t>
  </si>
  <si>
    <t>22号内訳書</t>
  </si>
  <si>
    <t xml:space="preserve">{数量=60*1} </t>
  </si>
  <si>
    <t xml:space="preserve">{数量=1*1} </t>
  </si>
  <si>
    <t>｜｜｜砕石敷・転圧</t>
  </si>
  <si>
    <t>18号内訳書</t>
  </si>
  <si>
    <t>｜｜｜路盤工</t>
  </si>
  <si>
    <t>23号内訳書</t>
  </si>
  <si>
    <t xml:space="preserve">{数量=30*1} </t>
  </si>
  <si>
    <t>｜｜雑材</t>
  </si>
  <si>
    <t>｜｜｜雑材</t>
  </si>
  <si>
    <t>19号内訳書</t>
  </si>
  <si>
    <t>｜｜｜｜雑材</t>
  </si>
  <si>
    <t>｜｜仮設工</t>
  </si>
  <si>
    <t>｜｜｜各所鉄板撤去</t>
  </si>
  <si>
    <t>24号内訳書</t>
  </si>
  <si>
    <t xml:space="preserve">{数量=5*1} </t>
  </si>
  <si>
    <t>｜｜｜通路鉄板敷き　南通路</t>
  </si>
  <si>
    <t>25号内訳書</t>
  </si>
  <si>
    <t xml:space="preserve">{数量=60*3} </t>
  </si>
  <si>
    <t xml:space="preserve">{数量=3*3} </t>
  </si>
  <si>
    <t xml:space="preserve">{数量=1*3} </t>
  </si>
  <si>
    <t>｜｜給水管</t>
  </si>
  <si>
    <t>｜｜｜掘削</t>
  </si>
  <si>
    <t>26号内訳書</t>
  </si>
  <si>
    <t>｜｜｜砕石基礎</t>
  </si>
  <si>
    <t>27号内訳書</t>
  </si>
  <si>
    <t>｜｜｜山砂</t>
  </si>
  <si>
    <t>28号内訳書</t>
  </si>
  <si>
    <t xml:space="preserve">{数量=60*2} </t>
  </si>
  <si>
    <t xml:space="preserve">{数量=4*2} </t>
  </si>
  <si>
    <t xml:space="preserve">{数量=1*2} </t>
  </si>
  <si>
    <t>｜｜｜埋め戻し</t>
  </si>
  <si>
    <t>29号内訳書</t>
  </si>
  <si>
    <t xml:space="preserve">{数量=5*2} </t>
  </si>
  <si>
    <t>予算3</t>
    <phoneticPr fontId="6"/>
  </si>
  <si>
    <t>重機運搬費</t>
  </si>
  <si>
    <t>社員給料</t>
  </si>
  <si>
    <t>準備費</t>
  </si>
  <si>
    <t>事務用品費</t>
  </si>
  <si>
    <t>地代家賃</t>
  </si>
  <si>
    <t>電力用水光熱費</t>
  </si>
  <si>
    <t>仮設費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</si>
  <si>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</si>
  <si>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</si>
  <si>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</si>
  <si>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</si>
  <si>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</si>
  <si>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</si>
  <si>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</si>
  <si>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｜共通仮設費</t>
  </si>
  <si>
    <t>｜｜重機運搬費</t>
  </si>
  <si>
    <t>1号内訳書</t>
  </si>
  <si>
    <t>｜｜準備費</t>
  </si>
  <si>
    <t>(準備測量・仮設設置撤去・他)</t>
  </si>
  <si>
    <t>2号内訳書</t>
  </si>
  <si>
    <t>｜｜地代家賃</t>
  </si>
  <si>
    <t>(借地費用や駐車場及び宿舎の賃貸等)</t>
  </si>
  <si>
    <t>3号内訳書</t>
  </si>
  <si>
    <t>｜｜仮設費</t>
  </si>
  <si>
    <t>(仮設事務所・倉庫・トイレ(環境改善含む)、仮設電気　等)</t>
  </si>
  <si>
    <t>4号内訳書</t>
  </si>
  <si>
    <t>｜｜安全費</t>
  </si>
  <si>
    <t>(仮設事務所仮囲い・工事看板や安全施設・事務所警備　等)</t>
  </si>
  <si>
    <t>5号内訳書</t>
  </si>
  <si>
    <t>｜｜技術管理費</t>
  </si>
  <si>
    <t>(土質試験・ASP・MC施工関係・完成図書 等)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</si>
  <si>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</si>
  <si>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</si>
  <si>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</si>
  <si>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</si>
  <si>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</si>
  <si>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</si>
  <si>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</si>
  <si>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</si>
  <si>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</si>
  <si>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</si>
  <si>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</si>
  <si>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</si>
  <si>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</si>
  <si>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</si>
  <si>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</si>
  <si>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0</t>
  </si>
  <si>
    <t>#DIV/0!</t>
  </si>
  <si>
    <t>｜現場経費</t>
  </si>
  <si>
    <t>｜｜社員給料</t>
  </si>
  <si>
    <t>7号内訳書</t>
  </si>
  <si>
    <t>｜｜｜社員給料　</t>
  </si>
  <si>
    <t>支社社員　昼間</t>
  </si>
  <si>
    <t>日</t>
  </si>
  <si>
    <t xml:space="preserve">m0036 </t>
  </si>
  <si>
    <t xml:space="preserve">{数量=1*46}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</si>
  <si>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</si>
  <si>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</si>
  <si>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</si>
  <si>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</si>
  <si>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</si>
  <si>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</si>
  <si>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</si>
  <si>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</si>
  <si>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</si>
  <si>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</si>
  <si>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</si>
  <si>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</si>
  <si>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</si>
  <si>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</si>
  <si>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</si>
  <si>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（仮称）東北生産・物流センター建設プロジェクト</t>
    <phoneticPr fontId="6"/>
  </si>
  <si>
    <t>2410210009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</si>
  <si>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</si>
  <si>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</si>
  <si>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</si>
  <si>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</si>
  <si>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</si>
  <si>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</si>
  <si>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</si>
  <si>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軽油</t>
    <phoneticPr fontId="6"/>
  </si>
  <si>
    <t>ℓ</t>
    <phoneticPr fontId="6"/>
  </si>
  <si>
    <t>材料費</t>
    <phoneticPr fontId="6"/>
  </si>
  <si>
    <t>雑材</t>
    <phoneticPr fontId="6"/>
  </si>
  <si>
    <t>式</t>
    <phoneticPr fontId="6"/>
  </si>
  <si>
    <t>計</t>
    <phoneticPr fontId="6"/>
  </si>
  <si>
    <t>運転工</t>
    <phoneticPr fontId="6"/>
  </si>
  <si>
    <t>人</t>
    <phoneticPr fontId="6"/>
  </si>
  <si>
    <t>直営作業員</t>
    <phoneticPr fontId="6"/>
  </si>
  <si>
    <t>労務費</t>
    <phoneticPr fontId="6"/>
  </si>
  <si>
    <t>連絡車</t>
    <phoneticPr fontId="6"/>
  </si>
  <si>
    <t>台</t>
    <phoneticPr fontId="6"/>
  </si>
  <si>
    <t>Wﾋﾟｯｸ</t>
    <phoneticPr fontId="6"/>
  </si>
  <si>
    <t>運搬費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</si>
</sst>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143</v>
      </c>
      <c r="H3" s="442"/>
      <c r="I3" s="442"/>
      <c r="J3" s="442"/>
      <c r="K3" s="443"/>
      <c r="L3" s="257"/>
      <c r="M3" s="257"/>
      <c r="N3" s="257"/>
      <c r="O3" s="444" t="s">
        <v>144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145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133</v>
      </c>
      <c r="F10" s="417"/>
      <c r="G10" s="417"/>
      <c r="H10" s="417"/>
      <c r="I10" s="421" t="s">
        <v>146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134</v>
      </c>
      <c r="F12" s="417"/>
      <c r="G12" s="417"/>
      <c r="H12" s="417"/>
      <c r="I12" s="422" t="s">
        <v>147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135</v>
      </c>
      <c r="F14" s="424"/>
      <c r="G14" s="424"/>
      <c r="H14" s="424"/>
      <c r="I14" s="425">
        <v>6600000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5750000</v>
      </c>
      <c r="J16" s="420"/>
      <c r="K16" s="420"/>
      <c r="L16" s="420"/>
      <c r="M16" s="420"/>
      <c r="N16" s="420"/>
      <c r="O16" s="420"/>
      <c r="P16" s="420"/>
      <c r="Q16" s="416">
        <v>0.87119999999999997</v>
      </c>
      <c r="R16" s="416"/>
      <c r="S16" s="416"/>
      <c r="U16" s="417" t="s">
        <v>16</v>
      </c>
      <c r="V16" s="418"/>
      <c r="W16" s="418"/>
      <c r="X16" s="418"/>
      <c r="Y16" s="419">
        <v>850000</v>
      </c>
      <c r="Z16" s="420"/>
      <c r="AA16" s="420"/>
      <c r="AB16" s="420"/>
      <c r="AC16" s="420"/>
      <c r="AD16" s="420"/>
      <c r="AE16" s="420"/>
      <c r="AF16" s="420"/>
      <c r="AG16" s="416">
        <v>0.1288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148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149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150</v>
      </c>
      <c r="G28" s="407"/>
      <c r="H28" s="407"/>
      <c r="I28" s="407"/>
      <c r="J28" s="407"/>
      <c r="K28" s="407"/>
      <c r="L28" s="387" t="s">
        <v>136</v>
      </c>
      <c r="M28" s="387"/>
      <c r="N28" s="388" t="s">
        <v>151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150</v>
      </c>
      <c r="Z28" s="407"/>
      <c r="AA28" s="407"/>
      <c r="AB28" s="407"/>
      <c r="AC28" s="407"/>
      <c r="AD28" s="407"/>
      <c r="AE28" s="387" t="s">
        <v>136</v>
      </c>
      <c r="AF28" s="387"/>
      <c r="AG28" s="388" t="s">
        <v>151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130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topLeftCell="A9"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146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143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45397</v>
      </c>
      <c r="D3" s="458"/>
      <c r="E3" s="272" t="s">
        <v>137</v>
      </c>
      <c r="F3" s="459">
        <v>45925</v>
      </c>
      <c r="G3" s="459"/>
      <c r="H3" s="459"/>
      <c r="I3" s="273"/>
      <c r="J3" s="273"/>
      <c r="K3" s="460" t="s">
        <v>30</v>
      </c>
      <c r="L3" s="461"/>
      <c r="M3" s="462"/>
      <c r="N3" s="449">
        <v>6600000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152</v>
      </c>
      <c r="C5" s="276">
        <v>569730</v>
      </c>
      <c r="D5" s="335">
        <f>IF(C5&lt;&gt;"",C5/$C$20,"")</f>
        <v>0.1160346232179226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153</v>
      </c>
      <c r="C6" s="277">
        <v>227856</v>
      </c>
      <c r="D6" s="336">
        <f t="shared" ref="D6:D17" si="0">IF(C6&lt;&gt;"",C6/$C$20,"")</f>
        <v>4.6406517311608962E-2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154</v>
      </c>
      <c r="C7" s="277">
        <v>306204</v>
      </c>
      <c r="D7" s="336">
        <f t="shared" si="0"/>
        <v>6.2363340122199594E-2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155</v>
      </c>
      <c r="C8" s="277">
        <v>966004</v>
      </c>
      <c r="D8" s="336">
        <f t="shared" si="0"/>
        <v>0.19674215885947047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156</v>
      </c>
      <c r="C9" s="277">
        <v>967840</v>
      </c>
      <c r="D9" s="336">
        <f t="shared" si="0"/>
        <v>0.19711608961303462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157</v>
      </c>
      <c r="C10" s="277">
        <v>35700</v>
      </c>
      <c r="D10" s="336">
        <f t="shared" si="0"/>
        <v>7.2708757637474546E-3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158</v>
      </c>
      <c r="C11" s="277">
        <v>968136</v>
      </c>
      <c r="D11" s="336">
        <f t="shared" si="0"/>
        <v>0.19717637474541752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159</v>
      </c>
      <c r="C12" s="277">
        <v>32000</v>
      </c>
      <c r="D12" s="336">
        <f t="shared" si="0"/>
        <v>6.5173116089613037E-3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160</v>
      </c>
      <c r="C13" s="277">
        <v>4560</v>
      </c>
      <c r="D13" s="336">
        <f t="shared" si="0"/>
        <v>9.2871690427698576E-4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161</v>
      </c>
      <c r="C14" s="277">
        <v>117000</v>
      </c>
      <c r="D14" s="336">
        <f t="shared" si="0"/>
        <v>2.3828920570264766E-2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162</v>
      </c>
      <c r="C15" s="277">
        <v>231000</v>
      </c>
      <c r="D15" s="336">
        <f t="shared" si="0"/>
        <v>4.7046843177189407E-2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163</v>
      </c>
      <c r="C16" s="277">
        <v>28000</v>
      </c>
      <c r="D16" s="336">
        <f t="shared" si="0"/>
        <v>5.7026476578411409E-3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164</v>
      </c>
      <c r="C17" s="278">
        <v>28000</v>
      </c>
      <c r="D17" s="336">
        <f t="shared" si="0"/>
        <v>5.7026476578411409E-3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165</v>
      </c>
      <c r="C18" s="278">
        <v>194000</v>
      </c>
      <c r="D18" s="336">
        <f>IF(C18&lt;&gt;"",C18/$C$20,"")</f>
        <v>3.9511201629327905E-2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166</v>
      </c>
      <c r="C19" s="278">
        <v>233970</v>
      </c>
      <c r="D19" s="336">
        <f>IF(C19&lt;&gt;"",C19/$C$20,"")</f>
        <v>4.7651731160896132E-2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4910000</v>
      </c>
      <c r="D20" s="337">
        <f>SUM(D5:D19)</f>
        <v>0.99999999999999989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117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118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119</v>
      </c>
      <c r="F30" s="178" t="s">
        <v>120</v>
      </c>
      <c r="G30" s="177" t="s">
        <v>121</v>
      </c>
      <c r="H30" s="178" t="s">
        <v>122</v>
      </c>
      <c r="I30" s="177" t="s">
        <v>123</v>
      </c>
      <c r="J30" s="178" t="s">
        <v>124</v>
      </c>
      <c r="K30" s="177" t="s">
        <v>125</v>
      </c>
      <c r="L30" s="178" t="s">
        <v>126</v>
      </c>
      <c r="M30" s="177" t="s">
        <v>127</v>
      </c>
      <c r="N30" s="179" t="s">
        <v>128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167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152</v>
      </c>
      <c r="K5" s="282"/>
      <c r="L5" s="283" t="s">
        <v>168</v>
      </c>
      <c r="M5" s="284">
        <v>2713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153</v>
      </c>
      <c r="K6" s="289" t="s">
        <v>169</v>
      </c>
      <c r="L6" s="290" t="s">
        <v>168</v>
      </c>
      <c r="M6" s="291">
        <v>1128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154</v>
      </c>
      <c r="K7" s="289"/>
      <c r="L7" s="290" t="s">
        <v>168</v>
      </c>
      <c r="M7" s="291">
        <v>2686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155</v>
      </c>
      <c r="K8" s="289" t="s">
        <v>170</v>
      </c>
      <c r="L8" s="290" t="s">
        <v>171</v>
      </c>
      <c r="M8" s="291">
        <v>5716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156</v>
      </c>
      <c r="K9" s="289" t="s">
        <v>172</v>
      </c>
      <c r="L9" s="290" t="s">
        <v>171</v>
      </c>
      <c r="M9" s="291">
        <v>2630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157</v>
      </c>
      <c r="K10" s="289"/>
      <c r="L10" s="290" t="s">
        <v>171</v>
      </c>
      <c r="M10" s="291">
        <v>2100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158</v>
      </c>
      <c r="K11" s="289"/>
      <c r="L11" s="290" t="s">
        <v>171</v>
      </c>
      <c r="M11" s="291">
        <v>8346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159</v>
      </c>
      <c r="K12" s="289"/>
      <c r="L12" s="290" t="s">
        <v>171</v>
      </c>
      <c r="M12" s="291">
        <v>1000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160</v>
      </c>
      <c r="K13" s="289"/>
      <c r="L13" s="290" t="s">
        <v>173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161</v>
      </c>
      <c r="K14" s="289"/>
      <c r="L14" s="290" t="s">
        <v>171</v>
      </c>
      <c r="M14" s="291">
        <v>100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162</v>
      </c>
      <c r="K15" s="289"/>
      <c r="L15" s="290" t="s">
        <v>171</v>
      </c>
      <c r="M15" s="291">
        <v>500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163</v>
      </c>
      <c r="K16" s="289" t="s">
        <v>174</v>
      </c>
      <c r="L16" s="290" t="s">
        <v>168</v>
      </c>
      <c r="M16" s="291">
        <v>20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164</v>
      </c>
      <c r="K17" s="289" t="s">
        <v>175</v>
      </c>
      <c r="L17" s="290" t="s">
        <v>168</v>
      </c>
      <c r="M17" s="291">
        <v>4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165</v>
      </c>
      <c r="K18" s="289" t="s">
        <v>176</v>
      </c>
      <c r="L18" s="290" t="s">
        <v>168</v>
      </c>
      <c r="M18" s="291">
        <v>80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166</v>
      </c>
      <c r="K19" s="295"/>
      <c r="L19" s="296" t="s">
        <v>168</v>
      </c>
      <c r="M19" s="297">
        <v>55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4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146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185</v>
      </c>
      <c r="D5" s="512"/>
      <c r="E5" s="246" t="s">
        <v>131</v>
      </c>
      <c r="F5" s="513" t="s">
        <v>186</v>
      </c>
      <c r="G5" s="514"/>
      <c r="H5" s="246" t="s">
        <v>132</v>
      </c>
      <c r="I5" s="491" t="s">
        <v>148</v>
      </c>
      <c r="J5" s="515"/>
      <c r="K5" s="493"/>
      <c r="L5" s="106" t="s">
        <v>116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143</v>
      </c>
      <c r="D6" s="493"/>
      <c r="E6" s="106"/>
      <c r="F6" s="108" t="s">
        <v>54</v>
      </c>
      <c r="G6" s="108" t="s">
        <v>55</v>
      </c>
      <c r="H6" s="109" t="s">
        <v>177</v>
      </c>
      <c r="I6" s="110" t="s">
        <v>178</v>
      </c>
      <c r="J6" s="110" t="s">
        <v>179</v>
      </c>
      <c r="K6" s="110" t="s">
        <v>180</v>
      </c>
      <c r="L6" s="110" t="s">
        <v>181</v>
      </c>
      <c r="M6" s="111" t="s">
        <v>182</v>
      </c>
      <c r="N6" s="110" t="s">
        <v>183</v>
      </c>
      <c r="O6" s="112" t="s">
        <v>184</v>
      </c>
      <c r="P6" s="247"/>
      <c r="Q6" s="248"/>
    </row>
    <row r="7" spans="1:17" ht="30" customHeight="1">
      <c r="A7" s="69"/>
      <c r="B7" s="107" t="s">
        <v>56</v>
      </c>
      <c r="C7" s="491" t="s">
        <v>147</v>
      </c>
      <c r="D7" s="493"/>
      <c r="E7" s="113" t="s">
        <v>57</v>
      </c>
      <c r="F7" s="249">
        <v>6600000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5750000</v>
      </c>
      <c r="G8" s="334">
        <v>0.87119999999999997</v>
      </c>
      <c r="H8" s="250">
        <v>522060</v>
      </c>
      <c r="I8" s="251">
        <v>3920000</v>
      </c>
      <c r="J8" s="251"/>
      <c r="K8" s="251"/>
      <c r="L8" s="252">
        <v>480000</v>
      </c>
      <c r="M8" s="252"/>
      <c r="N8" s="253">
        <v>840000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149</v>
      </c>
      <c r="D9" s="493"/>
      <c r="E9" s="114" t="s">
        <v>60</v>
      </c>
      <c r="F9" s="249">
        <v>4910000</v>
      </c>
      <c r="G9" s="334">
        <v>0.74390000000000001</v>
      </c>
      <c r="H9" s="250">
        <v>522060</v>
      </c>
      <c r="I9" s="251">
        <v>3920000</v>
      </c>
      <c r="J9" s="251"/>
      <c r="K9" s="251"/>
      <c r="L9" s="252">
        <v>480000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145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840000</v>
      </c>
      <c r="G11" s="334">
        <v>0.1273</v>
      </c>
      <c r="H11" s="250"/>
      <c r="I11" s="253"/>
      <c r="J11" s="253"/>
      <c r="K11" s="253"/>
      <c r="L11" s="251"/>
      <c r="M11" s="252"/>
      <c r="N11" s="253">
        <v>840000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187</v>
      </c>
      <c r="D12" s="492"/>
      <c r="E12" s="113" t="s">
        <v>66</v>
      </c>
      <c r="F12" s="249">
        <v>850000</v>
      </c>
      <c r="G12" s="334">
        <v>0.1288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188</v>
      </c>
      <c r="D13" s="492"/>
      <c r="E13" s="169" t="s">
        <v>108</v>
      </c>
      <c r="F13" s="249">
        <v>541200</v>
      </c>
      <c r="G13" s="334">
        <v>8.2000000000000003E-2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189</v>
      </c>
      <c r="D14" s="493"/>
      <c r="E14" s="114" t="s">
        <v>109</v>
      </c>
      <c r="F14" s="249">
        <v>356400</v>
      </c>
      <c r="G14" s="334">
        <v>5.3999999999999999E-2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190</v>
      </c>
      <c r="D15" s="495"/>
      <c r="E15" s="114" t="s">
        <v>110</v>
      </c>
      <c r="F15" s="249">
        <v>184800</v>
      </c>
      <c r="G15" s="334">
        <v>2.8000000000000001E-2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114</v>
      </c>
      <c r="C16" s="491" t="s">
        <v>190</v>
      </c>
      <c r="D16" s="493"/>
      <c r="E16" s="113" t="s">
        <v>111</v>
      </c>
      <c r="F16" s="249">
        <v>308800</v>
      </c>
      <c r="G16" s="334">
        <v>4.6800000000000001E-2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191</v>
      </c>
      <c r="D17" s="500"/>
      <c r="E17" s="113" t="s">
        <v>112</v>
      </c>
      <c r="F17" s="249">
        <v>85800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113</v>
      </c>
      <c r="F18" s="249">
        <v>223000</v>
      </c>
      <c r="G18" s="334">
        <v>3.3799999999999997E-2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111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142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146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192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193</v>
      </c>
      <c r="C8" s="166"/>
      <c r="D8" s="517" t="s">
        <v>173</v>
      </c>
      <c r="E8" s="519">
        <v>1</v>
      </c>
      <c r="F8" s="521">
        <v>1103790</v>
      </c>
      <c r="G8" s="523">
        <v>1103790</v>
      </c>
      <c r="H8" s="351"/>
      <c r="I8" s="525">
        <v>0.16719999999999999</v>
      </c>
      <c r="J8" s="227"/>
      <c r="K8" s="69" t="s">
        <v>96</v>
      </c>
    </row>
    <row r="9" spans="1:11" ht="15.6" customHeight="1">
      <c r="A9" s="69"/>
      <c r="B9" s="224" t="s">
        <v>194</v>
      </c>
      <c r="C9" s="225"/>
      <c r="D9" s="518"/>
      <c r="E9" s="520"/>
      <c r="F9" s="522"/>
      <c r="G9" s="524"/>
      <c r="H9" s="352" t="s">
        <v>195</v>
      </c>
      <c r="I9" s="526"/>
      <c r="J9" s="227"/>
      <c r="K9" s="69" t="s">
        <v>96</v>
      </c>
    </row>
    <row r="10" spans="1:11" ht="15.6" customHeight="1">
      <c r="A10" s="69"/>
      <c r="B10" s="222" t="s">
        <v>196</v>
      </c>
      <c r="C10" s="166"/>
      <c r="D10" s="517" t="s">
        <v>168</v>
      </c>
      <c r="E10" s="519">
        <v>2713</v>
      </c>
      <c r="F10" s="521">
        <v>210</v>
      </c>
      <c r="G10" s="523">
        <v>569730</v>
      </c>
      <c r="H10" s="351" t="s">
        <v>198</v>
      </c>
      <c r="I10" s="525">
        <v>8.6300000000000002E-2</v>
      </c>
      <c r="J10" s="223"/>
      <c r="K10" s="69" t="s">
        <v>96</v>
      </c>
    </row>
    <row r="11" spans="1:11" ht="15.6" customHeight="1">
      <c r="A11" s="69"/>
      <c r="B11" s="224" t="s">
        <v>197</v>
      </c>
      <c r="C11" s="225"/>
      <c r="D11" s="518"/>
      <c r="E11" s="520"/>
      <c r="F11" s="522"/>
      <c r="G11" s="524"/>
      <c r="H11" s="352" t="s">
        <v>199</v>
      </c>
      <c r="I11" s="526"/>
      <c r="J11" s="226"/>
      <c r="K11" s="69" t="s">
        <v>96</v>
      </c>
    </row>
    <row r="12" spans="1:11" ht="15.6" customHeight="1">
      <c r="A12" s="69"/>
      <c r="B12" s="222" t="s">
        <v>200</v>
      </c>
      <c r="C12" s="166"/>
      <c r="D12" s="517" t="s">
        <v>168</v>
      </c>
      <c r="E12" s="519">
        <v>1128</v>
      </c>
      <c r="F12" s="521">
        <v>202</v>
      </c>
      <c r="G12" s="523">
        <v>227856</v>
      </c>
      <c r="H12" s="351" t="s">
        <v>202</v>
      </c>
      <c r="I12" s="525">
        <v>3.4500000000000003E-2</v>
      </c>
      <c r="J12" s="223"/>
      <c r="K12" s="69" t="s">
        <v>96</v>
      </c>
    </row>
    <row r="13" spans="1:11" ht="15.6" customHeight="1">
      <c r="A13" s="69"/>
      <c r="B13" s="224" t="s">
        <v>201</v>
      </c>
      <c r="C13" s="225"/>
      <c r="D13" s="518"/>
      <c r="E13" s="520"/>
      <c r="F13" s="522"/>
      <c r="G13" s="524"/>
      <c r="H13" s="352" t="s">
        <v>199</v>
      </c>
      <c r="I13" s="526"/>
      <c r="J13" s="226"/>
      <c r="K13" s="69" t="s">
        <v>96</v>
      </c>
    </row>
    <row r="14" spans="1:11" ht="15.6" customHeight="1">
      <c r="A14" s="69"/>
      <c r="B14" s="222" t="s">
        <v>203</v>
      </c>
      <c r="C14" s="166"/>
      <c r="D14" s="517" t="s">
        <v>168</v>
      </c>
      <c r="E14" s="519">
        <v>2686</v>
      </c>
      <c r="F14" s="521">
        <v>114</v>
      </c>
      <c r="G14" s="523">
        <v>306204</v>
      </c>
      <c r="H14" s="351" t="s">
        <v>204</v>
      </c>
      <c r="I14" s="525">
        <v>4.6300000000000001E-2</v>
      </c>
      <c r="J14" s="223"/>
      <c r="K14" s="69" t="s">
        <v>96</v>
      </c>
    </row>
    <row r="15" spans="1:11" ht="15.6" customHeight="1">
      <c r="A15" s="69"/>
      <c r="B15" s="224" t="s">
        <v>197</v>
      </c>
      <c r="C15" s="225"/>
      <c r="D15" s="518"/>
      <c r="E15" s="520"/>
      <c r="F15" s="522"/>
      <c r="G15" s="524"/>
      <c r="H15" s="352" t="s">
        <v>199</v>
      </c>
      <c r="I15" s="526"/>
      <c r="J15" s="226"/>
      <c r="K15" s="69" t="s">
        <v>96</v>
      </c>
    </row>
    <row r="16" spans="1:11" ht="15.6" customHeight="1">
      <c r="A16" s="69"/>
      <c r="B16" s="222" t="s">
        <v>205</v>
      </c>
      <c r="C16" s="166"/>
      <c r="D16" s="517" t="s">
        <v>173</v>
      </c>
      <c r="E16" s="519">
        <v>1</v>
      </c>
      <c r="F16" s="521">
        <v>2969680</v>
      </c>
      <c r="G16" s="523">
        <v>2969680</v>
      </c>
      <c r="H16" s="351"/>
      <c r="I16" s="525">
        <v>0.44990000000000002</v>
      </c>
      <c r="J16" s="223"/>
      <c r="K16" s="69" t="s">
        <v>96</v>
      </c>
    </row>
    <row r="17" spans="1:11" ht="15.6" customHeight="1">
      <c r="A17" s="69"/>
      <c r="B17" s="224" t="s">
        <v>194</v>
      </c>
      <c r="C17" s="225"/>
      <c r="D17" s="518"/>
      <c r="E17" s="520"/>
      <c r="F17" s="522"/>
      <c r="G17" s="524"/>
      <c r="H17" s="352" t="s">
        <v>195</v>
      </c>
      <c r="I17" s="526"/>
      <c r="J17" s="226"/>
      <c r="K17" s="69" t="s">
        <v>96</v>
      </c>
    </row>
    <row r="18" spans="1:11" ht="15.6" customHeight="1">
      <c r="A18" s="69"/>
      <c r="B18" s="222" t="s">
        <v>206</v>
      </c>
      <c r="C18" s="166"/>
      <c r="D18" s="517" t="s">
        <v>171</v>
      </c>
      <c r="E18" s="519">
        <v>5716</v>
      </c>
      <c r="F18" s="521">
        <v>169</v>
      </c>
      <c r="G18" s="523">
        <v>966004</v>
      </c>
      <c r="H18" s="351" t="s">
        <v>208</v>
      </c>
      <c r="I18" s="525">
        <v>0.14630000000000001</v>
      </c>
      <c r="J18" s="223"/>
      <c r="K18" s="69" t="s">
        <v>96</v>
      </c>
    </row>
    <row r="19" spans="1:11" ht="15.6" customHeight="1">
      <c r="A19" s="69"/>
      <c r="B19" s="224" t="s">
        <v>207</v>
      </c>
      <c r="C19" s="225"/>
      <c r="D19" s="518"/>
      <c r="E19" s="520"/>
      <c r="F19" s="522"/>
      <c r="G19" s="524"/>
      <c r="H19" s="352" t="s">
        <v>199</v>
      </c>
      <c r="I19" s="526"/>
      <c r="J19" s="226"/>
      <c r="K19" s="69" t="s">
        <v>96</v>
      </c>
    </row>
    <row r="20" spans="1:11" ht="15.6" customHeight="1">
      <c r="A20" s="69"/>
      <c r="B20" s="222" t="s">
        <v>209</v>
      </c>
      <c r="C20" s="166"/>
      <c r="D20" s="517" t="s">
        <v>171</v>
      </c>
      <c r="E20" s="519">
        <v>2630</v>
      </c>
      <c r="F20" s="521">
        <v>368</v>
      </c>
      <c r="G20" s="523">
        <v>967840</v>
      </c>
      <c r="H20" s="351" t="s">
        <v>211</v>
      </c>
      <c r="I20" s="525">
        <v>0.14660000000000001</v>
      </c>
      <c r="J20" s="223"/>
      <c r="K20" s="69" t="s">
        <v>96</v>
      </c>
    </row>
    <row r="21" spans="1:11" ht="15.6" customHeight="1">
      <c r="A21" s="69"/>
      <c r="B21" s="224" t="s">
        <v>210</v>
      </c>
      <c r="C21" s="225"/>
      <c r="D21" s="518"/>
      <c r="E21" s="520"/>
      <c r="F21" s="522"/>
      <c r="G21" s="524"/>
      <c r="H21" s="352" t="s">
        <v>199</v>
      </c>
      <c r="I21" s="526"/>
      <c r="J21" s="226"/>
      <c r="K21" s="69" t="s">
        <v>96</v>
      </c>
    </row>
    <row r="22" spans="1:11" ht="15.6" customHeight="1">
      <c r="A22" s="69"/>
      <c r="B22" s="222" t="s">
        <v>212</v>
      </c>
      <c r="C22" s="166"/>
      <c r="D22" s="517" t="s">
        <v>171</v>
      </c>
      <c r="E22" s="519">
        <v>2100</v>
      </c>
      <c r="F22" s="521">
        <v>17</v>
      </c>
      <c r="G22" s="523">
        <v>35700</v>
      </c>
      <c r="H22" s="351" t="s">
        <v>213</v>
      </c>
      <c r="I22" s="525">
        <v>5.4000000000000003E-3</v>
      </c>
      <c r="J22" s="223"/>
      <c r="K22" s="69" t="s">
        <v>96</v>
      </c>
    </row>
    <row r="23" spans="1:11" ht="15.6" customHeight="1">
      <c r="A23" s="69"/>
      <c r="B23" s="224" t="s">
        <v>197</v>
      </c>
      <c r="C23" s="225"/>
      <c r="D23" s="518"/>
      <c r="E23" s="520"/>
      <c r="F23" s="522"/>
      <c r="G23" s="524"/>
      <c r="H23" s="352" t="s">
        <v>199</v>
      </c>
      <c r="I23" s="526"/>
      <c r="J23" s="226"/>
      <c r="K23" s="69" t="s">
        <v>96</v>
      </c>
    </row>
    <row r="24" spans="1:11" ht="15.6" customHeight="1">
      <c r="A24" s="69"/>
      <c r="B24" s="222" t="s">
        <v>214</v>
      </c>
      <c r="C24" s="166"/>
      <c r="D24" s="517" t="s">
        <v>171</v>
      </c>
      <c r="E24" s="519">
        <v>8346</v>
      </c>
      <c r="F24" s="521">
        <v>116</v>
      </c>
      <c r="G24" s="523">
        <v>968136</v>
      </c>
      <c r="H24" s="351" t="s">
        <v>215</v>
      </c>
      <c r="I24" s="525">
        <v>0.14660000000000001</v>
      </c>
      <c r="J24" s="223"/>
      <c r="K24" s="69" t="s">
        <v>96</v>
      </c>
    </row>
    <row r="25" spans="1:11" ht="15.6" customHeight="1">
      <c r="A25" s="69"/>
      <c r="B25" s="224" t="s">
        <v>197</v>
      </c>
      <c r="C25" s="225"/>
      <c r="D25" s="518"/>
      <c r="E25" s="520"/>
      <c r="F25" s="522"/>
      <c r="G25" s="524"/>
      <c r="H25" s="352" t="s">
        <v>199</v>
      </c>
      <c r="I25" s="526"/>
      <c r="J25" s="226"/>
      <c r="K25" s="69" t="s">
        <v>96</v>
      </c>
    </row>
    <row r="26" spans="1:11" ht="15.6" customHeight="1">
      <c r="A26" s="69"/>
      <c r="B26" s="222" t="s">
        <v>216</v>
      </c>
      <c r="C26" s="166"/>
      <c r="D26" s="517" t="s">
        <v>171</v>
      </c>
      <c r="E26" s="519">
        <v>1000</v>
      </c>
      <c r="F26" s="521">
        <v>32</v>
      </c>
      <c r="G26" s="523">
        <v>32000</v>
      </c>
      <c r="H26" s="351" t="s">
        <v>217</v>
      </c>
      <c r="I26" s="525">
        <v>4.7999999999999996E-3</v>
      </c>
      <c r="J26" s="223"/>
      <c r="K26" s="69" t="s">
        <v>96</v>
      </c>
    </row>
    <row r="27" spans="1:11" ht="15.6" customHeight="1">
      <c r="A27" s="69"/>
      <c r="B27" s="224" t="s">
        <v>197</v>
      </c>
      <c r="C27" s="225"/>
      <c r="D27" s="518"/>
      <c r="E27" s="520"/>
      <c r="F27" s="522"/>
      <c r="G27" s="524"/>
      <c r="H27" s="352" t="s">
        <v>199</v>
      </c>
      <c r="I27" s="526"/>
      <c r="J27" s="226"/>
      <c r="K27" s="69" t="s">
        <v>96</v>
      </c>
    </row>
    <row r="28" spans="1:11" ht="15.6" customHeight="1">
      <c r="A28" s="69"/>
      <c r="B28" s="222" t="s">
        <v>218</v>
      </c>
      <c r="C28" s="166"/>
      <c r="D28" s="517" t="s">
        <v>173</v>
      </c>
      <c r="E28" s="519">
        <v>1</v>
      </c>
      <c r="F28" s="521">
        <v>4560</v>
      </c>
      <c r="G28" s="523">
        <v>4560</v>
      </c>
      <c r="H28" s="351"/>
      <c r="I28" s="525">
        <v>5.9999999999999995E-4</v>
      </c>
      <c r="J28" s="223"/>
      <c r="K28" s="69" t="s">
        <v>96</v>
      </c>
    </row>
    <row r="29" spans="1:11" ht="15.6" customHeight="1">
      <c r="A29" s="69"/>
      <c r="B29" s="224" t="s">
        <v>194</v>
      </c>
      <c r="C29" s="225"/>
      <c r="D29" s="518"/>
      <c r="E29" s="520"/>
      <c r="F29" s="522"/>
      <c r="G29" s="524"/>
      <c r="H29" s="352" t="s">
        <v>195</v>
      </c>
      <c r="I29" s="526"/>
      <c r="J29" s="226"/>
      <c r="K29" s="69" t="s">
        <v>96</v>
      </c>
    </row>
    <row r="30" spans="1:11" ht="15.6" customHeight="1">
      <c r="A30" s="69"/>
      <c r="B30" s="222" t="s">
        <v>219</v>
      </c>
      <c r="C30" s="166"/>
      <c r="D30" s="517" t="s">
        <v>173</v>
      </c>
      <c r="E30" s="519">
        <v>1</v>
      </c>
      <c r="F30" s="521">
        <v>4560</v>
      </c>
      <c r="G30" s="523">
        <v>4560</v>
      </c>
      <c r="H30" s="351" t="s">
        <v>220</v>
      </c>
      <c r="I30" s="525">
        <v>5.9999999999999995E-4</v>
      </c>
      <c r="J30" s="223"/>
      <c r="K30" s="69" t="s">
        <v>96</v>
      </c>
    </row>
    <row r="31" spans="1:11" ht="15.6" customHeight="1">
      <c r="A31" s="69"/>
      <c r="B31" s="224" t="s">
        <v>197</v>
      </c>
      <c r="C31" s="225"/>
      <c r="D31" s="518"/>
      <c r="E31" s="520"/>
      <c r="F31" s="522"/>
      <c r="G31" s="524"/>
      <c r="H31" s="352" t="s">
        <v>199</v>
      </c>
      <c r="I31" s="526"/>
      <c r="J31" s="226"/>
      <c r="K31" s="69" t="s">
        <v>96</v>
      </c>
    </row>
    <row r="32" spans="1:11" ht="15.6" customHeight="1">
      <c r="A32" s="69"/>
      <c r="B32" s="222" t="s">
        <v>221</v>
      </c>
      <c r="C32" s="166"/>
      <c r="D32" s="532" t="s">
        <v>173</v>
      </c>
      <c r="E32" s="519">
        <v>1</v>
      </c>
      <c r="F32" s="521">
        <v>348000</v>
      </c>
      <c r="G32" s="523">
        <v>348000</v>
      </c>
      <c r="H32" s="351"/>
      <c r="I32" s="525">
        <v>5.2699999999999997E-2</v>
      </c>
      <c r="J32" s="223"/>
      <c r="K32" s="69" t="s">
        <v>96</v>
      </c>
    </row>
    <row r="33" spans="1:11" ht="15.6" customHeight="1">
      <c r="A33" s="69"/>
      <c r="B33" s="224" t="s">
        <v>194</v>
      </c>
      <c r="C33" s="225"/>
      <c r="D33" s="532"/>
      <c r="E33" s="520"/>
      <c r="F33" s="522"/>
      <c r="G33" s="524"/>
      <c r="H33" s="354" t="s">
        <v>195</v>
      </c>
      <c r="I33" s="526"/>
      <c r="J33" s="226"/>
      <c r="K33" s="69" t="s">
        <v>96</v>
      </c>
    </row>
    <row r="34" spans="1:11" ht="15.6" customHeight="1">
      <c r="A34" s="69"/>
      <c r="B34" s="222" t="s">
        <v>222</v>
      </c>
      <c r="C34" s="166"/>
      <c r="D34" s="517" t="s">
        <v>171</v>
      </c>
      <c r="E34" s="519">
        <v>100</v>
      </c>
      <c r="F34" s="521">
        <v>1170</v>
      </c>
      <c r="G34" s="523">
        <v>117000</v>
      </c>
      <c r="H34" s="351" t="s">
        <v>223</v>
      </c>
      <c r="I34" s="525">
        <v>1.77E-2</v>
      </c>
      <c r="J34" s="223"/>
      <c r="K34" s="69" t="s">
        <v>96</v>
      </c>
    </row>
    <row r="35" spans="1:11" ht="15.6" customHeight="1">
      <c r="A35" s="69"/>
      <c r="B35" s="224" t="s">
        <v>197</v>
      </c>
      <c r="C35" s="225"/>
      <c r="D35" s="518"/>
      <c r="E35" s="520"/>
      <c r="F35" s="522"/>
      <c r="G35" s="524"/>
      <c r="H35" s="352" t="s">
        <v>199</v>
      </c>
      <c r="I35" s="526"/>
      <c r="J35" s="226"/>
      <c r="K35" s="69" t="s">
        <v>96</v>
      </c>
    </row>
    <row r="36" spans="1:11" ht="15.6" customHeight="1">
      <c r="A36" s="69"/>
      <c r="B36" s="301" t="s">
        <v>224</v>
      </c>
      <c r="C36" s="302"/>
      <c r="D36" s="517" t="s">
        <v>171</v>
      </c>
      <c r="E36" s="519">
        <v>500</v>
      </c>
      <c r="F36" s="521">
        <v>462</v>
      </c>
      <c r="G36" s="523">
        <v>231000</v>
      </c>
      <c r="H36" s="351" t="s">
        <v>225</v>
      </c>
      <c r="I36" s="525">
        <v>3.5000000000000003E-2</v>
      </c>
      <c r="J36" s="223"/>
      <c r="K36" s="69" t="s">
        <v>96</v>
      </c>
    </row>
    <row r="37" spans="1:11" ht="15.6" customHeight="1" thickBot="1">
      <c r="A37" s="69"/>
      <c r="B37" s="228" t="s">
        <v>197</v>
      </c>
      <c r="C37" s="229"/>
      <c r="D37" s="527"/>
      <c r="E37" s="528"/>
      <c r="F37" s="529"/>
      <c r="G37" s="530"/>
      <c r="H37" s="353" t="s">
        <v>199</v>
      </c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142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146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226</v>
      </c>
      <c r="C43" s="166"/>
      <c r="D43" s="517" t="s">
        <v>173</v>
      </c>
      <c r="E43" s="519">
        <v>1</v>
      </c>
      <c r="F43" s="521">
        <v>483970</v>
      </c>
      <c r="G43" s="523">
        <v>483970</v>
      </c>
      <c r="H43" s="351"/>
      <c r="I43" s="525">
        <v>7.3300000000000004E-2</v>
      </c>
      <c r="J43" s="223"/>
      <c r="K43" s="69" t="s">
        <v>96</v>
      </c>
    </row>
    <row r="44" spans="1:11" ht="15.6" customHeight="1">
      <c r="A44" s="69"/>
      <c r="B44" s="224" t="s">
        <v>194</v>
      </c>
      <c r="C44" s="225"/>
      <c r="D44" s="518"/>
      <c r="E44" s="520"/>
      <c r="F44" s="522"/>
      <c r="G44" s="524"/>
      <c r="H44" s="352" t="s">
        <v>195</v>
      </c>
      <c r="I44" s="526"/>
      <c r="J44" s="226"/>
      <c r="K44" s="69" t="s">
        <v>96</v>
      </c>
    </row>
    <row r="45" spans="1:11" ht="15.6" customHeight="1">
      <c r="A45" s="69"/>
      <c r="B45" s="222" t="s">
        <v>227</v>
      </c>
      <c r="C45" s="166"/>
      <c r="D45" s="517" t="s">
        <v>168</v>
      </c>
      <c r="E45" s="519">
        <v>20</v>
      </c>
      <c r="F45" s="521">
        <v>1400</v>
      </c>
      <c r="G45" s="523">
        <v>28000</v>
      </c>
      <c r="H45" s="351" t="s">
        <v>229</v>
      </c>
      <c r="I45" s="525">
        <v>4.1999999999999997E-3</v>
      </c>
      <c r="J45" s="227"/>
      <c r="K45" s="69" t="s">
        <v>96</v>
      </c>
    </row>
    <row r="46" spans="1:11" ht="15.6" customHeight="1">
      <c r="A46" s="69"/>
      <c r="B46" s="224" t="s">
        <v>228</v>
      </c>
      <c r="C46" s="225"/>
      <c r="D46" s="518"/>
      <c r="E46" s="520"/>
      <c r="F46" s="522"/>
      <c r="G46" s="524"/>
      <c r="H46" s="352" t="s">
        <v>199</v>
      </c>
      <c r="I46" s="526"/>
      <c r="J46" s="227"/>
      <c r="K46" s="69" t="s">
        <v>96</v>
      </c>
    </row>
    <row r="47" spans="1:11" ht="15.6" customHeight="1">
      <c r="A47" s="69"/>
      <c r="B47" s="222" t="s">
        <v>230</v>
      </c>
      <c r="C47" s="166"/>
      <c r="D47" s="517" t="s">
        <v>168</v>
      </c>
      <c r="E47" s="519">
        <v>4</v>
      </c>
      <c r="F47" s="521">
        <v>7000</v>
      </c>
      <c r="G47" s="523">
        <v>28000</v>
      </c>
      <c r="H47" s="351" t="s">
        <v>232</v>
      </c>
      <c r="I47" s="525">
        <v>4.1999999999999997E-3</v>
      </c>
      <c r="J47" s="223"/>
      <c r="K47" s="69" t="s">
        <v>96</v>
      </c>
    </row>
    <row r="48" spans="1:11" ht="15.6" customHeight="1">
      <c r="A48" s="69"/>
      <c r="B48" s="224" t="s">
        <v>231</v>
      </c>
      <c r="C48" s="225"/>
      <c r="D48" s="518"/>
      <c r="E48" s="520"/>
      <c r="F48" s="522"/>
      <c r="G48" s="524"/>
      <c r="H48" s="352" t="s">
        <v>199</v>
      </c>
      <c r="I48" s="526"/>
      <c r="J48" s="226"/>
      <c r="K48" s="69" t="s">
        <v>96</v>
      </c>
    </row>
    <row r="49" spans="1:11" ht="15.6" customHeight="1">
      <c r="A49" s="69"/>
      <c r="B49" s="222" t="s">
        <v>233</v>
      </c>
      <c r="C49" s="166"/>
      <c r="D49" s="517" t="s">
        <v>168</v>
      </c>
      <c r="E49" s="519">
        <v>80</v>
      </c>
      <c r="F49" s="521">
        <v>2425</v>
      </c>
      <c r="G49" s="523">
        <v>194000</v>
      </c>
      <c r="H49" s="351" t="s">
        <v>235</v>
      </c>
      <c r="I49" s="525">
        <v>2.93E-2</v>
      </c>
      <c r="J49" s="223"/>
      <c r="K49" s="69" t="s">
        <v>96</v>
      </c>
    </row>
    <row r="50" spans="1:11" ht="15.6" customHeight="1">
      <c r="A50" s="69"/>
      <c r="B50" s="224" t="s">
        <v>234</v>
      </c>
      <c r="C50" s="225"/>
      <c r="D50" s="518"/>
      <c r="E50" s="520"/>
      <c r="F50" s="522"/>
      <c r="G50" s="524"/>
      <c r="H50" s="352" t="s">
        <v>199</v>
      </c>
      <c r="I50" s="526"/>
      <c r="J50" s="226"/>
      <c r="K50" s="69" t="s">
        <v>96</v>
      </c>
    </row>
    <row r="51" spans="1:11" ht="15.6" customHeight="1">
      <c r="A51" s="69"/>
      <c r="B51" s="222" t="s">
        <v>236</v>
      </c>
      <c r="C51" s="166"/>
      <c r="D51" s="517" t="s">
        <v>168</v>
      </c>
      <c r="E51" s="519">
        <v>55</v>
      </c>
      <c r="F51" s="521">
        <v>4254</v>
      </c>
      <c r="G51" s="523">
        <v>233970</v>
      </c>
      <c r="H51" s="351" t="s">
        <v>237</v>
      </c>
      <c r="I51" s="525">
        <v>3.5400000000000001E-2</v>
      </c>
      <c r="J51" s="223"/>
      <c r="K51" s="69" t="s">
        <v>96</v>
      </c>
    </row>
    <row r="52" spans="1:11" ht="15.6" customHeight="1">
      <c r="A52" s="69"/>
      <c r="B52" s="224" t="s">
        <v>197</v>
      </c>
      <c r="C52" s="225"/>
      <c r="D52" s="518"/>
      <c r="E52" s="520"/>
      <c r="F52" s="522"/>
      <c r="G52" s="524"/>
      <c r="H52" s="352" t="s">
        <v>199</v>
      </c>
      <c r="I52" s="526"/>
      <c r="J52" s="226"/>
      <c r="K52" s="69" t="s">
        <v>96</v>
      </c>
    </row>
    <row r="53" spans="1:11" ht="15.6" customHeight="1">
      <c r="A53" s="69"/>
      <c r="B53" s="222" t="s">
        <v>238</v>
      </c>
      <c r="C53" s="166"/>
      <c r="D53" s="517"/>
      <c r="E53" s="519"/>
      <c r="F53" s="521"/>
      <c r="G53" s="523">
        <v>4910000</v>
      </c>
      <c r="H53" s="351"/>
      <c r="I53" s="525">
        <v>0.74390000000000001</v>
      </c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 t="s">
        <v>239</v>
      </c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 t="s">
        <v>240</v>
      </c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 t="s">
        <v>241</v>
      </c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 t="s">
        <v>242</v>
      </c>
      <c r="C61" s="166"/>
      <c r="D61" s="517" t="s">
        <v>173</v>
      </c>
      <c r="E61" s="519">
        <v>1</v>
      </c>
      <c r="F61" s="521">
        <v>840000</v>
      </c>
      <c r="G61" s="523">
        <v>840000</v>
      </c>
      <c r="H61" s="351"/>
      <c r="I61" s="525">
        <v>0.1273</v>
      </c>
      <c r="J61" s="223"/>
      <c r="K61" s="69" t="s">
        <v>96</v>
      </c>
    </row>
    <row r="62" spans="1:11" ht="15.6" customHeight="1">
      <c r="A62" s="69"/>
      <c r="B62" s="224" t="s">
        <v>241</v>
      </c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 t="s">
        <v>243</v>
      </c>
      <c r="C63" s="166"/>
      <c r="D63" s="517"/>
      <c r="E63" s="519"/>
      <c r="F63" s="521"/>
      <c r="G63" s="523">
        <v>840000</v>
      </c>
      <c r="H63" s="351"/>
      <c r="I63" s="525">
        <v>0.12720000000000001</v>
      </c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 t="s">
        <v>244</v>
      </c>
      <c r="C67" s="166"/>
      <c r="D67" s="517"/>
      <c r="E67" s="519"/>
      <c r="F67" s="521"/>
      <c r="G67" s="523">
        <v>5750000</v>
      </c>
      <c r="H67" s="351"/>
      <c r="I67" s="525">
        <v>0.87119999999999997</v>
      </c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 t="s">
        <v>245</v>
      </c>
      <c r="C71" s="166"/>
      <c r="D71" s="517"/>
      <c r="E71" s="519"/>
      <c r="F71" s="521"/>
      <c r="G71" s="523">
        <v>850000</v>
      </c>
      <c r="H71" s="351"/>
      <c r="I71" s="525">
        <v>0.1288</v>
      </c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  <row r="75" spans="1:11" ht="30" customHeight="1" thickBot="1">
      <c r="A75" s="69"/>
      <c r="B75" s="142"/>
      <c r="C75" s="142"/>
      <c r="D75" s="533" t="s">
        <v>142</v>
      </c>
      <c r="E75" s="533"/>
      <c r="F75" s="533"/>
      <c r="G75" s="533"/>
      <c r="H75" s="69"/>
      <c r="I75" s="69"/>
      <c r="J75" s="69"/>
      <c r="K75" s="69"/>
    </row>
    <row r="76" spans="1:11" ht="15.95" customHeight="1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</row>
    <row r="77" spans="1:11" ht="30.95" customHeight="1">
      <c r="A77" s="144"/>
      <c r="B77" s="298" t="s">
        <v>89</v>
      </c>
      <c r="C77" s="219" t="s">
        <v>146</v>
      </c>
      <c r="D77" s="285"/>
      <c r="E77" s="299"/>
      <c r="F77" s="167"/>
      <c r="G77" s="167"/>
      <c r="H77" s="167"/>
      <c r="I77" s="167"/>
      <c r="J77" s="300"/>
      <c r="K77" s="144"/>
    </row>
    <row r="78" spans="1:11" ht="14.1" customHeight="1" thickBot="1">
      <c r="A78" s="69"/>
      <c r="B78" s="69"/>
      <c r="C78" s="69"/>
      <c r="D78" s="69"/>
      <c r="E78" s="69"/>
      <c r="F78" s="69"/>
      <c r="G78" s="69"/>
      <c r="H78" s="69"/>
      <c r="I78" s="69"/>
      <c r="J78" s="72"/>
      <c r="K78" s="69"/>
    </row>
    <row r="79" spans="1:11" ht="17.45" customHeight="1">
      <c r="A79" s="69"/>
      <c r="B79" s="534" t="s">
        <v>90</v>
      </c>
      <c r="C79" s="535"/>
      <c r="D79" s="220" t="s">
        <v>77</v>
      </c>
      <c r="E79" s="220" t="s">
        <v>91</v>
      </c>
      <c r="F79" s="220" t="s">
        <v>92</v>
      </c>
      <c r="G79" s="220" t="s">
        <v>73</v>
      </c>
      <c r="H79" s="221" t="s">
        <v>93</v>
      </c>
      <c r="I79" s="220" t="s">
        <v>55</v>
      </c>
      <c r="J79" s="117" t="s">
        <v>95</v>
      </c>
      <c r="K79" s="69"/>
    </row>
    <row r="80" spans="1:11" ht="15.6" customHeight="1">
      <c r="A80" s="69"/>
      <c r="B80" s="222" t="s">
        <v>129</v>
      </c>
      <c r="C80" s="166"/>
      <c r="D80" s="517"/>
      <c r="E80" s="519"/>
      <c r="F80" s="521"/>
      <c r="G80" s="523">
        <v>6600000</v>
      </c>
      <c r="H80" s="351"/>
      <c r="I80" s="525">
        <v>1</v>
      </c>
      <c r="J80" s="223"/>
      <c r="K80" s="69" t="s">
        <v>96</v>
      </c>
    </row>
    <row r="81" spans="1:11" ht="15.6" customHeight="1">
      <c r="A81" s="69"/>
      <c r="B81" s="224"/>
      <c r="C81" s="225"/>
      <c r="D81" s="518"/>
      <c r="E81" s="520"/>
      <c r="F81" s="522"/>
      <c r="G81" s="524"/>
      <c r="H81" s="352"/>
      <c r="I81" s="526"/>
      <c r="J81" s="226"/>
      <c r="K81" s="69" t="s">
        <v>96</v>
      </c>
    </row>
    <row r="82" spans="1:11" ht="15.6" customHeight="1">
      <c r="A82" s="69"/>
      <c r="B82" s="222"/>
      <c r="C82" s="166"/>
      <c r="D82" s="517"/>
      <c r="E82" s="519"/>
      <c r="F82" s="521"/>
      <c r="G82" s="523"/>
      <c r="H82" s="351"/>
      <c r="I82" s="525"/>
      <c r="J82" s="227"/>
      <c r="K82" s="69" t="s">
        <v>96</v>
      </c>
    </row>
    <row r="83" spans="1:11" ht="15.6" customHeight="1">
      <c r="A83" s="69"/>
      <c r="B83" s="224"/>
      <c r="C83" s="225"/>
      <c r="D83" s="518"/>
      <c r="E83" s="520"/>
      <c r="F83" s="522"/>
      <c r="G83" s="524"/>
      <c r="H83" s="352"/>
      <c r="I83" s="526"/>
      <c r="J83" s="227"/>
      <c r="K83" s="69" t="s">
        <v>96</v>
      </c>
    </row>
    <row r="84" spans="1:11" ht="15.6" customHeight="1">
      <c r="A84" s="69"/>
      <c r="B84" s="222"/>
      <c r="C84" s="166"/>
      <c r="D84" s="517"/>
      <c r="E84" s="519"/>
      <c r="F84" s="521"/>
      <c r="G84" s="523"/>
      <c r="H84" s="351"/>
      <c r="I84" s="525"/>
      <c r="J84" s="223"/>
      <c r="K84" s="69" t="s">
        <v>96</v>
      </c>
    </row>
    <row r="85" spans="1:11" ht="15.6" customHeight="1">
      <c r="A85" s="69"/>
      <c r="B85" s="224"/>
      <c r="C85" s="225"/>
      <c r="D85" s="518"/>
      <c r="E85" s="520"/>
      <c r="F85" s="522"/>
      <c r="G85" s="524"/>
      <c r="H85" s="352"/>
      <c r="I85" s="526"/>
      <c r="J85" s="226"/>
      <c r="K85" s="69" t="s">
        <v>96</v>
      </c>
    </row>
    <row r="86" spans="1:11" ht="15.6" customHeight="1">
      <c r="A86" s="69"/>
      <c r="B86" s="222"/>
      <c r="C86" s="166"/>
      <c r="D86" s="517"/>
      <c r="E86" s="519"/>
      <c r="F86" s="521"/>
      <c r="G86" s="523"/>
      <c r="H86" s="351"/>
      <c r="I86" s="525"/>
      <c r="J86" s="223"/>
      <c r="K86" s="69" t="s">
        <v>96</v>
      </c>
    </row>
    <row r="87" spans="1:11" ht="15.6" customHeight="1">
      <c r="A87" s="69"/>
      <c r="B87" s="224"/>
      <c r="C87" s="225"/>
      <c r="D87" s="518"/>
      <c r="E87" s="520"/>
      <c r="F87" s="522"/>
      <c r="G87" s="524"/>
      <c r="H87" s="352"/>
      <c r="I87" s="526"/>
      <c r="J87" s="226"/>
      <c r="K87" s="69" t="s">
        <v>96</v>
      </c>
    </row>
    <row r="88" spans="1:11" ht="15.6" customHeight="1">
      <c r="A88" s="69"/>
      <c r="B88" s="222"/>
      <c r="C88" s="166"/>
      <c r="D88" s="517"/>
      <c r="E88" s="519"/>
      <c r="F88" s="521"/>
      <c r="G88" s="523"/>
      <c r="H88" s="351"/>
      <c r="I88" s="525"/>
      <c r="J88" s="223"/>
      <c r="K88" s="69" t="s">
        <v>96</v>
      </c>
    </row>
    <row r="89" spans="1:11" ht="15.6" customHeight="1">
      <c r="A89" s="69"/>
      <c r="B89" s="224"/>
      <c r="C89" s="225"/>
      <c r="D89" s="518"/>
      <c r="E89" s="520"/>
      <c r="F89" s="522"/>
      <c r="G89" s="524"/>
      <c r="H89" s="352"/>
      <c r="I89" s="526"/>
      <c r="J89" s="226"/>
      <c r="K89" s="69" t="s">
        <v>96</v>
      </c>
    </row>
    <row r="90" spans="1:11" ht="15.6" customHeight="1">
      <c r="A90" s="69"/>
      <c r="B90" s="222"/>
      <c r="C90" s="166"/>
      <c r="D90" s="517"/>
      <c r="E90" s="519"/>
      <c r="F90" s="521"/>
      <c r="G90" s="523"/>
      <c r="H90" s="351"/>
      <c r="I90" s="525"/>
      <c r="J90" s="223"/>
      <c r="K90" s="69" t="s">
        <v>96</v>
      </c>
    </row>
    <row r="91" spans="1:11" ht="15.6" customHeight="1">
      <c r="A91" s="69"/>
      <c r="B91" s="224"/>
      <c r="C91" s="225"/>
      <c r="D91" s="518"/>
      <c r="E91" s="520"/>
      <c r="F91" s="522"/>
      <c r="G91" s="524"/>
      <c r="H91" s="352"/>
      <c r="I91" s="526"/>
      <c r="J91" s="226"/>
      <c r="K91" s="69" t="s">
        <v>96</v>
      </c>
    </row>
    <row r="92" spans="1:11" ht="15.6" customHeight="1">
      <c r="A92" s="69"/>
      <c r="B92" s="222"/>
      <c r="C92" s="166"/>
      <c r="D92" s="517"/>
      <c r="E92" s="519"/>
      <c r="F92" s="521"/>
      <c r="G92" s="523"/>
      <c r="H92" s="351"/>
      <c r="I92" s="525"/>
      <c r="J92" s="223"/>
      <c r="K92" s="69" t="s">
        <v>96</v>
      </c>
    </row>
    <row r="93" spans="1:11" ht="15.6" customHeight="1">
      <c r="A93" s="69"/>
      <c r="B93" s="224"/>
      <c r="C93" s="225"/>
      <c r="D93" s="518"/>
      <c r="E93" s="520"/>
      <c r="F93" s="522"/>
      <c r="G93" s="524"/>
      <c r="H93" s="352"/>
      <c r="I93" s="526"/>
      <c r="J93" s="226"/>
      <c r="K93" s="69" t="s">
        <v>96</v>
      </c>
    </row>
    <row r="94" spans="1:11" ht="15.6" customHeight="1">
      <c r="A94" s="69"/>
      <c r="B94" s="222"/>
      <c r="C94" s="166"/>
      <c r="D94" s="517"/>
      <c r="E94" s="519"/>
      <c r="F94" s="521"/>
      <c r="G94" s="523"/>
      <c r="H94" s="351"/>
      <c r="I94" s="525"/>
      <c r="J94" s="223"/>
      <c r="K94" s="69" t="s">
        <v>96</v>
      </c>
    </row>
    <row r="95" spans="1:11" ht="15.6" customHeight="1">
      <c r="A95" s="69"/>
      <c r="B95" s="224"/>
      <c r="C95" s="225"/>
      <c r="D95" s="518"/>
      <c r="E95" s="520"/>
      <c r="F95" s="522"/>
      <c r="G95" s="524"/>
      <c r="H95" s="352"/>
      <c r="I95" s="526"/>
      <c r="J95" s="226"/>
      <c r="K95" s="69" t="s">
        <v>96</v>
      </c>
    </row>
    <row r="96" spans="1:11" ht="15.6" customHeight="1">
      <c r="A96" s="69"/>
      <c r="B96" s="222"/>
      <c r="C96" s="166"/>
      <c r="D96" s="517"/>
      <c r="E96" s="519"/>
      <c r="F96" s="521"/>
      <c r="G96" s="523"/>
      <c r="H96" s="351"/>
      <c r="I96" s="525"/>
      <c r="J96" s="223"/>
      <c r="K96" s="69" t="s">
        <v>96</v>
      </c>
    </row>
    <row r="97" spans="1:11" ht="15.6" customHeight="1">
      <c r="A97" s="69"/>
      <c r="B97" s="224"/>
      <c r="C97" s="225"/>
      <c r="D97" s="518"/>
      <c r="E97" s="520"/>
      <c r="F97" s="522"/>
      <c r="G97" s="524"/>
      <c r="H97" s="352"/>
      <c r="I97" s="526"/>
      <c r="J97" s="226"/>
      <c r="K97" s="69" t="s">
        <v>96</v>
      </c>
    </row>
    <row r="98" spans="1:11" ht="15.6" customHeight="1">
      <c r="A98" s="69"/>
      <c r="B98" s="222"/>
      <c r="C98" s="166"/>
      <c r="D98" s="517"/>
      <c r="E98" s="519"/>
      <c r="F98" s="521"/>
      <c r="G98" s="523"/>
      <c r="H98" s="351"/>
      <c r="I98" s="525"/>
      <c r="J98" s="223"/>
      <c r="K98" s="69" t="s">
        <v>96</v>
      </c>
    </row>
    <row r="99" spans="1:11" ht="15.6" customHeight="1">
      <c r="A99" s="69"/>
      <c r="B99" s="224"/>
      <c r="C99" s="225"/>
      <c r="D99" s="518"/>
      <c r="E99" s="520"/>
      <c r="F99" s="522"/>
      <c r="G99" s="524"/>
      <c r="H99" s="352"/>
      <c r="I99" s="526"/>
      <c r="J99" s="226"/>
      <c r="K99" s="69" t="s">
        <v>96</v>
      </c>
    </row>
    <row r="100" spans="1:11" ht="15.6" customHeight="1">
      <c r="A100" s="69"/>
      <c r="B100" s="222"/>
      <c r="C100" s="166"/>
      <c r="D100" s="517"/>
      <c r="E100" s="519"/>
      <c r="F100" s="521"/>
      <c r="G100" s="523"/>
      <c r="H100" s="351"/>
      <c r="I100" s="525"/>
      <c r="J100" s="223"/>
      <c r="K100" s="69" t="s">
        <v>96</v>
      </c>
    </row>
    <row r="101" spans="1:11" ht="15.6" customHeight="1">
      <c r="A101" s="69"/>
      <c r="B101" s="224"/>
      <c r="C101" s="225"/>
      <c r="D101" s="518"/>
      <c r="E101" s="520"/>
      <c r="F101" s="522"/>
      <c r="G101" s="524"/>
      <c r="H101" s="352"/>
      <c r="I101" s="526"/>
      <c r="J101" s="226"/>
      <c r="K101" s="69" t="s">
        <v>96</v>
      </c>
    </row>
    <row r="102" spans="1:11" ht="15.6" customHeight="1">
      <c r="A102" s="69"/>
      <c r="B102" s="222"/>
      <c r="C102" s="166"/>
      <c r="D102" s="517"/>
      <c r="E102" s="519"/>
      <c r="F102" s="521"/>
      <c r="G102" s="523"/>
      <c r="H102" s="351"/>
      <c r="I102" s="525"/>
      <c r="J102" s="223"/>
      <c r="K102" s="69" t="s">
        <v>96</v>
      </c>
    </row>
    <row r="103" spans="1:11" ht="15.6" customHeight="1">
      <c r="A103" s="69"/>
      <c r="B103" s="224"/>
      <c r="C103" s="225"/>
      <c r="D103" s="518"/>
      <c r="E103" s="520"/>
      <c r="F103" s="522"/>
      <c r="G103" s="524"/>
      <c r="H103" s="352"/>
      <c r="I103" s="526"/>
      <c r="J103" s="226"/>
      <c r="K103" s="69" t="s">
        <v>96</v>
      </c>
    </row>
    <row r="104" spans="1:11" ht="15.6" customHeight="1">
      <c r="A104" s="69"/>
      <c r="B104" s="222"/>
      <c r="C104" s="166"/>
      <c r="D104" s="517"/>
      <c r="E104" s="519"/>
      <c r="F104" s="521"/>
      <c r="G104" s="523"/>
      <c r="H104" s="351"/>
      <c r="I104" s="525"/>
      <c r="J104" s="223"/>
      <c r="K104" s="69" t="s">
        <v>96</v>
      </c>
    </row>
    <row r="105" spans="1:11" ht="15.6" customHeight="1">
      <c r="A105" s="69"/>
      <c r="B105" s="224"/>
      <c r="C105" s="225"/>
      <c r="D105" s="518"/>
      <c r="E105" s="520"/>
      <c r="F105" s="522"/>
      <c r="G105" s="524"/>
      <c r="H105" s="352"/>
      <c r="I105" s="526"/>
      <c r="J105" s="226"/>
      <c r="K105" s="69" t="s">
        <v>96</v>
      </c>
    </row>
    <row r="106" spans="1:11" ht="15.6" customHeight="1">
      <c r="A106" s="69"/>
      <c r="B106" s="222"/>
      <c r="C106" s="166"/>
      <c r="D106" s="532"/>
      <c r="E106" s="519"/>
      <c r="F106" s="521"/>
      <c r="G106" s="523"/>
      <c r="H106" s="351"/>
      <c r="I106" s="525"/>
      <c r="J106" s="223"/>
      <c r="K106" s="69" t="s">
        <v>96</v>
      </c>
    </row>
    <row r="107" spans="1:11" ht="15.6" customHeight="1">
      <c r="A107" s="69"/>
      <c r="B107" s="224"/>
      <c r="C107" s="225"/>
      <c r="D107" s="532"/>
      <c r="E107" s="520"/>
      <c r="F107" s="522"/>
      <c r="G107" s="524"/>
      <c r="H107" s="354"/>
      <c r="I107" s="526"/>
      <c r="J107" s="226"/>
      <c r="K107" s="69" t="s">
        <v>96</v>
      </c>
    </row>
    <row r="108" spans="1:11" ht="15.6" customHeight="1">
      <c r="A108" s="69"/>
      <c r="B108" s="222"/>
      <c r="C108" s="166"/>
      <c r="D108" s="517"/>
      <c r="E108" s="519"/>
      <c r="F108" s="521"/>
      <c r="G108" s="523"/>
      <c r="H108" s="351"/>
      <c r="I108" s="525"/>
      <c r="J108" s="223"/>
      <c r="K108" s="69" t="s">
        <v>96</v>
      </c>
    </row>
    <row r="109" spans="1:11" ht="15.6" customHeight="1">
      <c r="A109" s="69"/>
      <c r="B109" s="224"/>
      <c r="C109" s="225"/>
      <c r="D109" s="518"/>
      <c r="E109" s="520"/>
      <c r="F109" s="522"/>
      <c r="G109" s="524"/>
      <c r="H109" s="352"/>
      <c r="I109" s="526"/>
      <c r="J109" s="226"/>
      <c r="K109" s="69" t="s">
        <v>96</v>
      </c>
    </row>
    <row r="110" spans="1:11" ht="15.6" customHeight="1">
      <c r="A110" s="69"/>
      <c r="B110" s="301"/>
      <c r="C110" s="302"/>
      <c r="D110" s="517"/>
      <c r="E110" s="519"/>
      <c r="F110" s="521"/>
      <c r="G110" s="523"/>
      <c r="H110" s="351"/>
      <c r="I110" s="525"/>
      <c r="J110" s="223"/>
      <c r="K110" s="69" t="s">
        <v>96</v>
      </c>
    </row>
    <row r="111" spans="1:11" ht="15.6" customHeight="1" thickBot="1">
      <c r="A111" s="69"/>
      <c r="B111" s="228"/>
      <c r="C111" s="229"/>
      <c r="D111" s="527"/>
      <c r="E111" s="528"/>
      <c r="F111" s="529"/>
      <c r="G111" s="530"/>
      <c r="H111" s="353"/>
      <c r="I111" s="531"/>
      <c r="J111" s="230"/>
      <c r="K111" s="69" t="s">
        <v>96</v>
      </c>
    </row>
  </sheetData>
  <mergeCells count="246">
    <mergeCell ref="D110:D111"/>
    <mergeCell ref="E110:E111"/>
    <mergeCell ref="F110:F111"/>
    <mergeCell ref="G110:G111"/>
    <mergeCell ref="I110:I111"/>
    <mergeCell ref="D108:D109"/>
    <mergeCell ref="E108:E109"/>
    <mergeCell ref="F108:F109"/>
    <mergeCell ref="G108:G109"/>
    <mergeCell ref="I108:I109"/>
    <mergeCell ref="D106:D107"/>
    <mergeCell ref="E106:E107"/>
    <mergeCell ref="F106:F107"/>
    <mergeCell ref="G106:G107"/>
    <mergeCell ref="I106:I107"/>
    <mergeCell ref="D104:D105"/>
    <mergeCell ref="E104:E105"/>
    <mergeCell ref="F104:F105"/>
    <mergeCell ref="G104:G105"/>
    <mergeCell ref="I104:I105"/>
    <mergeCell ref="D102:D103"/>
    <mergeCell ref="E102:E103"/>
    <mergeCell ref="F102:F103"/>
    <mergeCell ref="G102:G103"/>
    <mergeCell ref="I102:I103"/>
    <mergeCell ref="D100:D101"/>
    <mergeCell ref="E100:E101"/>
    <mergeCell ref="F100:F101"/>
    <mergeCell ref="G100:G101"/>
    <mergeCell ref="I100:I101"/>
    <mergeCell ref="D98:D99"/>
    <mergeCell ref="E98:E99"/>
    <mergeCell ref="F98:F99"/>
    <mergeCell ref="G98:G99"/>
    <mergeCell ref="I98:I99"/>
    <mergeCell ref="D96:D97"/>
    <mergeCell ref="E96:E97"/>
    <mergeCell ref="F96:F97"/>
    <mergeCell ref="G96:G97"/>
    <mergeCell ref="I96:I97"/>
    <mergeCell ref="D94:D95"/>
    <mergeCell ref="E94:E95"/>
    <mergeCell ref="F94:F95"/>
    <mergeCell ref="G94:G95"/>
    <mergeCell ref="I94:I95"/>
    <mergeCell ref="D92:D93"/>
    <mergeCell ref="E92:E93"/>
    <mergeCell ref="F92:F93"/>
    <mergeCell ref="G92:G93"/>
    <mergeCell ref="I92:I93"/>
    <mergeCell ref="D90:D91"/>
    <mergeCell ref="E90:E91"/>
    <mergeCell ref="F90:F91"/>
    <mergeCell ref="G90:G91"/>
    <mergeCell ref="I90:I91"/>
    <mergeCell ref="D88:D89"/>
    <mergeCell ref="E88:E89"/>
    <mergeCell ref="F88:F89"/>
    <mergeCell ref="G88:G89"/>
    <mergeCell ref="I88:I89"/>
    <mergeCell ref="D86:D87"/>
    <mergeCell ref="E86:E87"/>
    <mergeCell ref="F86:F87"/>
    <mergeCell ref="G86:G87"/>
    <mergeCell ref="I86:I87"/>
    <mergeCell ref="D84:D85"/>
    <mergeCell ref="E84:E85"/>
    <mergeCell ref="F84:F85"/>
    <mergeCell ref="G84:G85"/>
    <mergeCell ref="I84:I85"/>
    <mergeCell ref="I80:I81"/>
    <mergeCell ref="D82:D83"/>
    <mergeCell ref="E82:E83"/>
    <mergeCell ref="F82:F83"/>
    <mergeCell ref="G82:G83"/>
    <mergeCell ref="I82:I83"/>
    <mergeCell ref="D75:G75"/>
    <mergeCell ref="B79:C79"/>
    <mergeCell ref="D80:D81"/>
    <mergeCell ref="E80:E81"/>
    <mergeCell ref="F80:F81"/>
    <mergeCell ref="G80:G81"/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0E734-E369-4F5C-AB8F-045B6BDDA5DF}">
  <sheetPr codeName="Sheet4">
    <pageSetUpPr fitToPage="1"/>
  </sheetPr>
  <dimension ref="A1:K74"/>
  <sheetViews>
    <sheetView topLeftCell="A28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272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246</v>
      </c>
      <c r="C6" s="166"/>
      <c r="D6" s="517" t="s">
        <v>173</v>
      </c>
      <c r="E6" s="519">
        <v>1</v>
      </c>
      <c r="F6" s="521">
        <v>1103790</v>
      </c>
      <c r="G6" s="523">
        <v>1103790</v>
      </c>
      <c r="H6" s="351"/>
      <c r="I6" s="351"/>
      <c r="J6" s="223"/>
      <c r="K6" s="69" t="s">
        <v>96</v>
      </c>
    </row>
    <row r="7" spans="1:11" ht="15.6" customHeight="1">
      <c r="A7" s="69"/>
      <c r="B7" s="224" t="s">
        <v>241</v>
      </c>
      <c r="C7" s="225"/>
      <c r="D7" s="518"/>
      <c r="E7" s="520"/>
      <c r="F7" s="522"/>
      <c r="G7" s="524"/>
      <c r="H7" s="352" t="s">
        <v>195</v>
      </c>
      <c r="I7" s="352"/>
      <c r="J7" s="226"/>
      <c r="K7" s="69" t="s">
        <v>96</v>
      </c>
    </row>
    <row r="8" spans="1:11" ht="15.6" customHeight="1">
      <c r="A8" s="69"/>
      <c r="B8" s="222" t="s">
        <v>247</v>
      </c>
      <c r="C8" s="166"/>
      <c r="D8" s="517" t="s">
        <v>168</v>
      </c>
      <c r="E8" s="519">
        <v>2713</v>
      </c>
      <c r="F8" s="521">
        <v>210</v>
      </c>
      <c r="G8" s="523">
        <v>569730</v>
      </c>
      <c r="H8" s="351" t="s">
        <v>198</v>
      </c>
      <c r="I8" s="351"/>
      <c r="J8" s="227"/>
      <c r="K8" s="69" t="s">
        <v>96</v>
      </c>
    </row>
    <row r="9" spans="1:11" ht="15.6" customHeight="1">
      <c r="A9" s="69"/>
      <c r="B9" s="224" t="s">
        <v>194</v>
      </c>
      <c r="C9" s="225"/>
      <c r="D9" s="518"/>
      <c r="E9" s="520"/>
      <c r="F9" s="522"/>
      <c r="G9" s="524"/>
      <c r="H9" s="352" t="s">
        <v>199</v>
      </c>
      <c r="I9" s="352"/>
      <c r="J9" s="227"/>
      <c r="K9" s="69" t="s">
        <v>96</v>
      </c>
    </row>
    <row r="10" spans="1:11" ht="15.6" customHeight="1">
      <c r="A10" s="69"/>
      <c r="B10" s="222" t="s">
        <v>248</v>
      </c>
      <c r="C10" s="166"/>
      <c r="D10" s="517" t="s">
        <v>168</v>
      </c>
      <c r="E10" s="519">
        <v>1128</v>
      </c>
      <c r="F10" s="521">
        <v>202</v>
      </c>
      <c r="G10" s="523">
        <v>227856</v>
      </c>
      <c r="H10" s="351" t="s">
        <v>202</v>
      </c>
      <c r="I10" s="351"/>
      <c r="J10" s="223"/>
      <c r="K10" s="69" t="s">
        <v>96</v>
      </c>
    </row>
    <row r="11" spans="1:11" ht="15.6" customHeight="1">
      <c r="A11" s="69"/>
      <c r="B11" s="224" t="s">
        <v>249</v>
      </c>
      <c r="C11" s="225"/>
      <c r="D11" s="518"/>
      <c r="E11" s="520"/>
      <c r="F11" s="522"/>
      <c r="G11" s="524"/>
      <c r="H11" s="352" t="s">
        <v>199</v>
      </c>
      <c r="I11" s="352"/>
      <c r="J11" s="226"/>
      <c r="K11" s="69" t="s">
        <v>96</v>
      </c>
    </row>
    <row r="12" spans="1:11" ht="15.6" customHeight="1">
      <c r="A12" s="69"/>
      <c r="B12" s="222" t="s">
        <v>250</v>
      </c>
      <c r="C12" s="166"/>
      <c r="D12" s="517" t="s">
        <v>168</v>
      </c>
      <c r="E12" s="519">
        <v>2686</v>
      </c>
      <c r="F12" s="521">
        <v>114</v>
      </c>
      <c r="G12" s="523">
        <v>306204</v>
      </c>
      <c r="H12" s="351" t="s">
        <v>204</v>
      </c>
      <c r="I12" s="351"/>
      <c r="J12" s="223"/>
      <c r="K12" s="69" t="s">
        <v>96</v>
      </c>
    </row>
    <row r="13" spans="1:11" ht="15.6" customHeight="1">
      <c r="A13" s="69"/>
      <c r="B13" s="224" t="s">
        <v>194</v>
      </c>
      <c r="C13" s="225"/>
      <c r="D13" s="518"/>
      <c r="E13" s="520"/>
      <c r="F13" s="522"/>
      <c r="G13" s="524"/>
      <c r="H13" s="352" t="s">
        <v>199</v>
      </c>
      <c r="I13" s="352"/>
      <c r="J13" s="226"/>
      <c r="K13" s="69" t="s">
        <v>96</v>
      </c>
    </row>
    <row r="14" spans="1:11" ht="15.6" customHeight="1">
      <c r="A14" s="69"/>
      <c r="B14" s="222" t="s">
        <v>251</v>
      </c>
      <c r="C14" s="166"/>
      <c r="D14" s="517" t="s">
        <v>173</v>
      </c>
      <c r="E14" s="519">
        <v>1</v>
      </c>
      <c r="F14" s="521">
        <v>2969680</v>
      </c>
      <c r="G14" s="523">
        <v>2969680</v>
      </c>
      <c r="H14" s="351"/>
      <c r="I14" s="351"/>
      <c r="J14" s="223"/>
      <c r="K14" s="69" t="s">
        <v>96</v>
      </c>
    </row>
    <row r="15" spans="1:11" ht="15.6" customHeight="1">
      <c r="A15" s="69"/>
      <c r="B15" s="224" t="s">
        <v>241</v>
      </c>
      <c r="C15" s="225"/>
      <c r="D15" s="518"/>
      <c r="E15" s="520"/>
      <c r="F15" s="522"/>
      <c r="G15" s="524"/>
      <c r="H15" s="352" t="s">
        <v>195</v>
      </c>
      <c r="I15" s="352"/>
      <c r="J15" s="226"/>
      <c r="K15" s="69" t="s">
        <v>96</v>
      </c>
    </row>
    <row r="16" spans="1:11" ht="15.6" customHeight="1">
      <c r="A16" s="69"/>
      <c r="B16" s="222" t="s">
        <v>252</v>
      </c>
      <c r="C16" s="166"/>
      <c r="D16" s="517" t="s">
        <v>171</v>
      </c>
      <c r="E16" s="519">
        <v>5716</v>
      </c>
      <c r="F16" s="521">
        <v>169</v>
      </c>
      <c r="G16" s="523">
        <v>966004</v>
      </c>
      <c r="H16" s="351" t="s">
        <v>208</v>
      </c>
      <c r="I16" s="351"/>
      <c r="J16" s="223"/>
      <c r="K16" s="69" t="s">
        <v>96</v>
      </c>
    </row>
    <row r="17" spans="1:11" ht="15.6" customHeight="1">
      <c r="A17" s="69"/>
      <c r="B17" s="224" t="s">
        <v>253</v>
      </c>
      <c r="C17" s="225"/>
      <c r="D17" s="518"/>
      <c r="E17" s="520"/>
      <c r="F17" s="522"/>
      <c r="G17" s="524"/>
      <c r="H17" s="352" t="s">
        <v>199</v>
      </c>
      <c r="I17" s="352"/>
      <c r="J17" s="226"/>
      <c r="K17" s="69" t="s">
        <v>96</v>
      </c>
    </row>
    <row r="18" spans="1:11" ht="15.6" customHeight="1">
      <c r="A18" s="69"/>
      <c r="B18" s="222" t="s">
        <v>254</v>
      </c>
      <c r="C18" s="166"/>
      <c r="D18" s="517" t="s">
        <v>171</v>
      </c>
      <c r="E18" s="519">
        <v>2630</v>
      </c>
      <c r="F18" s="521">
        <v>368</v>
      </c>
      <c r="G18" s="523">
        <v>967840</v>
      </c>
      <c r="H18" s="351" t="s">
        <v>211</v>
      </c>
      <c r="I18" s="351"/>
      <c r="J18" s="223"/>
      <c r="K18" s="69" t="s">
        <v>96</v>
      </c>
    </row>
    <row r="19" spans="1:11" ht="15.6" customHeight="1">
      <c r="A19" s="69"/>
      <c r="B19" s="224" t="s">
        <v>255</v>
      </c>
      <c r="C19" s="225"/>
      <c r="D19" s="518"/>
      <c r="E19" s="520"/>
      <c r="F19" s="522"/>
      <c r="G19" s="524"/>
      <c r="H19" s="352" t="s">
        <v>199</v>
      </c>
      <c r="I19" s="352"/>
      <c r="J19" s="226"/>
      <c r="K19" s="69" t="s">
        <v>96</v>
      </c>
    </row>
    <row r="20" spans="1:11" ht="15.6" customHeight="1">
      <c r="A20" s="69"/>
      <c r="B20" s="222" t="s">
        <v>256</v>
      </c>
      <c r="C20" s="166"/>
      <c r="D20" s="517" t="s">
        <v>171</v>
      </c>
      <c r="E20" s="519">
        <v>2100</v>
      </c>
      <c r="F20" s="521">
        <v>17</v>
      </c>
      <c r="G20" s="523">
        <v>35700</v>
      </c>
      <c r="H20" s="351" t="s">
        <v>213</v>
      </c>
      <c r="I20" s="351"/>
      <c r="J20" s="223"/>
      <c r="K20" s="69" t="s">
        <v>96</v>
      </c>
    </row>
    <row r="21" spans="1:11" ht="15.6" customHeight="1">
      <c r="A21" s="69"/>
      <c r="B21" s="224" t="s">
        <v>194</v>
      </c>
      <c r="C21" s="225"/>
      <c r="D21" s="518"/>
      <c r="E21" s="520"/>
      <c r="F21" s="522"/>
      <c r="G21" s="524"/>
      <c r="H21" s="352" t="s">
        <v>199</v>
      </c>
      <c r="I21" s="352"/>
      <c r="J21" s="226"/>
      <c r="K21" s="69" t="s">
        <v>96</v>
      </c>
    </row>
    <row r="22" spans="1:11" ht="15.6" customHeight="1">
      <c r="A22" s="69"/>
      <c r="B22" s="222" t="s">
        <v>257</v>
      </c>
      <c r="C22" s="166"/>
      <c r="D22" s="517" t="s">
        <v>171</v>
      </c>
      <c r="E22" s="519">
        <v>8346</v>
      </c>
      <c r="F22" s="521">
        <v>116</v>
      </c>
      <c r="G22" s="523">
        <v>968136</v>
      </c>
      <c r="H22" s="351" t="s">
        <v>215</v>
      </c>
      <c r="I22" s="351"/>
      <c r="J22" s="223"/>
      <c r="K22" s="69" t="s">
        <v>96</v>
      </c>
    </row>
    <row r="23" spans="1:11" ht="15.6" customHeight="1">
      <c r="A23" s="69"/>
      <c r="B23" s="224" t="s">
        <v>194</v>
      </c>
      <c r="C23" s="225"/>
      <c r="D23" s="518"/>
      <c r="E23" s="520"/>
      <c r="F23" s="522"/>
      <c r="G23" s="524"/>
      <c r="H23" s="352" t="s">
        <v>199</v>
      </c>
      <c r="I23" s="352"/>
      <c r="J23" s="226"/>
      <c r="K23" s="69" t="s">
        <v>96</v>
      </c>
    </row>
    <row r="24" spans="1:11" ht="15.6" customHeight="1">
      <c r="A24" s="69"/>
      <c r="B24" s="222" t="s">
        <v>258</v>
      </c>
      <c r="C24" s="166"/>
      <c r="D24" s="517" t="s">
        <v>171</v>
      </c>
      <c r="E24" s="519">
        <v>1000</v>
      </c>
      <c r="F24" s="521">
        <v>32</v>
      </c>
      <c r="G24" s="523">
        <v>32000</v>
      </c>
      <c r="H24" s="351" t="s">
        <v>217</v>
      </c>
      <c r="I24" s="351"/>
      <c r="J24" s="223"/>
      <c r="K24" s="69" t="s">
        <v>96</v>
      </c>
    </row>
    <row r="25" spans="1:11" ht="15.6" customHeight="1">
      <c r="A25" s="69"/>
      <c r="B25" s="224" t="s">
        <v>194</v>
      </c>
      <c r="C25" s="225"/>
      <c r="D25" s="518"/>
      <c r="E25" s="520"/>
      <c r="F25" s="522"/>
      <c r="G25" s="524"/>
      <c r="H25" s="352" t="s">
        <v>199</v>
      </c>
      <c r="I25" s="352"/>
      <c r="J25" s="226"/>
      <c r="K25" s="69" t="s">
        <v>96</v>
      </c>
    </row>
    <row r="26" spans="1:11" ht="15.6" customHeight="1">
      <c r="A26" s="69"/>
      <c r="B26" s="222" t="s">
        <v>259</v>
      </c>
      <c r="C26" s="166"/>
      <c r="D26" s="517" t="s">
        <v>173</v>
      </c>
      <c r="E26" s="519">
        <v>1</v>
      </c>
      <c r="F26" s="521">
        <v>4560</v>
      </c>
      <c r="G26" s="523">
        <v>4560</v>
      </c>
      <c r="H26" s="351"/>
      <c r="I26" s="351"/>
      <c r="J26" s="223"/>
      <c r="K26" s="69" t="s">
        <v>96</v>
      </c>
    </row>
    <row r="27" spans="1:11" ht="15.6" customHeight="1">
      <c r="A27" s="69"/>
      <c r="B27" s="224" t="s">
        <v>241</v>
      </c>
      <c r="C27" s="225"/>
      <c r="D27" s="518"/>
      <c r="E27" s="520"/>
      <c r="F27" s="522"/>
      <c r="G27" s="524"/>
      <c r="H27" s="352" t="s">
        <v>195</v>
      </c>
      <c r="I27" s="352"/>
      <c r="J27" s="226"/>
      <c r="K27" s="69" t="s">
        <v>96</v>
      </c>
    </row>
    <row r="28" spans="1:11" ht="15.6" customHeight="1">
      <c r="A28" s="69"/>
      <c r="B28" s="222" t="s">
        <v>218</v>
      </c>
      <c r="C28" s="166"/>
      <c r="D28" s="517" t="s">
        <v>173</v>
      </c>
      <c r="E28" s="519">
        <v>1</v>
      </c>
      <c r="F28" s="521">
        <v>4560</v>
      </c>
      <c r="G28" s="523">
        <v>4560</v>
      </c>
      <c r="H28" s="351" t="s">
        <v>220</v>
      </c>
      <c r="I28" s="351"/>
      <c r="J28" s="223"/>
      <c r="K28" s="69" t="s">
        <v>96</v>
      </c>
    </row>
    <row r="29" spans="1:11" ht="15.6" customHeight="1">
      <c r="A29" s="69"/>
      <c r="B29" s="224" t="s">
        <v>194</v>
      </c>
      <c r="C29" s="225"/>
      <c r="D29" s="518"/>
      <c r="E29" s="520"/>
      <c r="F29" s="522"/>
      <c r="G29" s="524"/>
      <c r="H29" s="352" t="s">
        <v>199</v>
      </c>
      <c r="I29" s="352"/>
      <c r="J29" s="226"/>
      <c r="K29" s="69" t="s">
        <v>96</v>
      </c>
    </row>
    <row r="30" spans="1:11" ht="15.6" customHeight="1">
      <c r="A30" s="69"/>
      <c r="B30" s="222" t="s">
        <v>260</v>
      </c>
      <c r="C30" s="166"/>
      <c r="D30" s="517" t="s">
        <v>173</v>
      </c>
      <c r="E30" s="519">
        <v>1</v>
      </c>
      <c r="F30" s="521">
        <v>348000</v>
      </c>
      <c r="G30" s="523">
        <v>348000</v>
      </c>
      <c r="H30" s="351"/>
      <c r="I30" s="351"/>
      <c r="J30" s="223"/>
      <c r="K30" s="69" t="s">
        <v>96</v>
      </c>
    </row>
    <row r="31" spans="1:11" ht="15.6" customHeight="1">
      <c r="A31" s="69"/>
      <c r="B31" s="224" t="s">
        <v>241</v>
      </c>
      <c r="C31" s="225"/>
      <c r="D31" s="518"/>
      <c r="E31" s="520"/>
      <c r="F31" s="522"/>
      <c r="G31" s="524"/>
      <c r="H31" s="352" t="s">
        <v>195</v>
      </c>
      <c r="I31" s="352"/>
      <c r="J31" s="226"/>
      <c r="K31" s="69" t="s">
        <v>96</v>
      </c>
    </row>
    <row r="32" spans="1:11" ht="15.6" customHeight="1">
      <c r="A32" s="69"/>
      <c r="B32" s="222" t="s">
        <v>261</v>
      </c>
      <c r="C32" s="166"/>
      <c r="D32" s="532" t="s">
        <v>171</v>
      </c>
      <c r="E32" s="519">
        <v>100</v>
      </c>
      <c r="F32" s="521">
        <v>1170</v>
      </c>
      <c r="G32" s="523">
        <v>117000</v>
      </c>
      <c r="H32" s="351" t="s">
        <v>223</v>
      </c>
      <c r="I32" s="351"/>
      <c r="J32" s="223"/>
      <c r="K32" s="69" t="s">
        <v>96</v>
      </c>
    </row>
    <row r="33" spans="1:11" ht="15.6" customHeight="1">
      <c r="A33" s="69"/>
      <c r="B33" s="224" t="s">
        <v>194</v>
      </c>
      <c r="C33" s="225"/>
      <c r="D33" s="532"/>
      <c r="E33" s="520"/>
      <c r="F33" s="522"/>
      <c r="G33" s="524"/>
      <c r="H33" s="354" t="s">
        <v>199</v>
      </c>
      <c r="I33" s="352"/>
      <c r="J33" s="226"/>
      <c r="K33" s="69" t="s">
        <v>96</v>
      </c>
    </row>
    <row r="34" spans="1:11" ht="15.6" customHeight="1">
      <c r="A34" s="69"/>
      <c r="B34" s="222" t="s">
        <v>262</v>
      </c>
      <c r="C34" s="166"/>
      <c r="D34" s="517" t="s">
        <v>171</v>
      </c>
      <c r="E34" s="519">
        <v>500</v>
      </c>
      <c r="F34" s="521">
        <v>462</v>
      </c>
      <c r="G34" s="523">
        <v>231000</v>
      </c>
      <c r="H34" s="351" t="s">
        <v>225</v>
      </c>
      <c r="I34" s="351"/>
      <c r="J34" s="223"/>
      <c r="K34" s="69" t="s">
        <v>96</v>
      </c>
    </row>
    <row r="35" spans="1:11" ht="15.6" customHeight="1">
      <c r="A35" s="69"/>
      <c r="B35" s="224" t="s">
        <v>194</v>
      </c>
      <c r="C35" s="225"/>
      <c r="D35" s="518"/>
      <c r="E35" s="520"/>
      <c r="F35" s="522"/>
      <c r="G35" s="524"/>
      <c r="H35" s="352" t="s">
        <v>199</v>
      </c>
      <c r="I35" s="352"/>
      <c r="J35" s="226"/>
      <c r="K35" s="69" t="s">
        <v>96</v>
      </c>
    </row>
    <row r="36" spans="1:11" ht="15.6" customHeight="1">
      <c r="A36" s="69"/>
      <c r="B36" s="301" t="s">
        <v>263</v>
      </c>
      <c r="C36" s="302"/>
      <c r="D36" s="517" t="s">
        <v>173</v>
      </c>
      <c r="E36" s="519">
        <v>1</v>
      </c>
      <c r="F36" s="521">
        <v>483970</v>
      </c>
      <c r="G36" s="523">
        <v>483970</v>
      </c>
      <c r="H36" s="351"/>
      <c r="I36" s="351"/>
      <c r="J36" s="223"/>
      <c r="K36" s="69" t="s">
        <v>96</v>
      </c>
    </row>
    <row r="37" spans="1:11" ht="15.6" customHeight="1" thickBot="1">
      <c r="A37" s="69"/>
      <c r="B37" s="228" t="s">
        <v>241</v>
      </c>
      <c r="C37" s="229"/>
      <c r="D37" s="527"/>
      <c r="E37" s="528"/>
      <c r="F37" s="529"/>
      <c r="G37" s="530"/>
      <c r="H37" s="353" t="s">
        <v>195</v>
      </c>
      <c r="I37" s="353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60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146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94</v>
      </c>
      <c r="J42" s="117" t="s">
        <v>95</v>
      </c>
      <c r="K42" s="69"/>
    </row>
    <row r="43" spans="1:11" ht="15.6" customHeight="1">
      <c r="A43" s="69"/>
      <c r="B43" s="222" t="s">
        <v>264</v>
      </c>
      <c r="C43" s="166"/>
      <c r="D43" s="517" t="s">
        <v>168</v>
      </c>
      <c r="E43" s="519">
        <v>20</v>
      </c>
      <c r="F43" s="521">
        <v>1400</v>
      </c>
      <c r="G43" s="523">
        <v>28000</v>
      </c>
      <c r="H43" s="351" t="s">
        <v>229</v>
      </c>
      <c r="I43" s="351"/>
      <c r="J43" s="223"/>
      <c r="K43" s="69" t="s">
        <v>96</v>
      </c>
    </row>
    <row r="44" spans="1:11" ht="15.6" customHeight="1">
      <c r="A44" s="69"/>
      <c r="B44" s="224" t="s">
        <v>265</v>
      </c>
      <c r="C44" s="225"/>
      <c r="D44" s="518"/>
      <c r="E44" s="520"/>
      <c r="F44" s="522"/>
      <c r="G44" s="524"/>
      <c r="H44" s="352" t="s">
        <v>199</v>
      </c>
      <c r="I44" s="352"/>
      <c r="J44" s="226"/>
      <c r="K44" s="69" t="s">
        <v>96</v>
      </c>
    </row>
    <row r="45" spans="1:11" ht="15.6" customHeight="1">
      <c r="A45" s="69"/>
      <c r="B45" s="222" t="s">
        <v>266</v>
      </c>
      <c r="C45" s="166"/>
      <c r="D45" s="517" t="s">
        <v>168</v>
      </c>
      <c r="E45" s="519">
        <v>4</v>
      </c>
      <c r="F45" s="521">
        <v>7000</v>
      </c>
      <c r="G45" s="523">
        <v>28000</v>
      </c>
      <c r="H45" s="351" t="s">
        <v>232</v>
      </c>
      <c r="I45" s="351"/>
      <c r="J45" s="227"/>
      <c r="K45" s="69" t="s">
        <v>96</v>
      </c>
    </row>
    <row r="46" spans="1:11" ht="15.6" customHeight="1">
      <c r="A46" s="69"/>
      <c r="B46" s="224" t="s">
        <v>267</v>
      </c>
      <c r="C46" s="225"/>
      <c r="D46" s="518"/>
      <c r="E46" s="520"/>
      <c r="F46" s="522"/>
      <c r="G46" s="524"/>
      <c r="H46" s="352" t="s">
        <v>199</v>
      </c>
      <c r="I46" s="352"/>
      <c r="J46" s="227"/>
      <c r="K46" s="69" t="s">
        <v>96</v>
      </c>
    </row>
    <row r="47" spans="1:11" ht="15.6" customHeight="1">
      <c r="A47" s="69"/>
      <c r="B47" s="222" t="s">
        <v>268</v>
      </c>
      <c r="C47" s="166"/>
      <c r="D47" s="517" t="s">
        <v>168</v>
      </c>
      <c r="E47" s="519">
        <v>80</v>
      </c>
      <c r="F47" s="521">
        <v>2425</v>
      </c>
      <c r="G47" s="523">
        <v>194000</v>
      </c>
      <c r="H47" s="351" t="s">
        <v>235</v>
      </c>
      <c r="I47" s="351"/>
      <c r="J47" s="223"/>
      <c r="K47" s="69" t="s">
        <v>96</v>
      </c>
    </row>
    <row r="48" spans="1:11" ht="15.6" customHeight="1">
      <c r="A48" s="69"/>
      <c r="B48" s="224" t="s">
        <v>269</v>
      </c>
      <c r="C48" s="225"/>
      <c r="D48" s="518"/>
      <c r="E48" s="520"/>
      <c r="F48" s="522"/>
      <c r="G48" s="524"/>
      <c r="H48" s="352" t="s">
        <v>199</v>
      </c>
      <c r="I48" s="352"/>
      <c r="J48" s="226"/>
      <c r="K48" s="69" t="s">
        <v>96</v>
      </c>
    </row>
    <row r="49" spans="1:11" ht="15.6" customHeight="1">
      <c r="A49" s="69"/>
      <c r="B49" s="222" t="s">
        <v>270</v>
      </c>
      <c r="C49" s="166"/>
      <c r="D49" s="517" t="s">
        <v>168</v>
      </c>
      <c r="E49" s="519">
        <v>55</v>
      </c>
      <c r="F49" s="521">
        <v>4254</v>
      </c>
      <c r="G49" s="523">
        <v>233970</v>
      </c>
      <c r="H49" s="351" t="s">
        <v>237</v>
      </c>
      <c r="I49" s="351"/>
      <c r="J49" s="223"/>
      <c r="K49" s="69" t="s">
        <v>96</v>
      </c>
    </row>
    <row r="50" spans="1:11" ht="15.6" customHeight="1">
      <c r="A50" s="69"/>
      <c r="B50" s="224" t="s">
        <v>194</v>
      </c>
      <c r="C50" s="225"/>
      <c r="D50" s="518"/>
      <c r="E50" s="520"/>
      <c r="F50" s="522"/>
      <c r="G50" s="524"/>
      <c r="H50" s="352" t="s">
        <v>199</v>
      </c>
      <c r="I50" s="352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351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352"/>
      <c r="J52" s="226"/>
      <c r="K52" s="69" t="s">
        <v>96</v>
      </c>
    </row>
    <row r="53" spans="1:11" ht="15.6" customHeight="1">
      <c r="A53" s="69"/>
      <c r="B53" s="222" t="s">
        <v>271</v>
      </c>
      <c r="C53" s="166"/>
      <c r="D53" s="517"/>
      <c r="E53" s="519"/>
      <c r="F53" s="521"/>
      <c r="G53" s="523">
        <v>4910000</v>
      </c>
      <c r="H53" s="351"/>
      <c r="I53" s="351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352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351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352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351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352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351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352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351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352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351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352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351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352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351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352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351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352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351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352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351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353"/>
      <c r="J74" s="230"/>
      <c r="K74" s="69" t="s">
        <v>96</v>
      </c>
    </row>
  </sheetData>
  <mergeCells count="132">
    <mergeCell ref="D73:D74"/>
    <mergeCell ref="E73:E74"/>
    <mergeCell ref="F73:F74"/>
    <mergeCell ref="G73:G74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3:D54"/>
    <mergeCell ref="E53:E54"/>
    <mergeCell ref="F53:F54"/>
    <mergeCell ref="G53:G54"/>
    <mergeCell ref="D55:D56"/>
    <mergeCell ref="E55:E56"/>
    <mergeCell ref="F55:F56"/>
    <mergeCell ref="G55:G56"/>
    <mergeCell ref="D49:D50"/>
    <mergeCell ref="E49:E50"/>
    <mergeCell ref="F49:F50"/>
    <mergeCell ref="G49:G50"/>
    <mergeCell ref="D51:D52"/>
    <mergeCell ref="E51:E52"/>
    <mergeCell ref="F51:F52"/>
    <mergeCell ref="G51:G52"/>
    <mergeCell ref="D45:D46"/>
    <mergeCell ref="E45:E46"/>
    <mergeCell ref="F45:F46"/>
    <mergeCell ref="G45:G46"/>
    <mergeCell ref="D47:D48"/>
    <mergeCell ref="E47:E48"/>
    <mergeCell ref="F47:F48"/>
    <mergeCell ref="G47:G48"/>
    <mergeCell ref="D38:G38"/>
    <mergeCell ref="B42:C42"/>
    <mergeCell ref="D43:D44"/>
    <mergeCell ref="E43:E44"/>
    <mergeCell ref="F43:F44"/>
    <mergeCell ref="G43:G44"/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67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（仮称）東北生産・物流センター建設プロジェクト</v>
      </c>
      <c r="G1" s="306"/>
      <c r="H1" s="190" t="s">
        <v>138</v>
      </c>
      <c r="I1" s="333">
        <v>6600000</v>
      </c>
      <c r="J1" s="339">
        <f>I4/I$1</f>
        <v>0.87121212121212122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139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343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273</v>
      </c>
      <c r="D4" s="340" t="s">
        <v>185</v>
      </c>
      <c r="E4" s="342"/>
      <c r="F4" s="345" t="s">
        <v>173</v>
      </c>
      <c r="G4" s="308">
        <v>1</v>
      </c>
      <c r="H4" s="309">
        <v>5750000</v>
      </c>
      <c r="I4" s="309">
        <v>5750000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274</v>
      </c>
      <c r="D5" s="340" t="s">
        <v>275</v>
      </c>
      <c r="E5" s="342"/>
      <c r="F5" s="345" t="s">
        <v>173</v>
      </c>
      <c r="G5" s="308">
        <v>1</v>
      </c>
      <c r="H5" s="309">
        <v>4910000</v>
      </c>
      <c r="I5" s="309">
        <v>4910000</v>
      </c>
      <c r="J5" s="211"/>
      <c r="K5" s="212" t="str">
        <f>IF(OR(J5="",G5=J5),"","*")</f>
        <v/>
      </c>
      <c r="L5" s="338">
        <f>IF($A5&lt;=L$1,I5/I$4,"")</f>
        <v>0.85391304347826091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274</v>
      </c>
      <c r="D6" s="340" t="s">
        <v>276</v>
      </c>
      <c r="E6" s="342"/>
      <c r="F6" s="345" t="s">
        <v>173</v>
      </c>
      <c r="G6" s="308">
        <v>1</v>
      </c>
      <c r="H6" s="309">
        <v>1103790</v>
      </c>
      <c r="I6" s="309">
        <v>1103790</v>
      </c>
      <c r="J6" s="211"/>
      <c r="K6" s="212" t="str">
        <f>IF(OR(J6="",G6=J6),"","*")</f>
        <v/>
      </c>
      <c r="L6" s="338">
        <f>IF($A6&lt;=L$1,I6/I$4,"")</f>
        <v>0.19196347826086957</v>
      </c>
      <c r="M6" s="343"/>
      <c r="N6" s="344" t="s">
        <v>195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277</v>
      </c>
      <c r="D7" s="340" t="s">
        <v>278</v>
      </c>
      <c r="E7" s="342"/>
      <c r="F7" s="345" t="s">
        <v>168</v>
      </c>
      <c r="G7" s="308">
        <v>2713</v>
      </c>
      <c r="H7" s="309">
        <v>210</v>
      </c>
      <c r="I7" s="309">
        <v>569730</v>
      </c>
      <c r="J7" s="211">
        <v>2713</v>
      </c>
      <c r="K7" s="212" t="str">
        <f>IF(OR(J7="",G7=J7),"","*")</f>
        <v/>
      </c>
      <c r="L7" s="338">
        <f>IF($A7&lt;=L$1,I7/I$4,"")</f>
        <v>9.9083478260869565E-2</v>
      </c>
      <c r="M7" s="343"/>
      <c r="N7" s="344" t="s">
        <v>279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177</v>
      </c>
      <c r="D8" s="340" t="s">
        <v>280</v>
      </c>
      <c r="E8" s="342"/>
      <c r="F8" s="345" t="s">
        <v>281</v>
      </c>
      <c r="G8" s="308">
        <v>600</v>
      </c>
      <c r="H8" s="309">
        <v>150</v>
      </c>
      <c r="I8" s="309">
        <v>90000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282</v>
      </c>
      <c r="AF8" s="341" t="s">
        <v>283</v>
      </c>
    </row>
    <row r="9" spans="1:32">
      <c r="A9" s="307">
        <v>4</v>
      </c>
      <c r="B9" s="342"/>
      <c r="C9" s="342" t="s">
        <v>178</v>
      </c>
      <c r="D9" s="340" t="s">
        <v>284</v>
      </c>
      <c r="E9" s="342" t="s">
        <v>285</v>
      </c>
      <c r="F9" s="345" t="s">
        <v>286</v>
      </c>
      <c r="G9" s="308">
        <v>20</v>
      </c>
      <c r="H9" s="309">
        <v>20000</v>
      </c>
      <c r="I9" s="309">
        <v>400000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287</v>
      </c>
      <c r="AF9" s="341" t="s">
        <v>288</v>
      </c>
    </row>
    <row r="10" spans="1:32">
      <c r="A10" s="307">
        <v>4</v>
      </c>
      <c r="B10" s="342"/>
      <c r="C10" s="342" t="s">
        <v>181</v>
      </c>
      <c r="D10" s="340" t="s">
        <v>289</v>
      </c>
      <c r="E10" s="342" t="s">
        <v>290</v>
      </c>
      <c r="F10" s="345" t="s">
        <v>291</v>
      </c>
      <c r="G10" s="308">
        <v>10</v>
      </c>
      <c r="H10" s="309">
        <v>8000</v>
      </c>
      <c r="I10" s="309">
        <v>80000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292</v>
      </c>
      <c r="AF10" s="341" t="s">
        <v>293</v>
      </c>
    </row>
    <row r="11" spans="1:32">
      <c r="A11" s="307">
        <v>3</v>
      </c>
      <c r="B11" s="342"/>
      <c r="C11" s="342" t="s">
        <v>277</v>
      </c>
      <c r="D11" s="340" t="s">
        <v>294</v>
      </c>
      <c r="E11" s="342" t="s">
        <v>169</v>
      </c>
      <c r="F11" s="345" t="s">
        <v>168</v>
      </c>
      <c r="G11" s="308">
        <v>1128</v>
      </c>
      <c r="H11" s="309">
        <v>202</v>
      </c>
      <c r="I11" s="309">
        <v>227856</v>
      </c>
      <c r="J11" s="211">
        <v>1128</v>
      </c>
      <c r="K11" s="212" t="str">
        <f>IF(OR(J11="",G11=J11),"","*")</f>
        <v/>
      </c>
      <c r="L11" s="338">
        <f>IF($A11&lt;=L$1,I11/I$4,"")</f>
        <v>3.9627130434782609E-2</v>
      </c>
      <c r="M11" s="343"/>
      <c r="N11" s="344" t="s">
        <v>295</v>
      </c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4</v>
      </c>
      <c r="B12" s="342"/>
      <c r="C12" s="342" t="s">
        <v>177</v>
      </c>
      <c r="D12" s="340" t="s">
        <v>280</v>
      </c>
      <c r="E12" s="342"/>
      <c r="F12" s="345" t="s">
        <v>281</v>
      </c>
      <c r="G12" s="308">
        <v>240</v>
      </c>
      <c r="H12" s="309">
        <v>150</v>
      </c>
      <c r="I12" s="309">
        <v>36000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282</v>
      </c>
      <c r="AF12" s="341" t="s">
        <v>296</v>
      </c>
    </row>
    <row r="13" spans="1:32">
      <c r="A13" s="307">
        <v>4</v>
      </c>
      <c r="B13" s="342"/>
      <c r="C13" s="342" t="s">
        <v>178</v>
      </c>
      <c r="D13" s="340" t="s">
        <v>284</v>
      </c>
      <c r="E13" s="342" t="s">
        <v>285</v>
      </c>
      <c r="F13" s="345" t="s">
        <v>286</v>
      </c>
      <c r="G13" s="308">
        <v>8</v>
      </c>
      <c r="H13" s="309">
        <v>20000</v>
      </c>
      <c r="I13" s="309">
        <v>160000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287</v>
      </c>
      <c r="AF13" s="341" t="s">
        <v>297</v>
      </c>
    </row>
    <row r="14" spans="1:32">
      <c r="A14" s="307">
        <v>4</v>
      </c>
      <c r="B14" s="342"/>
      <c r="C14" s="342" t="s">
        <v>181</v>
      </c>
      <c r="D14" s="340" t="s">
        <v>289</v>
      </c>
      <c r="E14" s="342" t="s">
        <v>290</v>
      </c>
      <c r="F14" s="345" t="s">
        <v>291</v>
      </c>
      <c r="G14" s="308">
        <v>4</v>
      </c>
      <c r="H14" s="309">
        <v>8000</v>
      </c>
      <c r="I14" s="309">
        <v>32000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292</v>
      </c>
      <c r="AF14" s="341" t="s">
        <v>298</v>
      </c>
    </row>
    <row r="15" spans="1:32">
      <c r="A15" s="307">
        <v>3</v>
      </c>
      <c r="B15" s="342"/>
      <c r="C15" s="342" t="s">
        <v>277</v>
      </c>
      <c r="D15" s="340" t="s">
        <v>299</v>
      </c>
      <c r="E15" s="342"/>
      <c r="F15" s="345" t="s">
        <v>168</v>
      </c>
      <c r="G15" s="308">
        <v>2686</v>
      </c>
      <c r="H15" s="309">
        <v>114</v>
      </c>
      <c r="I15" s="309">
        <v>306204</v>
      </c>
      <c r="J15" s="211">
        <v>2686</v>
      </c>
      <c r="K15" s="212" t="str">
        <f>IF(OR(J15="",G15=J15),"","*")</f>
        <v/>
      </c>
      <c r="L15" s="338">
        <f>IF($A15&lt;=L$1,I15/I$4,"")</f>
        <v>5.3252869565217388E-2</v>
      </c>
      <c r="M15" s="343"/>
      <c r="N15" s="344" t="s">
        <v>300</v>
      </c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4</v>
      </c>
      <c r="B16" s="342"/>
      <c r="C16" s="342" t="s">
        <v>177</v>
      </c>
      <c r="D16" s="340" t="s">
        <v>280</v>
      </c>
      <c r="E16" s="342"/>
      <c r="F16" s="345" t="s">
        <v>281</v>
      </c>
      <c r="G16" s="308">
        <v>240</v>
      </c>
      <c r="H16" s="309">
        <v>150</v>
      </c>
      <c r="I16" s="309">
        <v>36000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282</v>
      </c>
      <c r="AF16" s="341" t="s">
        <v>296</v>
      </c>
    </row>
    <row r="17" spans="1:32">
      <c r="A17" s="307">
        <v>4</v>
      </c>
      <c r="B17" s="342"/>
      <c r="C17" s="342" t="s">
        <v>178</v>
      </c>
      <c r="D17" s="340" t="s">
        <v>284</v>
      </c>
      <c r="E17" s="342" t="s">
        <v>285</v>
      </c>
      <c r="F17" s="345" t="s">
        <v>286</v>
      </c>
      <c r="G17" s="308">
        <v>12</v>
      </c>
      <c r="H17" s="309">
        <v>20000</v>
      </c>
      <c r="I17" s="309">
        <v>240000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287</v>
      </c>
      <c r="AF17" s="341" t="s">
        <v>301</v>
      </c>
    </row>
    <row r="18" spans="1:32">
      <c r="A18" s="307">
        <v>4</v>
      </c>
      <c r="B18" s="342"/>
      <c r="C18" s="342" t="s">
        <v>181</v>
      </c>
      <c r="D18" s="340" t="s">
        <v>289</v>
      </c>
      <c r="E18" s="342" t="s">
        <v>290</v>
      </c>
      <c r="F18" s="345" t="s">
        <v>291</v>
      </c>
      <c r="G18" s="308">
        <v>4</v>
      </c>
      <c r="H18" s="309">
        <v>8000</v>
      </c>
      <c r="I18" s="309">
        <v>32000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292</v>
      </c>
      <c r="AF18" s="341" t="s">
        <v>298</v>
      </c>
    </row>
    <row r="19" spans="1:32">
      <c r="A19" s="307">
        <v>2</v>
      </c>
      <c r="B19" s="342"/>
      <c r="C19" s="342" t="s">
        <v>274</v>
      </c>
      <c r="D19" s="340" t="s">
        <v>302</v>
      </c>
      <c r="E19" s="342"/>
      <c r="F19" s="345" t="s">
        <v>173</v>
      </c>
      <c r="G19" s="308">
        <v>1</v>
      </c>
      <c r="H19" s="309">
        <v>2969680</v>
      </c>
      <c r="I19" s="309">
        <v>2969680</v>
      </c>
      <c r="J19" s="211"/>
      <c r="K19" s="212" t="str">
        <f>IF(OR(J19="",G19=J19),"","*")</f>
        <v/>
      </c>
      <c r="L19" s="338">
        <f>IF($A19&lt;=L$1,I19/I$4,"")</f>
        <v>0.51646608695652174</v>
      </c>
      <c r="M19" s="343"/>
      <c r="N19" s="344" t="s">
        <v>195</v>
      </c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3</v>
      </c>
      <c r="B20" s="342"/>
      <c r="C20" s="342" t="s">
        <v>277</v>
      </c>
      <c r="D20" s="340" t="s">
        <v>303</v>
      </c>
      <c r="E20" s="342" t="s">
        <v>170</v>
      </c>
      <c r="F20" s="345" t="s">
        <v>171</v>
      </c>
      <c r="G20" s="308">
        <v>5716</v>
      </c>
      <c r="H20" s="309">
        <v>169</v>
      </c>
      <c r="I20" s="309">
        <v>966004</v>
      </c>
      <c r="J20" s="211">
        <v>5716</v>
      </c>
      <c r="K20" s="212" t="str">
        <f>IF(OR(J20="",G20=J20),"","*")</f>
        <v/>
      </c>
      <c r="L20" s="338">
        <f>IF($A20&lt;=L$1,I20/I$4,"")</f>
        <v>0.1680006956521739</v>
      </c>
      <c r="M20" s="343"/>
      <c r="N20" s="344" t="s">
        <v>304</v>
      </c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4</v>
      </c>
      <c r="B21" s="342"/>
      <c r="C21" s="342" t="s">
        <v>177</v>
      </c>
      <c r="D21" s="340" t="s">
        <v>280</v>
      </c>
      <c r="E21" s="342"/>
      <c r="F21" s="345" t="s">
        <v>281</v>
      </c>
      <c r="G21" s="308">
        <v>600</v>
      </c>
      <c r="H21" s="309">
        <v>150</v>
      </c>
      <c r="I21" s="309">
        <v>90000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282</v>
      </c>
      <c r="AF21" s="341" t="s">
        <v>283</v>
      </c>
    </row>
    <row r="22" spans="1:32">
      <c r="A22" s="307">
        <v>4</v>
      </c>
      <c r="B22" s="342"/>
      <c r="C22" s="342" t="s">
        <v>178</v>
      </c>
      <c r="D22" s="340" t="s">
        <v>284</v>
      </c>
      <c r="E22" s="342" t="s">
        <v>285</v>
      </c>
      <c r="F22" s="345" t="s">
        <v>286</v>
      </c>
      <c r="G22" s="308">
        <v>40</v>
      </c>
      <c r="H22" s="309">
        <v>20000</v>
      </c>
      <c r="I22" s="309">
        <v>800000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287</v>
      </c>
      <c r="AF22" s="341" t="s">
        <v>305</v>
      </c>
    </row>
    <row r="23" spans="1:32">
      <c r="A23" s="307">
        <v>4</v>
      </c>
      <c r="B23" s="342"/>
      <c r="C23" s="342" t="s">
        <v>181</v>
      </c>
      <c r="D23" s="340" t="s">
        <v>289</v>
      </c>
      <c r="E23" s="342" t="s">
        <v>290</v>
      </c>
      <c r="F23" s="345" t="s">
        <v>291</v>
      </c>
      <c r="G23" s="308">
        <v>10</v>
      </c>
      <c r="H23" s="309">
        <v>8000</v>
      </c>
      <c r="I23" s="309">
        <v>80000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292</v>
      </c>
      <c r="AF23" s="341" t="s">
        <v>293</v>
      </c>
    </row>
    <row r="24" spans="1:32">
      <c r="A24" s="307">
        <v>3</v>
      </c>
      <c r="B24" s="342"/>
      <c r="C24" s="342" t="s">
        <v>277</v>
      </c>
      <c r="D24" s="340" t="s">
        <v>306</v>
      </c>
      <c r="E24" s="342" t="s">
        <v>172</v>
      </c>
      <c r="F24" s="345" t="s">
        <v>171</v>
      </c>
      <c r="G24" s="308">
        <v>2630</v>
      </c>
      <c r="H24" s="309">
        <v>368</v>
      </c>
      <c r="I24" s="309">
        <v>967840</v>
      </c>
      <c r="J24" s="211">
        <v>2630</v>
      </c>
      <c r="K24" s="212" t="str">
        <f>IF(OR(J24="",G24=J24),"","*")</f>
        <v/>
      </c>
      <c r="L24" s="338">
        <f>IF($A24&lt;=L$1,I24/I$4,"")</f>
        <v>0.16832</v>
      </c>
      <c r="M24" s="343"/>
      <c r="N24" s="344" t="s">
        <v>307</v>
      </c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4</v>
      </c>
      <c r="B25" s="342"/>
      <c r="C25" s="342" t="s">
        <v>177</v>
      </c>
      <c r="D25" s="340" t="s">
        <v>280</v>
      </c>
      <c r="E25" s="342"/>
      <c r="F25" s="345" t="s">
        <v>281</v>
      </c>
      <c r="G25" s="308">
        <v>600</v>
      </c>
      <c r="H25" s="309">
        <v>150</v>
      </c>
      <c r="I25" s="309">
        <v>90000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282</v>
      </c>
      <c r="AF25" s="341" t="s">
        <v>283</v>
      </c>
    </row>
    <row r="26" spans="1:32">
      <c r="A26" s="307">
        <v>4</v>
      </c>
      <c r="B26" s="342"/>
      <c r="C26" s="342" t="s">
        <v>178</v>
      </c>
      <c r="D26" s="340" t="s">
        <v>284</v>
      </c>
      <c r="E26" s="342" t="s">
        <v>285</v>
      </c>
      <c r="F26" s="345" t="s">
        <v>286</v>
      </c>
      <c r="G26" s="308">
        <v>40</v>
      </c>
      <c r="H26" s="309">
        <v>20000</v>
      </c>
      <c r="I26" s="309">
        <v>800000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287</v>
      </c>
      <c r="AF26" s="341" t="s">
        <v>305</v>
      </c>
    </row>
    <row r="27" spans="1:32">
      <c r="A27" s="307">
        <v>4</v>
      </c>
      <c r="B27" s="342"/>
      <c r="C27" s="342" t="s">
        <v>181</v>
      </c>
      <c r="D27" s="340" t="s">
        <v>289</v>
      </c>
      <c r="E27" s="342" t="s">
        <v>290</v>
      </c>
      <c r="F27" s="345" t="s">
        <v>291</v>
      </c>
      <c r="G27" s="308">
        <v>10</v>
      </c>
      <c r="H27" s="309">
        <v>8000</v>
      </c>
      <c r="I27" s="309">
        <v>80000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292</v>
      </c>
      <c r="AF27" s="341" t="s">
        <v>293</v>
      </c>
    </row>
    <row r="28" spans="1:32">
      <c r="A28" s="307">
        <v>3</v>
      </c>
      <c r="B28" s="342"/>
      <c r="C28" s="342" t="s">
        <v>277</v>
      </c>
      <c r="D28" s="340" t="s">
        <v>308</v>
      </c>
      <c r="E28" s="342"/>
      <c r="F28" s="345" t="s">
        <v>171</v>
      </c>
      <c r="G28" s="308">
        <v>2100</v>
      </c>
      <c r="H28" s="309">
        <v>17</v>
      </c>
      <c r="I28" s="309">
        <v>35700</v>
      </c>
      <c r="J28" s="211">
        <v>2100</v>
      </c>
      <c r="K28" s="212" t="str">
        <f>IF(OR(J28="",G28=J28),"","*")</f>
        <v/>
      </c>
      <c r="L28" s="338">
        <f>IF($A28&lt;=L$1,I28/I$4,"")</f>
        <v>6.2086956521739132E-3</v>
      </c>
      <c r="M28" s="343"/>
      <c r="N28" s="344" t="s">
        <v>309</v>
      </c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/>
    </row>
    <row r="29" spans="1:32">
      <c r="A29" s="307">
        <v>4</v>
      </c>
      <c r="B29" s="342"/>
      <c r="C29" s="342" t="s">
        <v>177</v>
      </c>
      <c r="D29" s="340" t="s">
        <v>280</v>
      </c>
      <c r="E29" s="342"/>
      <c r="F29" s="345" t="s">
        <v>281</v>
      </c>
      <c r="G29" s="308">
        <v>60</v>
      </c>
      <c r="H29" s="309">
        <v>150</v>
      </c>
      <c r="I29" s="309">
        <v>9000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282</v>
      </c>
      <c r="AF29" s="341" t="s">
        <v>310</v>
      </c>
    </row>
    <row r="30" spans="1:32">
      <c r="A30" s="307">
        <v>4</v>
      </c>
      <c r="B30" s="342"/>
      <c r="C30" s="342" t="s">
        <v>178</v>
      </c>
      <c r="D30" s="340" t="s">
        <v>284</v>
      </c>
      <c r="E30" s="342" t="s">
        <v>285</v>
      </c>
      <c r="F30" s="345" t="s">
        <v>286</v>
      </c>
      <c r="G30" s="308">
        <v>1</v>
      </c>
      <c r="H30" s="309">
        <v>20000</v>
      </c>
      <c r="I30" s="309">
        <v>20000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287</v>
      </c>
      <c r="AF30" s="341" t="s">
        <v>311</v>
      </c>
    </row>
    <row r="31" spans="1:32">
      <c r="A31" s="307">
        <v>4</v>
      </c>
      <c r="B31" s="342"/>
      <c r="C31" s="342" t="s">
        <v>181</v>
      </c>
      <c r="D31" s="340" t="s">
        <v>289</v>
      </c>
      <c r="E31" s="342" t="s">
        <v>290</v>
      </c>
      <c r="F31" s="345" t="s">
        <v>291</v>
      </c>
      <c r="G31" s="308">
        <v>1</v>
      </c>
      <c r="H31" s="309">
        <v>8000</v>
      </c>
      <c r="I31" s="309">
        <v>8000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292</v>
      </c>
      <c r="AF31" s="341" t="s">
        <v>311</v>
      </c>
    </row>
    <row r="32" spans="1:32">
      <c r="A32" s="307">
        <v>3</v>
      </c>
      <c r="B32" s="342"/>
      <c r="C32" s="342" t="s">
        <v>277</v>
      </c>
      <c r="D32" s="340" t="s">
        <v>312</v>
      </c>
      <c r="E32" s="342"/>
      <c r="F32" s="345" t="s">
        <v>171</v>
      </c>
      <c r="G32" s="308">
        <v>8346</v>
      </c>
      <c r="H32" s="309">
        <v>116</v>
      </c>
      <c r="I32" s="309">
        <v>968136</v>
      </c>
      <c r="J32" s="211">
        <v>8346</v>
      </c>
      <c r="K32" s="212" t="str">
        <f>IF(OR(J32="",G32=J32),"","*")</f>
        <v/>
      </c>
      <c r="L32" s="338">
        <f>IF($A32&lt;=L$1,I32/I$4,"")</f>
        <v>0.16837147826086957</v>
      </c>
      <c r="M32" s="343"/>
      <c r="N32" s="344" t="s">
        <v>313</v>
      </c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4</v>
      </c>
      <c r="B33" s="342"/>
      <c r="C33" s="342" t="s">
        <v>177</v>
      </c>
      <c r="D33" s="340" t="s">
        <v>280</v>
      </c>
      <c r="E33" s="342"/>
      <c r="F33" s="345" t="s">
        <v>281</v>
      </c>
      <c r="G33" s="308">
        <v>600</v>
      </c>
      <c r="H33" s="309">
        <v>150</v>
      </c>
      <c r="I33" s="309">
        <v>90000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282</v>
      </c>
      <c r="AF33" s="341" t="s">
        <v>283</v>
      </c>
    </row>
    <row r="34" spans="1:32">
      <c r="A34" s="307">
        <v>4</v>
      </c>
      <c r="B34" s="342"/>
      <c r="C34" s="342" t="s">
        <v>178</v>
      </c>
      <c r="D34" s="340" t="s">
        <v>284</v>
      </c>
      <c r="E34" s="342" t="s">
        <v>285</v>
      </c>
      <c r="F34" s="345" t="s">
        <v>286</v>
      </c>
      <c r="G34" s="308">
        <v>40</v>
      </c>
      <c r="H34" s="309">
        <v>20000</v>
      </c>
      <c r="I34" s="309">
        <v>800000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287</v>
      </c>
      <c r="AF34" s="341" t="s">
        <v>305</v>
      </c>
    </row>
    <row r="35" spans="1:32">
      <c r="A35" s="307">
        <v>4</v>
      </c>
      <c r="B35" s="342"/>
      <c r="C35" s="342" t="s">
        <v>181</v>
      </c>
      <c r="D35" s="340" t="s">
        <v>289</v>
      </c>
      <c r="E35" s="342" t="s">
        <v>290</v>
      </c>
      <c r="F35" s="345" t="s">
        <v>291</v>
      </c>
      <c r="G35" s="308">
        <v>10</v>
      </c>
      <c r="H35" s="309">
        <v>8000</v>
      </c>
      <c r="I35" s="309">
        <v>80000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292</v>
      </c>
      <c r="AF35" s="341" t="s">
        <v>293</v>
      </c>
    </row>
    <row r="36" spans="1:32">
      <c r="A36" s="307">
        <v>3</v>
      </c>
      <c r="B36" s="342"/>
      <c r="C36" s="342" t="s">
        <v>277</v>
      </c>
      <c r="D36" s="340" t="s">
        <v>314</v>
      </c>
      <c r="E36" s="342"/>
      <c r="F36" s="345" t="s">
        <v>171</v>
      </c>
      <c r="G36" s="308">
        <v>1000</v>
      </c>
      <c r="H36" s="309">
        <v>32</v>
      </c>
      <c r="I36" s="309">
        <v>32000</v>
      </c>
      <c r="J36" s="211">
        <v>1000</v>
      </c>
      <c r="K36" s="212" t="str">
        <f>IF(OR(J36="",G36=J36),"","*")</f>
        <v/>
      </c>
      <c r="L36" s="338">
        <f>IF($A36&lt;=L$1,I36/I$4,"")</f>
        <v>5.5652173913043482E-3</v>
      </c>
      <c r="M36" s="343"/>
      <c r="N36" s="344" t="s">
        <v>315</v>
      </c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4</v>
      </c>
      <c r="B37" s="342"/>
      <c r="C37" s="342" t="s">
        <v>177</v>
      </c>
      <c r="D37" s="340" t="s">
        <v>280</v>
      </c>
      <c r="E37" s="342"/>
      <c r="F37" s="345" t="s">
        <v>281</v>
      </c>
      <c r="G37" s="308">
        <v>30</v>
      </c>
      <c r="H37" s="309">
        <v>150</v>
      </c>
      <c r="I37" s="309">
        <v>4500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282</v>
      </c>
      <c r="AF37" s="341" t="s">
        <v>316</v>
      </c>
    </row>
    <row r="38" spans="1:32">
      <c r="A38" s="307">
        <v>4</v>
      </c>
      <c r="B38" s="342"/>
      <c r="C38" s="342" t="s">
        <v>178</v>
      </c>
      <c r="D38" s="340" t="s">
        <v>284</v>
      </c>
      <c r="E38" s="342" t="s">
        <v>285</v>
      </c>
      <c r="F38" s="345" t="s">
        <v>286</v>
      </c>
      <c r="G38" s="308">
        <v>1</v>
      </c>
      <c r="H38" s="309">
        <v>20000</v>
      </c>
      <c r="I38" s="309">
        <v>20000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287</v>
      </c>
      <c r="AF38" s="341" t="s">
        <v>311</v>
      </c>
    </row>
    <row r="39" spans="1:32">
      <c r="A39" s="307">
        <v>4</v>
      </c>
      <c r="B39" s="342"/>
      <c r="C39" s="342" t="s">
        <v>181</v>
      </c>
      <c r="D39" s="340" t="s">
        <v>289</v>
      </c>
      <c r="E39" s="342" t="s">
        <v>290</v>
      </c>
      <c r="F39" s="345" t="s">
        <v>291</v>
      </c>
      <c r="G39" s="308">
        <v>1</v>
      </c>
      <c r="H39" s="309">
        <v>8000</v>
      </c>
      <c r="I39" s="309">
        <v>8000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292</v>
      </c>
      <c r="AF39" s="341" t="s">
        <v>311</v>
      </c>
    </row>
    <row r="40" spans="1:32">
      <c r="A40" s="307">
        <v>2</v>
      </c>
      <c r="B40" s="342"/>
      <c r="C40" s="342" t="s">
        <v>274</v>
      </c>
      <c r="D40" s="340" t="s">
        <v>317</v>
      </c>
      <c r="E40" s="342"/>
      <c r="F40" s="345" t="s">
        <v>173</v>
      </c>
      <c r="G40" s="308">
        <v>1</v>
      </c>
      <c r="H40" s="309">
        <v>4560</v>
      </c>
      <c r="I40" s="309">
        <v>4560</v>
      </c>
      <c r="J40" s="211"/>
      <c r="K40" s="212" t="str">
        <f>IF(OR(J40="",G40=J40),"","*")</f>
        <v/>
      </c>
      <c r="L40" s="338">
        <f>IF($A40&lt;=L$1,I40/I$4,"")</f>
        <v>7.930434782608696E-4</v>
      </c>
      <c r="M40" s="343"/>
      <c r="N40" s="344" t="s">
        <v>195</v>
      </c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307">
        <v>3</v>
      </c>
      <c r="B41" s="342"/>
      <c r="C41" s="342" t="s">
        <v>277</v>
      </c>
      <c r="D41" s="340" t="s">
        <v>318</v>
      </c>
      <c r="E41" s="342"/>
      <c r="F41" s="345" t="s">
        <v>173</v>
      </c>
      <c r="G41" s="308">
        <v>1</v>
      </c>
      <c r="H41" s="309">
        <v>4560</v>
      </c>
      <c r="I41" s="309">
        <v>4560</v>
      </c>
      <c r="J41" s="211">
        <v>1</v>
      </c>
      <c r="K41" s="212" t="str">
        <f>IF(OR(J41="",G41=J41),"","*")</f>
        <v/>
      </c>
      <c r="L41" s="338">
        <f>IF($A41&lt;=L$1,I41/I$4,"")</f>
        <v>7.930434782608696E-4</v>
      </c>
      <c r="M41" s="343"/>
      <c r="N41" s="344" t="s">
        <v>319</v>
      </c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4</v>
      </c>
      <c r="B42" s="342"/>
      <c r="C42" s="342" t="s">
        <v>177</v>
      </c>
      <c r="D42" s="340" t="s">
        <v>320</v>
      </c>
      <c r="E42" s="342"/>
      <c r="F42" s="345" t="s">
        <v>173</v>
      </c>
      <c r="G42" s="308">
        <v>1</v>
      </c>
      <c r="H42" s="309">
        <v>4560</v>
      </c>
      <c r="I42" s="309">
        <v>4560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/>
    </row>
    <row r="43" spans="1:32">
      <c r="A43" s="307">
        <v>2</v>
      </c>
      <c r="B43" s="342"/>
      <c r="C43" s="342" t="s">
        <v>274</v>
      </c>
      <c r="D43" s="340" t="s">
        <v>321</v>
      </c>
      <c r="E43" s="342"/>
      <c r="F43" s="345" t="s">
        <v>173</v>
      </c>
      <c r="G43" s="308">
        <v>1</v>
      </c>
      <c r="H43" s="309">
        <v>348000</v>
      </c>
      <c r="I43" s="309">
        <v>348000</v>
      </c>
      <c r="J43" s="211"/>
      <c r="K43" s="212" t="str">
        <f>IF(OR(J43="",G43=J43),"","*")</f>
        <v/>
      </c>
      <c r="L43" s="338">
        <f>IF($A43&lt;=L$1,I43/I$4,"")</f>
        <v>6.0521739130434786E-2</v>
      </c>
      <c r="M43" s="343"/>
      <c r="N43" s="344" t="s">
        <v>195</v>
      </c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3</v>
      </c>
      <c r="B44" s="342"/>
      <c r="C44" s="342" t="s">
        <v>277</v>
      </c>
      <c r="D44" s="340" t="s">
        <v>322</v>
      </c>
      <c r="E44" s="342"/>
      <c r="F44" s="345" t="s">
        <v>171</v>
      </c>
      <c r="G44" s="308">
        <v>100</v>
      </c>
      <c r="H44" s="309">
        <v>1170</v>
      </c>
      <c r="I44" s="309">
        <v>117000</v>
      </c>
      <c r="J44" s="211">
        <v>100</v>
      </c>
      <c r="K44" s="212" t="str">
        <f>IF(OR(J44="",G44=J44),"","*")</f>
        <v/>
      </c>
      <c r="L44" s="338">
        <f>IF($A44&lt;=L$1,I44/I$4,"")</f>
        <v>2.0347826086956521E-2</v>
      </c>
      <c r="M44" s="343"/>
      <c r="N44" s="344" t="s">
        <v>323</v>
      </c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/>
    </row>
    <row r="45" spans="1:32">
      <c r="A45" s="307">
        <v>4</v>
      </c>
      <c r="B45" s="342"/>
      <c r="C45" s="342" t="s">
        <v>177</v>
      </c>
      <c r="D45" s="340" t="s">
        <v>280</v>
      </c>
      <c r="E45" s="342"/>
      <c r="F45" s="345" t="s">
        <v>281</v>
      </c>
      <c r="G45" s="308">
        <v>60</v>
      </c>
      <c r="H45" s="309">
        <v>150</v>
      </c>
      <c r="I45" s="309">
        <v>9000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282</v>
      </c>
      <c r="AF45" s="341" t="s">
        <v>310</v>
      </c>
    </row>
    <row r="46" spans="1:32">
      <c r="A46" s="307">
        <v>4</v>
      </c>
      <c r="B46" s="342"/>
      <c r="C46" s="342" t="s">
        <v>178</v>
      </c>
      <c r="D46" s="340" t="s">
        <v>284</v>
      </c>
      <c r="E46" s="342" t="s">
        <v>285</v>
      </c>
      <c r="F46" s="345" t="s">
        <v>286</v>
      </c>
      <c r="G46" s="308">
        <v>5</v>
      </c>
      <c r="H46" s="309">
        <v>20000</v>
      </c>
      <c r="I46" s="309">
        <v>100000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287</v>
      </c>
      <c r="AF46" s="341" t="s">
        <v>324</v>
      </c>
    </row>
    <row r="47" spans="1:32">
      <c r="A47" s="307">
        <v>4</v>
      </c>
      <c r="B47" s="342"/>
      <c r="C47" s="342" t="s">
        <v>181</v>
      </c>
      <c r="D47" s="340" t="s">
        <v>289</v>
      </c>
      <c r="E47" s="342" t="s">
        <v>290</v>
      </c>
      <c r="F47" s="345" t="s">
        <v>291</v>
      </c>
      <c r="G47" s="308">
        <v>1</v>
      </c>
      <c r="H47" s="309">
        <v>8000</v>
      </c>
      <c r="I47" s="309">
        <v>8000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292</v>
      </c>
      <c r="AF47" s="341" t="s">
        <v>311</v>
      </c>
    </row>
    <row r="48" spans="1:32">
      <c r="A48" s="307">
        <v>3</v>
      </c>
      <c r="B48" s="342"/>
      <c r="C48" s="342" t="s">
        <v>277</v>
      </c>
      <c r="D48" s="340" t="s">
        <v>325</v>
      </c>
      <c r="E48" s="342"/>
      <c r="F48" s="345" t="s">
        <v>171</v>
      </c>
      <c r="G48" s="308">
        <v>500</v>
      </c>
      <c r="H48" s="309">
        <v>462</v>
      </c>
      <c r="I48" s="309">
        <v>231000</v>
      </c>
      <c r="J48" s="211">
        <v>500</v>
      </c>
      <c r="K48" s="212" t="str">
        <f>IF(OR(J48="",G48=J48),"","*")</f>
        <v/>
      </c>
      <c r="L48" s="338">
        <f>IF($A48&lt;=L$1,I48/I$4,"")</f>
        <v>4.0173913043478261E-2</v>
      </c>
      <c r="M48" s="343"/>
      <c r="N48" s="344" t="s">
        <v>326</v>
      </c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4</v>
      </c>
      <c r="B49" s="342"/>
      <c r="C49" s="342" t="s">
        <v>177</v>
      </c>
      <c r="D49" s="340" t="s">
        <v>280</v>
      </c>
      <c r="E49" s="342"/>
      <c r="F49" s="345" t="s">
        <v>281</v>
      </c>
      <c r="G49" s="308">
        <v>180</v>
      </c>
      <c r="H49" s="309">
        <v>150</v>
      </c>
      <c r="I49" s="309">
        <v>27000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282</v>
      </c>
      <c r="AF49" s="341" t="s">
        <v>327</v>
      </c>
    </row>
    <row r="50" spans="1:32">
      <c r="A50" s="307">
        <v>4</v>
      </c>
      <c r="B50" s="342"/>
      <c r="C50" s="342" t="s">
        <v>178</v>
      </c>
      <c r="D50" s="340" t="s">
        <v>284</v>
      </c>
      <c r="E50" s="342" t="s">
        <v>285</v>
      </c>
      <c r="F50" s="345" t="s">
        <v>286</v>
      </c>
      <c r="G50" s="308">
        <v>9</v>
      </c>
      <c r="H50" s="309">
        <v>20000</v>
      </c>
      <c r="I50" s="309">
        <v>180000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287</v>
      </c>
      <c r="AF50" s="341" t="s">
        <v>328</v>
      </c>
    </row>
    <row r="51" spans="1:32">
      <c r="A51" s="307">
        <v>4</v>
      </c>
      <c r="B51" s="342"/>
      <c r="C51" s="342" t="s">
        <v>181</v>
      </c>
      <c r="D51" s="340" t="s">
        <v>289</v>
      </c>
      <c r="E51" s="342" t="s">
        <v>290</v>
      </c>
      <c r="F51" s="345" t="s">
        <v>291</v>
      </c>
      <c r="G51" s="308">
        <v>3</v>
      </c>
      <c r="H51" s="309">
        <v>8000</v>
      </c>
      <c r="I51" s="309">
        <v>24000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292</v>
      </c>
      <c r="AF51" s="341" t="s">
        <v>329</v>
      </c>
    </row>
    <row r="52" spans="1:32">
      <c r="A52" s="307">
        <v>2</v>
      </c>
      <c r="B52" s="342"/>
      <c r="C52" s="342" t="s">
        <v>274</v>
      </c>
      <c r="D52" s="340" t="s">
        <v>330</v>
      </c>
      <c r="E52" s="342"/>
      <c r="F52" s="345" t="s">
        <v>173</v>
      </c>
      <c r="G52" s="308">
        <v>1</v>
      </c>
      <c r="H52" s="309">
        <v>483970</v>
      </c>
      <c r="I52" s="309">
        <v>483970</v>
      </c>
      <c r="J52" s="211"/>
      <c r="K52" s="212" t="str">
        <f>IF(OR(J52="",G52=J52),"","*")</f>
        <v/>
      </c>
      <c r="L52" s="338">
        <f>IF($A52&lt;=L$1,I52/I$4,"")</f>
        <v>8.4168695652173914E-2</v>
      </c>
      <c r="M52" s="343"/>
      <c r="N52" s="344" t="s">
        <v>195</v>
      </c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3</v>
      </c>
      <c r="B53" s="342"/>
      <c r="C53" s="342" t="s">
        <v>277</v>
      </c>
      <c r="D53" s="340" t="s">
        <v>331</v>
      </c>
      <c r="E53" s="342" t="s">
        <v>174</v>
      </c>
      <c r="F53" s="345" t="s">
        <v>168</v>
      </c>
      <c r="G53" s="308">
        <v>20</v>
      </c>
      <c r="H53" s="309">
        <v>1400</v>
      </c>
      <c r="I53" s="309">
        <v>28000</v>
      </c>
      <c r="J53" s="211">
        <v>20</v>
      </c>
      <c r="K53" s="212" t="str">
        <f>IF(OR(J53="",G53=J53),"","*")</f>
        <v/>
      </c>
      <c r="L53" s="338">
        <f>IF($A53&lt;=L$1,I53/I$4,"")</f>
        <v>4.8695652173913039E-3</v>
      </c>
      <c r="M53" s="343"/>
      <c r="N53" s="344" t="s">
        <v>332</v>
      </c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4</v>
      </c>
      <c r="B54" s="342"/>
      <c r="C54" s="342" t="s">
        <v>178</v>
      </c>
      <c r="D54" s="340" t="s">
        <v>284</v>
      </c>
      <c r="E54" s="342" t="s">
        <v>285</v>
      </c>
      <c r="F54" s="345" t="s">
        <v>286</v>
      </c>
      <c r="G54" s="308">
        <v>1</v>
      </c>
      <c r="H54" s="309">
        <v>20000</v>
      </c>
      <c r="I54" s="309">
        <v>20000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287</v>
      </c>
      <c r="AF54" s="341" t="s">
        <v>311</v>
      </c>
    </row>
    <row r="55" spans="1:32">
      <c r="A55" s="307">
        <v>4</v>
      </c>
      <c r="B55" s="342"/>
      <c r="C55" s="342" t="s">
        <v>181</v>
      </c>
      <c r="D55" s="340" t="s">
        <v>289</v>
      </c>
      <c r="E55" s="342" t="s">
        <v>290</v>
      </c>
      <c r="F55" s="345" t="s">
        <v>291</v>
      </c>
      <c r="G55" s="308">
        <v>1</v>
      </c>
      <c r="H55" s="309">
        <v>8000</v>
      </c>
      <c r="I55" s="309">
        <v>8000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292</v>
      </c>
      <c r="AF55" s="341" t="s">
        <v>311</v>
      </c>
    </row>
    <row r="56" spans="1:32">
      <c r="A56" s="307">
        <v>3</v>
      </c>
      <c r="B56" s="342"/>
      <c r="C56" s="342" t="s">
        <v>277</v>
      </c>
      <c r="D56" s="340" t="s">
        <v>333</v>
      </c>
      <c r="E56" s="342" t="s">
        <v>175</v>
      </c>
      <c r="F56" s="345" t="s">
        <v>168</v>
      </c>
      <c r="G56" s="308">
        <v>4</v>
      </c>
      <c r="H56" s="309">
        <v>7000</v>
      </c>
      <c r="I56" s="309">
        <v>28000</v>
      </c>
      <c r="J56" s="211">
        <v>4</v>
      </c>
      <c r="K56" s="212" t="str">
        <f>IF(OR(J56="",G56=J56),"","*")</f>
        <v/>
      </c>
      <c r="L56" s="338">
        <f>IF($A56&lt;=L$1,I56/I$4,"")</f>
        <v>4.8695652173913039E-3</v>
      </c>
      <c r="M56" s="343"/>
      <c r="N56" s="344" t="s">
        <v>334</v>
      </c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4</v>
      </c>
      <c r="B57" s="342"/>
      <c r="C57" s="342" t="s">
        <v>178</v>
      </c>
      <c r="D57" s="340" t="s">
        <v>284</v>
      </c>
      <c r="E57" s="342" t="s">
        <v>285</v>
      </c>
      <c r="F57" s="345" t="s">
        <v>286</v>
      </c>
      <c r="G57" s="308">
        <v>1</v>
      </c>
      <c r="H57" s="309">
        <v>20000</v>
      </c>
      <c r="I57" s="309">
        <v>20000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287</v>
      </c>
      <c r="AF57" s="341" t="s">
        <v>311</v>
      </c>
    </row>
    <row r="58" spans="1:32">
      <c r="A58" s="307">
        <v>4</v>
      </c>
      <c r="B58" s="342"/>
      <c r="C58" s="342" t="s">
        <v>181</v>
      </c>
      <c r="D58" s="340" t="s">
        <v>289</v>
      </c>
      <c r="E58" s="342" t="s">
        <v>290</v>
      </c>
      <c r="F58" s="345" t="s">
        <v>291</v>
      </c>
      <c r="G58" s="308">
        <v>1</v>
      </c>
      <c r="H58" s="309">
        <v>8000</v>
      </c>
      <c r="I58" s="309">
        <v>8000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292</v>
      </c>
      <c r="AF58" s="341" t="s">
        <v>311</v>
      </c>
    </row>
    <row r="59" spans="1:32">
      <c r="A59" s="307">
        <v>3</v>
      </c>
      <c r="B59" s="342"/>
      <c r="C59" s="342" t="s">
        <v>277</v>
      </c>
      <c r="D59" s="340" t="s">
        <v>335</v>
      </c>
      <c r="E59" s="342" t="s">
        <v>176</v>
      </c>
      <c r="F59" s="345" t="s">
        <v>168</v>
      </c>
      <c r="G59" s="308">
        <v>80</v>
      </c>
      <c r="H59" s="309">
        <v>2425</v>
      </c>
      <c r="I59" s="309">
        <v>194000</v>
      </c>
      <c r="J59" s="211">
        <v>80</v>
      </c>
      <c r="K59" s="212" t="str">
        <f>IF(OR(J59="",G59=J59),"","*")</f>
        <v/>
      </c>
      <c r="L59" s="338">
        <f>IF($A59&lt;=L$1,I59/I$4,"")</f>
        <v>3.3739130434782612E-2</v>
      </c>
      <c r="M59" s="343"/>
      <c r="N59" s="344" t="s">
        <v>336</v>
      </c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4</v>
      </c>
      <c r="B60" s="342"/>
      <c r="C60" s="342" t="s">
        <v>177</v>
      </c>
      <c r="D60" s="340" t="s">
        <v>280</v>
      </c>
      <c r="E60" s="342"/>
      <c r="F60" s="345" t="s">
        <v>281</v>
      </c>
      <c r="G60" s="308">
        <v>120</v>
      </c>
      <c r="H60" s="309">
        <v>150</v>
      </c>
      <c r="I60" s="309">
        <v>18000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282</v>
      </c>
      <c r="AF60" s="341" t="s">
        <v>337</v>
      </c>
    </row>
    <row r="61" spans="1:32">
      <c r="A61" s="307">
        <v>4</v>
      </c>
      <c r="B61" s="342"/>
      <c r="C61" s="342" t="s">
        <v>178</v>
      </c>
      <c r="D61" s="340" t="s">
        <v>284</v>
      </c>
      <c r="E61" s="342" t="s">
        <v>285</v>
      </c>
      <c r="F61" s="345" t="s">
        <v>286</v>
      </c>
      <c r="G61" s="308">
        <v>8</v>
      </c>
      <c r="H61" s="309">
        <v>20000</v>
      </c>
      <c r="I61" s="309">
        <v>160000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287</v>
      </c>
      <c r="AF61" s="341" t="s">
        <v>338</v>
      </c>
    </row>
    <row r="62" spans="1:32">
      <c r="A62" s="307">
        <v>4</v>
      </c>
      <c r="B62" s="342"/>
      <c r="C62" s="342" t="s">
        <v>181</v>
      </c>
      <c r="D62" s="340" t="s">
        <v>289</v>
      </c>
      <c r="E62" s="342" t="s">
        <v>290</v>
      </c>
      <c r="F62" s="345" t="s">
        <v>291</v>
      </c>
      <c r="G62" s="308">
        <v>2</v>
      </c>
      <c r="H62" s="309">
        <v>8000</v>
      </c>
      <c r="I62" s="309">
        <v>16000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292</v>
      </c>
      <c r="AF62" s="341" t="s">
        <v>339</v>
      </c>
    </row>
    <row r="63" spans="1:32">
      <c r="A63" s="307">
        <v>3</v>
      </c>
      <c r="B63" s="342"/>
      <c r="C63" s="342" t="s">
        <v>277</v>
      </c>
      <c r="D63" s="340" t="s">
        <v>340</v>
      </c>
      <c r="E63" s="342"/>
      <c r="F63" s="345" t="s">
        <v>168</v>
      </c>
      <c r="G63" s="308">
        <v>55</v>
      </c>
      <c r="H63" s="309">
        <v>4254</v>
      </c>
      <c r="I63" s="309">
        <v>233970</v>
      </c>
      <c r="J63" s="211">
        <v>55</v>
      </c>
      <c r="K63" s="212" t="str">
        <f>IF(OR(J63="",G63=J63),"","*")</f>
        <v/>
      </c>
      <c r="L63" s="338">
        <f>IF($A63&lt;=L$1,I63/I$4,"")</f>
        <v>4.0690434782608698E-2</v>
      </c>
      <c r="M63" s="343"/>
      <c r="N63" s="344" t="s">
        <v>341</v>
      </c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4</v>
      </c>
      <c r="B64" s="342"/>
      <c r="C64" s="342" t="s">
        <v>177</v>
      </c>
      <c r="D64" s="340" t="s">
        <v>280</v>
      </c>
      <c r="E64" s="342"/>
      <c r="F64" s="345" t="s">
        <v>281</v>
      </c>
      <c r="G64" s="308">
        <v>120</v>
      </c>
      <c r="H64" s="309">
        <v>150</v>
      </c>
      <c r="I64" s="309">
        <v>18000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282</v>
      </c>
      <c r="AF64" s="341" t="s">
        <v>337</v>
      </c>
    </row>
    <row r="65" spans="1:32">
      <c r="A65" s="307">
        <v>4</v>
      </c>
      <c r="B65" s="342"/>
      <c r="C65" s="342" t="s">
        <v>178</v>
      </c>
      <c r="D65" s="340" t="s">
        <v>284</v>
      </c>
      <c r="E65" s="342" t="s">
        <v>285</v>
      </c>
      <c r="F65" s="345" t="s">
        <v>286</v>
      </c>
      <c r="G65" s="308">
        <v>10</v>
      </c>
      <c r="H65" s="309">
        <v>20000</v>
      </c>
      <c r="I65" s="309">
        <v>200000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287</v>
      </c>
      <c r="AF65" s="341" t="s">
        <v>342</v>
      </c>
    </row>
    <row r="66" spans="1:32">
      <c r="A66" s="307">
        <v>4</v>
      </c>
      <c r="B66" s="342"/>
      <c r="C66" s="342" t="s">
        <v>181</v>
      </c>
      <c r="D66" s="340" t="s">
        <v>289</v>
      </c>
      <c r="E66" s="342" t="s">
        <v>290</v>
      </c>
      <c r="F66" s="345" t="s">
        <v>291</v>
      </c>
      <c r="G66" s="308">
        <v>2</v>
      </c>
      <c r="H66" s="309">
        <v>8000</v>
      </c>
      <c r="I66" s="309">
        <v>16000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292</v>
      </c>
      <c r="AF66" s="341" t="s">
        <v>339</v>
      </c>
    </row>
    <row r="67" spans="1:32">
      <c r="A67" s="217"/>
      <c r="B67" s="217"/>
      <c r="C67" s="312"/>
      <c r="D67" s="217"/>
      <c r="E67" s="217"/>
      <c r="F67" s="218"/>
      <c r="G67" s="217"/>
      <c r="H67" s="217"/>
      <c r="I67" s="217"/>
      <c r="J67" s="217"/>
      <c r="K67" s="218"/>
      <c r="L67" s="217"/>
      <c r="M67" s="217"/>
      <c r="N67" s="217"/>
      <c r="O67" s="217"/>
      <c r="P67" s="217"/>
      <c r="Q67" s="217"/>
      <c r="R67" s="217"/>
      <c r="S67" s="218"/>
      <c r="T67" s="217"/>
      <c r="U67" s="217"/>
      <c r="V67" s="217"/>
      <c r="W67" s="217"/>
      <c r="X67" s="217"/>
      <c r="Y67" s="217"/>
      <c r="Z67" s="217"/>
      <c r="AA67" s="218"/>
      <c r="AB67" s="217"/>
      <c r="AC67" s="217"/>
      <c r="AD67" s="217"/>
      <c r="AE67" s="217"/>
      <c r="AF67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66 AF4:AF66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66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344</v>
      </c>
      <c r="D4" s="315"/>
      <c r="E4" s="120"/>
      <c r="F4" s="119" t="s">
        <v>345</v>
      </c>
      <c r="G4" s="316">
        <v>840000</v>
      </c>
      <c r="H4" s="69"/>
    </row>
    <row r="5" spans="1:8" ht="27" customHeight="1">
      <c r="A5" s="69"/>
      <c r="B5" s="118"/>
      <c r="C5" s="119" t="s">
        <v>346</v>
      </c>
      <c r="D5" s="315"/>
      <c r="E5" s="120"/>
      <c r="F5" s="119" t="s">
        <v>347</v>
      </c>
      <c r="G5" s="316"/>
      <c r="H5" s="69"/>
    </row>
    <row r="6" spans="1:8" ht="27" customHeight="1">
      <c r="A6" s="69"/>
      <c r="B6" s="118"/>
      <c r="C6" s="119" t="s">
        <v>348</v>
      </c>
      <c r="D6" s="315"/>
      <c r="E6" s="120"/>
      <c r="F6" s="119" t="s">
        <v>349</v>
      </c>
      <c r="G6" s="316"/>
      <c r="H6" s="69"/>
    </row>
    <row r="7" spans="1:8" ht="27" customHeight="1">
      <c r="A7" s="69"/>
      <c r="B7" s="118"/>
      <c r="C7" s="119" t="s">
        <v>350</v>
      </c>
      <c r="D7" s="315"/>
      <c r="E7" s="120"/>
      <c r="F7" s="119" t="s">
        <v>351</v>
      </c>
      <c r="G7" s="316"/>
      <c r="H7" s="69"/>
    </row>
    <row r="8" spans="1:8" ht="27" customHeight="1">
      <c r="A8" s="69"/>
      <c r="B8" s="118"/>
      <c r="C8" s="119" t="s">
        <v>352</v>
      </c>
      <c r="D8" s="315"/>
      <c r="E8" s="120"/>
      <c r="F8" s="119" t="s">
        <v>353</v>
      </c>
      <c r="G8" s="316"/>
      <c r="H8" s="69"/>
    </row>
    <row r="9" spans="1:8" ht="27" customHeight="1">
      <c r="A9" s="69"/>
      <c r="B9" s="118"/>
      <c r="C9" s="119" t="s">
        <v>354</v>
      </c>
      <c r="D9" s="315"/>
      <c r="E9" s="120"/>
      <c r="F9" s="119" t="s">
        <v>355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356</v>
      </c>
      <c r="G10" s="316"/>
      <c r="H10" s="69"/>
    </row>
    <row r="11" spans="1:8" ht="27" customHeight="1">
      <c r="A11" s="69"/>
      <c r="B11" s="118"/>
      <c r="C11" s="119" t="s">
        <v>271</v>
      </c>
      <c r="D11" s="315"/>
      <c r="E11" s="120"/>
      <c r="F11" s="119" t="s">
        <v>357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271</v>
      </c>
      <c r="G13" s="316">
        <v>840000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177</v>
      </c>
      <c r="H3" s="128" t="s">
        <v>178</v>
      </c>
      <c r="I3" s="128" t="s">
        <v>179</v>
      </c>
      <c r="J3" s="128" t="s">
        <v>180</v>
      </c>
      <c r="K3" s="128" t="s">
        <v>181</v>
      </c>
      <c r="L3" s="128" t="s">
        <v>182</v>
      </c>
      <c r="M3" s="128" t="s">
        <v>183</v>
      </c>
      <c r="N3" s="129" t="s">
        <v>184</v>
      </c>
      <c r="O3" s="69"/>
    </row>
    <row r="4" spans="1:15" ht="30" customHeight="1">
      <c r="A4" s="69"/>
      <c r="B4" s="130" t="s">
        <v>344</v>
      </c>
      <c r="C4" s="131" t="s">
        <v>173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346</v>
      </c>
      <c r="C5" s="131" t="s">
        <v>173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348</v>
      </c>
      <c r="C6" s="131" t="s">
        <v>173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350</v>
      </c>
      <c r="C7" s="131" t="s">
        <v>173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352</v>
      </c>
      <c r="C8" s="131" t="s">
        <v>173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354</v>
      </c>
      <c r="C9" s="131" t="s">
        <v>173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271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（仮称）東北生産・物流センター建設プロジェクト</v>
      </c>
      <c r="G1" s="306"/>
      <c r="H1" s="190" t="s">
        <v>129</v>
      </c>
      <c r="I1" s="333">
        <v>6600000</v>
      </c>
      <c r="J1" s="339">
        <f>I4/I$1</f>
        <v>0.87121212121212122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343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273</v>
      </c>
      <c r="D4" s="340" t="s">
        <v>185</v>
      </c>
      <c r="E4" s="342"/>
      <c r="F4" s="345" t="s">
        <v>173</v>
      </c>
      <c r="G4" s="308">
        <v>1</v>
      </c>
      <c r="H4" s="309">
        <v>5750000</v>
      </c>
      <c r="I4" s="309">
        <v>5750000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115</v>
      </c>
      <c r="T4" s="343" t="e">
        <v>#DIV/0!</v>
      </c>
      <c r="U4" s="343" t="s">
        <v>115</v>
      </c>
      <c r="V4" s="344" t="s">
        <v>115</v>
      </c>
      <c r="W4" s="346">
        <v>0</v>
      </c>
      <c r="X4" s="347">
        <v>0</v>
      </c>
      <c r="Y4" s="347">
        <v>0</v>
      </c>
      <c r="Z4" s="348">
        <v>0</v>
      </c>
      <c r="AA4" s="349" t="s">
        <v>115</v>
      </c>
      <c r="AB4" s="343" t="e">
        <v>#DIV/0!</v>
      </c>
      <c r="AC4" s="343" t="s">
        <v>115</v>
      </c>
      <c r="AD4" s="344" t="s">
        <v>115</v>
      </c>
      <c r="AE4" s="342"/>
      <c r="AF4" s="341" t="s">
        <v>115</v>
      </c>
    </row>
    <row r="5" spans="1:32">
      <c r="A5" s="307">
        <v>1</v>
      </c>
      <c r="B5" s="342"/>
      <c r="C5" s="342" t="s">
        <v>274</v>
      </c>
      <c r="D5" s="340" t="s">
        <v>358</v>
      </c>
      <c r="E5" s="342"/>
      <c r="F5" s="345" t="s">
        <v>173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115</v>
      </c>
      <c r="T5" s="343" t="e">
        <v>#DIV/0!</v>
      </c>
      <c r="U5" s="343" t="s">
        <v>115</v>
      </c>
      <c r="V5" s="344" t="s">
        <v>115</v>
      </c>
      <c r="W5" s="346">
        <v>0</v>
      </c>
      <c r="X5" s="347">
        <v>0</v>
      </c>
      <c r="Y5" s="347">
        <v>0</v>
      </c>
      <c r="Z5" s="348">
        <v>0</v>
      </c>
      <c r="AA5" s="349" t="s">
        <v>115</v>
      </c>
      <c r="AB5" s="343" t="e">
        <v>#DIV/0!</v>
      </c>
      <c r="AC5" s="343" t="s">
        <v>115</v>
      </c>
      <c r="AD5" s="344" t="s">
        <v>115</v>
      </c>
      <c r="AE5" s="342"/>
      <c r="AF5" s="341" t="s">
        <v>115</v>
      </c>
    </row>
    <row r="6" spans="1:32">
      <c r="A6" s="307">
        <v>2</v>
      </c>
      <c r="B6" s="342"/>
      <c r="C6" s="342" t="s">
        <v>277</v>
      </c>
      <c r="D6" s="340" t="s">
        <v>359</v>
      </c>
      <c r="E6" s="342"/>
      <c r="F6" s="345" t="s">
        <v>173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360</v>
      </c>
      <c r="O6" s="346">
        <v>0</v>
      </c>
      <c r="P6" s="347">
        <v>0</v>
      </c>
      <c r="Q6" s="347">
        <v>0</v>
      </c>
      <c r="R6" s="348">
        <v>0</v>
      </c>
      <c r="S6" s="349" t="s">
        <v>115</v>
      </c>
      <c r="T6" s="343" t="e">
        <v>#DIV/0!</v>
      </c>
      <c r="U6" s="343" t="s">
        <v>115</v>
      </c>
      <c r="V6" s="344" t="s">
        <v>115</v>
      </c>
      <c r="W6" s="346">
        <v>0</v>
      </c>
      <c r="X6" s="347">
        <v>0</v>
      </c>
      <c r="Y6" s="347">
        <v>0</v>
      </c>
      <c r="Z6" s="348">
        <v>0</v>
      </c>
      <c r="AA6" s="349" t="s">
        <v>115</v>
      </c>
      <c r="AB6" s="343" t="e">
        <v>#DIV/0!</v>
      </c>
      <c r="AC6" s="343" t="s">
        <v>115</v>
      </c>
      <c r="AD6" s="344" t="s">
        <v>115</v>
      </c>
      <c r="AE6" s="342"/>
      <c r="AF6" s="341" t="s">
        <v>115</v>
      </c>
    </row>
    <row r="7" spans="1:32">
      <c r="A7" s="307">
        <v>2</v>
      </c>
      <c r="B7" s="342"/>
      <c r="C7" s="342" t="s">
        <v>277</v>
      </c>
      <c r="D7" s="340" t="s">
        <v>361</v>
      </c>
      <c r="E7" s="342" t="s">
        <v>362</v>
      </c>
      <c r="F7" s="345" t="s">
        <v>173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363</v>
      </c>
      <c r="O7" s="346">
        <v>0</v>
      </c>
      <c r="P7" s="347">
        <v>0</v>
      </c>
      <c r="Q7" s="347">
        <v>0</v>
      </c>
      <c r="R7" s="348">
        <v>0</v>
      </c>
      <c r="S7" s="349" t="s">
        <v>115</v>
      </c>
      <c r="T7" s="343" t="e">
        <v>#DIV/0!</v>
      </c>
      <c r="U7" s="343" t="s">
        <v>115</v>
      </c>
      <c r="V7" s="344" t="s">
        <v>115</v>
      </c>
      <c r="W7" s="346">
        <v>0</v>
      </c>
      <c r="X7" s="347">
        <v>0</v>
      </c>
      <c r="Y7" s="347">
        <v>0</v>
      </c>
      <c r="Z7" s="348">
        <v>0</v>
      </c>
      <c r="AA7" s="349" t="s">
        <v>115</v>
      </c>
      <c r="AB7" s="343" t="e">
        <v>#DIV/0!</v>
      </c>
      <c r="AC7" s="343" t="s">
        <v>115</v>
      </c>
      <c r="AD7" s="344" t="s">
        <v>115</v>
      </c>
      <c r="AE7" s="342"/>
      <c r="AF7" s="341" t="s">
        <v>115</v>
      </c>
    </row>
    <row r="8" spans="1:32">
      <c r="A8" s="307">
        <v>2</v>
      </c>
      <c r="B8" s="342"/>
      <c r="C8" s="342" t="s">
        <v>277</v>
      </c>
      <c r="D8" s="340" t="s">
        <v>364</v>
      </c>
      <c r="E8" s="342" t="s">
        <v>365</v>
      </c>
      <c r="F8" s="345" t="s">
        <v>173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366</v>
      </c>
      <c r="O8" s="346">
        <v>0</v>
      </c>
      <c r="P8" s="347">
        <v>0</v>
      </c>
      <c r="Q8" s="347">
        <v>0</v>
      </c>
      <c r="R8" s="348">
        <v>0</v>
      </c>
      <c r="S8" s="349" t="s">
        <v>115</v>
      </c>
      <c r="T8" s="343" t="e">
        <v>#DIV/0!</v>
      </c>
      <c r="U8" s="343" t="s">
        <v>115</v>
      </c>
      <c r="V8" s="344" t="s">
        <v>115</v>
      </c>
      <c r="W8" s="346">
        <v>0</v>
      </c>
      <c r="X8" s="347">
        <v>0</v>
      </c>
      <c r="Y8" s="347">
        <v>0</v>
      </c>
      <c r="Z8" s="348">
        <v>0</v>
      </c>
      <c r="AA8" s="349" t="s">
        <v>115</v>
      </c>
      <c r="AB8" s="343" t="e">
        <v>#DIV/0!</v>
      </c>
      <c r="AC8" s="343" t="s">
        <v>115</v>
      </c>
      <c r="AD8" s="344" t="s">
        <v>115</v>
      </c>
      <c r="AE8" s="342"/>
      <c r="AF8" s="341" t="s">
        <v>115</v>
      </c>
    </row>
    <row r="9" spans="1:32">
      <c r="A9" s="307">
        <v>2</v>
      </c>
      <c r="B9" s="342"/>
      <c r="C9" s="342" t="s">
        <v>277</v>
      </c>
      <c r="D9" s="340" t="s">
        <v>367</v>
      </c>
      <c r="E9" s="342" t="s">
        <v>368</v>
      </c>
      <c r="F9" s="345" t="s">
        <v>173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369</v>
      </c>
      <c r="O9" s="346">
        <v>0</v>
      </c>
      <c r="P9" s="347">
        <v>0</v>
      </c>
      <c r="Q9" s="347">
        <v>0</v>
      </c>
      <c r="R9" s="348">
        <v>0</v>
      </c>
      <c r="S9" s="349" t="s">
        <v>115</v>
      </c>
      <c r="T9" s="343" t="e">
        <v>#DIV/0!</v>
      </c>
      <c r="U9" s="343" t="s">
        <v>115</v>
      </c>
      <c r="V9" s="344" t="s">
        <v>115</v>
      </c>
      <c r="W9" s="346">
        <v>0</v>
      </c>
      <c r="X9" s="347">
        <v>0</v>
      </c>
      <c r="Y9" s="347">
        <v>0</v>
      </c>
      <c r="Z9" s="348">
        <v>0</v>
      </c>
      <c r="AA9" s="349" t="s">
        <v>115</v>
      </c>
      <c r="AB9" s="343" t="e">
        <v>#DIV/0!</v>
      </c>
      <c r="AC9" s="343" t="s">
        <v>115</v>
      </c>
      <c r="AD9" s="344" t="s">
        <v>115</v>
      </c>
      <c r="AE9" s="342"/>
      <c r="AF9" s="341" t="s">
        <v>115</v>
      </c>
    </row>
    <row r="10" spans="1:32">
      <c r="A10" s="307">
        <v>2</v>
      </c>
      <c r="B10" s="342"/>
      <c r="C10" s="342" t="s">
        <v>277</v>
      </c>
      <c r="D10" s="340" t="s">
        <v>370</v>
      </c>
      <c r="E10" s="342" t="s">
        <v>371</v>
      </c>
      <c r="F10" s="345" t="s">
        <v>173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372</v>
      </c>
      <c r="O10" s="346">
        <v>0</v>
      </c>
      <c r="P10" s="347">
        <v>0</v>
      </c>
      <c r="Q10" s="347">
        <v>0</v>
      </c>
      <c r="R10" s="348">
        <v>0</v>
      </c>
      <c r="S10" s="349" t="s">
        <v>115</v>
      </c>
      <c r="T10" s="343" t="e">
        <v>#DIV/0!</v>
      </c>
      <c r="U10" s="343" t="s">
        <v>115</v>
      </c>
      <c r="V10" s="344" t="s">
        <v>115</v>
      </c>
      <c r="W10" s="346">
        <v>0</v>
      </c>
      <c r="X10" s="347">
        <v>0</v>
      </c>
      <c r="Y10" s="347">
        <v>0</v>
      </c>
      <c r="Z10" s="348">
        <v>0</v>
      </c>
      <c r="AA10" s="349" t="s">
        <v>115</v>
      </c>
      <c r="AB10" s="343" t="e">
        <v>#DIV/0!</v>
      </c>
      <c r="AC10" s="343" t="s">
        <v>115</v>
      </c>
      <c r="AD10" s="344" t="s">
        <v>115</v>
      </c>
      <c r="AE10" s="342"/>
      <c r="AF10" s="341" t="s">
        <v>115</v>
      </c>
    </row>
    <row r="11" spans="1:32">
      <c r="A11" s="307">
        <v>2</v>
      </c>
      <c r="B11" s="342"/>
      <c r="C11" s="342" t="s">
        <v>277</v>
      </c>
      <c r="D11" s="340" t="s">
        <v>373</v>
      </c>
      <c r="E11" s="342" t="s">
        <v>374</v>
      </c>
      <c r="F11" s="345" t="s">
        <v>173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375</v>
      </c>
      <c r="O11" s="346">
        <v>0</v>
      </c>
      <c r="P11" s="347">
        <v>0</v>
      </c>
      <c r="Q11" s="347">
        <v>0</v>
      </c>
      <c r="R11" s="348">
        <v>0</v>
      </c>
      <c r="S11" s="349" t="s">
        <v>115</v>
      </c>
      <c r="T11" s="343" t="e">
        <v>#DIV/0!</v>
      </c>
      <c r="U11" s="343" t="s">
        <v>115</v>
      </c>
      <c r="V11" s="344" t="s">
        <v>115</v>
      </c>
      <c r="W11" s="346">
        <v>0</v>
      </c>
      <c r="X11" s="347">
        <v>0</v>
      </c>
      <c r="Y11" s="347">
        <v>0</v>
      </c>
      <c r="Z11" s="348">
        <v>0</v>
      </c>
      <c r="AA11" s="349" t="s">
        <v>115</v>
      </c>
      <c r="AB11" s="343" t="e">
        <v>#DIV/0!</v>
      </c>
      <c r="AC11" s="343" t="s">
        <v>115</v>
      </c>
      <c r="AD11" s="344" t="s">
        <v>115</v>
      </c>
      <c r="AE11" s="342"/>
      <c r="AF11" s="341" t="s">
        <v>115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345</v>
      </c>
      <c r="C3" s="561"/>
      <c r="D3" s="563" t="s">
        <v>173</v>
      </c>
      <c r="E3" s="565">
        <v>1</v>
      </c>
      <c r="F3" s="521">
        <v>840000</v>
      </c>
      <c r="G3" s="557">
        <v>840000</v>
      </c>
      <c r="H3" s="138" t="s">
        <v>376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199</v>
      </c>
      <c r="I4" s="69"/>
    </row>
    <row r="5" spans="1:9" ht="15.75" customHeight="1">
      <c r="A5" s="69"/>
      <c r="B5" s="559" t="s">
        <v>347</v>
      </c>
      <c r="C5" s="561" t="s">
        <v>377</v>
      </c>
      <c r="D5" s="563" t="s">
        <v>173</v>
      </c>
      <c r="E5" s="565">
        <v>1</v>
      </c>
      <c r="F5" s="521"/>
      <c r="G5" s="557"/>
      <c r="H5" s="138" t="s">
        <v>378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199</v>
      </c>
      <c r="I6" s="69"/>
    </row>
    <row r="7" spans="1:9" ht="15.75" customHeight="1">
      <c r="A7" s="69"/>
      <c r="B7" s="559" t="s">
        <v>349</v>
      </c>
      <c r="C7" s="561"/>
      <c r="D7" s="563" t="s">
        <v>173</v>
      </c>
      <c r="E7" s="565">
        <v>1</v>
      </c>
      <c r="F7" s="521"/>
      <c r="G7" s="557"/>
      <c r="H7" s="138" t="s">
        <v>379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199</v>
      </c>
      <c r="I8" s="69"/>
    </row>
    <row r="9" spans="1:9" ht="15.75" customHeight="1">
      <c r="A9" s="69"/>
      <c r="B9" s="559" t="s">
        <v>351</v>
      </c>
      <c r="C9" s="561" t="s">
        <v>380</v>
      </c>
      <c r="D9" s="563" t="s">
        <v>173</v>
      </c>
      <c r="E9" s="565">
        <v>1</v>
      </c>
      <c r="F9" s="521"/>
      <c r="G9" s="557"/>
      <c r="H9" s="138" t="s">
        <v>381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199</v>
      </c>
      <c r="I10" s="69"/>
    </row>
    <row r="11" spans="1:9" ht="15.75" customHeight="1">
      <c r="A11" s="69"/>
      <c r="B11" s="559" t="s">
        <v>353</v>
      </c>
      <c r="C11" s="561" t="s">
        <v>382</v>
      </c>
      <c r="D11" s="563" t="s">
        <v>173</v>
      </c>
      <c r="E11" s="565">
        <v>1</v>
      </c>
      <c r="F11" s="521"/>
      <c r="G11" s="557"/>
      <c r="H11" s="138" t="s">
        <v>383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199</v>
      </c>
      <c r="I12" s="69"/>
    </row>
    <row r="13" spans="1:9" ht="15.75" customHeight="1">
      <c r="A13" s="69"/>
      <c r="B13" s="559" t="s">
        <v>355</v>
      </c>
      <c r="C13" s="561" t="s">
        <v>384</v>
      </c>
      <c r="D13" s="563" t="s">
        <v>173</v>
      </c>
      <c r="E13" s="565">
        <v>1</v>
      </c>
      <c r="F13" s="521"/>
      <c r="G13" s="557"/>
      <c r="H13" s="138" t="s">
        <v>385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199</v>
      </c>
      <c r="I14" s="69"/>
    </row>
    <row r="15" spans="1:9" ht="15.75" customHeight="1">
      <c r="A15" s="69"/>
      <c r="B15" s="559" t="s">
        <v>356</v>
      </c>
      <c r="C15" s="561" t="s">
        <v>386</v>
      </c>
      <c r="D15" s="563" t="s">
        <v>173</v>
      </c>
      <c r="E15" s="565">
        <v>1</v>
      </c>
      <c r="F15" s="521"/>
      <c r="G15" s="557"/>
      <c r="H15" s="138" t="s">
        <v>387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199</v>
      </c>
      <c r="I16" s="69"/>
    </row>
    <row r="17" spans="1:9" ht="15.75" customHeight="1">
      <c r="A17" s="69"/>
      <c r="B17" s="559" t="s">
        <v>357</v>
      </c>
      <c r="C17" s="561" t="s">
        <v>388</v>
      </c>
      <c r="D17" s="563" t="s">
        <v>173</v>
      </c>
      <c r="E17" s="565">
        <v>1</v>
      </c>
      <c r="F17" s="521"/>
      <c r="G17" s="557"/>
      <c r="H17" s="138" t="s">
        <v>389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199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271</v>
      </c>
      <c r="C21" s="561"/>
      <c r="D21" s="563"/>
      <c r="E21" s="565"/>
      <c r="F21" s="521"/>
      <c r="G21" s="557">
        <v>840000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（仮称）東北生産・物流センター建設プロジェクト</v>
      </c>
      <c r="G1" s="306"/>
      <c r="H1" s="190" t="s">
        <v>129</v>
      </c>
      <c r="I1" s="333">
        <v>6600000</v>
      </c>
      <c r="J1" s="339">
        <f>I4/I$1</f>
        <v>0.87121212121212122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343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273</v>
      </c>
      <c r="D4" s="340" t="s">
        <v>185</v>
      </c>
      <c r="E4" s="342"/>
      <c r="F4" s="345" t="s">
        <v>173</v>
      </c>
      <c r="G4" s="308">
        <v>1</v>
      </c>
      <c r="H4" s="309">
        <v>5750000</v>
      </c>
      <c r="I4" s="309">
        <v>5750000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390</v>
      </c>
      <c r="P4" s="347" t="s">
        <v>390</v>
      </c>
      <c r="Q4" s="347" t="s">
        <v>390</v>
      </c>
      <c r="R4" s="348" t="s">
        <v>390</v>
      </c>
      <c r="S4" s="349"/>
      <c r="T4" s="343" t="s">
        <v>391</v>
      </c>
      <c r="U4" s="343"/>
      <c r="V4" s="344"/>
      <c r="W4" s="346" t="s">
        <v>390</v>
      </c>
      <c r="X4" s="347" t="s">
        <v>390</v>
      </c>
      <c r="Y4" s="347" t="s">
        <v>390</v>
      </c>
      <c r="Z4" s="348" t="s">
        <v>390</v>
      </c>
      <c r="AA4" s="349"/>
      <c r="AB4" s="343" t="s">
        <v>391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274</v>
      </c>
      <c r="D5" s="340" t="s">
        <v>392</v>
      </c>
      <c r="E5" s="342"/>
      <c r="F5" s="345" t="s">
        <v>173</v>
      </c>
      <c r="G5" s="308">
        <v>1</v>
      </c>
      <c r="H5" s="309">
        <v>840000</v>
      </c>
      <c r="I5" s="309">
        <v>840000</v>
      </c>
      <c r="J5" s="211"/>
      <c r="K5" s="212" t="str">
        <f>IF(OR(J5="",G5=J5),"","*")</f>
        <v/>
      </c>
      <c r="L5" s="338">
        <f>IF($A5&lt;=L$1,I5/I$4,"")</f>
        <v>0.14608695652173914</v>
      </c>
      <c r="M5" s="343"/>
      <c r="N5" s="344"/>
      <c r="O5" s="346" t="s">
        <v>390</v>
      </c>
      <c r="P5" s="347" t="s">
        <v>390</v>
      </c>
      <c r="Q5" s="347" t="s">
        <v>390</v>
      </c>
      <c r="R5" s="348" t="s">
        <v>390</v>
      </c>
      <c r="S5" s="349"/>
      <c r="T5" s="343" t="s">
        <v>391</v>
      </c>
      <c r="U5" s="343"/>
      <c r="V5" s="344"/>
      <c r="W5" s="346" t="s">
        <v>390</v>
      </c>
      <c r="X5" s="347" t="s">
        <v>390</v>
      </c>
      <c r="Y5" s="347" t="s">
        <v>390</v>
      </c>
      <c r="Z5" s="348" t="s">
        <v>390</v>
      </c>
      <c r="AA5" s="349"/>
      <c r="AB5" s="343" t="s">
        <v>391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277</v>
      </c>
      <c r="D6" s="340" t="s">
        <v>393</v>
      </c>
      <c r="E6" s="342"/>
      <c r="F6" s="345" t="s">
        <v>173</v>
      </c>
      <c r="G6" s="308">
        <v>1</v>
      </c>
      <c r="H6" s="309">
        <v>840000</v>
      </c>
      <c r="I6" s="309">
        <v>840000</v>
      </c>
      <c r="J6" s="211">
        <v>1</v>
      </c>
      <c r="K6" s="212" t="str">
        <f>IF(OR(J6="",G6=J6),"","*")</f>
        <v/>
      </c>
      <c r="L6" s="338">
        <f>IF($A6&lt;=L$1,I6/I$4,"")</f>
        <v>0.14608695652173914</v>
      </c>
      <c r="M6" s="343"/>
      <c r="N6" s="344" t="s">
        <v>394</v>
      </c>
      <c r="O6" s="346" t="s">
        <v>390</v>
      </c>
      <c r="P6" s="347" t="s">
        <v>390</v>
      </c>
      <c r="Q6" s="347" t="s">
        <v>390</v>
      </c>
      <c r="R6" s="348" t="s">
        <v>390</v>
      </c>
      <c r="S6" s="349"/>
      <c r="T6" s="343" t="s">
        <v>391</v>
      </c>
      <c r="U6" s="343"/>
      <c r="V6" s="344"/>
      <c r="W6" s="346" t="s">
        <v>390</v>
      </c>
      <c r="X6" s="347" t="s">
        <v>390</v>
      </c>
      <c r="Y6" s="347" t="s">
        <v>390</v>
      </c>
      <c r="Z6" s="348" t="s">
        <v>390</v>
      </c>
      <c r="AA6" s="349"/>
      <c r="AB6" s="343" t="s">
        <v>391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183</v>
      </c>
      <c r="D7" s="340" t="s">
        <v>395</v>
      </c>
      <c r="E7" s="342" t="s">
        <v>396</v>
      </c>
      <c r="F7" s="345" t="s">
        <v>397</v>
      </c>
      <c r="G7" s="308">
        <v>42</v>
      </c>
      <c r="H7" s="309">
        <v>20000</v>
      </c>
      <c r="I7" s="309">
        <v>840000</v>
      </c>
      <c r="J7" s="211"/>
      <c r="K7" s="212" t="str">
        <f>IF(OR(J7="",G7=J7),"","*")</f>
        <v/>
      </c>
      <c r="L7" s="338">
        <f>IF($A7&lt;=L$1,I7/I$4,"")</f>
        <v>0.14608695652173914</v>
      </c>
      <c r="M7" s="343"/>
      <c r="N7" s="344"/>
      <c r="O7" s="346" t="s">
        <v>390</v>
      </c>
      <c r="P7" s="347" t="s">
        <v>390</v>
      </c>
      <c r="Q7" s="347" t="s">
        <v>390</v>
      </c>
      <c r="R7" s="348" t="s">
        <v>390</v>
      </c>
      <c r="S7" s="349"/>
      <c r="T7" s="343" t="s">
        <v>391</v>
      </c>
      <c r="U7" s="343"/>
      <c r="V7" s="344"/>
      <c r="W7" s="346" t="s">
        <v>390</v>
      </c>
      <c r="X7" s="347" t="s">
        <v>390</v>
      </c>
      <c r="Y7" s="347" t="s">
        <v>390</v>
      </c>
      <c r="Z7" s="348" t="s">
        <v>390</v>
      </c>
      <c r="AA7" s="349"/>
      <c r="AB7" s="343" t="s">
        <v>391</v>
      </c>
      <c r="AC7" s="343"/>
      <c r="AD7" s="344"/>
      <c r="AE7" s="342" t="s">
        <v>398</v>
      </c>
      <c r="AF7" s="341" t="s">
        <v>399</v>
      </c>
    </row>
    <row r="8" spans="1:32">
      <c r="A8" s="307">
        <v>2</v>
      </c>
      <c r="B8" s="342"/>
      <c r="C8" s="342" t="s">
        <v>277</v>
      </c>
      <c r="D8" s="340" t="s">
        <v>400</v>
      </c>
      <c r="E8" s="342" t="s">
        <v>377</v>
      </c>
      <c r="F8" s="345" t="s">
        <v>173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401</v>
      </c>
      <c r="O8" s="346" t="s">
        <v>390</v>
      </c>
      <c r="P8" s="347" t="s">
        <v>390</v>
      </c>
      <c r="Q8" s="347" t="s">
        <v>390</v>
      </c>
      <c r="R8" s="348" t="s">
        <v>390</v>
      </c>
      <c r="S8" s="349"/>
      <c r="T8" s="343" t="s">
        <v>391</v>
      </c>
      <c r="U8" s="343"/>
      <c r="V8" s="344"/>
      <c r="W8" s="346" t="s">
        <v>390</v>
      </c>
      <c r="X8" s="347" t="s">
        <v>390</v>
      </c>
      <c r="Y8" s="347" t="s">
        <v>390</v>
      </c>
      <c r="Z8" s="348" t="s">
        <v>390</v>
      </c>
      <c r="AA8" s="349"/>
      <c r="AB8" s="343" t="s">
        <v>391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277</v>
      </c>
      <c r="D9" s="340" t="s">
        <v>402</v>
      </c>
      <c r="E9" s="342"/>
      <c r="F9" s="345" t="s">
        <v>173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403</v>
      </c>
      <c r="O9" s="346" t="s">
        <v>390</v>
      </c>
      <c r="P9" s="347" t="s">
        <v>390</v>
      </c>
      <c r="Q9" s="347" t="s">
        <v>390</v>
      </c>
      <c r="R9" s="348" t="s">
        <v>390</v>
      </c>
      <c r="S9" s="349"/>
      <c r="T9" s="343" t="s">
        <v>391</v>
      </c>
      <c r="U9" s="343"/>
      <c r="V9" s="344"/>
      <c r="W9" s="346" t="s">
        <v>390</v>
      </c>
      <c r="X9" s="347" t="s">
        <v>390</v>
      </c>
      <c r="Y9" s="347" t="s">
        <v>390</v>
      </c>
      <c r="Z9" s="348" t="s">
        <v>390</v>
      </c>
      <c r="AA9" s="349"/>
      <c r="AB9" s="343" t="s">
        <v>391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277</v>
      </c>
      <c r="D10" s="340" t="s">
        <v>404</v>
      </c>
      <c r="E10" s="342" t="s">
        <v>380</v>
      </c>
      <c r="F10" s="345" t="s">
        <v>173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405</v>
      </c>
      <c r="O10" s="346" t="s">
        <v>390</v>
      </c>
      <c r="P10" s="347" t="s">
        <v>390</v>
      </c>
      <c r="Q10" s="347" t="s">
        <v>390</v>
      </c>
      <c r="R10" s="348" t="s">
        <v>390</v>
      </c>
      <c r="S10" s="349"/>
      <c r="T10" s="343" t="s">
        <v>391</v>
      </c>
      <c r="U10" s="343"/>
      <c r="V10" s="344"/>
      <c r="W10" s="346" t="s">
        <v>390</v>
      </c>
      <c r="X10" s="347" t="s">
        <v>390</v>
      </c>
      <c r="Y10" s="347" t="s">
        <v>390</v>
      </c>
      <c r="Z10" s="348" t="s">
        <v>390</v>
      </c>
      <c r="AA10" s="349"/>
      <c r="AB10" s="343" t="s">
        <v>391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277</v>
      </c>
      <c r="D11" s="340" t="s">
        <v>406</v>
      </c>
      <c r="E11" s="342" t="s">
        <v>382</v>
      </c>
      <c r="F11" s="345" t="s">
        <v>173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407</v>
      </c>
      <c r="O11" s="346" t="s">
        <v>390</v>
      </c>
      <c r="P11" s="347" t="s">
        <v>390</v>
      </c>
      <c r="Q11" s="347" t="s">
        <v>390</v>
      </c>
      <c r="R11" s="348" t="s">
        <v>390</v>
      </c>
      <c r="S11" s="349"/>
      <c r="T11" s="343" t="s">
        <v>391</v>
      </c>
      <c r="U11" s="343"/>
      <c r="V11" s="344"/>
      <c r="W11" s="346" t="s">
        <v>390</v>
      </c>
      <c r="X11" s="347" t="s">
        <v>390</v>
      </c>
      <c r="Y11" s="347" t="s">
        <v>390</v>
      </c>
      <c r="Z11" s="348" t="s">
        <v>390</v>
      </c>
      <c r="AA11" s="349"/>
      <c r="AB11" s="343" t="s">
        <v>391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277</v>
      </c>
      <c r="D12" s="340" t="s">
        <v>408</v>
      </c>
      <c r="E12" s="342" t="s">
        <v>384</v>
      </c>
      <c r="F12" s="345" t="s">
        <v>173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409</v>
      </c>
      <c r="O12" s="346" t="s">
        <v>390</v>
      </c>
      <c r="P12" s="347" t="s">
        <v>390</v>
      </c>
      <c r="Q12" s="347" t="s">
        <v>390</v>
      </c>
      <c r="R12" s="348" t="s">
        <v>390</v>
      </c>
      <c r="S12" s="349"/>
      <c r="T12" s="343" t="s">
        <v>391</v>
      </c>
      <c r="U12" s="343"/>
      <c r="V12" s="344"/>
      <c r="W12" s="346" t="s">
        <v>390</v>
      </c>
      <c r="X12" s="347" t="s">
        <v>390</v>
      </c>
      <c r="Y12" s="347" t="s">
        <v>390</v>
      </c>
      <c r="Z12" s="348" t="s">
        <v>390</v>
      </c>
      <c r="AA12" s="349"/>
      <c r="AB12" s="343" t="s">
        <v>391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277</v>
      </c>
      <c r="D13" s="340" t="s">
        <v>410</v>
      </c>
      <c r="E13" s="342" t="s">
        <v>386</v>
      </c>
      <c r="F13" s="345" t="s">
        <v>173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411</v>
      </c>
      <c r="O13" s="346" t="s">
        <v>390</v>
      </c>
      <c r="P13" s="347" t="s">
        <v>390</v>
      </c>
      <c r="Q13" s="347" t="s">
        <v>390</v>
      </c>
      <c r="R13" s="348" t="s">
        <v>390</v>
      </c>
      <c r="S13" s="349"/>
      <c r="T13" s="343" t="s">
        <v>391</v>
      </c>
      <c r="U13" s="343"/>
      <c r="V13" s="344"/>
      <c r="W13" s="346" t="s">
        <v>390</v>
      </c>
      <c r="X13" s="347" t="s">
        <v>390</v>
      </c>
      <c r="Y13" s="347" t="s">
        <v>390</v>
      </c>
      <c r="Z13" s="348" t="s">
        <v>390</v>
      </c>
      <c r="AA13" s="349"/>
      <c r="AB13" s="343" t="s">
        <v>391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277</v>
      </c>
      <c r="D14" s="340" t="s">
        <v>412</v>
      </c>
      <c r="E14" s="342" t="s">
        <v>388</v>
      </c>
      <c r="F14" s="345" t="s">
        <v>173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413</v>
      </c>
      <c r="O14" s="346" t="s">
        <v>390</v>
      </c>
      <c r="P14" s="347" t="s">
        <v>390</v>
      </c>
      <c r="Q14" s="347" t="s">
        <v>390</v>
      </c>
      <c r="R14" s="348" t="s">
        <v>390</v>
      </c>
      <c r="S14" s="349"/>
      <c r="T14" s="343" t="s">
        <v>391</v>
      </c>
      <c r="U14" s="343"/>
      <c r="V14" s="344"/>
      <c r="W14" s="346" t="s">
        <v>390</v>
      </c>
      <c r="X14" s="347" t="s">
        <v>390</v>
      </c>
      <c r="Y14" s="347" t="s">
        <v>390</v>
      </c>
      <c r="Z14" s="348" t="s">
        <v>390</v>
      </c>
      <c r="AA14" s="349"/>
      <c r="AB14" s="343" t="s">
        <v>391</v>
      </c>
      <c r="AC14" s="343"/>
      <c r="AD14" s="344"/>
      <c r="AE14" s="342"/>
      <c r="AF14" s="341"/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414</v>
      </c>
      <c r="C3" s="146" t="s">
        <v>415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416</v>
      </c>
      <c r="K4" s="69"/>
    </row>
    <row r="5" spans="1:11" ht="18" customHeight="1">
      <c r="A5" s="69"/>
      <c r="B5" s="574" t="s">
        <v>417</v>
      </c>
      <c r="C5" s="575"/>
      <c r="D5" s="153" t="s">
        <v>85</v>
      </c>
      <c r="E5" s="153" t="s">
        <v>418</v>
      </c>
      <c r="F5" s="153" t="s">
        <v>419</v>
      </c>
      <c r="G5" s="153" t="s">
        <v>420</v>
      </c>
      <c r="H5" s="154" t="s">
        <v>421</v>
      </c>
      <c r="I5" s="153" t="s">
        <v>422</v>
      </c>
      <c r="J5" s="155" t="s">
        <v>423</v>
      </c>
      <c r="K5" s="69"/>
    </row>
    <row r="6" spans="1:11" ht="10.5" customHeight="1">
      <c r="A6" s="69"/>
      <c r="B6" s="156" t="s">
        <v>424</v>
      </c>
      <c r="C6" s="157"/>
      <c r="D6" s="576" t="s">
        <v>425</v>
      </c>
      <c r="E6" s="578">
        <v>3450</v>
      </c>
      <c r="F6" s="580">
        <v>150</v>
      </c>
      <c r="G6" s="582">
        <v>517500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426</v>
      </c>
      <c r="J7" s="161"/>
      <c r="K7" s="69" t="s">
        <v>96</v>
      </c>
    </row>
    <row r="8" spans="1:11" ht="10.5" customHeight="1">
      <c r="A8" s="69"/>
      <c r="B8" s="156" t="s">
        <v>427</v>
      </c>
      <c r="C8" s="157"/>
      <c r="D8" s="576" t="s">
        <v>428</v>
      </c>
      <c r="E8" s="578">
        <v>1</v>
      </c>
      <c r="F8" s="580">
        <v>4560</v>
      </c>
      <c r="G8" s="582">
        <v>4560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426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429</v>
      </c>
      <c r="C12" s="157"/>
      <c r="D12" s="576"/>
      <c r="E12" s="584"/>
      <c r="F12" s="580"/>
      <c r="G12" s="582">
        <v>522060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414</v>
      </c>
      <c r="C3" s="146" t="s">
        <v>415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416</v>
      </c>
      <c r="K4" s="69"/>
    </row>
    <row r="5" spans="1:11" ht="18" customHeight="1">
      <c r="A5" s="69"/>
      <c r="B5" s="574" t="s">
        <v>417</v>
      </c>
      <c r="C5" s="575"/>
      <c r="D5" s="153" t="s">
        <v>85</v>
      </c>
      <c r="E5" s="153" t="s">
        <v>418</v>
      </c>
      <c r="F5" s="153" t="s">
        <v>419</v>
      </c>
      <c r="G5" s="153" t="s">
        <v>420</v>
      </c>
      <c r="H5" s="154" t="s">
        <v>421</v>
      </c>
      <c r="I5" s="153" t="s">
        <v>422</v>
      </c>
      <c r="J5" s="155" t="s">
        <v>423</v>
      </c>
      <c r="K5" s="69"/>
    </row>
    <row r="6" spans="1:11" ht="10.5" customHeight="1">
      <c r="A6" s="69"/>
      <c r="B6" s="156" t="s">
        <v>430</v>
      </c>
      <c r="C6" s="157"/>
      <c r="D6" s="576" t="s">
        <v>431</v>
      </c>
      <c r="E6" s="578">
        <v>196</v>
      </c>
      <c r="F6" s="580">
        <v>20000</v>
      </c>
      <c r="G6" s="582">
        <v>3920000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432</v>
      </c>
      <c r="C7" s="160"/>
      <c r="D7" s="577"/>
      <c r="E7" s="579"/>
      <c r="F7" s="581"/>
      <c r="G7" s="583"/>
      <c r="H7" s="356"/>
      <c r="I7" s="356" t="s">
        <v>433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429</v>
      </c>
      <c r="C10" s="157"/>
      <c r="D10" s="576"/>
      <c r="E10" s="578"/>
      <c r="F10" s="580"/>
      <c r="G10" s="582">
        <v>3920000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414</v>
      </c>
      <c r="C3" s="146" t="s">
        <v>415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416</v>
      </c>
      <c r="K4" s="69"/>
    </row>
    <row r="5" spans="1:11" ht="18" customHeight="1">
      <c r="A5" s="69"/>
      <c r="B5" s="574" t="s">
        <v>417</v>
      </c>
      <c r="C5" s="575"/>
      <c r="D5" s="153" t="s">
        <v>85</v>
      </c>
      <c r="E5" s="153" t="s">
        <v>418</v>
      </c>
      <c r="F5" s="153" t="s">
        <v>419</v>
      </c>
      <c r="G5" s="153" t="s">
        <v>420</v>
      </c>
      <c r="H5" s="154" t="s">
        <v>421</v>
      </c>
      <c r="I5" s="153" t="s">
        <v>422</v>
      </c>
      <c r="J5" s="155" t="s">
        <v>423</v>
      </c>
      <c r="K5" s="69"/>
    </row>
    <row r="6" spans="1:11" ht="10.5" customHeight="1">
      <c r="A6" s="69"/>
      <c r="B6" s="156" t="s">
        <v>434</v>
      </c>
      <c r="C6" s="157"/>
      <c r="D6" s="576" t="s">
        <v>435</v>
      </c>
      <c r="E6" s="578">
        <v>60</v>
      </c>
      <c r="F6" s="580">
        <v>8000</v>
      </c>
      <c r="G6" s="582">
        <v>480000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436</v>
      </c>
      <c r="C7" s="160"/>
      <c r="D7" s="577"/>
      <c r="E7" s="579"/>
      <c r="F7" s="581"/>
      <c r="G7" s="583"/>
      <c r="H7" s="356"/>
      <c r="I7" s="356" t="s">
        <v>437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429</v>
      </c>
      <c r="C10" s="157"/>
      <c r="D10" s="576"/>
      <c r="E10" s="578"/>
      <c r="F10" s="580"/>
      <c r="G10" s="582">
        <v>480000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9</vt:i4>
      </vt:variant>
    </vt:vector>
  </HeadingPairs>
  <TitlesOfParts>
    <vt:vector size="24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2026-02-03T06:35:28Z</dcterms:modified>
  <cp:category/>
  <cp:contentStatus/>
</cp:coreProperties>
</file>