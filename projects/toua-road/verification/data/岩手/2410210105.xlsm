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305753E6-BBF3-42DE-A3F0-C305C3EEF539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'工事費一覧表(共通仮設費)'!$A$1:$AF$17</definedName>
    <definedName name="_xlnm.Print_Area" localSheetId="11">'工事費一覧表(現場経費)'!$A$1:$AF$15</definedName>
    <definedName name="_xlnm.Print_Area" localSheetId="6">'工事費一覧表(直接工事費)'!$A$1:$AF$88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<sst xmlns="http://schemas.openxmlformats.org/spreadsheetml/2006/main" count="1843" uniqueCount="463">
  <si>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</si>
  <si>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</si>
  <si>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</si>
  <si>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</si>
  <si>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</si>
  <si>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</si>
  <si>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</si>
  <si>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</si>
  <si>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</si>
  <si>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</si>
  <si>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</si>
  <si>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</si>
  <si>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</si>
  <si>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</si>
  <si>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</si>
  <si>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</si>
  <si>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</si>
  <si>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</si>
  <si>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</si>
  <si>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</si>
  <si>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</si>
  <si>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</si>
  <si>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</si>
  <si>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</si>
  <si>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</si>
  <si>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</si>
  <si>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</si>
  <si>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</si>
  <si>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</si>
  <si>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</si>
  <si>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</si>
  <si>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</si>
  <si>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</si>
  <si>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</si>
  <si>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</si>
  <si>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</si>
  <si>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</si>
  <si>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</si>
  <si>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</si>
  <si>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</si>
  <si>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</si>
  <si>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</si>
  <si>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</si>
  <si>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</si>
  <si>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</si>
  <si>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</si>
  <si>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</si>
  <si>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</si>
  <si>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</si>
  <si>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</si>
  <si>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</si>
  <si>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</si>
  <si>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</si>
  <si>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</si>
  <si>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</si>
  <si>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</si>
  <si>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</si>
  <si>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</si>
  <si>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</si>
  <si>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</si>
  <si>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</si>
  <si>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</si>
  <si>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</si>
  <si>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</si>
  <si>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</si>
  <si>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</si>
  <si>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</si>
  <si>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</si>
  <si>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</si>
  <si>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</si>
  <si>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</si>
  <si>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</si>
  <si>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</si>
  <si>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</si>
  <si>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</si>
  <si>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</si>
  <si>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</si>
  <si>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</si>
  <si>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</si>
  <si>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</si>
  <si>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</si>
  <si>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</si>
  <si>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</si>
  <si>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</si>
  <si>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</si>
  <si>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</si>
  <si>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</si>
  <si>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</si>
  <si>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</si>
  <si>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</si>
  <si>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</si>
  <si>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</si>
  <si>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</si>
  <si>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</si>
  <si>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</si>
  <si>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</si>
  <si>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</si>
  <si>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</si>
  <si>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</si>
  <si>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</si>
  <si>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</si>
  <si>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</si>
  <si>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</si>
  <si>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</si>
  <si>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</si>
  <si>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</si>
  <si>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</si>
  <si>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</si>
  <si>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</si>
  <si>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</si>
  <si>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</si>
  <si>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</si>
  <si>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</si>
  <si>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</si>
  <si>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</si>
  <si>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</si>
  <si>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</si>
  <si>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</si>
  <si>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</si>
  <si>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</si>
  <si>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</si>
  <si>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</si>
  <si>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</si>
  <si>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</si>
  <si>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</si>
  <si>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</si>
  <si>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</si>
  <si>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</si>
  <si>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</si>
  <si>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</si>
  <si>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</si>
  <si>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</si>
  <si>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</si>
  <si>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</si>
  <si>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</si>
  <si>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</si>
  <si>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</si>
  <si>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</si>
  <si>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</si>
  <si>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</si>
  <si>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</si>
  <si>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</si>
  <si>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</si>
  <si>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</si>
  <si>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</si>
  <si>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2410210105 G</t>
  </si>
  <si>
    <t>（当　初）</t>
  </si>
  <si>
    <t>刈屋　潤紀</t>
  </si>
  <si>
    <t>株式会社キクホー岩手本社工場駐車場舗装工事</t>
  </si>
  <si>
    <t>岩手基礎工業株式会社</t>
  </si>
  <si>
    <t>岩手営業所</t>
  </si>
  <si>
    <t>岩手県北上市村崎野地内</t>
  </si>
  <si>
    <t>2024年8月1日</t>
  </si>
  <si>
    <t>2024年8月31日</t>
  </si>
  <si>
    <t>2024年8月19日</t>
  </si>
  <si>
    <t>掘削工</t>
  </si>
  <si>
    <t>残土運搬</t>
  </si>
  <si>
    <t>路盤工</t>
  </si>
  <si>
    <t>表層工</t>
  </si>
  <si>
    <t>雑材</t>
  </si>
  <si>
    <t>重機運搬費</t>
  </si>
  <si>
    <t>準備費</t>
  </si>
  <si>
    <t>地代家賃</t>
  </si>
  <si>
    <t>仮設費</t>
  </si>
  <si>
    <t>安全費</t>
  </si>
  <si>
    <t>技術管理費</t>
  </si>
  <si>
    <t>駐車場の掘削・路盤・表層</t>
  </si>
  <si>
    <t>ｔ＝240</t>
  </si>
  <si>
    <t>m2</t>
  </si>
  <si>
    <t>m3</t>
  </si>
  <si>
    <t>RC-40　ｔ＝200</t>
  </si>
  <si>
    <t>再生密粒度As13F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</si>
  <si>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</si>
  <si>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</si>
  <si>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</si>
  <si>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</si>
  <si>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</si>
  <si>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</si>
  <si>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</si>
  <si>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</si>
  <si>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</si>
  <si>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</si>
  <si>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</si>
  <si>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</si>
  <si>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</si>
  <si>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</si>
  <si>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㈱キクホー岩手本社工場</t>
  </si>
  <si>
    <t>東北支社</t>
  </si>
  <si>
    <t>単独</t>
  </si>
  <si>
    <t>G</t>
  </si>
  <si>
    <t>2024年7月16日</t>
  </si>
  <si>
    <t>2024年8月1日 ～ 2024年8月31日</t>
  </si>
  <si>
    <t>2024年8月19日 ～ 2024年8月31日</t>
  </si>
  <si>
    <t>駐車場の掘削・路盤・表層</t>
    <phoneticPr fontId="4"/>
  </si>
  <si>
    <t>直接工事費</t>
  </si>
  <si>
    <t xml:space="preserve">    駐車場舗装工事</t>
  </si>
  <si>
    <t xml:space="preserve">    </t>
  </si>
  <si>
    <t>工種行</t>
  </si>
  <si>
    <t xml:space="preserve">      掘削工</t>
  </si>
  <si>
    <t xml:space="preserve">      ｔ＝240</t>
  </si>
  <si>
    <t>20号</t>
  </si>
  <si>
    <t>内訳書</t>
  </si>
  <si>
    <t xml:space="preserve">      残土運搬</t>
  </si>
  <si>
    <t xml:space="preserve">      </t>
  </si>
  <si>
    <t>21号</t>
  </si>
  <si>
    <t xml:space="preserve">      路盤工</t>
  </si>
  <si>
    <t xml:space="preserve">      RC-40　ｔ＝200</t>
  </si>
  <si>
    <t>22号</t>
  </si>
  <si>
    <t xml:space="preserve">      表層工</t>
  </si>
  <si>
    <t xml:space="preserve">      再生密粒度As13F</t>
  </si>
  <si>
    <t>23号</t>
  </si>
  <si>
    <t xml:space="preserve">    駐車場舗装工事（民家）</t>
  </si>
  <si>
    <t>15号</t>
  </si>
  <si>
    <t>16号</t>
  </si>
  <si>
    <t>17号</t>
  </si>
  <si>
    <t>18号</t>
  </si>
  <si>
    <t xml:space="preserve">    雑費</t>
  </si>
  <si>
    <t xml:space="preserve">      雑材</t>
  </si>
  <si>
    <t>19号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</si>
  <si>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</si>
  <si>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</si>
  <si>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</si>
  <si>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</si>
  <si>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</si>
  <si>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</si>
  <si>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</si>
  <si>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</si>
  <si>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 xml:space="preserve">  駐車場舗装工事</t>
  </si>
  <si>
    <t xml:space="preserve">    掘削工</t>
  </si>
  <si>
    <t xml:space="preserve">    ｔ＝240</t>
  </si>
  <si>
    <t xml:space="preserve">    残土運搬</t>
  </si>
  <si>
    <t xml:space="preserve">    路盤工</t>
  </si>
  <si>
    <t xml:space="preserve">    RC-40　ｔ＝200</t>
  </si>
  <si>
    <t xml:space="preserve">    表層工</t>
  </si>
  <si>
    <t xml:space="preserve">    再生密粒度As13F</t>
  </si>
  <si>
    <t xml:space="preserve">  駐車場舗装工事（民家）</t>
  </si>
  <si>
    <t xml:space="preserve">  雑費</t>
  </si>
  <si>
    <t xml:space="preserve">    雑材</t>
  </si>
  <si>
    <t>計</t>
  </si>
  <si>
    <t>株式会社キクホー岩手本社工場駐車場舗装工事</t>
    <phoneticPr fontId="4"/>
  </si>
  <si>
    <t>総括</t>
  </si>
  <si>
    <t>集計行</t>
  </si>
  <si>
    <t>｜直接工事費</t>
  </si>
  <si>
    <t>｜｜駐車場舗装工事</t>
  </si>
  <si>
    <t>内訳代価</t>
  </si>
  <si>
    <t>｜｜｜掘削工</t>
  </si>
  <si>
    <t>20号内訳書</t>
  </si>
  <si>
    <t>｜｜｜｜軽油</t>
  </si>
  <si>
    <t>ℓ</t>
  </si>
  <si>
    <t xml:space="preserve">s5001 </t>
  </si>
  <si>
    <t xml:space="preserve">{数量=40*2} </t>
  </si>
  <si>
    <t>｜｜｜｜運転工</t>
  </si>
  <si>
    <t>直営作業員</t>
  </si>
  <si>
    <t>人</t>
  </si>
  <si>
    <t xml:space="preserve">r0003 </t>
  </si>
  <si>
    <t xml:space="preserve">{数量=1*2} </t>
  </si>
  <si>
    <t>｜｜｜｜土工</t>
  </si>
  <si>
    <t xml:space="preserve">r0004 </t>
  </si>
  <si>
    <t xml:space="preserve">{数量=3*2} </t>
  </si>
  <si>
    <t>｜｜｜｜ﾊﾞｯｸﾎｳ</t>
  </si>
  <si>
    <t>0.2m3</t>
  </si>
  <si>
    <t>台</t>
  </si>
  <si>
    <t xml:space="preserve">k0011 </t>
  </si>
  <si>
    <t>｜｜｜｜連絡車</t>
  </si>
  <si>
    <t>Wﾋﾟｯｸ</t>
  </si>
  <si>
    <t xml:space="preserve">u0005 </t>
  </si>
  <si>
    <t>｜｜｜残土運搬</t>
  </si>
  <si>
    <t>21号内訳書</t>
  </si>
  <si>
    <t>｜｜｜｜4tﾀﾞﾝﾌﾟ</t>
  </si>
  <si>
    <t xml:space="preserve">u0003 </t>
  </si>
  <si>
    <t xml:space="preserve">{数量=2*2} </t>
  </si>
  <si>
    <t>｜｜｜路盤工</t>
  </si>
  <si>
    <t>22号内訳書</t>
  </si>
  <si>
    <t>｜｜｜｜RC-40</t>
  </si>
  <si>
    <t>現着</t>
  </si>
  <si>
    <t xml:space="preserve">s0002 </t>
  </si>
  <si>
    <t xml:space="preserve">{数量=799*0.2*1.27*1.05} </t>
  </si>
  <si>
    <t xml:space="preserve">{数量=60*2} </t>
  </si>
  <si>
    <t xml:space="preserve">{数量=5*2} </t>
  </si>
  <si>
    <t>｜｜｜｜ｺﾝﾊﾞｲﾝﾄﾞﾛｰﾗ</t>
  </si>
  <si>
    <t>4t</t>
  </si>
  <si>
    <t xml:space="preserve">k0006 </t>
  </si>
  <si>
    <t>｜｜｜｜ﾀｲﾔｼｮﾍﾞﾙ</t>
  </si>
  <si>
    <t>0.4m3</t>
  </si>
  <si>
    <t xml:space="preserve">k0007 </t>
  </si>
  <si>
    <t>｜｜｜｜ﾊﾝﾄﾞｶﾞｲﾄﾞﾛｰﾗ</t>
  </si>
  <si>
    <t xml:space="preserve">k0013 </t>
  </si>
  <si>
    <t>｜｜｜｜ﾗﾝﾏ</t>
  </si>
  <si>
    <t xml:space="preserve">k0014 </t>
  </si>
  <si>
    <t>｜｜｜｜ﾌﾟﾚｰﾄ</t>
  </si>
  <si>
    <t xml:space="preserve">k0015 </t>
  </si>
  <si>
    <t>｜｜｜表層工</t>
  </si>
  <si>
    <t>23号内訳書</t>
  </si>
  <si>
    <t>｜｜｜｜再生密粒度As13 F</t>
  </si>
  <si>
    <t>t</t>
  </si>
  <si>
    <t xml:space="preserve">s2019 </t>
  </si>
  <si>
    <t xml:space="preserve">{数量=799*0.04*2.45*1.08} </t>
  </si>
  <si>
    <t>｜｜｜｜RSK-3・4</t>
  </si>
  <si>
    <t>ｋｇ</t>
  </si>
  <si>
    <t xml:space="preserve">s1002 </t>
  </si>
  <si>
    <t xml:space="preserve">{数量=799*1.2} </t>
  </si>
  <si>
    <t>｜｜｜｜川砂</t>
  </si>
  <si>
    <t>ｍ3</t>
  </si>
  <si>
    <t xml:space="preserve">s10218001 </t>
  </si>
  <si>
    <t xml:space="preserve">{数量=799/100*0.15} </t>
  </si>
  <si>
    <t xml:space="preserve">{数量=80*1} </t>
  </si>
  <si>
    <t xml:space="preserve">{数量=9*1} </t>
  </si>
  <si>
    <t>｜｜｜｜ｱｽﾌｧﾙﾄﾌｨﾆｯｼｬ</t>
  </si>
  <si>
    <t>W=4.5m級</t>
  </si>
  <si>
    <t xml:space="preserve">k0002 </t>
  </si>
  <si>
    <t xml:space="preserve">{数量=1*1} </t>
  </si>
  <si>
    <t>｜｜｜｜ﾃﾞｨｽﾄﾘﾋﾞｭｰﾀ</t>
  </si>
  <si>
    <t>車</t>
  </si>
  <si>
    <t xml:space="preserve">k1001 </t>
  </si>
  <si>
    <t>｜｜｜｜4tDT</t>
  </si>
  <si>
    <t>砂撒きオペ付き</t>
  </si>
  <si>
    <t xml:space="preserve">{数量=3*1} </t>
  </si>
  <si>
    <t>｜｜駐車場舗装工事（民家）</t>
  </si>
  <si>
    <t>15号内訳書</t>
  </si>
  <si>
    <t>0.1m3</t>
  </si>
  <si>
    <t>｜｜｜｜4ｔスライドダンプ</t>
  </si>
  <si>
    <t>16号内訳書</t>
  </si>
  <si>
    <t>17号内訳書</t>
  </si>
  <si>
    <t>引き取り</t>
  </si>
  <si>
    <t xml:space="preserve">{数量=200*0.2*1.27*1.05} </t>
  </si>
  <si>
    <t xml:space="preserve">{数量=4*2} </t>
  </si>
  <si>
    <t>18号内訳書</t>
  </si>
  <si>
    <t xml:space="preserve">{数量=200*0.04*2.45*1.08} </t>
  </si>
  <si>
    <t xml:space="preserve">{数量=2*1} </t>
  </si>
  <si>
    <t>｜｜雑費</t>
  </si>
  <si>
    <t>｜｜｜雑材</t>
  </si>
  <si>
    <t>19号内訳書</t>
  </si>
  <si>
    <t>｜｜｜｜雑材</t>
  </si>
  <si>
    <t>予算</t>
    <phoneticPr fontId="6"/>
  </si>
  <si>
    <t>社員給料</t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</si>
  <si>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</si>
  <si>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</si>
  <si>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</si>
  <si>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</si>
  <si>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</si>
  <si>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</si>
  <si>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</si>
  <si>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</si>
  <si>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</si>
  <si>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</si>
  <si>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</si>
  <si>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</si>
  <si>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</si>
  <si>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CVR・TS</t>
  </si>
  <si>
    <t>回</t>
  </si>
  <si>
    <t xml:space="preserve">u0013 </t>
  </si>
  <si>
    <t>AF</t>
  </si>
  <si>
    <t>BH0.2</t>
  </si>
  <si>
    <t>TR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</si>
  <si>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</si>
  <si>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</si>
  <si>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</si>
  <si>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</si>
  <si>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</si>
  <si>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</si>
  <si>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</si>
  <si>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</si>
  <si>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｜｜｜交通誘導員(昼間8h)</t>
  </si>
  <si>
    <t xml:space="preserve">g2001 </t>
  </si>
  <si>
    <t xml:space="preserve">{数量=1*5} </t>
  </si>
  <si>
    <t>｜｜技術管理費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</si>
  <si>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</si>
  <si>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</si>
  <si>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</si>
  <si>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</si>
  <si>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</si>
  <si>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</si>
  <si>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</si>
  <si>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</si>
  <si>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</si>
  <si>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</si>
  <si>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</si>
  <si>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</si>
  <si>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</si>
  <si>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</si>
  <si>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</si>
  <si>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</si>
  <si>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</si>
  <si>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</si>
  <si>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　</t>
  </si>
  <si>
    <t>支社社員　昼間</t>
  </si>
  <si>
    <t>日</t>
  </si>
  <si>
    <t xml:space="preserve">m0036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</si>
  <si>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</si>
  <si>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</si>
  <si>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</si>
  <si>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</si>
  <si>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</si>
  <si>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</si>
  <si>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</si>
  <si>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</si>
  <si>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</si>
  <si>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</si>
  <si>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</si>
  <si>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</si>
  <si>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14号内訳書</t>
  </si>
  <si>
    <t>工事名称</t>
    <phoneticPr fontId="6"/>
  </si>
  <si>
    <t>株式会社キクホー岩手本社工場駐車場舗装工事</t>
    <phoneticPr fontId="6"/>
  </si>
  <si>
    <t>2410210105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</si>
  <si>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</si>
  <si>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</si>
  <si>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</si>
  <si>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</si>
  <si>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</si>
  <si>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</si>
  <si>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</si>
  <si>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</si>
  <si>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</si>
  <si>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引き取り</t>
    <phoneticPr fontId="6"/>
  </si>
  <si>
    <t>材料費</t>
    <phoneticPr fontId="6"/>
  </si>
  <si>
    <t>現着</t>
    <phoneticPr fontId="6"/>
  </si>
  <si>
    <t>RSK-3・4</t>
    <phoneticPr fontId="6"/>
  </si>
  <si>
    <t>ｋｇ</t>
    <phoneticPr fontId="6"/>
  </si>
  <si>
    <t>軽油</t>
    <phoneticPr fontId="6"/>
  </si>
  <si>
    <t>ℓ</t>
    <phoneticPr fontId="6"/>
  </si>
  <si>
    <t>再生密粒度As13 F</t>
    <phoneticPr fontId="6"/>
  </si>
  <si>
    <t>t</t>
    <phoneticPr fontId="6"/>
  </si>
  <si>
    <t>雑材</t>
    <phoneticPr fontId="6"/>
  </si>
  <si>
    <t>式</t>
    <phoneticPr fontId="6"/>
  </si>
  <si>
    <t>川砂</t>
    <phoneticPr fontId="6"/>
  </si>
  <si>
    <t>ｍ3</t>
    <phoneticPr fontId="6"/>
  </si>
  <si>
    <t>計</t>
    <phoneticPr fontId="6"/>
  </si>
  <si>
    <t>運転工</t>
    <phoneticPr fontId="6"/>
  </si>
  <si>
    <t>人</t>
    <phoneticPr fontId="6"/>
  </si>
  <si>
    <t>直営作業員</t>
    <phoneticPr fontId="6"/>
  </si>
  <si>
    <t>労務費</t>
    <phoneticPr fontId="6"/>
  </si>
  <si>
    <t>土工</t>
    <phoneticPr fontId="6"/>
  </si>
  <si>
    <t>交通誘導員(昼間8h)</t>
    <phoneticPr fontId="6"/>
  </si>
  <si>
    <t>外注費</t>
    <phoneticPr fontId="6"/>
  </si>
  <si>
    <t>ｱｽﾌｧﾙﾄﾌｨﾆｯｼｬ</t>
    <phoneticPr fontId="6"/>
  </si>
  <si>
    <t>台</t>
    <phoneticPr fontId="6"/>
  </si>
  <si>
    <t>W=4.5m級</t>
    <phoneticPr fontId="6"/>
  </si>
  <si>
    <t>機械費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</si>
  <si>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</si>
  <si>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</si>
  <si>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</si>
  <si>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</si>
  <si>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ﾃﾞｨｽﾄﾘﾋﾞｭｰﾀ</t>
    <phoneticPr fontId="6"/>
  </si>
  <si>
    <t>車</t>
    <phoneticPr fontId="6"/>
  </si>
  <si>
    <t>ﾊﾞｯｸﾎｳ</t>
    <phoneticPr fontId="6"/>
  </si>
  <si>
    <t>0.1m3</t>
    <phoneticPr fontId="6"/>
  </si>
  <si>
    <t>0.2m3</t>
    <phoneticPr fontId="6"/>
  </si>
  <si>
    <t>ﾊﾝﾄﾞｶﾞｲﾄﾞﾛｰﾗ</t>
    <phoneticPr fontId="6"/>
  </si>
  <si>
    <t>ﾌﾟﾚｰﾄ</t>
    <phoneticPr fontId="6"/>
  </si>
  <si>
    <t>ﾗﾝﾏ</t>
    <phoneticPr fontId="6"/>
  </si>
  <si>
    <t>10t車回送</t>
    <phoneticPr fontId="6"/>
  </si>
  <si>
    <t>回</t>
    <phoneticPr fontId="6"/>
  </si>
  <si>
    <t>AF</t>
    <phoneticPr fontId="6"/>
  </si>
  <si>
    <t>運搬費</t>
    <phoneticPr fontId="6"/>
  </si>
  <si>
    <t>BH0.2</t>
    <phoneticPr fontId="6"/>
  </si>
  <si>
    <t>CVR・TS</t>
    <phoneticPr fontId="6"/>
  </si>
  <si>
    <t>TR</t>
    <phoneticPr fontId="6"/>
  </si>
  <si>
    <t>4tDT</t>
    <phoneticPr fontId="6"/>
  </si>
  <si>
    <t>砂撒きオペ付き</t>
    <phoneticPr fontId="6"/>
  </si>
  <si>
    <t>4ｔスライドダンプ</t>
    <phoneticPr fontId="6"/>
  </si>
  <si>
    <t>4tﾀﾞﾝﾌﾟ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</si>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</sst>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6000000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5000000</v>
      </c>
      <c r="J16" s="420"/>
      <c r="K16" s="420"/>
      <c r="L16" s="420"/>
      <c r="M16" s="420"/>
      <c r="N16" s="420"/>
      <c r="O16" s="420"/>
      <c r="P16" s="420"/>
      <c r="Q16" s="416">
        <v>0.83330000000000004</v>
      </c>
      <c r="R16" s="416"/>
      <c r="S16" s="416"/>
      <c r="U16" s="417" t="s">
        <v>16</v>
      </c>
      <c r="V16" s="418"/>
      <c r="W16" s="418"/>
      <c r="X16" s="418"/>
      <c r="Y16" s="419">
        <v>1000000</v>
      </c>
      <c r="Z16" s="420"/>
      <c r="AA16" s="420"/>
      <c r="AB16" s="420"/>
      <c r="AC16" s="420"/>
      <c r="AD16" s="420"/>
      <c r="AE16" s="420"/>
      <c r="AF16" s="420"/>
      <c r="AG16" s="416">
        <v>0.16669999999999999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45505</v>
      </c>
      <c r="D3" s="458"/>
      <c r="E3" s="272" t="s">
        <v>139</v>
      </c>
      <c r="F3" s="459">
        <v>45535</v>
      </c>
      <c r="G3" s="459"/>
      <c r="H3" s="459"/>
      <c r="I3" s="273"/>
      <c r="J3" s="273"/>
      <c r="K3" s="460" t="s">
        <v>30</v>
      </c>
      <c r="L3" s="461"/>
      <c r="M3" s="462"/>
      <c r="N3" s="449">
        <v>6000000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155</v>
      </c>
      <c r="C5" s="276">
        <v>203745</v>
      </c>
      <c r="D5" s="335">
        <f>IF(C5&lt;&gt;"",C5/$C$20,"")</f>
        <v>4.2803571428571427E-2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156</v>
      </c>
      <c r="C6" s="277">
        <v>243907</v>
      </c>
      <c r="D6" s="336">
        <f t="shared" ref="D6:D17" si="0">IF(C6&lt;&gt;"",C6/$C$20,"")</f>
        <v>5.1240966386554621E-2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157</v>
      </c>
      <c r="C7" s="277">
        <v>1044293</v>
      </c>
      <c r="D7" s="336">
        <f t="shared" si="0"/>
        <v>0.2193892857142857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158</v>
      </c>
      <c r="C8" s="277">
        <v>1557251</v>
      </c>
      <c r="D8" s="336">
        <f t="shared" si="0"/>
        <v>0.32715357142857143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155</v>
      </c>
      <c r="C9" s="277">
        <v>226000</v>
      </c>
      <c r="D9" s="336">
        <f t="shared" si="0"/>
        <v>4.7478991596638653E-2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156</v>
      </c>
      <c r="C10" s="277">
        <v>217968</v>
      </c>
      <c r="D10" s="336">
        <f t="shared" si="0"/>
        <v>4.5791596638655459E-2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157</v>
      </c>
      <c r="C11" s="277">
        <v>464400</v>
      </c>
      <c r="D11" s="336">
        <f t="shared" si="0"/>
        <v>9.7563025210084031E-2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158</v>
      </c>
      <c r="C12" s="277">
        <v>587000</v>
      </c>
      <c r="D12" s="336">
        <f t="shared" si="0"/>
        <v>0.12331932773109244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159</v>
      </c>
      <c r="C13" s="277">
        <v>10436</v>
      </c>
      <c r="D13" s="336">
        <f t="shared" si="0"/>
        <v>2.1924369747899158E-3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160</v>
      </c>
      <c r="C14" s="277">
        <v>120000</v>
      </c>
      <c r="D14" s="336">
        <f t="shared" si="0"/>
        <v>2.5210084033613446E-2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161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162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163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164</v>
      </c>
      <c r="C18" s="278">
        <v>85000</v>
      </c>
      <c r="D18" s="336">
        <f>IF(C18&lt;&gt;"",C18/$C$20,"")</f>
        <v>1.7857142857142856E-2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165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4760000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166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155</v>
      </c>
      <c r="K5" s="282" t="s">
        <v>167</v>
      </c>
      <c r="L5" s="283" t="s">
        <v>168</v>
      </c>
      <c r="M5" s="284">
        <v>799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156</v>
      </c>
      <c r="K6" s="289"/>
      <c r="L6" s="290" t="s">
        <v>169</v>
      </c>
      <c r="M6" s="291">
        <v>191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157</v>
      </c>
      <c r="K7" s="289" t="s">
        <v>170</v>
      </c>
      <c r="L7" s="290" t="s">
        <v>168</v>
      </c>
      <c r="M7" s="291">
        <v>799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158</v>
      </c>
      <c r="K8" s="289" t="s">
        <v>171</v>
      </c>
      <c r="L8" s="290" t="s">
        <v>168</v>
      </c>
      <c r="M8" s="291">
        <v>799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155</v>
      </c>
      <c r="K9" s="289" t="s">
        <v>167</v>
      </c>
      <c r="L9" s="290" t="s">
        <v>168</v>
      </c>
      <c r="M9" s="291">
        <v>200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156</v>
      </c>
      <c r="K10" s="289"/>
      <c r="L10" s="290" t="s">
        <v>169</v>
      </c>
      <c r="M10" s="291">
        <v>48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157</v>
      </c>
      <c r="K11" s="289" t="s">
        <v>170</v>
      </c>
      <c r="L11" s="290" t="s">
        <v>168</v>
      </c>
      <c r="M11" s="291">
        <v>200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158</v>
      </c>
      <c r="K12" s="289" t="s">
        <v>171</v>
      </c>
      <c r="L12" s="290" t="s">
        <v>168</v>
      </c>
      <c r="M12" s="291">
        <v>200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159</v>
      </c>
      <c r="K13" s="289"/>
      <c r="L13" s="290" t="s">
        <v>172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160</v>
      </c>
      <c r="K14" s="289"/>
      <c r="L14" s="290" t="s">
        <v>172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161</v>
      </c>
      <c r="K15" s="289" t="s">
        <v>173</v>
      </c>
      <c r="L15" s="290" t="s">
        <v>172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162</v>
      </c>
      <c r="K16" s="289" t="s">
        <v>174</v>
      </c>
      <c r="L16" s="290" t="s">
        <v>172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163</v>
      </c>
      <c r="K17" s="289" t="s">
        <v>175</v>
      </c>
      <c r="L17" s="290" t="s">
        <v>172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164</v>
      </c>
      <c r="K18" s="289" t="s">
        <v>176</v>
      </c>
      <c r="L18" s="290" t="s">
        <v>172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165</v>
      </c>
      <c r="K19" s="295" t="s">
        <v>177</v>
      </c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186</v>
      </c>
      <c r="D5" s="512"/>
      <c r="E5" s="246" t="s">
        <v>133</v>
      </c>
      <c r="F5" s="513" t="s">
        <v>187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178</v>
      </c>
      <c r="I6" s="110" t="s">
        <v>179</v>
      </c>
      <c r="J6" s="110" t="s">
        <v>180</v>
      </c>
      <c r="K6" s="110" t="s">
        <v>181</v>
      </c>
      <c r="L6" s="110" t="s">
        <v>182</v>
      </c>
      <c r="M6" s="111" t="s">
        <v>183</v>
      </c>
      <c r="N6" s="110" t="s">
        <v>184</v>
      </c>
      <c r="O6" s="112" t="s">
        <v>185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6000000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5000000</v>
      </c>
      <c r="G8" s="334">
        <v>0.83330000000000004</v>
      </c>
      <c r="H8" s="250">
        <v>2315345</v>
      </c>
      <c r="I8" s="251">
        <v>1504000</v>
      </c>
      <c r="J8" s="251">
        <v>85000</v>
      </c>
      <c r="K8" s="251">
        <v>378000</v>
      </c>
      <c r="L8" s="252">
        <v>479000</v>
      </c>
      <c r="M8" s="252"/>
      <c r="N8" s="253">
        <v>240000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4555000</v>
      </c>
      <c r="G9" s="334">
        <v>0.75919999999999999</v>
      </c>
      <c r="H9" s="250">
        <v>2315345</v>
      </c>
      <c r="I9" s="251">
        <v>1504000</v>
      </c>
      <c r="J9" s="251"/>
      <c r="K9" s="251">
        <v>378000</v>
      </c>
      <c r="L9" s="252">
        <v>359000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205000</v>
      </c>
      <c r="G10" s="334">
        <v>3.4200000000000001E-2</v>
      </c>
      <c r="H10" s="250"/>
      <c r="I10" s="253"/>
      <c r="J10" s="253">
        <v>85000</v>
      </c>
      <c r="K10" s="253"/>
      <c r="L10" s="251">
        <v>120000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240000</v>
      </c>
      <c r="G11" s="334">
        <v>0.04</v>
      </c>
      <c r="H11" s="250"/>
      <c r="I11" s="253"/>
      <c r="J11" s="253"/>
      <c r="K11" s="253"/>
      <c r="L11" s="251"/>
      <c r="M11" s="252"/>
      <c r="N11" s="253">
        <v>240000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188</v>
      </c>
      <c r="D12" s="492"/>
      <c r="E12" s="113" t="s">
        <v>66</v>
      </c>
      <c r="F12" s="249">
        <v>1000000</v>
      </c>
      <c r="G12" s="334">
        <v>0.16669999999999999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189</v>
      </c>
      <c r="D13" s="492"/>
      <c r="E13" s="169" t="s">
        <v>110</v>
      </c>
      <c r="F13" s="249">
        <v>492000</v>
      </c>
      <c r="G13" s="334">
        <v>8.2000000000000003E-2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190</v>
      </c>
      <c r="D14" s="493"/>
      <c r="E14" s="114" t="s">
        <v>111</v>
      </c>
      <c r="F14" s="249">
        <v>324000</v>
      </c>
      <c r="G14" s="334">
        <v>5.3999999999999999E-2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191</v>
      </c>
      <c r="D15" s="495"/>
      <c r="E15" s="114" t="s">
        <v>112</v>
      </c>
      <c r="F15" s="249">
        <v>168000</v>
      </c>
      <c r="G15" s="334">
        <v>2.8000000000000001E-2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192</v>
      </c>
      <c r="D16" s="493"/>
      <c r="E16" s="113" t="s">
        <v>113</v>
      </c>
      <c r="F16" s="249">
        <v>508000</v>
      </c>
      <c r="G16" s="334">
        <v>8.4699999999999998E-2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193</v>
      </c>
      <c r="D17" s="500"/>
      <c r="E17" s="113" t="s">
        <v>114</v>
      </c>
      <c r="F17" s="249">
        <v>78000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430000</v>
      </c>
      <c r="G18" s="334">
        <v>7.17E-2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38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194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195</v>
      </c>
      <c r="C8" s="166"/>
      <c r="D8" s="517" t="s">
        <v>172</v>
      </c>
      <c r="E8" s="519">
        <v>1</v>
      </c>
      <c r="F8" s="521">
        <v>3049196</v>
      </c>
      <c r="G8" s="523">
        <v>3049196</v>
      </c>
      <c r="H8" s="351"/>
      <c r="I8" s="525">
        <v>0.5081</v>
      </c>
      <c r="J8" s="227"/>
      <c r="K8" s="69" t="s">
        <v>96</v>
      </c>
    </row>
    <row r="9" spans="1:11" ht="15.6" customHeight="1">
      <c r="A9" s="69"/>
      <c r="B9" s="224" t="s">
        <v>196</v>
      </c>
      <c r="C9" s="225"/>
      <c r="D9" s="518"/>
      <c r="E9" s="520"/>
      <c r="F9" s="522"/>
      <c r="G9" s="524"/>
      <c r="H9" s="352" t="s">
        <v>197</v>
      </c>
      <c r="I9" s="526"/>
      <c r="J9" s="227"/>
      <c r="K9" s="69" t="s">
        <v>96</v>
      </c>
    </row>
    <row r="10" spans="1:11" ht="15.6" customHeight="1">
      <c r="A10" s="69"/>
      <c r="B10" s="222" t="s">
        <v>198</v>
      </c>
      <c r="C10" s="166"/>
      <c r="D10" s="517" t="s">
        <v>168</v>
      </c>
      <c r="E10" s="519">
        <v>799</v>
      </c>
      <c r="F10" s="521">
        <v>255</v>
      </c>
      <c r="G10" s="523">
        <v>203745</v>
      </c>
      <c r="H10" s="351" t="s">
        <v>200</v>
      </c>
      <c r="I10" s="525">
        <v>3.39E-2</v>
      </c>
      <c r="J10" s="223"/>
      <c r="K10" s="69" t="s">
        <v>96</v>
      </c>
    </row>
    <row r="11" spans="1:11" ht="15.6" customHeight="1">
      <c r="A11" s="69"/>
      <c r="B11" s="224" t="s">
        <v>199</v>
      </c>
      <c r="C11" s="225"/>
      <c r="D11" s="518"/>
      <c r="E11" s="520"/>
      <c r="F11" s="522"/>
      <c r="G11" s="524"/>
      <c r="H11" s="352" t="s">
        <v>201</v>
      </c>
      <c r="I11" s="526"/>
      <c r="J11" s="226"/>
      <c r="K11" s="69" t="s">
        <v>96</v>
      </c>
    </row>
    <row r="12" spans="1:11" ht="15.6" customHeight="1">
      <c r="A12" s="69"/>
      <c r="B12" s="222" t="s">
        <v>202</v>
      </c>
      <c r="C12" s="166"/>
      <c r="D12" s="517" t="s">
        <v>169</v>
      </c>
      <c r="E12" s="519">
        <v>191</v>
      </c>
      <c r="F12" s="521">
        <v>1277</v>
      </c>
      <c r="G12" s="523">
        <v>243907</v>
      </c>
      <c r="H12" s="351" t="s">
        <v>204</v>
      </c>
      <c r="I12" s="525">
        <v>4.0599999999999997E-2</v>
      </c>
      <c r="J12" s="223"/>
      <c r="K12" s="69" t="s">
        <v>96</v>
      </c>
    </row>
    <row r="13" spans="1:11" ht="15.6" customHeight="1">
      <c r="A13" s="69"/>
      <c r="B13" s="224" t="s">
        <v>203</v>
      </c>
      <c r="C13" s="225"/>
      <c r="D13" s="518"/>
      <c r="E13" s="520"/>
      <c r="F13" s="522"/>
      <c r="G13" s="524"/>
      <c r="H13" s="352" t="s">
        <v>201</v>
      </c>
      <c r="I13" s="526"/>
      <c r="J13" s="226"/>
      <c r="K13" s="69" t="s">
        <v>96</v>
      </c>
    </row>
    <row r="14" spans="1:11" ht="15.6" customHeight="1">
      <c r="A14" s="69"/>
      <c r="B14" s="222" t="s">
        <v>205</v>
      </c>
      <c r="C14" s="166"/>
      <c r="D14" s="517" t="s">
        <v>168</v>
      </c>
      <c r="E14" s="519">
        <v>799</v>
      </c>
      <c r="F14" s="521">
        <v>1307</v>
      </c>
      <c r="G14" s="523">
        <v>1044293</v>
      </c>
      <c r="H14" s="351" t="s">
        <v>207</v>
      </c>
      <c r="I14" s="525">
        <v>0.17399999999999999</v>
      </c>
      <c r="J14" s="223"/>
      <c r="K14" s="69" t="s">
        <v>96</v>
      </c>
    </row>
    <row r="15" spans="1:11" ht="15.6" customHeight="1">
      <c r="A15" s="69"/>
      <c r="B15" s="224" t="s">
        <v>206</v>
      </c>
      <c r="C15" s="225"/>
      <c r="D15" s="518"/>
      <c r="E15" s="520"/>
      <c r="F15" s="522"/>
      <c r="G15" s="524"/>
      <c r="H15" s="352" t="s">
        <v>201</v>
      </c>
      <c r="I15" s="526"/>
      <c r="J15" s="226"/>
      <c r="K15" s="69" t="s">
        <v>96</v>
      </c>
    </row>
    <row r="16" spans="1:11" ht="15.6" customHeight="1">
      <c r="A16" s="69"/>
      <c r="B16" s="222" t="s">
        <v>208</v>
      </c>
      <c r="C16" s="166"/>
      <c r="D16" s="517" t="s">
        <v>168</v>
      </c>
      <c r="E16" s="519">
        <v>799</v>
      </c>
      <c r="F16" s="521">
        <v>1949</v>
      </c>
      <c r="G16" s="523">
        <v>1557251</v>
      </c>
      <c r="H16" s="351" t="s">
        <v>210</v>
      </c>
      <c r="I16" s="525">
        <v>0.25950000000000001</v>
      </c>
      <c r="J16" s="223"/>
      <c r="K16" s="69" t="s">
        <v>96</v>
      </c>
    </row>
    <row r="17" spans="1:11" ht="15.6" customHeight="1">
      <c r="A17" s="69"/>
      <c r="B17" s="224" t="s">
        <v>209</v>
      </c>
      <c r="C17" s="225"/>
      <c r="D17" s="518"/>
      <c r="E17" s="520"/>
      <c r="F17" s="522"/>
      <c r="G17" s="524"/>
      <c r="H17" s="352" t="s">
        <v>201</v>
      </c>
      <c r="I17" s="526"/>
      <c r="J17" s="226"/>
      <c r="K17" s="69" t="s">
        <v>96</v>
      </c>
    </row>
    <row r="18" spans="1:11" ht="15.6" customHeight="1">
      <c r="A18" s="69"/>
      <c r="B18" s="222" t="s">
        <v>211</v>
      </c>
      <c r="C18" s="166"/>
      <c r="D18" s="517" t="s">
        <v>172</v>
      </c>
      <c r="E18" s="519">
        <v>1</v>
      </c>
      <c r="F18" s="521">
        <v>1495368</v>
      </c>
      <c r="G18" s="523">
        <v>1495368</v>
      </c>
      <c r="H18" s="351"/>
      <c r="I18" s="525">
        <v>0.2492</v>
      </c>
      <c r="J18" s="223"/>
      <c r="K18" s="69" t="s">
        <v>96</v>
      </c>
    </row>
    <row r="19" spans="1:11" ht="15.6" customHeight="1">
      <c r="A19" s="69"/>
      <c r="B19" s="224" t="s">
        <v>196</v>
      </c>
      <c r="C19" s="225"/>
      <c r="D19" s="518"/>
      <c r="E19" s="520"/>
      <c r="F19" s="522"/>
      <c r="G19" s="524"/>
      <c r="H19" s="352" t="s">
        <v>197</v>
      </c>
      <c r="I19" s="526"/>
      <c r="J19" s="226"/>
      <c r="K19" s="69" t="s">
        <v>96</v>
      </c>
    </row>
    <row r="20" spans="1:11" ht="15.6" customHeight="1">
      <c r="A20" s="69"/>
      <c r="B20" s="222" t="s">
        <v>198</v>
      </c>
      <c r="C20" s="166"/>
      <c r="D20" s="517" t="s">
        <v>168</v>
      </c>
      <c r="E20" s="519">
        <v>200</v>
      </c>
      <c r="F20" s="521">
        <v>1130</v>
      </c>
      <c r="G20" s="523">
        <v>226000</v>
      </c>
      <c r="H20" s="351" t="s">
        <v>212</v>
      </c>
      <c r="I20" s="525">
        <v>3.7600000000000001E-2</v>
      </c>
      <c r="J20" s="223"/>
      <c r="K20" s="69" t="s">
        <v>96</v>
      </c>
    </row>
    <row r="21" spans="1:11" ht="15.6" customHeight="1">
      <c r="A21" s="69"/>
      <c r="B21" s="224" t="s">
        <v>199</v>
      </c>
      <c r="C21" s="225"/>
      <c r="D21" s="518"/>
      <c r="E21" s="520"/>
      <c r="F21" s="522"/>
      <c r="G21" s="524"/>
      <c r="H21" s="352" t="s">
        <v>201</v>
      </c>
      <c r="I21" s="526"/>
      <c r="J21" s="226"/>
      <c r="K21" s="69" t="s">
        <v>96</v>
      </c>
    </row>
    <row r="22" spans="1:11" ht="15.6" customHeight="1">
      <c r="A22" s="69"/>
      <c r="B22" s="222" t="s">
        <v>202</v>
      </c>
      <c r="C22" s="166"/>
      <c r="D22" s="517" t="s">
        <v>169</v>
      </c>
      <c r="E22" s="519">
        <v>48</v>
      </c>
      <c r="F22" s="521">
        <v>4541</v>
      </c>
      <c r="G22" s="523">
        <v>217968</v>
      </c>
      <c r="H22" s="351" t="s">
        <v>213</v>
      </c>
      <c r="I22" s="525">
        <v>3.6299999999999999E-2</v>
      </c>
      <c r="J22" s="223"/>
      <c r="K22" s="69" t="s">
        <v>96</v>
      </c>
    </row>
    <row r="23" spans="1:11" ht="15.6" customHeight="1">
      <c r="A23" s="69"/>
      <c r="B23" s="224" t="s">
        <v>203</v>
      </c>
      <c r="C23" s="225"/>
      <c r="D23" s="518"/>
      <c r="E23" s="520"/>
      <c r="F23" s="522"/>
      <c r="G23" s="524"/>
      <c r="H23" s="352" t="s">
        <v>201</v>
      </c>
      <c r="I23" s="526"/>
      <c r="J23" s="226"/>
      <c r="K23" s="69" t="s">
        <v>96</v>
      </c>
    </row>
    <row r="24" spans="1:11" ht="15.6" customHeight="1">
      <c r="A24" s="69"/>
      <c r="B24" s="222" t="s">
        <v>205</v>
      </c>
      <c r="C24" s="166"/>
      <c r="D24" s="517" t="s">
        <v>168</v>
      </c>
      <c r="E24" s="519">
        <v>200</v>
      </c>
      <c r="F24" s="521">
        <v>2322</v>
      </c>
      <c r="G24" s="523">
        <v>464400</v>
      </c>
      <c r="H24" s="351" t="s">
        <v>214</v>
      </c>
      <c r="I24" s="525">
        <v>7.7399999999999997E-2</v>
      </c>
      <c r="J24" s="223"/>
      <c r="K24" s="69" t="s">
        <v>96</v>
      </c>
    </row>
    <row r="25" spans="1:11" ht="15.6" customHeight="1">
      <c r="A25" s="69"/>
      <c r="B25" s="224" t="s">
        <v>206</v>
      </c>
      <c r="C25" s="225"/>
      <c r="D25" s="518"/>
      <c r="E25" s="520"/>
      <c r="F25" s="522"/>
      <c r="G25" s="524"/>
      <c r="H25" s="352" t="s">
        <v>201</v>
      </c>
      <c r="I25" s="526"/>
      <c r="J25" s="226"/>
      <c r="K25" s="69" t="s">
        <v>96</v>
      </c>
    </row>
    <row r="26" spans="1:11" ht="15.6" customHeight="1">
      <c r="A26" s="69"/>
      <c r="B26" s="222" t="s">
        <v>208</v>
      </c>
      <c r="C26" s="166"/>
      <c r="D26" s="517" t="s">
        <v>168</v>
      </c>
      <c r="E26" s="519">
        <v>200</v>
      </c>
      <c r="F26" s="521">
        <v>2935</v>
      </c>
      <c r="G26" s="523">
        <v>587000</v>
      </c>
      <c r="H26" s="351" t="s">
        <v>215</v>
      </c>
      <c r="I26" s="525">
        <v>9.7799999999999998E-2</v>
      </c>
      <c r="J26" s="223"/>
      <c r="K26" s="69" t="s">
        <v>96</v>
      </c>
    </row>
    <row r="27" spans="1:11" ht="15.6" customHeight="1">
      <c r="A27" s="69"/>
      <c r="B27" s="224" t="s">
        <v>209</v>
      </c>
      <c r="C27" s="225"/>
      <c r="D27" s="518"/>
      <c r="E27" s="520"/>
      <c r="F27" s="522"/>
      <c r="G27" s="524"/>
      <c r="H27" s="352" t="s">
        <v>201</v>
      </c>
      <c r="I27" s="526"/>
      <c r="J27" s="226"/>
      <c r="K27" s="69" t="s">
        <v>96</v>
      </c>
    </row>
    <row r="28" spans="1:11" ht="15.6" customHeight="1">
      <c r="A28" s="69"/>
      <c r="B28" s="222" t="s">
        <v>216</v>
      </c>
      <c r="C28" s="166"/>
      <c r="D28" s="517" t="s">
        <v>172</v>
      </c>
      <c r="E28" s="519">
        <v>1</v>
      </c>
      <c r="F28" s="521">
        <v>10436</v>
      </c>
      <c r="G28" s="523">
        <v>10436</v>
      </c>
      <c r="H28" s="351"/>
      <c r="I28" s="525">
        <v>1.6999999999999999E-3</v>
      </c>
      <c r="J28" s="223"/>
      <c r="K28" s="69" t="s">
        <v>96</v>
      </c>
    </row>
    <row r="29" spans="1:11" ht="15.6" customHeight="1">
      <c r="A29" s="69"/>
      <c r="B29" s="224" t="s">
        <v>196</v>
      </c>
      <c r="C29" s="225"/>
      <c r="D29" s="518"/>
      <c r="E29" s="520"/>
      <c r="F29" s="522"/>
      <c r="G29" s="524"/>
      <c r="H29" s="352" t="s">
        <v>197</v>
      </c>
      <c r="I29" s="526"/>
      <c r="J29" s="226"/>
      <c r="K29" s="69" t="s">
        <v>96</v>
      </c>
    </row>
    <row r="30" spans="1:11" ht="15.6" customHeight="1">
      <c r="A30" s="69"/>
      <c r="B30" s="222" t="s">
        <v>217</v>
      </c>
      <c r="C30" s="166"/>
      <c r="D30" s="517" t="s">
        <v>172</v>
      </c>
      <c r="E30" s="519">
        <v>1</v>
      </c>
      <c r="F30" s="521">
        <v>10436</v>
      </c>
      <c r="G30" s="523">
        <v>10436</v>
      </c>
      <c r="H30" s="351" t="s">
        <v>218</v>
      </c>
      <c r="I30" s="525">
        <v>1.6999999999999999E-3</v>
      </c>
      <c r="J30" s="223"/>
      <c r="K30" s="69" t="s">
        <v>96</v>
      </c>
    </row>
    <row r="31" spans="1:11" ht="15.6" customHeight="1">
      <c r="A31" s="69"/>
      <c r="B31" s="224" t="s">
        <v>203</v>
      </c>
      <c r="C31" s="225"/>
      <c r="D31" s="518"/>
      <c r="E31" s="520"/>
      <c r="F31" s="522"/>
      <c r="G31" s="524"/>
      <c r="H31" s="352" t="s">
        <v>201</v>
      </c>
      <c r="I31" s="526"/>
      <c r="J31" s="226"/>
      <c r="K31" s="69" t="s">
        <v>96</v>
      </c>
    </row>
    <row r="32" spans="1:11" ht="15.6" customHeight="1">
      <c r="A32" s="69"/>
      <c r="B32" s="222" t="s">
        <v>219</v>
      </c>
      <c r="C32" s="166"/>
      <c r="D32" s="532"/>
      <c r="E32" s="519"/>
      <c r="F32" s="521"/>
      <c r="G32" s="523">
        <v>4555000</v>
      </c>
      <c r="H32" s="351"/>
      <c r="I32" s="525">
        <v>0.75919999999999999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220</v>
      </c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221</v>
      </c>
      <c r="C43" s="166"/>
      <c r="D43" s="517" t="s">
        <v>172</v>
      </c>
      <c r="E43" s="519">
        <v>1</v>
      </c>
      <c r="F43" s="521">
        <v>205000</v>
      </c>
      <c r="G43" s="523">
        <v>205000</v>
      </c>
      <c r="H43" s="351"/>
      <c r="I43" s="525">
        <v>3.4200000000000001E-2</v>
      </c>
      <c r="J43" s="223"/>
      <c r="K43" s="69" t="s">
        <v>96</v>
      </c>
    </row>
    <row r="44" spans="1:11" ht="15.6" customHeight="1">
      <c r="A44" s="69"/>
      <c r="B44" s="224" t="s">
        <v>222</v>
      </c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223</v>
      </c>
      <c r="C45" s="166"/>
      <c r="D45" s="517" t="s">
        <v>172</v>
      </c>
      <c r="E45" s="519">
        <v>1</v>
      </c>
      <c r="F45" s="521">
        <v>240000</v>
      </c>
      <c r="G45" s="523">
        <v>240000</v>
      </c>
      <c r="H45" s="351"/>
      <c r="I45" s="525">
        <v>0.04</v>
      </c>
      <c r="J45" s="227"/>
      <c r="K45" s="69" t="s">
        <v>96</v>
      </c>
    </row>
    <row r="46" spans="1:11" ht="15.6" customHeight="1">
      <c r="A46" s="69"/>
      <c r="B46" s="224" t="s">
        <v>222</v>
      </c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224</v>
      </c>
      <c r="C47" s="166"/>
      <c r="D47" s="517"/>
      <c r="E47" s="519"/>
      <c r="F47" s="521"/>
      <c r="G47" s="523">
        <v>445000</v>
      </c>
      <c r="H47" s="351"/>
      <c r="I47" s="525">
        <v>7.4099999999999999E-2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225</v>
      </c>
      <c r="C51" s="166"/>
      <c r="D51" s="517"/>
      <c r="E51" s="519"/>
      <c r="F51" s="521"/>
      <c r="G51" s="523">
        <v>5000000</v>
      </c>
      <c r="H51" s="351"/>
      <c r="I51" s="525">
        <v>0.83330000000000004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226</v>
      </c>
      <c r="C55" s="166"/>
      <c r="D55" s="517"/>
      <c r="E55" s="519"/>
      <c r="F55" s="521"/>
      <c r="G55" s="523">
        <v>1000000</v>
      </c>
      <c r="H55" s="351"/>
      <c r="I55" s="525">
        <v>0.16669999999999999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 t="s">
        <v>131</v>
      </c>
      <c r="C59" s="166"/>
      <c r="D59" s="517"/>
      <c r="E59" s="519"/>
      <c r="F59" s="521"/>
      <c r="G59" s="523">
        <v>6000000</v>
      </c>
      <c r="H59" s="351"/>
      <c r="I59" s="525">
        <v>1</v>
      </c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00FF3-29C2-43FA-91B0-D407CFF2100C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239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227</v>
      </c>
      <c r="C6" s="166"/>
      <c r="D6" s="517" t="s">
        <v>172</v>
      </c>
      <c r="E6" s="519">
        <v>1</v>
      </c>
      <c r="F6" s="521">
        <v>3049196</v>
      </c>
      <c r="G6" s="523">
        <v>3049196</v>
      </c>
      <c r="H6" s="351"/>
      <c r="I6" s="351"/>
      <c r="J6" s="223"/>
      <c r="K6" s="69" t="s">
        <v>96</v>
      </c>
    </row>
    <row r="7" spans="1:11" ht="15.6" customHeight="1">
      <c r="A7" s="69"/>
      <c r="B7" s="224" t="s">
        <v>222</v>
      </c>
      <c r="C7" s="225"/>
      <c r="D7" s="518"/>
      <c r="E7" s="520"/>
      <c r="F7" s="522"/>
      <c r="G7" s="524"/>
      <c r="H7" s="352" t="s">
        <v>197</v>
      </c>
      <c r="I7" s="352"/>
      <c r="J7" s="226"/>
      <c r="K7" s="69" t="s">
        <v>96</v>
      </c>
    </row>
    <row r="8" spans="1:11" ht="15.6" customHeight="1">
      <c r="A8" s="69"/>
      <c r="B8" s="222" t="s">
        <v>228</v>
      </c>
      <c r="C8" s="166"/>
      <c r="D8" s="517" t="s">
        <v>168</v>
      </c>
      <c r="E8" s="519">
        <v>799</v>
      </c>
      <c r="F8" s="521">
        <v>255</v>
      </c>
      <c r="G8" s="523">
        <v>203745</v>
      </c>
      <c r="H8" s="351" t="s">
        <v>200</v>
      </c>
      <c r="I8" s="351"/>
      <c r="J8" s="227"/>
      <c r="K8" s="69" t="s">
        <v>96</v>
      </c>
    </row>
    <row r="9" spans="1:11" ht="15.6" customHeight="1">
      <c r="A9" s="69"/>
      <c r="B9" s="224" t="s">
        <v>229</v>
      </c>
      <c r="C9" s="225"/>
      <c r="D9" s="518"/>
      <c r="E9" s="520"/>
      <c r="F9" s="522"/>
      <c r="G9" s="524"/>
      <c r="H9" s="352" t="s">
        <v>201</v>
      </c>
      <c r="I9" s="352"/>
      <c r="J9" s="227"/>
      <c r="K9" s="69" t="s">
        <v>96</v>
      </c>
    </row>
    <row r="10" spans="1:11" ht="15.6" customHeight="1">
      <c r="A10" s="69"/>
      <c r="B10" s="222" t="s">
        <v>230</v>
      </c>
      <c r="C10" s="166"/>
      <c r="D10" s="517" t="s">
        <v>169</v>
      </c>
      <c r="E10" s="519">
        <v>191</v>
      </c>
      <c r="F10" s="521">
        <v>1277</v>
      </c>
      <c r="G10" s="523">
        <v>243907</v>
      </c>
      <c r="H10" s="351" t="s">
        <v>204</v>
      </c>
      <c r="I10" s="351"/>
      <c r="J10" s="223"/>
      <c r="K10" s="69" t="s">
        <v>96</v>
      </c>
    </row>
    <row r="11" spans="1:11" ht="15.6" customHeight="1">
      <c r="A11" s="69"/>
      <c r="B11" s="224" t="s">
        <v>196</v>
      </c>
      <c r="C11" s="225"/>
      <c r="D11" s="518"/>
      <c r="E11" s="520"/>
      <c r="F11" s="522"/>
      <c r="G11" s="524"/>
      <c r="H11" s="352" t="s">
        <v>201</v>
      </c>
      <c r="I11" s="352"/>
      <c r="J11" s="226"/>
      <c r="K11" s="69" t="s">
        <v>96</v>
      </c>
    </row>
    <row r="12" spans="1:11" ht="15.6" customHeight="1">
      <c r="A12" s="69"/>
      <c r="B12" s="222" t="s">
        <v>231</v>
      </c>
      <c r="C12" s="166"/>
      <c r="D12" s="517" t="s">
        <v>168</v>
      </c>
      <c r="E12" s="519">
        <v>799</v>
      </c>
      <c r="F12" s="521">
        <v>1307</v>
      </c>
      <c r="G12" s="523">
        <v>1044293</v>
      </c>
      <c r="H12" s="351" t="s">
        <v>207</v>
      </c>
      <c r="I12" s="351"/>
      <c r="J12" s="223"/>
      <c r="K12" s="69" t="s">
        <v>96</v>
      </c>
    </row>
    <row r="13" spans="1:11" ht="15.6" customHeight="1">
      <c r="A13" s="69"/>
      <c r="B13" s="224" t="s">
        <v>232</v>
      </c>
      <c r="C13" s="225"/>
      <c r="D13" s="518"/>
      <c r="E13" s="520"/>
      <c r="F13" s="522"/>
      <c r="G13" s="524"/>
      <c r="H13" s="352" t="s">
        <v>201</v>
      </c>
      <c r="I13" s="352"/>
      <c r="J13" s="226"/>
      <c r="K13" s="69" t="s">
        <v>96</v>
      </c>
    </row>
    <row r="14" spans="1:11" ht="15.6" customHeight="1">
      <c r="A14" s="69"/>
      <c r="B14" s="222" t="s">
        <v>233</v>
      </c>
      <c r="C14" s="166"/>
      <c r="D14" s="517" t="s">
        <v>168</v>
      </c>
      <c r="E14" s="519">
        <v>799</v>
      </c>
      <c r="F14" s="521">
        <v>1949</v>
      </c>
      <c r="G14" s="523">
        <v>1557251</v>
      </c>
      <c r="H14" s="351" t="s">
        <v>210</v>
      </c>
      <c r="I14" s="351"/>
      <c r="J14" s="223"/>
      <c r="K14" s="69" t="s">
        <v>96</v>
      </c>
    </row>
    <row r="15" spans="1:11" ht="15.6" customHeight="1">
      <c r="A15" s="69"/>
      <c r="B15" s="224" t="s">
        <v>234</v>
      </c>
      <c r="C15" s="225"/>
      <c r="D15" s="518"/>
      <c r="E15" s="520"/>
      <c r="F15" s="522"/>
      <c r="G15" s="524"/>
      <c r="H15" s="352" t="s">
        <v>201</v>
      </c>
      <c r="I15" s="352"/>
      <c r="J15" s="226"/>
      <c r="K15" s="69" t="s">
        <v>96</v>
      </c>
    </row>
    <row r="16" spans="1:11" ht="15.6" customHeight="1">
      <c r="A16" s="69"/>
      <c r="B16" s="222" t="s">
        <v>235</v>
      </c>
      <c r="C16" s="166"/>
      <c r="D16" s="517" t="s">
        <v>172</v>
      </c>
      <c r="E16" s="519">
        <v>1</v>
      </c>
      <c r="F16" s="521">
        <v>1495368</v>
      </c>
      <c r="G16" s="523">
        <v>1495368</v>
      </c>
      <c r="H16" s="351"/>
      <c r="I16" s="351"/>
      <c r="J16" s="223"/>
      <c r="K16" s="69" t="s">
        <v>96</v>
      </c>
    </row>
    <row r="17" spans="1:11" ht="15.6" customHeight="1">
      <c r="A17" s="69"/>
      <c r="B17" s="224" t="s">
        <v>222</v>
      </c>
      <c r="C17" s="225"/>
      <c r="D17" s="518"/>
      <c r="E17" s="520"/>
      <c r="F17" s="522"/>
      <c r="G17" s="524"/>
      <c r="H17" s="352" t="s">
        <v>197</v>
      </c>
      <c r="I17" s="352"/>
      <c r="J17" s="226"/>
      <c r="K17" s="69" t="s">
        <v>96</v>
      </c>
    </row>
    <row r="18" spans="1:11" ht="15.6" customHeight="1">
      <c r="A18" s="69"/>
      <c r="B18" s="222" t="s">
        <v>228</v>
      </c>
      <c r="C18" s="166"/>
      <c r="D18" s="517" t="s">
        <v>168</v>
      </c>
      <c r="E18" s="519">
        <v>200</v>
      </c>
      <c r="F18" s="521">
        <v>1130</v>
      </c>
      <c r="G18" s="523">
        <v>226000</v>
      </c>
      <c r="H18" s="351" t="s">
        <v>212</v>
      </c>
      <c r="I18" s="351"/>
      <c r="J18" s="223"/>
      <c r="K18" s="69" t="s">
        <v>96</v>
      </c>
    </row>
    <row r="19" spans="1:11" ht="15.6" customHeight="1">
      <c r="A19" s="69"/>
      <c r="B19" s="224" t="s">
        <v>229</v>
      </c>
      <c r="C19" s="225"/>
      <c r="D19" s="518"/>
      <c r="E19" s="520"/>
      <c r="F19" s="522"/>
      <c r="G19" s="524"/>
      <c r="H19" s="352" t="s">
        <v>201</v>
      </c>
      <c r="I19" s="352"/>
      <c r="J19" s="226"/>
      <c r="K19" s="69" t="s">
        <v>96</v>
      </c>
    </row>
    <row r="20" spans="1:11" ht="15.6" customHeight="1">
      <c r="A20" s="69"/>
      <c r="B20" s="222" t="s">
        <v>230</v>
      </c>
      <c r="C20" s="166"/>
      <c r="D20" s="517" t="s">
        <v>169</v>
      </c>
      <c r="E20" s="519">
        <v>48</v>
      </c>
      <c r="F20" s="521">
        <v>4541</v>
      </c>
      <c r="G20" s="523">
        <v>217968</v>
      </c>
      <c r="H20" s="351" t="s">
        <v>213</v>
      </c>
      <c r="I20" s="351"/>
      <c r="J20" s="223"/>
      <c r="K20" s="69" t="s">
        <v>96</v>
      </c>
    </row>
    <row r="21" spans="1:11" ht="15.6" customHeight="1">
      <c r="A21" s="69"/>
      <c r="B21" s="224" t="s">
        <v>196</v>
      </c>
      <c r="C21" s="225"/>
      <c r="D21" s="518"/>
      <c r="E21" s="520"/>
      <c r="F21" s="522"/>
      <c r="G21" s="524"/>
      <c r="H21" s="352" t="s">
        <v>201</v>
      </c>
      <c r="I21" s="352"/>
      <c r="J21" s="226"/>
      <c r="K21" s="69" t="s">
        <v>96</v>
      </c>
    </row>
    <row r="22" spans="1:11" ht="15.6" customHeight="1">
      <c r="A22" s="69"/>
      <c r="B22" s="222" t="s">
        <v>231</v>
      </c>
      <c r="C22" s="166"/>
      <c r="D22" s="517" t="s">
        <v>168</v>
      </c>
      <c r="E22" s="519">
        <v>200</v>
      </c>
      <c r="F22" s="521">
        <v>2322</v>
      </c>
      <c r="G22" s="523">
        <v>464400</v>
      </c>
      <c r="H22" s="351" t="s">
        <v>214</v>
      </c>
      <c r="I22" s="351"/>
      <c r="J22" s="223"/>
      <c r="K22" s="69" t="s">
        <v>96</v>
      </c>
    </row>
    <row r="23" spans="1:11" ht="15.6" customHeight="1">
      <c r="A23" s="69"/>
      <c r="B23" s="224" t="s">
        <v>232</v>
      </c>
      <c r="C23" s="225"/>
      <c r="D23" s="518"/>
      <c r="E23" s="520"/>
      <c r="F23" s="522"/>
      <c r="G23" s="524"/>
      <c r="H23" s="352" t="s">
        <v>201</v>
      </c>
      <c r="I23" s="352"/>
      <c r="J23" s="226"/>
      <c r="K23" s="69" t="s">
        <v>96</v>
      </c>
    </row>
    <row r="24" spans="1:11" ht="15.6" customHeight="1">
      <c r="A24" s="69"/>
      <c r="B24" s="222" t="s">
        <v>233</v>
      </c>
      <c r="C24" s="166"/>
      <c r="D24" s="517" t="s">
        <v>168</v>
      </c>
      <c r="E24" s="519">
        <v>200</v>
      </c>
      <c r="F24" s="521">
        <v>2935</v>
      </c>
      <c r="G24" s="523">
        <v>587000</v>
      </c>
      <c r="H24" s="351" t="s">
        <v>215</v>
      </c>
      <c r="I24" s="351"/>
      <c r="J24" s="223"/>
      <c r="K24" s="69" t="s">
        <v>96</v>
      </c>
    </row>
    <row r="25" spans="1:11" ht="15.6" customHeight="1">
      <c r="A25" s="69"/>
      <c r="B25" s="224" t="s">
        <v>234</v>
      </c>
      <c r="C25" s="225"/>
      <c r="D25" s="518"/>
      <c r="E25" s="520"/>
      <c r="F25" s="522"/>
      <c r="G25" s="524"/>
      <c r="H25" s="352" t="s">
        <v>201</v>
      </c>
      <c r="I25" s="352"/>
      <c r="J25" s="226"/>
      <c r="K25" s="69" t="s">
        <v>96</v>
      </c>
    </row>
    <row r="26" spans="1:11" ht="15.6" customHeight="1">
      <c r="A26" s="69"/>
      <c r="B26" s="222" t="s">
        <v>236</v>
      </c>
      <c r="C26" s="166"/>
      <c r="D26" s="517" t="s">
        <v>172</v>
      </c>
      <c r="E26" s="519">
        <v>1</v>
      </c>
      <c r="F26" s="521">
        <v>10436</v>
      </c>
      <c r="G26" s="523">
        <v>10436</v>
      </c>
      <c r="H26" s="351"/>
      <c r="I26" s="351"/>
      <c r="J26" s="223"/>
      <c r="K26" s="69" t="s">
        <v>96</v>
      </c>
    </row>
    <row r="27" spans="1:11" ht="15.6" customHeight="1">
      <c r="A27" s="69"/>
      <c r="B27" s="224" t="s">
        <v>222</v>
      </c>
      <c r="C27" s="225"/>
      <c r="D27" s="518"/>
      <c r="E27" s="520"/>
      <c r="F27" s="522"/>
      <c r="G27" s="524"/>
      <c r="H27" s="352" t="s">
        <v>197</v>
      </c>
      <c r="I27" s="352"/>
      <c r="J27" s="226"/>
      <c r="K27" s="69" t="s">
        <v>96</v>
      </c>
    </row>
    <row r="28" spans="1:11" ht="15.6" customHeight="1">
      <c r="A28" s="69"/>
      <c r="B28" s="222" t="s">
        <v>237</v>
      </c>
      <c r="C28" s="166"/>
      <c r="D28" s="517" t="s">
        <v>172</v>
      </c>
      <c r="E28" s="519">
        <v>1</v>
      </c>
      <c r="F28" s="521">
        <v>10436</v>
      </c>
      <c r="G28" s="523">
        <v>10436</v>
      </c>
      <c r="H28" s="351" t="s">
        <v>218</v>
      </c>
      <c r="I28" s="351"/>
      <c r="J28" s="223"/>
      <c r="K28" s="69" t="s">
        <v>96</v>
      </c>
    </row>
    <row r="29" spans="1:11" ht="15.6" customHeight="1">
      <c r="A29" s="69"/>
      <c r="B29" s="224" t="s">
        <v>196</v>
      </c>
      <c r="C29" s="225"/>
      <c r="D29" s="518"/>
      <c r="E29" s="520"/>
      <c r="F29" s="522"/>
      <c r="G29" s="524"/>
      <c r="H29" s="352" t="s">
        <v>201</v>
      </c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 t="s">
        <v>238</v>
      </c>
      <c r="C32" s="166"/>
      <c r="D32" s="532"/>
      <c r="E32" s="519"/>
      <c r="F32" s="521"/>
      <c r="G32" s="523">
        <v>4555000</v>
      </c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88"/>
  <sheetViews>
    <sheetView zoomScaleNormal="100" zoomScaleSheetLayoutView="85" workbookViewId="0">
      <pane xSplit="4" ySplit="4" topLeftCell="E47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株式会社キクホー岩手本社工場駐車場舗装工事</v>
      </c>
      <c r="G1" s="306"/>
      <c r="H1" s="190" t="s">
        <v>140</v>
      </c>
      <c r="I1" s="333">
        <v>6000000</v>
      </c>
      <c r="J1" s="339">
        <f>I4/I$1</f>
        <v>0.83333333333333337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333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240</v>
      </c>
      <c r="D4" s="340" t="s">
        <v>186</v>
      </c>
      <c r="E4" s="342"/>
      <c r="F4" s="345" t="s">
        <v>172</v>
      </c>
      <c r="G4" s="308">
        <v>1</v>
      </c>
      <c r="H4" s="309">
        <v>5000000</v>
      </c>
      <c r="I4" s="309">
        <v>5000000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241</v>
      </c>
      <c r="D5" s="340" t="s">
        <v>242</v>
      </c>
      <c r="E5" s="342"/>
      <c r="F5" s="345" t="s">
        <v>172</v>
      </c>
      <c r="G5" s="308">
        <v>1</v>
      </c>
      <c r="H5" s="309">
        <v>4555000</v>
      </c>
      <c r="I5" s="309">
        <v>4555000</v>
      </c>
      <c r="J5" s="211"/>
      <c r="K5" s="212" t="str">
        <f>IF(OR(J5="",G5=J5),"","*")</f>
        <v/>
      </c>
      <c r="L5" s="338">
        <f>IF($A5&lt;=L$1,I5/I$4,"")</f>
        <v>0.91100000000000003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241</v>
      </c>
      <c r="D6" s="340" t="s">
        <v>243</v>
      </c>
      <c r="E6" s="342"/>
      <c r="F6" s="345" t="s">
        <v>172</v>
      </c>
      <c r="G6" s="308">
        <v>1</v>
      </c>
      <c r="H6" s="309">
        <v>3049196</v>
      </c>
      <c r="I6" s="309">
        <v>3049196</v>
      </c>
      <c r="J6" s="211"/>
      <c r="K6" s="212" t="str">
        <f>IF(OR(J6="",G6=J6),"","*")</f>
        <v/>
      </c>
      <c r="L6" s="338">
        <f>IF($A6&lt;=L$1,I6/I$4,"")</f>
        <v>0.60983920000000003</v>
      </c>
      <c r="M6" s="343"/>
      <c r="N6" s="344" t="s">
        <v>197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244</v>
      </c>
      <c r="D7" s="340" t="s">
        <v>245</v>
      </c>
      <c r="E7" s="342" t="s">
        <v>167</v>
      </c>
      <c r="F7" s="345" t="s">
        <v>168</v>
      </c>
      <c r="G7" s="308">
        <v>799</v>
      </c>
      <c r="H7" s="309">
        <v>255</v>
      </c>
      <c r="I7" s="309">
        <v>203745</v>
      </c>
      <c r="J7" s="211">
        <v>799</v>
      </c>
      <c r="K7" s="212" t="str">
        <f>IF(OR(J7="",G7=J7),"","*")</f>
        <v/>
      </c>
      <c r="L7" s="338">
        <f>IF($A7&lt;=L$1,I7/I$4,"")</f>
        <v>4.0749E-2</v>
      </c>
      <c r="M7" s="343"/>
      <c r="N7" s="344" t="s">
        <v>246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178</v>
      </c>
      <c r="D8" s="340" t="s">
        <v>247</v>
      </c>
      <c r="E8" s="342"/>
      <c r="F8" s="345" t="s">
        <v>248</v>
      </c>
      <c r="G8" s="308">
        <v>80</v>
      </c>
      <c r="H8" s="309">
        <v>150</v>
      </c>
      <c r="I8" s="309">
        <v>12000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249</v>
      </c>
      <c r="AF8" s="341" t="s">
        <v>250</v>
      </c>
    </row>
    <row r="9" spans="1:32">
      <c r="A9" s="307">
        <v>4</v>
      </c>
      <c r="B9" s="342"/>
      <c r="C9" s="342" t="s">
        <v>179</v>
      </c>
      <c r="D9" s="340" t="s">
        <v>251</v>
      </c>
      <c r="E9" s="342" t="s">
        <v>252</v>
      </c>
      <c r="F9" s="345" t="s">
        <v>253</v>
      </c>
      <c r="G9" s="308">
        <v>2</v>
      </c>
      <c r="H9" s="309">
        <v>22000</v>
      </c>
      <c r="I9" s="309">
        <v>44000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254</v>
      </c>
      <c r="AF9" s="341" t="s">
        <v>255</v>
      </c>
    </row>
    <row r="10" spans="1:32">
      <c r="A10" s="307">
        <v>4</v>
      </c>
      <c r="B10" s="342"/>
      <c r="C10" s="342" t="s">
        <v>179</v>
      </c>
      <c r="D10" s="340" t="s">
        <v>256</v>
      </c>
      <c r="E10" s="342" t="s">
        <v>252</v>
      </c>
      <c r="F10" s="345" t="s">
        <v>253</v>
      </c>
      <c r="G10" s="308">
        <v>6</v>
      </c>
      <c r="H10" s="309">
        <v>18000</v>
      </c>
      <c r="I10" s="309">
        <v>108000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257</v>
      </c>
      <c r="AF10" s="341" t="s">
        <v>258</v>
      </c>
    </row>
    <row r="11" spans="1:32">
      <c r="A11" s="307">
        <v>4</v>
      </c>
      <c r="B11" s="342"/>
      <c r="C11" s="342" t="s">
        <v>181</v>
      </c>
      <c r="D11" s="340" t="s">
        <v>259</v>
      </c>
      <c r="E11" s="342" t="s">
        <v>260</v>
      </c>
      <c r="F11" s="345" t="s">
        <v>261</v>
      </c>
      <c r="G11" s="308">
        <v>2</v>
      </c>
      <c r="H11" s="309">
        <v>12000</v>
      </c>
      <c r="I11" s="309">
        <v>24000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262</v>
      </c>
      <c r="AF11" s="341" t="s">
        <v>255</v>
      </c>
    </row>
    <row r="12" spans="1:32">
      <c r="A12" s="307">
        <v>4</v>
      </c>
      <c r="B12" s="342"/>
      <c r="C12" s="342" t="s">
        <v>182</v>
      </c>
      <c r="D12" s="340" t="s">
        <v>263</v>
      </c>
      <c r="E12" s="342" t="s">
        <v>264</v>
      </c>
      <c r="F12" s="345" t="s">
        <v>261</v>
      </c>
      <c r="G12" s="308">
        <v>2</v>
      </c>
      <c r="H12" s="309">
        <v>8000</v>
      </c>
      <c r="I12" s="309">
        <v>16000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265</v>
      </c>
      <c r="AF12" s="341" t="s">
        <v>255</v>
      </c>
    </row>
    <row r="13" spans="1:32">
      <c r="A13" s="307">
        <v>3</v>
      </c>
      <c r="B13" s="342"/>
      <c r="C13" s="342" t="s">
        <v>244</v>
      </c>
      <c r="D13" s="340" t="s">
        <v>266</v>
      </c>
      <c r="E13" s="342"/>
      <c r="F13" s="345" t="s">
        <v>169</v>
      </c>
      <c r="G13" s="308">
        <v>191</v>
      </c>
      <c r="H13" s="309">
        <v>1277</v>
      </c>
      <c r="I13" s="309">
        <v>243907</v>
      </c>
      <c r="J13" s="211">
        <v>191</v>
      </c>
      <c r="K13" s="212" t="str">
        <f>IF(OR(J13="",G13=J13),"","*")</f>
        <v/>
      </c>
      <c r="L13" s="338">
        <f>IF($A13&lt;=L$1,I13/I$4,"")</f>
        <v>4.8781400000000003E-2</v>
      </c>
      <c r="M13" s="343"/>
      <c r="N13" s="344" t="s">
        <v>267</v>
      </c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4</v>
      </c>
      <c r="B14" s="342"/>
      <c r="C14" s="342" t="s">
        <v>178</v>
      </c>
      <c r="D14" s="340" t="s">
        <v>247</v>
      </c>
      <c r="E14" s="342"/>
      <c r="F14" s="345" t="s">
        <v>248</v>
      </c>
      <c r="G14" s="308">
        <v>80</v>
      </c>
      <c r="H14" s="309">
        <v>150</v>
      </c>
      <c r="I14" s="309">
        <v>12000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249</v>
      </c>
      <c r="AF14" s="341" t="s">
        <v>250</v>
      </c>
    </row>
    <row r="15" spans="1:32">
      <c r="A15" s="307">
        <v>4</v>
      </c>
      <c r="B15" s="342"/>
      <c r="C15" s="342" t="s">
        <v>179</v>
      </c>
      <c r="D15" s="340" t="s">
        <v>251</v>
      </c>
      <c r="E15" s="342" t="s">
        <v>252</v>
      </c>
      <c r="F15" s="345" t="s">
        <v>253</v>
      </c>
      <c r="G15" s="308">
        <v>2</v>
      </c>
      <c r="H15" s="309">
        <v>22000</v>
      </c>
      <c r="I15" s="309">
        <v>44000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254</v>
      </c>
      <c r="AF15" s="341" t="s">
        <v>255</v>
      </c>
    </row>
    <row r="16" spans="1:32">
      <c r="A16" s="307">
        <v>4</v>
      </c>
      <c r="B16" s="342"/>
      <c r="C16" s="342" t="s">
        <v>179</v>
      </c>
      <c r="D16" s="340" t="s">
        <v>256</v>
      </c>
      <c r="E16" s="342" t="s">
        <v>252</v>
      </c>
      <c r="F16" s="345" t="s">
        <v>253</v>
      </c>
      <c r="G16" s="308">
        <v>6</v>
      </c>
      <c r="H16" s="309">
        <v>18000</v>
      </c>
      <c r="I16" s="309">
        <v>108000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257</v>
      </c>
      <c r="AF16" s="341" t="s">
        <v>258</v>
      </c>
    </row>
    <row r="17" spans="1:32">
      <c r="A17" s="307">
        <v>4</v>
      </c>
      <c r="B17" s="342"/>
      <c r="C17" s="342" t="s">
        <v>181</v>
      </c>
      <c r="D17" s="340" t="s">
        <v>259</v>
      </c>
      <c r="E17" s="342" t="s">
        <v>260</v>
      </c>
      <c r="F17" s="345" t="s">
        <v>261</v>
      </c>
      <c r="G17" s="308">
        <v>2</v>
      </c>
      <c r="H17" s="309">
        <v>12000</v>
      </c>
      <c r="I17" s="309">
        <v>24000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262</v>
      </c>
      <c r="AF17" s="341" t="s">
        <v>255</v>
      </c>
    </row>
    <row r="18" spans="1:32">
      <c r="A18" s="307">
        <v>4</v>
      </c>
      <c r="B18" s="342"/>
      <c r="C18" s="342" t="s">
        <v>182</v>
      </c>
      <c r="D18" s="340" t="s">
        <v>268</v>
      </c>
      <c r="E18" s="342"/>
      <c r="F18" s="345" t="s">
        <v>261</v>
      </c>
      <c r="G18" s="308">
        <v>4</v>
      </c>
      <c r="H18" s="309">
        <v>10000</v>
      </c>
      <c r="I18" s="309">
        <v>40000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269</v>
      </c>
      <c r="AF18" s="341" t="s">
        <v>270</v>
      </c>
    </row>
    <row r="19" spans="1:32">
      <c r="A19" s="307">
        <v>4</v>
      </c>
      <c r="B19" s="342"/>
      <c r="C19" s="342" t="s">
        <v>182</v>
      </c>
      <c r="D19" s="340" t="s">
        <v>263</v>
      </c>
      <c r="E19" s="342" t="s">
        <v>264</v>
      </c>
      <c r="F19" s="345" t="s">
        <v>261</v>
      </c>
      <c r="G19" s="308">
        <v>2</v>
      </c>
      <c r="H19" s="309">
        <v>8000</v>
      </c>
      <c r="I19" s="309">
        <v>16000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265</v>
      </c>
      <c r="AF19" s="341" t="s">
        <v>255</v>
      </c>
    </row>
    <row r="20" spans="1:32">
      <c r="A20" s="307">
        <v>3</v>
      </c>
      <c r="B20" s="342"/>
      <c r="C20" s="342" t="s">
        <v>244</v>
      </c>
      <c r="D20" s="340" t="s">
        <v>271</v>
      </c>
      <c r="E20" s="342" t="s">
        <v>170</v>
      </c>
      <c r="F20" s="345" t="s">
        <v>168</v>
      </c>
      <c r="G20" s="308">
        <v>799</v>
      </c>
      <c r="H20" s="309">
        <v>1307</v>
      </c>
      <c r="I20" s="309">
        <v>1044293</v>
      </c>
      <c r="J20" s="211">
        <v>799</v>
      </c>
      <c r="K20" s="212" t="str">
        <f>IF(OR(J20="",G20=J20),"","*")</f>
        <v/>
      </c>
      <c r="L20" s="338">
        <f>IF($A20&lt;=L$1,I20/I$4,"")</f>
        <v>0.20885860000000001</v>
      </c>
      <c r="M20" s="343"/>
      <c r="N20" s="344" t="s">
        <v>272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4</v>
      </c>
      <c r="B21" s="342"/>
      <c r="C21" s="342" t="s">
        <v>178</v>
      </c>
      <c r="D21" s="340" t="s">
        <v>273</v>
      </c>
      <c r="E21" s="342" t="s">
        <v>274</v>
      </c>
      <c r="F21" s="345" t="s">
        <v>169</v>
      </c>
      <c r="G21" s="308">
        <v>214</v>
      </c>
      <c r="H21" s="309">
        <v>3000</v>
      </c>
      <c r="I21" s="309">
        <v>642000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275</v>
      </c>
      <c r="AF21" s="341" t="s">
        <v>276</v>
      </c>
    </row>
    <row r="22" spans="1:32">
      <c r="A22" s="307">
        <v>4</v>
      </c>
      <c r="B22" s="342"/>
      <c r="C22" s="342" t="s">
        <v>178</v>
      </c>
      <c r="D22" s="340" t="s">
        <v>247</v>
      </c>
      <c r="E22" s="342"/>
      <c r="F22" s="345" t="s">
        <v>248</v>
      </c>
      <c r="G22" s="308">
        <v>120</v>
      </c>
      <c r="H22" s="309">
        <v>150</v>
      </c>
      <c r="I22" s="309">
        <v>18000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249</v>
      </c>
      <c r="AF22" s="341" t="s">
        <v>277</v>
      </c>
    </row>
    <row r="23" spans="1:32">
      <c r="A23" s="307">
        <v>4</v>
      </c>
      <c r="B23" s="342"/>
      <c r="C23" s="342" t="s">
        <v>179</v>
      </c>
      <c r="D23" s="340" t="s">
        <v>251</v>
      </c>
      <c r="E23" s="342" t="s">
        <v>252</v>
      </c>
      <c r="F23" s="345" t="s">
        <v>253</v>
      </c>
      <c r="G23" s="308">
        <v>4</v>
      </c>
      <c r="H23" s="309">
        <v>22000</v>
      </c>
      <c r="I23" s="309">
        <v>88000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254</v>
      </c>
      <c r="AF23" s="341" t="s">
        <v>270</v>
      </c>
    </row>
    <row r="24" spans="1:32">
      <c r="A24" s="307">
        <v>4</v>
      </c>
      <c r="B24" s="342"/>
      <c r="C24" s="342" t="s">
        <v>179</v>
      </c>
      <c r="D24" s="340" t="s">
        <v>256</v>
      </c>
      <c r="E24" s="342" t="s">
        <v>252</v>
      </c>
      <c r="F24" s="345" t="s">
        <v>253</v>
      </c>
      <c r="G24" s="308">
        <v>10</v>
      </c>
      <c r="H24" s="309">
        <v>18000</v>
      </c>
      <c r="I24" s="309">
        <v>180000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257</v>
      </c>
      <c r="AF24" s="341" t="s">
        <v>278</v>
      </c>
    </row>
    <row r="25" spans="1:32">
      <c r="A25" s="307">
        <v>4</v>
      </c>
      <c r="B25" s="342"/>
      <c r="C25" s="342" t="s">
        <v>181</v>
      </c>
      <c r="D25" s="340" t="s">
        <v>259</v>
      </c>
      <c r="E25" s="342" t="s">
        <v>260</v>
      </c>
      <c r="F25" s="345" t="s">
        <v>261</v>
      </c>
      <c r="G25" s="308">
        <v>2</v>
      </c>
      <c r="H25" s="309">
        <v>12000</v>
      </c>
      <c r="I25" s="309">
        <v>24000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262</v>
      </c>
      <c r="AF25" s="341" t="s">
        <v>255</v>
      </c>
    </row>
    <row r="26" spans="1:32">
      <c r="A26" s="307">
        <v>4</v>
      </c>
      <c r="B26" s="342"/>
      <c r="C26" s="342" t="s">
        <v>181</v>
      </c>
      <c r="D26" s="340" t="s">
        <v>279</v>
      </c>
      <c r="E26" s="342" t="s">
        <v>280</v>
      </c>
      <c r="F26" s="345" t="s">
        <v>261</v>
      </c>
      <c r="G26" s="308">
        <v>2</v>
      </c>
      <c r="H26" s="309">
        <v>6000</v>
      </c>
      <c r="I26" s="309">
        <v>12000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281</v>
      </c>
      <c r="AF26" s="341" t="s">
        <v>255</v>
      </c>
    </row>
    <row r="27" spans="1:32">
      <c r="A27" s="307">
        <v>4</v>
      </c>
      <c r="B27" s="342"/>
      <c r="C27" s="342" t="s">
        <v>181</v>
      </c>
      <c r="D27" s="340" t="s">
        <v>282</v>
      </c>
      <c r="E27" s="342" t="s">
        <v>283</v>
      </c>
      <c r="F27" s="345" t="s">
        <v>261</v>
      </c>
      <c r="G27" s="308">
        <v>2</v>
      </c>
      <c r="H27" s="309">
        <v>9000</v>
      </c>
      <c r="I27" s="309">
        <v>18000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284</v>
      </c>
      <c r="AF27" s="341" t="s">
        <v>255</v>
      </c>
    </row>
    <row r="28" spans="1:32">
      <c r="A28" s="307">
        <v>4</v>
      </c>
      <c r="B28" s="342"/>
      <c r="C28" s="342" t="s">
        <v>181</v>
      </c>
      <c r="D28" s="340" t="s">
        <v>285</v>
      </c>
      <c r="E28" s="342"/>
      <c r="F28" s="345" t="s">
        <v>261</v>
      </c>
      <c r="G28" s="308">
        <v>2</v>
      </c>
      <c r="H28" s="309">
        <v>2500</v>
      </c>
      <c r="I28" s="309">
        <v>5000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286</v>
      </c>
      <c r="AF28" s="341" t="s">
        <v>255</v>
      </c>
    </row>
    <row r="29" spans="1:32">
      <c r="A29" s="307">
        <v>4</v>
      </c>
      <c r="B29" s="342"/>
      <c r="C29" s="342" t="s">
        <v>181</v>
      </c>
      <c r="D29" s="340" t="s">
        <v>287</v>
      </c>
      <c r="E29" s="342"/>
      <c r="F29" s="345" t="s">
        <v>261</v>
      </c>
      <c r="G29" s="308">
        <v>2</v>
      </c>
      <c r="H29" s="309">
        <v>1500</v>
      </c>
      <c r="I29" s="309">
        <v>3000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288</v>
      </c>
      <c r="AF29" s="341" t="s">
        <v>255</v>
      </c>
    </row>
    <row r="30" spans="1:32">
      <c r="A30" s="307">
        <v>4</v>
      </c>
      <c r="B30" s="342"/>
      <c r="C30" s="342" t="s">
        <v>181</v>
      </c>
      <c r="D30" s="340" t="s">
        <v>289</v>
      </c>
      <c r="E30" s="342"/>
      <c r="F30" s="345" t="s">
        <v>261</v>
      </c>
      <c r="G30" s="308">
        <v>2</v>
      </c>
      <c r="H30" s="309">
        <v>1500</v>
      </c>
      <c r="I30" s="309">
        <v>3000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290</v>
      </c>
      <c r="AF30" s="341" t="s">
        <v>255</v>
      </c>
    </row>
    <row r="31" spans="1:32">
      <c r="A31" s="307">
        <v>4</v>
      </c>
      <c r="B31" s="342"/>
      <c r="C31" s="342" t="s">
        <v>182</v>
      </c>
      <c r="D31" s="340" t="s">
        <v>268</v>
      </c>
      <c r="E31" s="342"/>
      <c r="F31" s="345" t="s">
        <v>261</v>
      </c>
      <c r="G31" s="308">
        <v>2</v>
      </c>
      <c r="H31" s="309">
        <v>10000</v>
      </c>
      <c r="I31" s="309">
        <v>20000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269</v>
      </c>
      <c r="AF31" s="341" t="s">
        <v>255</v>
      </c>
    </row>
    <row r="32" spans="1:32">
      <c r="A32" s="307">
        <v>4</v>
      </c>
      <c r="B32" s="342"/>
      <c r="C32" s="342" t="s">
        <v>182</v>
      </c>
      <c r="D32" s="340" t="s">
        <v>263</v>
      </c>
      <c r="E32" s="342" t="s">
        <v>264</v>
      </c>
      <c r="F32" s="345" t="s">
        <v>261</v>
      </c>
      <c r="G32" s="308">
        <v>4</v>
      </c>
      <c r="H32" s="309">
        <v>8000</v>
      </c>
      <c r="I32" s="309">
        <v>32000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265</v>
      </c>
      <c r="AF32" s="341" t="s">
        <v>270</v>
      </c>
    </row>
    <row r="33" spans="1:32">
      <c r="A33" s="307">
        <v>3</v>
      </c>
      <c r="B33" s="342"/>
      <c r="C33" s="342" t="s">
        <v>244</v>
      </c>
      <c r="D33" s="340" t="s">
        <v>291</v>
      </c>
      <c r="E33" s="342" t="s">
        <v>171</v>
      </c>
      <c r="F33" s="345" t="s">
        <v>168</v>
      </c>
      <c r="G33" s="308">
        <v>799</v>
      </c>
      <c r="H33" s="309">
        <v>1949</v>
      </c>
      <c r="I33" s="309">
        <v>1557251</v>
      </c>
      <c r="J33" s="211">
        <v>799</v>
      </c>
      <c r="K33" s="212" t="str">
        <f>IF(OR(J33="",G33=J33),"","*")</f>
        <v/>
      </c>
      <c r="L33" s="338">
        <f>IF($A33&lt;=L$1,I33/I$4,"")</f>
        <v>0.31145020000000001</v>
      </c>
      <c r="M33" s="343"/>
      <c r="N33" s="344" t="s">
        <v>292</v>
      </c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4</v>
      </c>
      <c r="B34" s="342"/>
      <c r="C34" s="342" t="s">
        <v>178</v>
      </c>
      <c r="D34" s="340" t="s">
        <v>293</v>
      </c>
      <c r="E34" s="342" t="s">
        <v>274</v>
      </c>
      <c r="F34" s="345" t="s">
        <v>294</v>
      </c>
      <c r="G34" s="308">
        <v>85</v>
      </c>
      <c r="H34" s="309">
        <v>12500</v>
      </c>
      <c r="I34" s="309">
        <v>1062500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295</v>
      </c>
      <c r="AF34" s="341" t="s">
        <v>296</v>
      </c>
    </row>
    <row r="35" spans="1:32">
      <c r="A35" s="307">
        <v>4</v>
      </c>
      <c r="B35" s="342"/>
      <c r="C35" s="342" t="s">
        <v>178</v>
      </c>
      <c r="D35" s="340" t="s">
        <v>297</v>
      </c>
      <c r="E35" s="342"/>
      <c r="F35" s="345" t="s">
        <v>298</v>
      </c>
      <c r="G35" s="308">
        <v>958.8</v>
      </c>
      <c r="H35" s="309">
        <v>104</v>
      </c>
      <c r="I35" s="309">
        <v>99715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299</v>
      </c>
      <c r="AF35" s="341" t="s">
        <v>300</v>
      </c>
    </row>
    <row r="36" spans="1:32">
      <c r="A36" s="307">
        <v>4</v>
      </c>
      <c r="B36" s="342"/>
      <c r="C36" s="342" t="s">
        <v>178</v>
      </c>
      <c r="D36" s="340" t="s">
        <v>301</v>
      </c>
      <c r="E36" s="342"/>
      <c r="F36" s="345" t="s">
        <v>302</v>
      </c>
      <c r="G36" s="308">
        <v>1.1990000000000001</v>
      </c>
      <c r="H36" s="309">
        <v>6000</v>
      </c>
      <c r="I36" s="309">
        <v>7194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303</v>
      </c>
      <c r="AF36" s="341" t="s">
        <v>304</v>
      </c>
    </row>
    <row r="37" spans="1:32">
      <c r="A37" s="307">
        <v>4</v>
      </c>
      <c r="B37" s="342"/>
      <c r="C37" s="342" t="s">
        <v>178</v>
      </c>
      <c r="D37" s="340" t="s">
        <v>247</v>
      </c>
      <c r="E37" s="342"/>
      <c r="F37" s="345" t="s">
        <v>248</v>
      </c>
      <c r="G37" s="308">
        <v>80</v>
      </c>
      <c r="H37" s="309">
        <v>150</v>
      </c>
      <c r="I37" s="309">
        <v>12000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249</v>
      </c>
      <c r="AF37" s="341" t="s">
        <v>305</v>
      </c>
    </row>
    <row r="38" spans="1:32">
      <c r="A38" s="307">
        <v>4</v>
      </c>
      <c r="B38" s="342"/>
      <c r="C38" s="342" t="s">
        <v>179</v>
      </c>
      <c r="D38" s="340" t="s">
        <v>251</v>
      </c>
      <c r="E38" s="342" t="s">
        <v>252</v>
      </c>
      <c r="F38" s="345" t="s">
        <v>253</v>
      </c>
      <c r="G38" s="308">
        <v>9</v>
      </c>
      <c r="H38" s="309">
        <v>22000</v>
      </c>
      <c r="I38" s="309">
        <v>198000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254</v>
      </c>
      <c r="AF38" s="341" t="s">
        <v>306</v>
      </c>
    </row>
    <row r="39" spans="1:32">
      <c r="A39" s="307">
        <v>4</v>
      </c>
      <c r="B39" s="342"/>
      <c r="C39" s="342" t="s">
        <v>181</v>
      </c>
      <c r="D39" s="340" t="s">
        <v>307</v>
      </c>
      <c r="E39" s="342" t="s">
        <v>308</v>
      </c>
      <c r="F39" s="345" t="s">
        <v>261</v>
      </c>
      <c r="G39" s="308">
        <v>1</v>
      </c>
      <c r="H39" s="309">
        <v>50000</v>
      </c>
      <c r="I39" s="309">
        <v>50000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309</v>
      </c>
      <c r="AF39" s="341" t="s">
        <v>310</v>
      </c>
    </row>
    <row r="40" spans="1:32">
      <c r="A40" s="307">
        <v>4</v>
      </c>
      <c r="B40" s="342"/>
      <c r="C40" s="342" t="s">
        <v>181</v>
      </c>
      <c r="D40" s="340" t="s">
        <v>282</v>
      </c>
      <c r="E40" s="342" t="s">
        <v>283</v>
      </c>
      <c r="F40" s="345" t="s">
        <v>261</v>
      </c>
      <c r="G40" s="308">
        <v>1</v>
      </c>
      <c r="H40" s="309">
        <v>9000</v>
      </c>
      <c r="I40" s="309">
        <v>9000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284</v>
      </c>
      <c r="AF40" s="341" t="s">
        <v>310</v>
      </c>
    </row>
    <row r="41" spans="1:32">
      <c r="A41" s="307">
        <v>4</v>
      </c>
      <c r="B41" s="342"/>
      <c r="C41" s="342" t="s">
        <v>181</v>
      </c>
      <c r="D41" s="340" t="s">
        <v>279</v>
      </c>
      <c r="E41" s="342" t="s">
        <v>280</v>
      </c>
      <c r="F41" s="345" t="s">
        <v>261</v>
      </c>
      <c r="G41" s="308">
        <v>1</v>
      </c>
      <c r="H41" s="309">
        <v>6000</v>
      </c>
      <c r="I41" s="309">
        <v>6000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281</v>
      </c>
      <c r="AF41" s="341" t="s">
        <v>310</v>
      </c>
    </row>
    <row r="42" spans="1:32">
      <c r="A42" s="307">
        <v>4</v>
      </c>
      <c r="B42" s="342"/>
      <c r="C42" s="342" t="s">
        <v>181</v>
      </c>
      <c r="D42" s="340" t="s">
        <v>285</v>
      </c>
      <c r="E42" s="342"/>
      <c r="F42" s="345" t="s">
        <v>261</v>
      </c>
      <c r="G42" s="308">
        <v>1</v>
      </c>
      <c r="H42" s="309">
        <v>2500</v>
      </c>
      <c r="I42" s="309">
        <v>2500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286</v>
      </c>
      <c r="AF42" s="341" t="s">
        <v>310</v>
      </c>
    </row>
    <row r="43" spans="1:32">
      <c r="A43" s="307">
        <v>4</v>
      </c>
      <c r="B43" s="342"/>
      <c r="C43" s="342" t="s">
        <v>181</v>
      </c>
      <c r="D43" s="340" t="s">
        <v>289</v>
      </c>
      <c r="E43" s="342"/>
      <c r="F43" s="345" t="s">
        <v>261</v>
      </c>
      <c r="G43" s="308">
        <v>1</v>
      </c>
      <c r="H43" s="309">
        <v>1500</v>
      </c>
      <c r="I43" s="309">
        <v>1500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290</v>
      </c>
      <c r="AF43" s="341" t="s">
        <v>310</v>
      </c>
    </row>
    <row r="44" spans="1:32">
      <c r="A44" s="307">
        <v>4</v>
      </c>
      <c r="B44" s="342"/>
      <c r="C44" s="342" t="s">
        <v>181</v>
      </c>
      <c r="D44" s="340" t="s">
        <v>311</v>
      </c>
      <c r="E44" s="342"/>
      <c r="F44" s="345" t="s">
        <v>312</v>
      </c>
      <c r="G44" s="308">
        <v>1</v>
      </c>
      <c r="H44" s="309">
        <v>50000</v>
      </c>
      <c r="I44" s="309">
        <v>50000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313</v>
      </c>
      <c r="AF44" s="341" t="s">
        <v>310</v>
      </c>
    </row>
    <row r="45" spans="1:32">
      <c r="A45" s="307">
        <v>4</v>
      </c>
      <c r="B45" s="342"/>
      <c r="C45" s="342" t="s">
        <v>182</v>
      </c>
      <c r="D45" s="340" t="s">
        <v>314</v>
      </c>
      <c r="E45" s="342" t="s">
        <v>315</v>
      </c>
      <c r="F45" s="345" t="s">
        <v>261</v>
      </c>
      <c r="G45" s="308">
        <v>1</v>
      </c>
      <c r="H45" s="309">
        <v>35000</v>
      </c>
      <c r="I45" s="309">
        <v>35000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265</v>
      </c>
      <c r="AF45" s="341" t="s">
        <v>310</v>
      </c>
    </row>
    <row r="46" spans="1:32">
      <c r="A46" s="307">
        <v>4</v>
      </c>
      <c r="B46" s="342"/>
      <c r="C46" s="342" t="s">
        <v>182</v>
      </c>
      <c r="D46" s="340" t="s">
        <v>263</v>
      </c>
      <c r="E46" s="342" t="s">
        <v>264</v>
      </c>
      <c r="F46" s="345" t="s">
        <v>261</v>
      </c>
      <c r="G46" s="308">
        <v>3</v>
      </c>
      <c r="H46" s="309">
        <v>8000</v>
      </c>
      <c r="I46" s="309">
        <v>24000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265</v>
      </c>
      <c r="AF46" s="341" t="s">
        <v>316</v>
      </c>
    </row>
    <row r="47" spans="1:32">
      <c r="A47" s="307">
        <v>2</v>
      </c>
      <c r="B47" s="342"/>
      <c r="C47" s="342" t="s">
        <v>241</v>
      </c>
      <c r="D47" s="340" t="s">
        <v>317</v>
      </c>
      <c r="E47" s="342"/>
      <c r="F47" s="345" t="s">
        <v>172</v>
      </c>
      <c r="G47" s="308">
        <v>1</v>
      </c>
      <c r="H47" s="309">
        <v>1495368</v>
      </c>
      <c r="I47" s="309">
        <v>1495368</v>
      </c>
      <c r="J47" s="211"/>
      <c r="K47" s="212" t="str">
        <f>IF(OR(J47="",G47=J47),"","*")</f>
        <v/>
      </c>
      <c r="L47" s="338">
        <f>IF($A47&lt;=L$1,I47/I$4,"")</f>
        <v>0.2990736</v>
      </c>
      <c r="M47" s="343"/>
      <c r="N47" s="344" t="s">
        <v>197</v>
      </c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3</v>
      </c>
      <c r="B48" s="342"/>
      <c r="C48" s="342" t="s">
        <v>244</v>
      </c>
      <c r="D48" s="340" t="s">
        <v>245</v>
      </c>
      <c r="E48" s="342" t="s">
        <v>167</v>
      </c>
      <c r="F48" s="345" t="s">
        <v>168</v>
      </c>
      <c r="G48" s="308">
        <v>200</v>
      </c>
      <c r="H48" s="309">
        <v>1130</v>
      </c>
      <c r="I48" s="309">
        <v>226000</v>
      </c>
      <c r="J48" s="211">
        <v>200</v>
      </c>
      <c r="K48" s="212" t="str">
        <f>IF(OR(J48="",G48=J48),"","*")</f>
        <v/>
      </c>
      <c r="L48" s="338">
        <f>IF($A48&lt;=L$1,I48/I$4,"")</f>
        <v>4.5199999999999997E-2</v>
      </c>
      <c r="M48" s="343"/>
      <c r="N48" s="344" t="s">
        <v>318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4</v>
      </c>
      <c r="B49" s="342"/>
      <c r="C49" s="342" t="s">
        <v>178</v>
      </c>
      <c r="D49" s="340" t="s">
        <v>247</v>
      </c>
      <c r="E49" s="342"/>
      <c r="F49" s="345" t="s">
        <v>248</v>
      </c>
      <c r="G49" s="308">
        <v>80</v>
      </c>
      <c r="H49" s="309">
        <v>150</v>
      </c>
      <c r="I49" s="309">
        <v>12000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249</v>
      </c>
      <c r="AF49" s="341" t="s">
        <v>250</v>
      </c>
    </row>
    <row r="50" spans="1:32">
      <c r="A50" s="307">
        <v>4</v>
      </c>
      <c r="B50" s="342"/>
      <c r="C50" s="342" t="s">
        <v>179</v>
      </c>
      <c r="D50" s="340" t="s">
        <v>251</v>
      </c>
      <c r="E50" s="342" t="s">
        <v>252</v>
      </c>
      <c r="F50" s="345" t="s">
        <v>253</v>
      </c>
      <c r="G50" s="308">
        <v>2</v>
      </c>
      <c r="H50" s="309">
        <v>22000</v>
      </c>
      <c r="I50" s="309">
        <v>44000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254</v>
      </c>
      <c r="AF50" s="341" t="s">
        <v>255</v>
      </c>
    </row>
    <row r="51" spans="1:32">
      <c r="A51" s="307">
        <v>4</v>
      </c>
      <c r="B51" s="342"/>
      <c r="C51" s="342" t="s">
        <v>179</v>
      </c>
      <c r="D51" s="340" t="s">
        <v>256</v>
      </c>
      <c r="E51" s="342" t="s">
        <v>252</v>
      </c>
      <c r="F51" s="345" t="s">
        <v>253</v>
      </c>
      <c r="G51" s="308">
        <v>6</v>
      </c>
      <c r="H51" s="309">
        <v>18000</v>
      </c>
      <c r="I51" s="309">
        <v>108000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257</v>
      </c>
      <c r="AF51" s="341" t="s">
        <v>258</v>
      </c>
    </row>
    <row r="52" spans="1:32">
      <c r="A52" s="307">
        <v>4</v>
      </c>
      <c r="B52" s="342"/>
      <c r="C52" s="342" t="s">
        <v>181</v>
      </c>
      <c r="D52" s="340" t="s">
        <v>259</v>
      </c>
      <c r="E52" s="342" t="s">
        <v>319</v>
      </c>
      <c r="F52" s="345" t="s">
        <v>261</v>
      </c>
      <c r="G52" s="308">
        <v>2</v>
      </c>
      <c r="H52" s="309">
        <v>9000</v>
      </c>
      <c r="I52" s="309">
        <v>18000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262</v>
      </c>
      <c r="AF52" s="341" t="s">
        <v>255</v>
      </c>
    </row>
    <row r="53" spans="1:32">
      <c r="A53" s="307">
        <v>4</v>
      </c>
      <c r="B53" s="342"/>
      <c r="C53" s="342" t="s">
        <v>182</v>
      </c>
      <c r="D53" s="340" t="s">
        <v>263</v>
      </c>
      <c r="E53" s="342" t="s">
        <v>264</v>
      </c>
      <c r="F53" s="345" t="s">
        <v>261</v>
      </c>
      <c r="G53" s="308">
        <v>2</v>
      </c>
      <c r="H53" s="309">
        <v>8000</v>
      </c>
      <c r="I53" s="309">
        <v>16000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265</v>
      </c>
      <c r="AF53" s="341" t="s">
        <v>255</v>
      </c>
    </row>
    <row r="54" spans="1:32">
      <c r="A54" s="307">
        <v>4</v>
      </c>
      <c r="B54" s="342"/>
      <c r="C54" s="342" t="s">
        <v>182</v>
      </c>
      <c r="D54" s="340" t="s">
        <v>320</v>
      </c>
      <c r="E54" s="342"/>
      <c r="F54" s="345" t="s">
        <v>261</v>
      </c>
      <c r="G54" s="308">
        <v>2</v>
      </c>
      <c r="H54" s="309">
        <v>14000</v>
      </c>
      <c r="I54" s="309">
        <v>28000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 t="s">
        <v>255</v>
      </c>
    </row>
    <row r="55" spans="1:32">
      <c r="A55" s="307">
        <v>3</v>
      </c>
      <c r="B55" s="342"/>
      <c r="C55" s="342" t="s">
        <v>244</v>
      </c>
      <c r="D55" s="340" t="s">
        <v>266</v>
      </c>
      <c r="E55" s="342"/>
      <c r="F55" s="345" t="s">
        <v>169</v>
      </c>
      <c r="G55" s="308">
        <v>48</v>
      </c>
      <c r="H55" s="309">
        <v>4541</v>
      </c>
      <c r="I55" s="309">
        <v>217968</v>
      </c>
      <c r="J55" s="211">
        <v>48</v>
      </c>
      <c r="K55" s="212" t="str">
        <f>IF(OR(J55="",G55=J55),"","*")</f>
        <v/>
      </c>
      <c r="L55" s="338">
        <f>IF($A55&lt;=L$1,I55/I$4,"")</f>
        <v>4.3593600000000003E-2</v>
      </c>
      <c r="M55" s="343"/>
      <c r="N55" s="344" t="s">
        <v>321</v>
      </c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4</v>
      </c>
      <c r="B56" s="342"/>
      <c r="C56" s="342" t="s">
        <v>178</v>
      </c>
      <c r="D56" s="340" t="s">
        <v>247</v>
      </c>
      <c r="E56" s="342"/>
      <c r="F56" s="345" t="s">
        <v>248</v>
      </c>
      <c r="G56" s="308">
        <v>80</v>
      </c>
      <c r="H56" s="309">
        <v>150</v>
      </c>
      <c r="I56" s="309">
        <v>12000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249</v>
      </c>
      <c r="AF56" s="341" t="s">
        <v>250</v>
      </c>
    </row>
    <row r="57" spans="1:32">
      <c r="A57" s="307">
        <v>4</v>
      </c>
      <c r="B57" s="342"/>
      <c r="C57" s="342" t="s">
        <v>179</v>
      </c>
      <c r="D57" s="340" t="s">
        <v>251</v>
      </c>
      <c r="E57" s="342" t="s">
        <v>252</v>
      </c>
      <c r="F57" s="345" t="s">
        <v>253</v>
      </c>
      <c r="G57" s="308">
        <v>2</v>
      </c>
      <c r="H57" s="309">
        <v>22000</v>
      </c>
      <c r="I57" s="309">
        <v>44000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254</v>
      </c>
      <c r="AF57" s="341" t="s">
        <v>255</v>
      </c>
    </row>
    <row r="58" spans="1:32">
      <c r="A58" s="307">
        <v>4</v>
      </c>
      <c r="B58" s="342"/>
      <c r="C58" s="342" t="s">
        <v>179</v>
      </c>
      <c r="D58" s="340" t="s">
        <v>256</v>
      </c>
      <c r="E58" s="342" t="s">
        <v>252</v>
      </c>
      <c r="F58" s="345" t="s">
        <v>253</v>
      </c>
      <c r="G58" s="308">
        <v>6</v>
      </c>
      <c r="H58" s="309">
        <v>18000</v>
      </c>
      <c r="I58" s="309">
        <v>108000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257</v>
      </c>
      <c r="AF58" s="341" t="s">
        <v>258</v>
      </c>
    </row>
    <row r="59" spans="1:32">
      <c r="A59" s="307">
        <v>4</v>
      </c>
      <c r="B59" s="342"/>
      <c r="C59" s="342" t="s">
        <v>181</v>
      </c>
      <c r="D59" s="340" t="s">
        <v>259</v>
      </c>
      <c r="E59" s="342" t="s">
        <v>319</v>
      </c>
      <c r="F59" s="345" t="s">
        <v>261</v>
      </c>
      <c r="G59" s="308">
        <v>2</v>
      </c>
      <c r="H59" s="309">
        <v>9000</v>
      </c>
      <c r="I59" s="309">
        <v>18000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262</v>
      </c>
      <c r="AF59" s="341" t="s">
        <v>255</v>
      </c>
    </row>
    <row r="60" spans="1:32">
      <c r="A60" s="307">
        <v>4</v>
      </c>
      <c r="B60" s="342"/>
      <c r="C60" s="342" t="s">
        <v>182</v>
      </c>
      <c r="D60" s="340" t="s">
        <v>268</v>
      </c>
      <c r="E60" s="342"/>
      <c r="F60" s="345" t="s">
        <v>261</v>
      </c>
      <c r="G60" s="308">
        <v>2</v>
      </c>
      <c r="H60" s="309">
        <v>10000</v>
      </c>
      <c r="I60" s="309">
        <v>20000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269</v>
      </c>
      <c r="AF60" s="341" t="s">
        <v>255</v>
      </c>
    </row>
    <row r="61" spans="1:32">
      <c r="A61" s="307">
        <v>4</v>
      </c>
      <c r="B61" s="342"/>
      <c r="C61" s="342" t="s">
        <v>182</v>
      </c>
      <c r="D61" s="340" t="s">
        <v>263</v>
      </c>
      <c r="E61" s="342" t="s">
        <v>264</v>
      </c>
      <c r="F61" s="345" t="s">
        <v>261</v>
      </c>
      <c r="G61" s="308">
        <v>2</v>
      </c>
      <c r="H61" s="309">
        <v>8000</v>
      </c>
      <c r="I61" s="309">
        <v>16000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265</v>
      </c>
      <c r="AF61" s="341" t="s">
        <v>255</v>
      </c>
    </row>
    <row r="62" spans="1:32">
      <c r="A62" s="307">
        <v>3</v>
      </c>
      <c r="B62" s="342"/>
      <c r="C62" s="342" t="s">
        <v>244</v>
      </c>
      <c r="D62" s="340" t="s">
        <v>271</v>
      </c>
      <c r="E62" s="342" t="s">
        <v>170</v>
      </c>
      <c r="F62" s="345" t="s">
        <v>168</v>
      </c>
      <c r="G62" s="308">
        <v>200</v>
      </c>
      <c r="H62" s="309">
        <v>2322</v>
      </c>
      <c r="I62" s="309">
        <v>464400</v>
      </c>
      <c r="J62" s="211">
        <v>200</v>
      </c>
      <c r="K62" s="212" t="str">
        <f>IF(OR(J62="",G62=J62),"","*")</f>
        <v/>
      </c>
      <c r="L62" s="338">
        <f>IF($A62&lt;=L$1,I62/I$4,"")</f>
        <v>9.2880000000000004E-2</v>
      </c>
      <c r="M62" s="343"/>
      <c r="N62" s="344" t="s">
        <v>322</v>
      </c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4</v>
      </c>
      <c r="B63" s="342"/>
      <c r="C63" s="342" t="s">
        <v>178</v>
      </c>
      <c r="D63" s="340" t="s">
        <v>273</v>
      </c>
      <c r="E63" s="342" t="s">
        <v>323</v>
      </c>
      <c r="F63" s="345" t="s">
        <v>169</v>
      </c>
      <c r="G63" s="308">
        <v>54</v>
      </c>
      <c r="H63" s="309">
        <v>2250</v>
      </c>
      <c r="I63" s="309">
        <v>121500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275</v>
      </c>
      <c r="AF63" s="341" t="s">
        <v>324</v>
      </c>
    </row>
    <row r="64" spans="1:32">
      <c r="A64" s="307">
        <v>4</v>
      </c>
      <c r="B64" s="342"/>
      <c r="C64" s="342" t="s">
        <v>178</v>
      </c>
      <c r="D64" s="340" t="s">
        <v>247</v>
      </c>
      <c r="E64" s="342"/>
      <c r="F64" s="345" t="s">
        <v>248</v>
      </c>
      <c r="G64" s="308">
        <v>120</v>
      </c>
      <c r="H64" s="309">
        <v>150</v>
      </c>
      <c r="I64" s="309">
        <v>18000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249</v>
      </c>
      <c r="AF64" s="341" t="s">
        <v>277</v>
      </c>
    </row>
    <row r="65" spans="1:32">
      <c r="A65" s="307">
        <v>4</v>
      </c>
      <c r="B65" s="342"/>
      <c r="C65" s="342" t="s">
        <v>179</v>
      </c>
      <c r="D65" s="340" t="s">
        <v>251</v>
      </c>
      <c r="E65" s="342" t="s">
        <v>252</v>
      </c>
      <c r="F65" s="345" t="s">
        <v>253</v>
      </c>
      <c r="G65" s="308">
        <v>4</v>
      </c>
      <c r="H65" s="309">
        <v>22000</v>
      </c>
      <c r="I65" s="309">
        <v>88000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254</v>
      </c>
      <c r="AF65" s="341" t="s">
        <v>270</v>
      </c>
    </row>
    <row r="66" spans="1:32">
      <c r="A66" s="307">
        <v>4</v>
      </c>
      <c r="B66" s="342"/>
      <c r="C66" s="342" t="s">
        <v>179</v>
      </c>
      <c r="D66" s="340" t="s">
        <v>256</v>
      </c>
      <c r="E66" s="342" t="s">
        <v>252</v>
      </c>
      <c r="F66" s="345" t="s">
        <v>253</v>
      </c>
      <c r="G66" s="308">
        <v>8</v>
      </c>
      <c r="H66" s="309">
        <v>18000</v>
      </c>
      <c r="I66" s="309">
        <v>144000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257</v>
      </c>
      <c r="AF66" s="341" t="s">
        <v>325</v>
      </c>
    </row>
    <row r="67" spans="1:32">
      <c r="A67" s="307">
        <v>4</v>
      </c>
      <c r="B67" s="342"/>
      <c r="C67" s="342" t="s">
        <v>181</v>
      </c>
      <c r="D67" s="340" t="s">
        <v>259</v>
      </c>
      <c r="E67" s="342" t="s">
        <v>319</v>
      </c>
      <c r="F67" s="345" t="s">
        <v>261</v>
      </c>
      <c r="G67" s="308">
        <v>2</v>
      </c>
      <c r="H67" s="309">
        <v>9000</v>
      </c>
      <c r="I67" s="309">
        <v>18000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262</v>
      </c>
      <c r="AF67" s="341" t="s">
        <v>255</v>
      </c>
    </row>
    <row r="68" spans="1:32">
      <c r="A68" s="307">
        <v>4</v>
      </c>
      <c r="B68" s="342"/>
      <c r="C68" s="342" t="s">
        <v>181</v>
      </c>
      <c r="D68" s="340" t="s">
        <v>279</v>
      </c>
      <c r="E68" s="342" t="s">
        <v>280</v>
      </c>
      <c r="F68" s="345" t="s">
        <v>261</v>
      </c>
      <c r="G68" s="308">
        <v>2</v>
      </c>
      <c r="H68" s="309">
        <v>6000</v>
      </c>
      <c r="I68" s="309">
        <v>12000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281</v>
      </c>
      <c r="AF68" s="341" t="s">
        <v>255</v>
      </c>
    </row>
    <row r="69" spans="1:32">
      <c r="A69" s="307">
        <v>4</v>
      </c>
      <c r="B69" s="342"/>
      <c r="C69" s="342" t="s">
        <v>181</v>
      </c>
      <c r="D69" s="340" t="s">
        <v>285</v>
      </c>
      <c r="E69" s="342"/>
      <c r="F69" s="345" t="s">
        <v>261</v>
      </c>
      <c r="G69" s="308">
        <v>2</v>
      </c>
      <c r="H69" s="309">
        <v>2500</v>
      </c>
      <c r="I69" s="309">
        <v>5000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286</v>
      </c>
      <c r="AF69" s="341" t="s">
        <v>255</v>
      </c>
    </row>
    <row r="70" spans="1:32">
      <c r="A70" s="307">
        <v>4</v>
      </c>
      <c r="B70" s="342"/>
      <c r="C70" s="342" t="s">
        <v>181</v>
      </c>
      <c r="D70" s="340" t="s">
        <v>287</v>
      </c>
      <c r="E70" s="342"/>
      <c r="F70" s="345" t="s">
        <v>261</v>
      </c>
      <c r="G70" s="308">
        <v>2</v>
      </c>
      <c r="H70" s="309">
        <v>1500</v>
      </c>
      <c r="I70" s="309">
        <v>3000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288</v>
      </c>
      <c r="AF70" s="341" t="s">
        <v>255</v>
      </c>
    </row>
    <row r="71" spans="1:32">
      <c r="A71" s="307">
        <v>4</v>
      </c>
      <c r="B71" s="342"/>
      <c r="C71" s="342" t="s">
        <v>181</v>
      </c>
      <c r="D71" s="340" t="s">
        <v>289</v>
      </c>
      <c r="E71" s="342"/>
      <c r="F71" s="345" t="s">
        <v>261</v>
      </c>
      <c r="G71" s="308">
        <v>2</v>
      </c>
      <c r="H71" s="309">
        <v>1500</v>
      </c>
      <c r="I71" s="309">
        <v>3000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290</v>
      </c>
      <c r="AF71" s="341" t="s">
        <v>255</v>
      </c>
    </row>
    <row r="72" spans="1:32">
      <c r="A72" s="307">
        <v>4</v>
      </c>
      <c r="B72" s="342"/>
      <c r="C72" s="342" t="s">
        <v>182</v>
      </c>
      <c r="D72" s="340" t="s">
        <v>268</v>
      </c>
      <c r="E72" s="342"/>
      <c r="F72" s="345" t="s">
        <v>261</v>
      </c>
      <c r="G72" s="308">
        <v>2</v>
      </c>
      <c r="H72" s="309">
        <v>10000</v>
      </c>
      <c r="I72" s="309">
        <v>20000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269</v>
      </c>
      <c r="AF72" s="341" t="s">
        <v>255</v>
      </c>
    </row>
    <row r="73" spans="1:32">
      <c r="A73" s="307">
        <v>4</v>
      </c>
      <c r="B73" s="342"/>
      <c r="C73" s="342" t="s">
        <v>182</v>
      </c>
      <c r="D73" s="340" t="s">
        <v>263</v>
      </c>
      <c r="E73" s="342" t="s">
        <v>264</v>
      </c>
      <c r="F73" s="345" t="s">
        <v>261</v>
      </c>
      <c r="G73" s="308">
        <v>4</v>
      </c>
      <c r="H73" s="309">
        <v>8000</v>
      </c>
      <c r="I73" s="309">
        <v>32000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265</v>
      </c>
      <c r="AF73" s="341" t="s">
        <v>270</v>
      </c>
    </row>
    <row r="74" spans="1:32">
      <c r="A74" s="307">
        <v>3</v>
      </c>
      <c r="B74" s="342"/>
      <c r="C74" s="342" t="s">
        <v>244</v>
      </c>
      <c r="D74" s="340" t="s">
        <v>291</v>
      </c>
      <c r="E74" s="342" t="s">
        <v>171</v>
      </c>
      <c r="F74" s="345" t="s">
        <v>168</v>
      </c>
      <c r="G74" s="308">
        <v>200</v>
      </c>
      <c r="H74" s="309">
        <v>2935</v>
      </c>
      <c r="I74" s="309">
        <v>587000</v>
      </c>
      <c r="J74" s="211">
        <v>200</v>
      </c>
      <c r="K74" s="212" t="str">
        <f>IF(OR(J74="",G74=J74),"","*")</f>
        <v/>
      </c>
      <c r="L74" s="338">
        <f>IF($A74&lt;=L$1,I74/I$4,"")</f>
        <v>0.1174</v>
      </c>
      <c r="M74" s="343"/>
      <c r="N74" s="344" t="s">
        <v>326</v>
      </c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4</v>
      </c>
      <c r="B75" s="342"/>
      <c r="C75" s="342" t="s">
        <v>178</v>
      </c>
      <c r="D75" s="340" t="s">
        <v>293</v>
      </c>
      <c r="E75" s="342" t="s">
        <v>323</v>
      </c>
      <c r="F75" s="345" t="s">
        <v>294</v>
      </c>
      <c r="G75" s="308">
        <v>22</v>
      </c>
      <c r="H75" s="309">
        <v>12000</v>
      </c>
      <c r="I75" s="309">
        <v>264000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295</v>
      </c>
      <c r="AF75" s="341" t="s">
        <v>327</v>
      </c>
    </row>
    <row r="76" spans="1:32">
      <c r="A76" s="307">
        <v>4</v>
      </c>
      <c r="B76" s="342"/>
      <c r="C76" s="342" t="s">
        <v>178</v>
      </c>
      <c r="D76" s="340" t="s">
        <v>247</v>
      </c>
      <c r="E76" s="342"/>
      <c r="F76" s="345" t="s">
        <v>248</v>
      </c>
      <c r="G76" s="308">
        <v>80</v>
      </c>
      <c r="H76" s="309">
        <v>150</v>
      </c>
      <c r="I76" s="309">
        <v>12000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249</v>
      </c>
      <c r="AF76" s="341" t="s">
        <v>305</v>
      </c>
    </row>
    <row r="77" spans="1:32">
      <c r="A77" s="307">
        <v>4</v>
      </c>
      <c r="B77" s="342"/>
      <c r="C77" s="342" t="s">
        <v>179</v>
      </c>
      <c r="D77" s="340" t="s">
        <v>251</v>
      </c>
      <c r="E77" s="342" t="s">
        <v>252</v>
      </c>
      <c r="F77" s="345" t="s">
        <v>253</v>
      </c>
      <c r="G77" s="308">
        <v>9</v>
      </c>
      <c r="H77" s="309">
        <v>22000</v>
      </c>
      <c r="I77" s="309">
        <v>198000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254</v>
      </c>
      <c r="AF77" s="341" t="s">
        <v>306</v>
      </c>
    </row>
    <row r="78" spans="1:32">
      <c r="A78" s="307">
        <v>4</v>
      </c>
      <c r="B78" s="342"/>
      <c r="C78" s="342" t="s">
        <v>181</v>
      </c>
      <c r="D78" s="340" t="s">
        <v>307</v>
      </c>
      <c r="E78" s="342" t="s">
        <v>308</v>
      </c>
      <c r="F78" s="345" t="s">
        <v>261</v>
      </c>
      <c r="G78" s="308">
        <v>1</v>
      </c>
      <c r="H78" s="309">
        <v>50000</v>
      </c>
      <c r="I78" s="309">
        <v>50000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309</v>
      </c>
      <c r="AF78" s="341" t="s">
        <v>310</v>
      </c>
    </row>
    <row r="79" spans="1:32">
      <c r="A79" s="307">
        <v>4</v>
      </c>
      <c r="B79" s="342"/>
      <c r="C79" s="342" t="s">
        <v>181</v>
      </c>
      <c r="D79" s="340" t="s">
        <v>282</v>
      </c>
      <c r="E79" s="342" t="s">
        <v>283</v>
      </c>
      <c r="F79" s="345" t="s">
        <v>261</v>
      </c>
      <c r="G79" s="308">
        <v>1</v>
      </c>
      <c r="H79" s="309">
        <v>9000</v>
      </c>
      <c r="I79" s="309">
        <v>9000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284</v>
      </c>
      <c r="AF79" s="341" t="s">
        <v>310</v>
      </c>
    </row>
    <row r="80" spans="1:32">
      <c r="A80" s="307">
        <v>4</v>
      </c>
      <c r="B80" s="342"/>
      <c r="C80" s="342" t="s">
        <v>181</v>
      </c>
      <c r="D80" s="340" t="s">
        <v>279</v>
      </c>
      <c r="E80" s="342" t="s">
        <v>280</v>
      </c>
      <c r="F80" s="345" t="s">
        <v>261</v>
      </c>
      <c r="G80" s="308">
        <v>1</v>
      </c>
      <c r="H80" s="309">
        <v>6000</v>
      </c>
      <c r="I80" s="309">
        <v>6000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281</v>
      </c>
      <c r="AF80" s="341" t="s">
        <v>310</v>
      </c>
    </row>
    <row r="81" spans="1:32">
      <c r="A81" s="307">
        <v>4</v>
      </c>
      <c r="B81" s="342"/>
      <c r="C81" s="342" t="s">
        <v>181</v>
      </c>
      <c r="D81" s="340" t="s">
        <v>285</v>
      </c>
      <c r="E81" s="342"/>
      <c r="F81" s="345" t="s">
        <v>261</v>
      </c>
      <c r="G81" s="308">
        <v>1</v>
      </c>
      <c r="H81" s="309">
        <v>2500</v>
      </c>
      <c r="I81" s="309">
        <v>2500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286</v>
      </c>
      <c r="AF81" s="341" t="s">
        <v>310</v>
      </c>
    </row>
    <row r="82" spans="1:32">
      <c r="A82" s="307">
        <v>4</v>
      </c>
      <c r="B82" s="342"/>
      <c r="C82" s="342" t="s">
        <v>181</v>
      </c>
      <c r="D82" s="340" t="s">
        <v>289</v>
      </c>
      <c r="E82" s="342"/>
      <c r="F82" s="345" t="s">
        <v>261</v>
      </c>
      <c r="G82" s="308">
        <v>1</v>
      </c>
      <c r="H82" s="309">
        <v>1500</v>
      </c>
      <c r="I82" s="309">
        <v>1500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290</v>
      </c>
      <c r="AF82" s="341" t="s">
        <v>310</v>
      </c>
    </row>
    <row r="83" spans="1:32">
      <c r="A83" s="307">
        <v>4</v>
      </c>
      <c r="B83" s="342"/>
      <c r="C83" s="342" t="s">
        <v>182</v>
      </c>
      <c r="D83" s="340" t="s">
        <v>268</v>
      </c>
      <c r="E83" s="342"/>
      <c r="F83" s="345" t="s">
        <v>261</v>
      </c>
      <c r="G83" s="308">
        <v>2</v>
      </c>
      <c r="H83" s="309">
        <v>10000</v>
      </c>
      <c r="I83" s="309">
        <v>20000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269</v>
      </c>
      <c r="AF83" s="341" t="s">
        <v>328</v>
      </c>
    </row>
    <row r="84" spans="1:32">
      <c r="A84" s="307">
        <v>4</v>
      </c>
      <c r="B84" s="342"/>
      <c r="C84" s="342" t="s">
        <v>182</v>
      </c>
      <c r="D84" s="340" t="s">
        <v>263</v>
      </c>
      <c r="E84" s="342" t="s">
        <v>264</v>
      </c>
      <c r="F84" s="345" t="s">
        <v>261</v>
      </c>
      <c r="G84" s="308">
        <v>3</v>
      </c>
      <c r="H84" s="309">
        <v>8000</v>
      </c>
      <c r="I84" s="309">
        <v>24000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265</v>
      </c>
      <c r="AF84" s="341" t="s">
        <v>316</v>
      </c>
    </row>
    <row r="85" spans="1:32">
      <c r="A85" s="307">
        <v>2</v>
      </c>
      <c r="B85" s="342"/>
      <c r="C85" s="342" t="s">
        <v>241</v>
      </c>
      <c r="D85" s="340" t="s">
        <v>329</v>
      </c>
      <c r="E85" s="342"/>
      <c r="F85" s="345" t="s">
        <v>172</v>
      </c>
      <c r="G85" s="308">
        <v>1</v>
      </c>
      <c r="H85" s="309">
        <v>10436</v>
      </c>
      <c r="I85" s="309">
        <v>10436</v>
      </c>
      <c r="J85" s="211"/>
      <c r="K85" s="212" t="str">
        <f>IF(OR(J85="",G85=J85),"","*")</f>
        <v/>
      </c>
      <c r="L85" s="338">
        <f>IF($A85&lt;=L$1,I85/I$4,"")</f>
        <v>2.0872E-3</v>
      </c>
      <c r="M85" s="343"/>
      <c r="N85" s="344" t="s">
        <v>197</v>
      </c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/>
    </row>
    <row r="86" spans="1:32">
      <c r="A86" s="307">
        <v>3</v>
      </c>
      <c r="B86" s="342"/>
      <c r="C86" s="342" t="s">
        <v>244</v>
      </c>
      <c r="D86" s="340" t="s">
        <v>330</v>
      </c>
      <c r="E86" s="342"/>
      <c r="F86" s="345" t="s">
        <v>172</v>
      </c>
      <c r="G86" s="308">
        <v>1</v>
      </c>
      <c r="H86" s="309">
        <v>10436</v>
      </c>
      <c r="I86" s="309">
        <v>10436</v>
      </c>
      <c r="J86" s="211">
        <v>1</v>
      </c>
      <c r="K86" s="212" t="str">
        <f>IF(OR(J86="",G86=J86),"","*")</f>
        <v/>
      </c>
      <c r="L86" s="338">
        <f>IF($A86&lt;=L$1,I86/I$4,"")</f>
        <v>2.0872E-3</v>
      </c>
      <c r="M86" s="343"/>
      <c r="N86" s="344" t="s">
        <v>331</v>
      </c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4</v>
      </c>
      <c r="B87" s="342"/>
      <c r="C87" s="342" t="s">
        <v>178</v>
      </c>
      <c r="D87" s="340" t="s">
        <v>332</v>
      </c>
      <c r="E87" s="342"/>
      <c r="F87" s="345" t="s">
        <v>172</v>
      </c>
      <c r="G87" s="308">
        <v>1</v>
      </c>
      <c r="H87" s="309">
        <v>10436</v>
      </c>
      <c r="I87" s="309">
        <v>10436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/>
    </row>
    <row r="88" spans="1:32">
      <c r="A88" s="217"/>
      <c r="B88" s="217"/>
      <c r="C88" s="312"/>
      <c r="D88" s="217"/>
      <c r="E88" s="217"/>
      <c r="F88" s="218"/>
      <c r="G88" s="217"/>
      <c r="H88" s="217"/>
      <c r="I88" s="217"/>
      <c r="J88" s="217"/>
      <c r="K88" s="218"/>
      <c r="L88" s="217"/>
      <c r="M88" s="217"/>
      <c r="N88" s="217"/>
      <c r="O88" s="217"/>
      <c r="P88" s="217"/>
      <c r="Q88" s="217"/>
      <c r="R88" s="217"/>
      <c r="S88" s="218"/>
      <c r="T88" s="217"/>
      <c r="U88" s="217"/>
      <c r="V88" s="217"/>
      <c r="W88" s="217"/>
      <c r="X88" s="217"/>
      <c r="Y88" s="217"/>
      <c r="Z88" s="217"/>
      <c r="AA88" s="218"/>
      <c r="AB88" s="217"/>
      <c r="AC88" s="217"/>
      <c r="AD88" s="217"/>
      <c r="AE88" s="217"/>
      <c r="AF88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87 AF4:AF87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87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160</v>
      </c>
      <c r="D4" s="315">
        <v>120000</v>
      </c>
      <c r="E4" s="120"/>
      <c r="F4" s="119" t="s">
        <v>334</v>
      </c>
      <c r="G4" s="316">
        <v>240000</v>
      </c>
      <c r="H4" s="69"/>
    </row>
    <row r="5" spans="1:8" ht="27" customHeight="1">
      <c r="A5" s="69"/>
      <c r="B5" s="118"/>
      <c r="C5" s="119" t="s">
        <v>161</v>
      </c>
      <c r="D5" s="315"/>
      <c r="E5" s="120"/>
      <c r="F5" s="119" t="s">
        <v>335</v>
      </c>
      <c r="G5" s="316"/>
      <c r="H5" s="69"/>
    </row>
    <row r="6" spans="1:8" ht="27" customHeight="1">
      <c r="A6" s="69"/>
      <c r="B6" s="118"/>
      <c r="C6" s="119" t="s">
        <v>162</v>
      </c>
      <c r="D6" s="315"/>
      <c r="E6" s="120"/>
      <c r="F6" s="119" t="s">
        <v>336</v>
      </c>
      <c r="G6" s="316"/>
      <c r="H6" s="69"/>
    </row>
    <row r="7" spans="1:8" ht="27" customHeight="1">
      <c r="A7" s="69"/>
      <c r="B7" s="118"/>
      <c r="C7" s="119" t="s">
        <v>163</v>
      </c>
      <c r="D7" s="315"/>
      <c r="E7" s="120"/>
      <c r="F7" s="119" t="s">
        <v>337</v>
      </c>
      <c r="G7" s="316"/>
      <c r="H7" s="69"/>
    </row>
    <row r="8" spans="1:8" ht="27" customHeight="1">
      <c r="A8" s="69"/>
      <c r="B8" s="118"/>
      <c r="C8" s="119" t="s">
        <v>164</v>
      </c>
      <c r="D8" s="315">
        <v>85000</v>
      </c>
      <c r="E8" s="120"/>
      <c r="F8" s="119" t="s">
        <v>338</v>
      </c>
      <c r="G8" s="316"/>
      <c r="H8" s="69"/>
    </row>
    <row r="9" spans="1:8" ht="27" customHeight="1">
      <c r="A9" s="69"/>
      <c r="B9" s="118"/>
      <c r="C9" s="119" t="s">
        <v>165</v>
      </c>
      <c r="D9" s="315"/>
      <c r="E9" s="120"/>
      <c r="F9" s="119" t="s">
        <v>339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340</v>
      </c>
      <c r="G10" s="316"/>
      <c r="H10" s="69"/>
    </row>
    <row r="11" spans="1:8" ht="27" customHeight="1">
      <c r="A11" s="69"/>
      <c r="B11" s="118"/>
      <c r="C11" s="119" t="s">
        <v>238</v>
      </c>
      <c r="D11" s="315">
        <v>205000</v>
      </c>
      <c r="E11" s="120"/>
      <c r="F11" s="119" t="s">
        <v>341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238</v>
      </c>
      <c r="G13" s="316">
        <v>240000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178</v>
      </c>
      <c r="H3" s="128" t="s">
        <v>179</v>
      </c>
      <c r="I3" s="128" t="s">
        <v>180</v>
      </c>
      <c r="J3" s="128" t="s">
        <v>181</v>
      </c>
      <c r="K3" s="128" t="s">
        <v>182</v>
      </c>
      <c r="L3" s="128" t="s">
        <v>183</v>
      </c>
      <c r="M3" s="128" t="s">
        <v>184</v>
      </c>
      <c r="N3" s="129" t="s">
        <v>185</v>
      </c>
      <c r="O3" s="69"/>
    </row>
    <row r="4" spans="1:15" ht="30" customHeight="1">
      <c r="A4" s="69"/>
      <c r="B4" s="130" t="s">
        <v>160</v>
      </c>
      <c r="C4" s="131" t="s">
        <v>172</v>
      </c>
      <c r="D4" s="320">
        <v>1</v>
      </c>
      <c r="E4" s="321">
        <v>120000</v>
      </c>
      <c r="F4" s="322">
        <v>120000</v>
      </c>
      <c r="G4" s="323"/>
      <c r="H4" s="324"/>
      <c r="I4" s="324"/>
      <c r="J4" s="324"/>
      <c r="K4" s="324">
        <v>120000</v>
      </c>
      <c r="L4" s="324"/>
      <c r="M4" s="324"/>
      <c r="N4" s="325"/>
      <c r="O4" s="69"/>
    </row>
    <row r="5" spans="1:15" ht="30" customHeight="1">
      <c r="A5" s="69"/>
      <c r="B5" s="130" t="s">
        <v>161</v>
      </c>
      <c r="C5" s="131" t="s">
        <v>172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162</v>
      </c>
      <c r="C6" s="131" t="s">
        <v>172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163</v>
      </c>
      <c r="C7" s="131" t="s">
        <v>172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164</v>
      </c>
      <c r="C8" s="131" t="s">
        <v>172</v>
      </c>
      <c r="D8" s="326">
        <v>1</v>
      </c>
      <c r="E8" s="321">
        <v>85000</v>
      </c>
      <c r="F8" s="322">
        <v>85000</v>
      </c>
      <c r="G8" s="323"/>
      <c r="H8" s="324"/>
      <c r="I8" s="324">
        <v>85000</v>
      </c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165</v>
      </c>
      <c r="C9" s="131" t="s">
        <v>172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238</v>
      </c>
      <c r="C11" s="131"/>
      <c r="D11" s="326"/>
      <c r="E11" s="321"/>
      <c r="F11" s="322">
        <v>205000</v>
      </c>
      <c r="G11" s="323"/>
      <c r="H11" s="324"/>
      <c r="I11" s="324">
        <v>85000</v>
      </c>
      <c r="J11" s="324"/>
      <c r="K11" s="324">
        <v>120000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7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株式会社キクホー岩手本社工場駐車場舗装工事</v>
      </c>
      <c r="G1" s="306"/>
      <c r="H1" s="190" t="s">
        <v>131</v>
      </c>
      <c r="I1" s="333">
        <v>6000000</v>
      </c>
      <c r="J1" s="339">
        <f>I4/I$1</f>
        <v>0.83333333333333337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333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240</v>
      </c>
      <c r="D4" s="340" t="s">
        <v>186</v>
      </c>
      <c r="E4" s="342"/>
      <c r="F4" s="345" t="s">
        <v>172</v>
      </c>
      <c r="G4" s="308">
        <v>1</v>
      </c>
      <c r="H4" s="309">
        <v>5000000</v>
      </c>
      <c r="I4" s="309">
        <v>5000000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342</v>
      </c>
      <c r="P4" s="347" t="s">
        <v>342</v>
      </c>
      <c r="Q4" s="347" t="s">
        <v>342</v>
      </c>
      <c r="R4" s="348" t="s">
        <v>342</v>
      </c>
      <c r="S4" s="349"/>
      <c r="T4" s="343" t="s">
        <v>343</v>
      </c>
      <c r="U4" s="343"/>
      <c r="V4" s="344"/>
      <c r="W4" s="346" t="s">
        <v>342</v>
      </c>
      <c r="X4" s="347" t="s">
        <v>342</v>
      </c>
      <c r="Y4" s="347" t="s">
        <v>342</v>
      </c>
      <c r="Z4" s="348" t="s">
        <v>342</v>
      </c>
      <c r="AA4" s="349"/>
      <c r="AB4" s="343" t="s">
        <v>343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241</v>
      </c>
      <c r="D5" s="340" t="s">
        <v>344</v>
      </c>
      <c r="E5" s="342"/>
      <c r="F5" s="345" t="s">
        <v>172</v>
      </c>
      <c r="G5" s="308">
        <v>1</v>
      </c>
      <c r="H5" s="309">
        <v>205000</v>
      </c>
      <c r="I5" s="309">
        <v>205000</v>
      </c>
      <c r="J5" s="211"/>
      <c r="K5" s="212" t="str">
        <f>IF(OR(J5="",G5=J5),"","*")</f>
        <v/>
      </c>
      <c r="L5" s="338">
        <f>IF($A5&lt;=L$1,I5/I$4,"")</f>
        <v>4.1000000000000002E-2</v>
      </c>
      <c r="M5" s="343"/>
      <c r="N5" s="344"/>
      <c r="O5" s="346" t="s">
        <v>342</v>
      </c>
      <c r="P5" s="347" t="s">
        <v>342</v>
      </c>
      <c r="Q5" s="347" t="s">
        <v>342</v>
      </c>
      <c r="R5" s="348" t="s">
        <v>342</v>
      </c>
      <c r="S5" s="349"/>
      <c r="T5" s="343" t="s">
        <v>343</v>
      </c>
      <c r="U5" s="343"/>
      <c r="V5" s="344"/>
      <c r="W5" s="346" t="s">
        <v>342</v>
      </c>
      <c r="X5" s="347" t="s">
        <v>342</v>
      </c>
      <c r="Y5" s="347" t="s">
        <v>342</v>
      </c>
      <c r="Z5" s="348" t="s">
        <v>342</v>
      </c>
      <c r="AA5" s="349"/>
      <c r="AB5" s="343" t="s">
        <v>343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244</v>
      </c>
      <c r="D6" s="340" t="s">
        <v>345</v>
      </c>
      <c r="E6" s="342"/>
      <c r="F6" s="345" t="s">
        <v>172</v>
      </c>
      <c r="G6" s="308">
        <v>1</v>
      </c>
      <c r="H6" s="309">
        <v>120000</v>
      </c>
      <c r="I6" s="309">
        <v>120000</v>
      </c>
      <c r="J6" s="211">
        <v>1</v>
      </c>
      <c r="K6" s="212" t="str">
        <f>IF(OR(J6="",G6=J6),"","*")</f>
        <v/>
      </c>
      <c r="L6" s="338">
        <f>IF($A6&lt;=L$1,I6/I$4,"")</f>
        <v>2.4E-2</v>
      </c>
      <c r="M6" s="343"/>
      <c r="N6" s="344" t="s">
        <v>346</v>
      </c>
      <c r="O6" s="346" t="s">
        <v>342</v>
      </c>
      <c r="P6" s="347" t="s">
        <v>342</v>
      </c>
      <c r="Q6" s="347" t="s">
        <v>342</v>
      </c>
      <c r="R6" s="348" t="s">
        <v>342</v>
      </c>
      <c r="S6" s="349"/>
      <c r="T6" s="343" t="s">
        <v>343</v>
      </c>
      <c r="U6" s="343"/>
      <c r="V6" s="344"/>
      <c r="W6" s="346" t="s">
        <v>342</v>
      </c>
      <c r="X6" s="347" t="s">
        <v>342</v>
      </c>
      <c r="Y6" s="347" t="s">
        <v>342</v>
      </c>
      <c r="Z6" s="348" t="s">
        <v>342</v>
      </c>
      <c r="AA6" s="349"/>
      <c r="AB6" s="343" t="s">
        <v>343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347</v>
      </c>
      <c r="E7" s="342" t="s">
        <v>348</v>
      </c>
      <c r="F7" s="345" t="s">
        <v>349</v>
      </c>
      <c r="G7" s="308">
        <v>2</v>
      </c>
      <c r="H7" s="309">
        <v>15000</v>
      </c>
      <c r="I7" s="309">
        <v>30000</v>
      </c>
      <c r="J7" s="211"/>
      <c r="K7" s="212" t="str">
        <f>IF(OR(J7="",G7=J7),"","*")</f>
        <v/>
      </c>
      <c r="L7" s="338">
        <f>IF($A7&lt;=L$1,I7/I$4,"")</f>
        <v>6.0000000000000001E-3</v>
      </c>
      <c r="M7" s="343"/>
      <c r="N7" s="344"/>
      <c r="O7" s="346" t="s">
        <v>342</v>
      </c>
      <c r="P7" s="347" t="s">
        <v>342</v>
      </c>
      <c r="Q7" s="347" t="s">
        <v>342</v>
      </c>
      <c r="R7" s="348" t="s">
        <v>342</v>
      </c>
      <c r="S7" s="349"/>
      <c r="T7" s="343" t="s">
        <v>343</v>
      </c>
      <c r="U7" s="343"/>
      <c r="V7" s="344"/>
      <c r="W7" s="346" t="s">
        <v>342</v>
      </c>
      <c r="X7" s="347" t="s">
        <v>342</v>
      </c>
      <c r="Y7" s="347" t="s">
        <v>342</v>
      </c>
      <c r="Z7" s="348" t="s">
        <v>342</v>
      </c>
      <c r="AA7" s="349"/>
      <c r="AB7" s="343" t="s">
        <v>343</v>
      </c>
      <c r="AC7" s="343"/>
      <c r="AD7" s="344"/>
      <c r="AE7" s="342" t="s">
        <v>350</v>
      </c>
      <c r="AF7" s="341"/>
    </row>
    <row r="8" spans="1:32">
      <c r="A8" s="307">
        <v>3</v>
      </c>
      <c r="B8" s="342"/>
      <c r="C8" s="342" t="s">
        <v>182</v>
      </c>
      <c r="D8" s="340" t="s">
        <v>347</v>
      </c>
      <c r="E8" s="342" t="s">
        <v>351</v>
      </c>
      <c r="F8" s="345" t="s">
        <v>349</v>
      </c>
      <c r="G8" s="308">
        <v>2</v>
      </c>
      <c r="H8" s="309">
        <v>15000</v>
      </c>
      <c r="I8" s="309">
        <v>30000</v>
      </c>
      <c r="J8" s="211"/>
      <c r="K8" s="212" t="str">
        <f>IF(OR(J8="",G8=J8),"","*")</f>
        <v/>
      </c>
      <c r="L8" s="338">
        <f>IF($A8&lt;=L$1,I8/I$4,"")</f>
        <v>6.0000000000000001E-3</v>
      </c>
      <c r="M8" s="343"/>
      <c r="N8" s="344"/>
      <c r="O8" s="346" t="s">
        <v>342</v>
      </c>
      <c r="P8" s="347" t="s">
        <v>342</v>
      </c>
      <c r="Q8" s="347" t="s">
        <v>342</v>
      </c>
      <c r="R8" s="348" t="s">
        <v>342</v>
      </c>
      <c r="S8" s="349"/>
      <c r="T8" s="343" t="s">
        <v>343</v>
      </c>
      <c r="U8" s="343"/>
      <c r="V8" s="344"/>
      <c r="W8" s="346" t="s">
        <v>342</v>
      </c>
      <c r="X8" s="347" t="s">
        <v>342</v>
      </c>
      <c r="Y8" s="347" t="s">
        <v>342</v>
      </c>
      <c r="Z8" s="348" t="s">
        <v>342</v>
      </c>
      <c r="AA8" s="349"/>
      <c r="AB8" s="343" t="s">
        <v>343</v>
      </c>
      <c r="AC8" s="343"/>
      <c r="AD8" s="344"/>
      <c r="AE8" s="342" t="s">
        <v>350</v>
      </c>
      <c r="AF8" s="341"/>
    </row>
    <row r="9" spans="1:32">
      <c r="A9" s="307">
        <v>3</v>
      </c>
      <c r="B9" s="342"/>
      <c r="C9" s="342" t="s">
        <v>182</v>
      </c>
      <c r="D9" s="340" t="s">
        <v>347</v>
      </c>
      <c r="E9" s="342" t="s">
        <v>352</v>
      </c>
      <c r="F9" s="345" t="s">
        <v>349</v>
      </c>
      <c r="G9" s="308">
        <v>2</v>
      </c>
      <c r="H9" s="309">
        <v>15000</v>
      </c>
      <c r="I9" s="309">
        <v>30000</v>
      </c>
      <c r="J9" s="211"/>
      <c r="K9" s="212" t="str">
        <f>IF(OR(J9="",G9=J9),"","*")</f>
        <v/>
      </c>
      <c r="L9" s="338">
        <f>IF($A9&lt;=L$1,I9/I$4,"")</f>
        <v>6.0000000000000001E-3</v>
      </c>
      <c r="M9" s="343"/>
      <c r="N9" s="344"/>
      <c r="O9" s="346" t="s">
        <v>342</v>
      </c>
      <c r="P9" s="347" t="s">
        <v>342</v>
      </c>
      <c r="Q9" s="347" t="s">
        <v>342</v>
      </c>
      <c r="R9" s="348" t="s">
        <v>342</v>
      </c>
      <c r="S9" s="349"/>
      <c r="T9" s="343" t="s">
        <v>343</v>
      </c>
      <c r="U9" s="343"/>
      <c r="V9" s="344"/>
      <c r="W9" s="346" t="s">
        <v>342</v>
      </c>
      <c r="X9" s="347" t="s">
        <v>342</v>
      </c>
      <c r="Y9" s="347" t="s">
        <v>342</v>
      </c>
      <c r="Z9" s="348" t="s">
        <v>342</v>
      </c>
      <c r="AA9" s="349"/>
      <c r="AB9" s="343" t="s">
        <v>343</v>
      </c>
      <c r="AC9" s="343"/>
      <c r="AD9" s="344"/>
      <c r="AE9" s="342" t="s">
        <v>350</v>
      </c>
      <c r="AF9" s="341"/>
    </row>
    <row r="10" spans="1:32">
      <c r="A10" s="307">
        <v>3</v>
      </c>
      <c r="B10" s="342"/>
      <c r="C10" s="342" t="s">
        <v>182</v>
      </c>
      <c r="D10" s="340" t="s">
        <v>347</v>
      </c>
      <c r="E10" s="342" t="s">
        <v>353</v>
      </c>
      <c r="F10" s="345" t="s">
        <v>349</v>
      </c>
      <c r="G10" s="308">
        <v>2</v>
      </c>
      <c r="H10" s="309">
        <v>15000</v>
      </c>
      <c r="I10" s="309">
        <v>30000</v>
      </c>
      <c r="J10" s="211"/>
      <c r="K10" s="212" t="str">
        <f>IF(OR(J10="",G10=J10),"","*")</f>
        <v/>
      </c>
      <c r="L10" s="338">
        <f>IF($A10&lt;=L$1,I10/I$4,"")</f>
        <v>6.0000000000000001E-3</v>
      </c>
      <c r="M10" s="343"/>
      <c r="N10" s="344"/>
      <c r="O10" s="346" t="s">
        <v>342</v>
      </c>
      <c r="P10" s="347" t="s">
        <v>342</v>
      </c>
      <c r="Q10" s="347" t="s">
        <v>342</v>
      </c>
      <c r="R10" s="348" t="s">
        <v>342</v>
      </c>
      <c r="S10" s="349"/>
      <c r="T10" s="343" t="s">
        <v>343</v>
      </c>
      <c r="U10" s="343"/>
      <c r="V10" s="344"/>
      <c r="W10" s="346" t="s">
        <v>342</v>
      </c>
      <c r="X10" s="347" t="s">
        <v>342</v>
      </c>
      <c r="Y10" s="347" t="s">
        <v>342</v>
      </c>
      <c r="Z10" s="348" t="s">
        <v>342</v>
      </c>
      <c r="AA10" s="349"/>
      <c r="AB10" s="343" t="s">
        <v>343</v>
      </c>
      <c r="AC10" s="343"/>
      <c r="AD10" s="344"/>
      <c r="AE10" s="342" t="s">
        <v>350</v>
      </c>
      <c r="AF10" s="341"/>
    </row>
    <row r="11" spans="1:32">
      <c r="A11" s="307">
        <v>2</v>
      </c>
      <c r="B11" s="342"/>
      <c r="C11" s="342" t="s">
        <v>244</v>
      </c>
      <c r="D11" s="340" t="s">
        <v>354</v>
      </c>
      <c r="E11" s="342" t="s">
        <v>173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355</v>
      </c>
      <c r="O11" s="346" t="s">
        <v>342</v>
      </c>
      <c r="P11" s="347" t="s">
        <v>342</v>
      </c>
      <c r="Q11" s="347" t="s">
        <v>342</v>
      </c>
      <c r="R11" s="348" t="s">
        <v>342</v>
      </c>
      <c r="S11" s="349"/>
      <c r="T11" s="343" t="s">
        <v>343</v>
      </c>
      <c r="U11" s="343"/>
      <c r="V11" s="344"/>
      <c r="W11" s="346" t="s">
        <v>342</v>
      </c>
      <c r="X11" s="347" t="s">
        <v>342</v>
      </c>
      <c r="Y11" s="347" t="s">
        <v>342</v>
      </c>
      <c r="Z11" s="348" t="s">
        <v>342</v>
      </c>
      <c r="AA11" s="349"/>
      <c r="AB11" s="343" t="s">
        <v>343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244</v>
      </c>
      <c r="D12" s="340" t="s">
        <v>356</v>
      </c>
      <c r="E12" s="342" t="s">
        <v>174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357</v>
      </c>
      <c r="O12" s="346" t="s">
        <v>342</v>
      </c>
      <c r="P12" s="347" t="s">
        <v>342</v>
      </c>
      <c r="Q12" s="347" t="s">
        <v>342</v>
      </c>
      <c r="R12" s="348" t="s">
        <v>342</v>
      </c>
      <c r="S12" s="349"/>
      <c r="T12" s="343" t="s">
        <v>343</v>
      </c>
      <c r="U12" s="343"/>
      <c r="V12" s="344"/>
      <c r="W12" s="346" t="s">
        <v>342</v>
      </c>
      <c r="X12" s="347" t="s">
        <v>342</v>
      </c>
      <c r="Y12" s="347" t="s">
        <v>342</v>
      </c>
      <c r="Z12" s="348" t="s">
        <v>342</v>
      </c>
      <c r="AA12" s="349"/>
      <c r="AB12" s="343" t="s">
        <v>343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244</v>
      </c>
      <c r="D13" s="340" t="s">
        <v>358</v>
      </c>
      <c r="E13" s="342" t="s">
        <v>175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359</v>
      </c>
      <c r="O13" s="346" t="s">
        <v>342</v>
      </c>
      <c r="P13" s="347" t="s">
        <v>342</v>
      </c>
      <c r="Q13" s="347" t="s">
        <v>342</v>
      </c>
      <c r="R13" s="348" t="s">
        <v>342</v>
      </c>
      <c r="S13" s="349"/>
      <c r="T13" s="343" t="s">
        <v>343</v>
      </c>
      <c r="U13" s="343"/>
      <c r="V13" s="344"/>
      <c r="W13" s="346" t="s">
        <v>342</v>
      </c>
      <c r="X13" s="347" t="s">
        <v>342</v>
      </c>
      <c r="Y13" s="347" t="s">
        <v>342</v>
      </c>
      <c r="Z13" s="348" t="s">
        <v>342</v>
      </c>
      <c r="AA13" s="349"/>
      <c r="AB13" s="343" t="s">
        <v>343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244</v>
      </c>
      <c r="D14" s="340" t="s">
        <v>360</v>
      </c>
      <c r="E14" s="342" t="s">
        <v>176</v>
      </c>
      <c r="F14" s="345" t="s">
        <v>172</v>
      </c>
      <c r="G14" s="308">
        <v>1</v>
      </c>
      <c r="H14" s="309">
        <v>85000</v>
      </c>
      <c r="I14" s="309">
        <v>85000</v>
      </c>
      <c r="J14" s="211">
        <v>1</v>
      </c>
      <c r="K14" s="212" t="str">
        <f>IF(OR(J14="",G14=J14),"","*")</f>
        <v/>
      </c>
      <c r="L14" s="338">
        <f>IF($A14&lt;=L$1,I14/I$4,"")</f>
        <v>1.7000000000000001E-2</v>
      </c>
      <c r="M14" s="343"/>
      <c r="N14" s="344" t="s">
        <v>361</v>
      </c>
      <c r="O14" s="346" t="s">
        <v>342</v>
      </c>
      <c r="P14" s="347" t="s">
        <v>342</v>
      </c>
      <c r="Q14" s="347" t="s">
        <v>342</v>
      </c>
      <c r="R14" s="348" t="s">
        <v>342</v>
      </c>
      <c r="S14" s="349"/>
      <c r="T14" s="343" t="s">
        <v>343</v>
      </c>
      <c r="U14" s="343"/>
      <c r="V14" s="344"/>
      <c r="W14" s="346" t="s">
        <v>342</v>
      </c>
      <c r="X14" s="347" t="s">
        <v>342</v>
      </c>
      <c r="Y14" s="347" t="s">
        <v>342</v>
      </c>
      <c r="Z14" s="348" t="s">
        <v>342</v>
      </c>
      <c r="AA14" s="349"/>
      <c r="AB14" s="343" t="s">
        <v>343</v>
      </c>
      <c r="AC14" s="343"/>
      <c r="AD14" s="344"/>
      <c r="AE14" s="342"/>
      <c r="AF14" s="341"/>
    </row>
    <row r="15" spans="1:32">
      <c r="A15" s="307">
        <v>3</v>
      </c>
      <c r="B15" s="342"/>
      <c r="C15" s="342" t="s">
        <v>180</v>
      </c>
      <c r="D15" s="340" t="s">
        <v>362</v>
      </c>
      <c r="E15" s="342"/>
      <c r="F15" s="345" t="s">
        <v>253</v>
      </c>
      <c r="G15" s="308">
        <v>5</v>
      </c>
      <c r="H15" s="309">
        <v>17000</v>
      </c>
      <c r="I15" s="309">
        <v>85000</v>
      </c>
      <c r="J15" s="211"/>
      <c r="K15" s="212" t="str">
        <f>IF(OR(J15="",G15=J15),"","*")</f>
        <v/>
      </c>
      <c r="L15" s="338">
        <f>IF($A15&lt;=L$1,I15/I$4,"")</f>
        <v>1.7000000000000001E-2</v>
      </c>
      <c r="M15" s="343"/>
      <c r="N15" s="344"/>
      <c r="O15" s="346" t="s">
        <v>342</v>
      </c>
      <c r="P15" s="347" t="s">
        <v>342</v>
      </c>
      <c r="Q15" s="347" t="s">
        <v>342</v>
      </c>
      <c r="R15" s="348" t="s">
        <v>342</v>
      </c>
      <c r="S15" s="349"/>
      <c r="T15" s="343" t="s">
        <v>343</v>
      </c>
      <c r="U15" s="343"/>
      <c r="V15" s="344"/>
      <c r="W15" s="346" t="s">
        <v>342</v>
      </c>
      <c r="X15" s="347" t="s">
        <v>342</v>
      </c>
      <c r="Y15" s="347" t="s">
        <v>342</v>
      </c>
      <c r="Z15" s="348" t="s">
        <v>342</v>
      </c>
      <c r="AA15" s="349"/>
      <c r="AB15" s="343" t="s">
        <v>343</v>
      </c>
      <c r="AC15" s="343"/>
      <c r="AD15" s="344"/>
      <c r="AE15" s="342" t="s">
        <v>363</v>
      </c>
      <c r="AF15" s="341" t="s">
        <v>364</v>
      </c>
    </row>
    <row r="16" spans="1:32">
      <c r="A16" s="307">
        <v>2</v>
      </c>
      <c r="B16" s="342"/>
      <c r="C16" s="342" t="s">
        <v>244</v>
      </c>
      <c r="D16" s="340" t="s">
        <v>365</v>
      </c>
      <c r="E16" s="342" t="s">
        <v>177</v>
      </c>
      <c r="F16" s="345" t="s">
        <v>172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366</v>
      </c>
      <c r="O16" s="346" t="s">
        <v>342</v>
      </c>
      <c r="P16" s="347" t="s">
        <v>342</v>
      </c>
      <c r="Q16" s="347" t="s">
        <v>342</v>
      </c>
      <c r="R16" s="348" t="s">
        <v>342</v>
      </c>
      <c r="S16" s="349"/>
      <c r="T16" s="343" t="s">
        <v>343</v>
      </c>
      <c r="U16" s="343"/>
      <c r="V16" s="344"/>
      <c r="W16" s="346" t="s">
        <v>342</v>
      </c>
      <c r="X16" s="347" t="s">
        <v>342</v>
      </c>
      <c r="Y16" s="347" t="s">
        <v>342</v>
      </c>
      <c r="Z16" s="348" t="s">
        <v>342</v>
      </c>
      <c r="AA16" s="349"/>
      <c r="AB16" s="343" t="s">
        <v>343</v>
      </c>
      <c r="AC16" s="343"/>
      <c r="AD16" s="344"/>
      <c r="AE16" s="342"/>
      <c r="AF16" s="341"/>
    </row>
    <row r="17" spans="1:32">
      <c r="A17" s="217"/>
      <c r="B17" s="217"/>
      <c r="C17" s="312"/>
      <c r="D17" s="217"/>
      <c r="E17" s="217"/>
      <c r="F17" s="218"/>
      <c r="G17" s="217"/>
      <c r="H17" s="217"/>
      <c r="I17" s="217"/>
      <c r="J17" s="217"/>
      <c r="K17" s="218"/>
      <c r="L17" s="217"/>
      <c r="M17" s="217"/>
      <c r="N17" s="217"/>
      <c r="O17" s="217"/>
      <c r="P17" s="217"/>
      <c r="Q17" s="217"/>
      <c r="R17" s="217"/>
      <c r="S17" s="218"/>
      <c r="T17" s="217"/>
      <c r="U17" s="217"/>
      <c r="V17" s="217"/>
      <c r="W17" s="217"/>
      <c r="X17" s="217"/>
      <c r="Y17" s="217"/>
      <c r="Z17" s="217"/>
      <c r="AA17" s="218"/>
      <c r="AB17" s="217"/>
      <c r="AC17" s="217"/>
      <c r="AD17" s="217"/>
      <c r="AE17" s="217"/>
      <c r="AF17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6 AF4:AF16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6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334</v>
      </c>
      <c r="C3" s="561"/>
      <c r="D3" s="563" t="s">
        <v>172</v>
      </c>
      <c r="E3" s="565">
        <v>1</v>
      </c>
      <c r="F3" s="521">
        <v>240000</v>
      </c>
      <c r="G3" s="557">
        <v>240000</v>
      </c>
      <c r="H3" s="138" t="s">
        <v>367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201</v>
      </c>
      <c r="I4" s="69"/>
    </row>
    <row r="5" spans="1:9" ht="15.75" customHeight="1">
      <c r="A5" s="69"/>
      <c r="B5" s="559" t="s">
        <v>335</v>
      </c>
      <c r="C5" s="561" t="s">
        <v>368</v>
      </c>
      <c r="D5" s="563" t="s">
        <v>172</v>
      </c>
      <c r="E5" s="565">
        <v>1</v>
      </c>
      <c r="F5" s="521"/>
      <c r="G5" s="557"/>
      <c r="H5" s="138" t="s">
        <v>369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201</v>
      </c>
      <c r="I6" s="69"/>
    </row>
    <row r="7" spans="1:9" ht="15.75" customHeight="1">
      <c r="A7" s="69"/>
      <c r="B7" s="559" t="s">
        <v>336</v>
      </c>
      <c r="C7" s="561"/>
      <c r="D7" s="563" t="s">
        <v>172</v>
      </c>
      <c r="E7" s="565">
        <v>1</v>
      </c>
      <c r="F7" s="521"/>
      <c r="G7" s="557"/>
      <c r="H7" s="138" t="s">
        <v>370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201</v>
      </c>
      <c r="I8" s="69"/>
    </row>
    <row r="9" spans="1:9" ht="15.75" customHeight="1">
      <c r="A9" s="69"/>
      <c r="B9" s="559" t="s">
        <v>337</v>
      </c>
      <c r="C9" s="561" t="s">
        <v>371</v>
      </c>
      <c r="D9" s="563" t="s">
        <v>172</v>
      </c>
      <c r="E9" s="565">
        <v>1</v>
      </c>
      <c r="F9" s="521"/>
      <c r="G9" s="557"/>
      <c r="H9" s="138" t="s">
        <v>372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201</v>
      </c>
      <c r="I10" s="69"/>
    </row>
    <row r="11" spans="1:9" ht="15.75" customHeight="1">
      <c r="A11" s="69"/>
      <c r="B11" s="559" t="s">
        <v>338</v>
      </c>
      <c r="C11" s="561" t="s">
        <v>373</v>
      </c>
      <c r="D11" s="563" t="s">
        <v>172</v>
      </c>
      <c r="E11" s="565">
        <v>1</v>
      </c>
      <c r="F11" s="521"/>
      <c r="G11" s="557"/>
      <c r="H11" s="138" t="s">
        <v>374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201</v>
      </c>
      <c r="I12" s="69"/>
    </row>
    <row r="13" spans="1:9" ht="15.75" customHeight="1">
      <c r="A13" s="69"/>
      <c r="B13" s="559" t="s">
        <v>339</v>
      </c>
      <c r="C13" s="561" t="s">
        <v>375</v>
      </c>
      <c r="D13" s="563" t="s">
        <v>172</v>
      </c>
      <c r="E13" s="565">
        <v>1</v>
      </c>
      <c r="F13" s="521"/>
      <c r="G13" s="557"/>
      <c r="H13" s="138" t="s">
        <v>376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201</v>
      </c>
      <c r="I14" s="69"/>
    </row>
    <row r="15" spans="1:9" ht="15.75" customHeight="1">
      <c r="A15" s="69"/>
      <c r="B15" s="559" t="s">
        <v>340</v>
      </c>
      <c r="C15" s="561" t="s">
        <v>377</v>
      </c>
      <c r="D15" s="563" t="s">
        <v>172</v>
      </c>
      <c r="E15" s="565">
        <v>1</v>
      </c>
      <c r="F15" s="521"/>
      <c r="G15" s="557"/>
      <c r="H15" s="138" t="s">
        <v>378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201</v>
      </c>
      <c r="I16" s="69"/>
    </row>
    <row r="17" spans="1:9" ht="15.75" customHeight="1">
      <c r="A17" s="69"/>
      <c r="B17" s="559" t="s">
        <v>341</v>
      </c>
      <c r="C17" s="561" t="s">
        <v>379</v>
      </c>
      <c r="D17" s="563" t="s">
        <v>172</v>
      </c>
      <c r="E17" s="565">
        <v>1</v>
      </c>
      <c r="F17" s="521"/>
      <c r="G17" s="557"/>
      <c r="H17" s="138" t="s">
        <v>380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201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238</v>
      </c>
      <c r="C21" s="561"/>
      <c r="D21" s="563"/>
      <c r="E21" s="565"/>
      <c r="F21" s="521"/>
      <c r="G21" s="557">
        <v>240000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株式会社キクホー岩手本社工場駐車場舗装工事</v>
      </c>
      <c r="G1" s="306"/>
      <c r="H1" s="190" t="s">
        <v>131</v>
      </c>
      <c r="I1" s="333">
        <v>6000000</v>
      </c>
      <c r="J1" s="339">
        <f>I4/I$1</f>
        <v>0.83333333333333337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333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240</v>
      </c>
      <c r="D4" s="340" t="s">
        <v>186</v>
      </c>
      <c r="E4" s="342"/>
      <c r="F4" s="345" t="s">
        <v>172</v>
      </c>
      <c r="G4" s="308">
        <v>1</v>
      </c>
      <c r="H4" s="309">
        <v>5000000</v>
      </c>
      <c r="I4" s="309">
        <v>5000000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342</v>
      </c>
      <c r="P4" s="347" t="s">
        <v>342</v>
      </c>
      <c r="Q4" s="347" t="s">
        <v>342</v>
      </c>
      <c r="R4" s="348" t="s">
        <v>342</v>
      </c>
      <c r="S4" s="349"/>
      <c r="T4" s="343" t="s">
        <v>343</v>
      </c>
      <c r="U4" s="343"/>
      <c r="V4" s="344"/>
      <c r="W4" s="346" t="s">
        <v>342</v>
      </c>
      <c r="X4" s="347" t="s">
        <v>342</v>
      </c>
      <c r="Y4" s="347" t="s">
        <v>342</v>
      </c>
      <c r="Z4" s="348" t="s">
        <v>342</v>
      </c>
      <c r="AA4" s="349"/>
      <c r="AB4" s="343" t="s">
        <v>343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241</v>
      </c>
      <c r="D5" s="340" t="s">
        <v>381</v>
      </c>
      <c r="E5" s="342"/>
      <c r="F5" s="345" t="s">
        <v>172</v>
      </c>
      <c r="G5" s="308">
        <v>1</v>
      </c>
      <c r="H5" s="309">
        <v>240000</v>
      </c>
      <c r="I5" s="309">
        <v>240000</v>
      </c>
      <c r="J5" s="211"/>
      <c r="K5" s="212" t="str">
        <f>IF(OR(J5="",G5=J5),"","*")</f>
        <v/>
      </c>
      <c r="L5" s="338">
        <f>IF($A5&lt;=L$1,I5/I$4,"")</f>
        <v>4.8000000000000001E-2</v>
      </c>
      <c r="M5" s="343"/>
      <c r="N5" s="344"/>
      <c r="O5" s="346" t="s">
        <v>342</v>
      </c>
      <c r="P5" s="347" t="s">
        <v>342</v>
      </c>
      <c r="Q5" s="347" t="s">
        <v>342</v>
      </c>
      <c r="R5" s="348" t="s">
        <v>342</v>
      </c>
      <c r="S5" s="349"/>
      <c r="T5" s="343" t="s">
        <v>343</v>
      </c>
      <c r="U5" s="343"/>
      <c r="V5" s="344"/>
      <c r="W5" s="346" t="s">
        <v>342</v>
      </c>
      <c r="X5" s="347" t="s">
        <v>342</v>
      </c>
      <c r="Y5" s="347" t="s">
        <v>342</v>
      </c>
      <c r="Z5" s="348" t="s">
        <v>342</v>
      </c>
      <c r="AA5" s="349"/>
      <c r="AB5" s="343" t="s">
        <v>343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244</v>
      </c>
      <c r="D6" s="340" t="s">
        <v>382</v>
      </c>
      <c r="E6" s="342"/>
      <c r="F6" s="345" t="s">
        <v>172</v>
      </c>
      <c r="G6" s="308">
        <v>1</v>
      </c>
      <c r="H6" s="309">
        <v>240000</v>
      </c>
      <c r="I6" s="309">
        <v>240000</v>
      </c>
      <c r="J6" s="211">
        <v>1</v>
      </c>
      <c r="K6" s="212" t="str">
        <f>IF(OR(J6="",G6=J6),"","*")</f>
        <v/>
      </c>
      <c r="L6" s="338">
        <f>IF($A6&lt;=L$1,I6/I$4,"")</f>
        <v>4.8000000000000001E-2</v>
      </c>
      <c r="M6" s="343"/>
      <c r="N6" s="344" t="s">
        <v>383</v>
      </c>
      <c r="O6" s="346" t="s">
        <v>342</v>
      </c>
      <c r="P6" s="347" t="s">
        <v>342</v>
      </c>
      <c r="Q6" s="347" t="s">
        <v>342</v>
      </c>
      <c r="R6" s="348" t="s">
        <v>342</v>
      </c>
      <c r="S6" s="349"/>
      <c r="T6" s="343" t="s">
        <v>343</v>
      </c>
      <c r="U6" s="343"/>
      <c r="V6" s="344"/>
      <c r="W6" s="346" t="s">
        <v>342</v>
      </c>
      <c r="X6" s="347" t="s">
        <v>342</v>
      </c>
      <c r="Y6" s="347" t="s">
        <v>342</v>
      </c>
      <c r="Z6" s="348" t="s">
        <v>342</v>
      </c>
      <c r="AA6" s="349"/>
      <c r="AB6" s="343" t="s">
        <v>343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184</v>
      </c>
      <c r="D7" s="340" t="s">
        <v>384</v>
      </c>
      <c r="E7" s="342" t="s">
        <v>385</v>
      </c>
      <c r="F7" s="345" t="s">
        <v>386</v>
      </c>
      <c r="G7" s="308">
        <v>12</v>
      </c>
      <c r="H7" s="309">
        <v>20000</v>
      </c>
      <c r="I7" s="309">
        <v>240000</v>
      </c>
      <c r="J7" s="211"/>
      <c r="K7" s="212" t="str">
        <f>IF(OR(J7="",G7=J7),"","*")</f>
        <v/>
      </c>
      <c r="L7" s="338">
        <f>IF($A7&lt;=L$1,I7/I$4,"")</f>
        <v>4.8000000000000001E-2</v>
      </c>
      <c r="M7" s="343"/>
      <c r="N7" s="344"/>
      <c r="O7" s="346" t="s">
        <v>342</v>
      </c>
      <c r="P7" s="347" t="s">
        <v>342</v>
      </c>
      <c r="Q7" s="347" t="s">
        <v>342</v>
      </c>
      <c r="R7" s="348" t="s">
        <v>342</v>
      </c>
      <c r="S7" s="349"/>
      <c r="T7" s="343" t="s">
        <v>343</v>
      </c>
      <c r="U7" s="343"/>
      <c r="V7" s="344"/>
      <c r="W7" s="346" t="s">
        <v>342</v>
      </c>
      <c r="X7" s="347" t="s">
        <v>342</v>
      </c>
      <c r="Y7" s="347" t="s">
        <v>342</v>
      </c>
      <c r="Z7" s="348" t="s">
        <v>342</v>
      </c>
      <c r="AA7" s="349"/>
      <c r="AB7" s="343" t="s">
        <v>343</v>
      </c>
      <c r="AC7" s="343"/>
      <c r="AD7" s="344"/>
      <c r="AE7" s="342" t="s">
        <v>387</v>
      </c>
      <c r="AF7" s="341" t="s">
        <v>117</v>
      </c>
    </row>
    <row r="8" spans="1:32">
      <c r="A8" s="307">
        <v>2</v>
      </c>
      <c r="B8" s="342"/>
      <c r="C8" s="342" t="s">
        <v>244</v>
      </c>
      <c r="D8" s="340" t="s">
        <v>388</v>
      </c>
      <c r="E8" s="342" t="s">
        <v>368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389</v>
      </c>
      <c r="O8" s="346" t="s">
        <v>342</v>
      </c>
      <c r="P8" s="347" t="s">
        <v>342</v>
      </c>
      <c r="Q8" s="347" t="s">
        <v>342</v>
      </c>
      <c r="R8" s="348" t="s">
        <v>342</v>
      </c>
      <c r="S8" s="349"/>
      <c r="T8" s="343" t="s">
        <v>343</v>
      </c>
      <c r="U8" s="343"/>
      <c r="V8" s="344"/>
      <c r="W8" s="346" t="s">
        <v>342</v>
      </c>
      <c r="X8" s="347" t="s">
        <v>342</v>
      </c>
      <c r="Y8" s="347" t="s">
        <v>342</v>
      </c>
      <c r="Z8" s="348" t="s">
        <v>342</v>
      </c>
      <c r="AA8" s="349"/>
      <c r="AB8" s="343" t="s">
        <v>343</v>
      </c>
      <c r="AC8" s="343"/>
      <c r="AD8" s="344"/>
      <c r="AE8" s="342"/>
      <c r="AF8" s="341" t="s">
        <v>117</v>
      </c>
    </row>
    <row r="9" spans="1:32">
      <c r="A9" s="307">
        <v>2</v>
      </c>
      <c r="B9" s="342"/>
      <c r="C9" s="342" t="s">
        <v>244</v>
      </c>
      <c r="D9" s="340" t="s">
        <v>390</v>
      </c>
      <c r="E9" s="342"/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391</v>
      </c>
      <c r="O9" s="346" t="s">
        <v>342</v>
      </c>
      <c r="P9" s="347" t="s">
        <v>342</v>
      </c>
      <c r="Q9" s="347" t="s">
        <v>342</v>
      </c>
      <c r="R9" s="348" t="s">
        <v>342</v>
      </c>
      <c r="S9" s="349"/>
      <c r="T9" s="343" t="s">
        <v>343</v>
      </c>
      <c r="U9" s="343"/>
      <c r="V9" s="344"/>
      <c r="W9" s="346" t="s">
        <v>342</v>
      </c>
      <c r="X9" s="347" t="s">
        <v>342</v>
      </c>
      <c r="Y9" s="347" t="s">
        <v>342</v>
      </c>
      <c r="Z9" s="348" t="s">
        <v>342</v>
      </c>
      <c r="AA9" s="349"/>
      <c r="AB9" s="343" t="s">
        <v>343</v>
      </c>
      <c r="AC9" s="343"/>
      <c r="AD9" s="344"/>
      <c r="AE9" s="342"/>
      <c r="AF9" s="341" t="s">
        <v>117</v>
      </c>
    </row>
    <row r="10" spans="1:32">
      <c r="A10" s="307">
        <v>2</v>
      </c>
      <c r="B10" s="342"/>
      <c r="C10" s="342" t="s">
        <v>244</v>
      </c>
      <c r="D10" s="340" t="s">
        <v>392</v>
      </c>
      <c r="E10" s="342" t="s">
        <v>371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393</v>
      </c>
      <c r="O10" s="346" t="s">
        <v>342</v>
      </c>
      <c r="P10" s="347" t="s">
        <v>342</v>
      </c>
      <c r="Q10" s="347" t="s">
        <v>342</v>
      </c>
      <c r="R10" s="348" t="s">
        <v>342</v>
      </c>
      <c r="S10" s="349"/>
      <c r="T10" s="343" t="s">
        <v>343</v>
      </c>
      <c r="U10" s="343"/>
      <c r="V10" s="344"/>
      <c r="W10" s="346" t="s">
        <v>342</v>
      </c>
      <c r="X10" s="347" t="s">
        <v>342</v>
      </c>
      <c r="Y10" s="347" t="s">
        <v>342</v>
      </c>
      <c r="Z10" s="348" t="s">
        <v>342</v>
      </c>
      <c r="AA10" s="349"/>
      <c r="AB10" s="343" t="s">
        <v>343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244</v>
      </c>
      <c r="D11" s="340" t="s">
        <v>394</v>
      </c>
      <c r="E11" s="342" t="s">
        <v>373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395</v>
      </c>
      <c r="O11" s="346" t="s">
        <v>342</v>
      </c>
      <c r="P11" s="347" t="s">
        <v>342</v>
      </c>
      <c r="Q11" s="347" t="s">
        <v>342</v>
      </c>
      <c r="R11" s="348" t="s">
        <v>342</v>
      </c>
      <c r="S11" s="349"/>
      <c r="T11" s="343" t="s">
        <v>343</v>
      </c>
      <c r="U11" s="343"/>
      <c r="V11" s="344"/>
      <c r="W11" s="346" t="s">
        <v>342</v>
      </c>
      <c r="X11" s="347" t="s">
        <v>342</v>
      </c>
      <c r="Y11" s="347" t="s">
        <v>342</v>
      </c>
      <c r="Z11" s="348" t="s">
        <v>342</v>
      </c>
      <c r="AA11" s="349"/>
      <c r="AB11" s="343" t="s">
        <v>343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244</v>
      </c>
      <c r="D12" s="340" t="s">
        <v>396</v>
      </c>
      <c r="E12" s="342" t="s">
        <v>375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397</v>
      </c>
      <c r="O12" s="346" t="s">
        <v>342</v>
      </c>
      <c r="P12" s="347" t="s">
        <v>342</v>
      </c>
      <c r="Q12" s="347" t="s">
        <v>342</v>
      </c>
      <c r="R12" s="348" t="s">
        <v>342</v>
      </c>
      <c r="S12" s="349"/>
      <c r="T12" s="343" t="s">
        <v>343</v>
      </c>
      <c r="U12" s="343"/>
      <c r="V12" s="344"/>
      <c r="W12" s="346" t="s">
        <v>342</v>
      </c>
      <c r="X12" s="347" t="s">
        <v>342</v>
      </c>
      <c r="Y12" s="347" t="s">
        <v>342</v>
      </c>
      <c r="Z12" s="348" t="s">
        <v>342</v>
      </c>
      <c r="AA12" s="349"/>
      <c r="AB12" s="343" t="s">
        <v>343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244</v>
      </c>
      <c r="D13" s="340" t="s">
        <v>398</v>
      </c>
      <c r="E13" s="342" t="s">
        <v>377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399</v>
      </c>
      <c r="O13" s="346" t="s">
        <v>342</v>
      </c>
      <c r="P13" s="347" t="s">
        <v>342</v>
      </c>
      <c r="Q13" s="347" t="s">
        <v>342</v>
      </c>
      <c r="R13" s="348" t="s">
        <v>342</v>
      </c>
      <c r="S13" s="349"/>
      <c r="T13" s="343" t="s">
        <v>343</v>
      </c>
      <c r="U13" s="343"/>
      <c r="V13" s="344"/>
      <c r="W13" s="346" t="s">
        <v>342</v>
      </c>
      <c r="X13" s="347" t="s">
        <v>342</v>
      </c>
      <c r="Y13" s="347" t="s">
        <v>342</v>
      </c>
      <c r="Z13" s="348" t="s">
        <v>342</v>
      </c>
      <c r="AA13" s="349"/>
      <c r="AB13" s="343" t="s">
        <v>343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244</v>
      </c>
      <c r="D14" s="340" t="s">
        <v>329</v>
      </c>
      <c r="E14" s="342" t="s">
        <v>379</v>
      </c>
      <c r="F14" s="345" t="s">
        <v>172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400</v>
      </c>
      <c r="O14" s="346" t="s">
        <v>342</v>
      </c>
      <c r="P14" s="347" t="s">
        <v>342</v>
      </c>
      <c r="Q14" s="347" t="s">
        <v>342</v>
      </c>
      <c r="R14" s="348" t="s">
        <v>342</v>
      </c>
      <c r="S14" s="349"/>
      <c r="T14" s="343" t="s">
        <v>343</v>
      </c>
      <c r="U14" s="343"/>
      <c r="V14" s="344"/>
      <c r="W14" s="346" t="s">
        <v>342</v>
      </c>
      <c r="X14" s="347" t="s">
        <v>342</v>
      </c>
      <c r="Y14" s="347" t="s">
        <v>342</v>
      </c>
      <c r="Z14" s="348" t="s">
        <v>342</v>
      </c>
      <c r="AA14" s="349"/>
      <c r="AB14" s="343" t="s">
        <v>343</v>
      </c>
      <c r="AC14" s="343"/>
      <c r="AD14" s="344"/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401</v>
      </c>
      <c r="C3" s="146" t="s">
        <v>402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403</v>
      </c>
      <c r="K4" s="69"/>
    </row>
    <row r="5" spans="1:11" ht="18" customHeight="1">
      <c r="A5" s="69"/>
      <c r="B5" s="574" t="s">
        <v>404</v>
      </c>
      <c r="C5" s="575"/>
      <c r="D5" s="153" t="s">
        <v>85</v>
      </c>
      <c r="E5" s="153" t="s">
        <v>405</v>
      </c>
      <c r="F5" s="153" t="s">
        <v>406</v>
      </c>
      <c r="G5" s="153" t="s">
        <v>407</v>
      </c>
      <c r="H5" s="154" t="s">
        <v>408</v>
      </c>
      <c r="I5" s="153" t="s">
        <v>409</v>
      </c>
      <c r="J5" s="155" t="s">
        <v>410</v>
      </c>
      <c r="K5" s="69"/>
    </row>
    <row r="6" spans="1:11" ht="10.5" customHeight="1">
      <c r="A6" s="69"/>
      <c r="B6" s="156" t="s">
        <v>411</v>
      </c>
      <c r="C6" s="157"/>
      <c r="D6" s="576" t="s">
        <v>412</v>
      </c>
      <c r="E6" s="578">
        <v>54</v>
      </c>
      <c r="F6" s="580">
        <v>2250</v>
      </c>
      <c r="G6" s="582">
        <v>121500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413</v>
      </c>
      <c r="C7" s="160"/>
      <c r="D7" s="577"/>
      <c r="E7" s="579"/>
      <c r="F7" s="581"/>
      <c r="G7" s="583"/>
      <c r="H7" s="356"/>
      <c r="I7" s="356" t="s">
        <v>414</v>
      </c>
      <c r="J7" s="161"/>
      <c r="K7" s="69" t="s">
        <v>96</v>
      </c>
    </row>
    <row r="8" spans="1:11" ht="10.5" customHeight="1">
      <c r="A8" s="69"/>
      <c r="B8" s="156" t="s">
        <v>411</v>
      </c>
      <c r="C8" s="157"/>
      <c r="D8" s="576" t="s">
        <v>412</v>
      </c>
      <c r="E8" s="578">
        <v>214</v>
      </c>
      <c r="F8" s="580">
        <v>3000</v>
      </c>
      <c r="G8" s="582">
        <v>642000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415</v>
      </c>
      <c r="C9" s="160"/>
      <c r="D9" s="577"/>
      <c r="E9" s="579"/>
      <c r="F9" s="581"/>
      <c r="G9" s="583"/>
      <c r="H9" s="356"/>
      <c r="I9" s="356" t="s">
        <v>414</v>
      </c>
      <c r="J9" s="162"/>
      <c r="K9" s="69" t="s">
        <v>96</v>
      </c>
    </row>
    <row r="10" spans="1:11" ht="10.5" customHeight="1">
      <c r="A10" s="69"/>
      <c r="B10" s="156" t="s">
        <v>416</v>
      </c>
      <c r="C10" s="157"/>
      <c r="D10" s="576" t="s">
        <v>417</v>
      </c>
      <c r="E10" s="578">
        <v>958.8</v>
      </c>
      <c r="F10" s="580">
        <v>104</v>
      </c>
      <c r="G10" s="582">
        <v>99715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414</v>
      </c>
      <c r="J11" s="161"/>
      <c r="K11" s="69" t="s">
        <v>96</v>
      </c>
    </row>
    <row r="12" spans="1:11" ht="10.5" customHeight="1">
      <c r="A12" s="69"/>
      <c r="B12" s="156" t="s">
        <v>418</v>
      </c>
      <c r="C12" s="157"/>
      <c r="D12" s="576" t="s">
        <v>419</v>
      </c>
      <c r="E12" s="584">
        <v>720</v>
      </c>
      <c r="F12" s="580">
        <v>150</v>
      </c>
      <c r="G12" s="582">
        <v>108000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414</v>
      </c>
      <c r="J13" s="161"/>
      <c r="K13" s="69" t="s">
        <v>96</v>
      </c>
    </row>
    <row r="14" spans="1:11" ht="10.5" customHeight="1">
      <c r="A14" s="69"/>
      <c r="B14" s="156" t="s">
        <v>420</v>
      </c>
      <c r="C14" s="157"/>
      <c r="D14" s="576" t="s">
        <v>421</v>
      </c>
      <c r="E14" s="584">
        <v>22</v>
      </c>
      <c r="F14" s="580">
        <v>12000</v>
      </c>
      <c r="G14" s="582">
        <v>264000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413</v>
      </c>
      <c r="C15" s="160"/>
      <c r="D15" s="577"/>
      <c r="E15" s="585"/>
      <c r="F15" s="581"/>
      <c r="G15" s="583"/>
      <c r="H15" s="356"/>
      <c r="I15" s="356" t="s">
        <v>414</v>
      </c>
      <c r="J15" s="161"/>
      <c r="K15" s="69" t="s">
        <v>96</v>
      </c>
    </row>
    <row r="16" spans="1:11" ht="10.5" customHeight="1">
      <c r="A16" s="69"/>
      <c r="B16" s="156" t="s">
        <v>420</v>
      </c>
      <c r="C16" s="157"/>
      <c r="D16" s="576" t="s">
        <v>421</v>
      </c>
      <c r="E16" s="584">
        <v>85</v>
      </c>
      <c r="F16" s="580">
        <v>12500</v>
      </c>
      <c r="G16" s="582">
        <v>1062500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415</v>
      </c>
      <c r="C17" s="160"/>
      <c r="D17" s="577"/>
      <c r="E17" s="585"/>
      <c r="F17" s="581"/>
      <c r="G17" s="583"/>
      <c r="H17" s="356"/>
      <c r="I17" s="356" t="s">
        <v>414</v>
      </c>
      <c r="J17" s="161"/>
      <c r="K17" s="69" t="s">
        <v>96</v>
      </c>
    </row>
    <row r="18" spans="1:11" ht="10.5" customHeight="1">
      <c r="A18" s="69"/>
      <c r="B18" s="156" t="s">
        <v>422</v>
      </c>
      <c r="C18" s="157"/>
      <c r="D18" s="576" t="s">
        <v>423</v>
      </c>
      <c r="E18" s="584">
        <v>1</v>
      </c>
      <c r="F18" s="580">
        <v>10436</v>
      </c>
      <c r="G18" s="582">
        <v>10436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414</v>
      </c>
      <c r="J19" s="161"/>
      <c r="K19" s="69" t="s">
        <v>96</v>
      </c>
    </row>
    <row r="20" spans="1:11" ht="10.5" customHeight="1">
      <c r="A20" s="69"/>
      <c r="B20" s="156" t="s">
        <v>424</v>
      </c>
      <c r="C20" s="157"/>
      <c r="D20" s="576" t="s">
        <v>425</v>
      </c>
      <c r="E20" s="584">
        <v>1.1990000000000001</v>
      </c>
      <c r="F20" s="580">
        <v>6000</v>
      </c>
      <c r="G20" s="582">
        <v>7194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414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426</v>
      </c>
      <c r="C24" s="157"/>
      <c r="D24" s="576"/>
      <c r="E24" s="578"/>
      <c r="F24" s="580"/>
      <c r="G24" s="582">
        <v>2315345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401</v>
      </c>
      <c r="C3" s="146" t="s">
        <v>402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403</v>
      </c>
      <c r="K4" s="69"/>
    </row>
    <row r="5" spans="1:11" ht="18" customHeight="1">
      <c r="A5" s="69"/>
      <c r="B5" s="574" t="s">
        <v>404</v>
      </c>
      <c r="C5" s="575"/>
      <c r="D5" s="153" t="s">
        <v>85</v>
      </c>
      <c r="E5" s="153" t="s">
        <v>405</v>
      </c>
      <c r="F5" s="153" t="s">
        <v>406</v>
      </c>
      <c r="G5" s="153" t="s">
        <v>407</v>
      </c>
      <c r="H5" s="154" t="s">
        <v>408</v>
      </c>
      <c r="I5" s="153" t="s">
        <v>409</v>
      </c>
      <c r="J5" s="155" t="s">
        <v>410</v>
      </c>
      <c r="K5" s="69"/>
    </row>
    <row r="6" spans="1:11" ht="10.5" customHeight="1">
      <c r="A6" s="69"/>
      <c r="B6" s="156" t="s">
        <v>427</v>
      </c>
      <c r="C6" s="157"/>
      <c r="D6" s="576" t="s">
        <v>428</v>
      </c>
      <c r="E6" s="578">
        <v>34</v>
      </c>
      <c r="F6" s="580">
        <v>22000</v>
      </c>
      <c r="G6" s="582">
        <v>748000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429</v>
      </c>
      <c r="C7" s="160"/>
      <c r="D7" s="577"/>
      <c r="E7" s="579"/>
      <c r="F7" s="581"/>
      <c r="G7" s="583"/>
      <c r="H7" s="356"/>
      <c r="I7" s="356" t="s">
        <v>430</v>
      </c>
      <c r="J7" s="161"/>
      <c r="K7" s="69" t="s">
        <v>96</v>
      </c>
    </row>
    <row r="8" spans="1:11" ht="10.5" customHeight="1">
      <c r="A8" s="69"/>
      <c r="B8" s="156" t="s">
        <v>431</v>
      </c>
      <c r="C8" s="157"/>
      <c r="D8" s="576" t="s">
        <v>428</v>
      </c>
      <c r="E8" s="578">
        <v>42</v>
      </c>
      <c r="F8" s="580">
        <v>18000</v>
      </c>
      <c r="G8" s="582">
        <v>756000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429</v>
      </c>
      <c r="C9" s="160"/>
      <c r="D9" s="577"/>
      <c r="E9" s="579"/>
      <c r="F9" s="581"/>
      <c r="G9" s="583"/>
      <c r="H9" s="356"/>
      <c r="I9" s="356" t="s">
        <v>430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426</v>
      </c>
      <c r="C12" s="157"/>
      <c r="D12" s="576"/>
      <c r="E12" s="584"/>
      <c r="F12" s="580"/>
      <c r="G12" s="582">
        <v>1504000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401</v>
      </c>
      <c r="C3" s="146" t="s">
        <v>402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403</v>
      </c>
      <c r="K4" s="69"/>
    </row>
    <row r="5" spans="1:11" ht="18" customHeight="1">
      <c r="A5" s="69"/>
      <c r="B5" s="574" t="s">
        <v>404</v>
      </c>
      <c r="C5" s="575"/>
      <c r="D5" s="153" t="s">
        <v>85</v>
      </c>
      <c r="E5" s="153" t="s">
        <v>405</v>
      </c>
      <c r="F5" s="153" t="s">
        <v>406</v>
      </c>
      <c r="G5" s="153" t="s">
        <v>407</v>
      </c>
      <c r="H5" s="154" t="s">
        <v>408</v>
      </c>
      <c r="I5" s="153" t="s">
        <v>409</v>
      </c>
      <c r="J5" s="155" t="s">
        <v>410</v>
      </c>
      <c r="K5" s="69"/>
    </row>
    <row r="6" spans="1:11" ht="10.5" customHeight="1">
      <c r="A6" s="69"/>
      <c r="B6" s="156" t="s">
        <v>432</v>
      </c>
      <c r="C6" s="157"/>
      <c r="D6" s="576" t="s">
        <v>428</v>
      </c>
      <c r="E6" s="578">
        <v>5</v>
      </c>
      <c r="F6" s="580">
        <v>17000</v>
      </c>
      <c r="G6" s="582">
        <v>85000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433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426</v>
      </c>
      <c r="C10" s="157"/>
      <c r="D10" s="576"/>
      <c r="E10" s="578"/>
      <c r="F10" s="580"/>
      <c r="G10" s="582">
        <v>85000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401</v>
      </c>
      <c r="C3" s="146" t="s">
        <v>402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403</v>
      </c>
      <c r="K4" s="69"/>
    </row>
    <row r="5" spans="1:11" ht="18" customHeight="1">
      <c r="A5" s="69"/>
      <c r="B5" s="574" t="s">
        <v>404</v>
      </c>
      <c r="C5" s="575"/>
      <c r="D5" s="153" t="s">
        <v>85</v>
      </c>
      <c r="E5" s="153" t="s">
        <v>405</v>
      </c>
      <c r="F5" s="153" t="s">
        <v>406</v>
      </c>
      <c r="G5" s="153" t="s">
        <v>407</v>
      </c>
      <c r="H5" s="154" t="s">
        <v>408</v>
      </c>
      <c r="I5" s="153" t="s">
        <v>409</v>
      </c>
      <c r="J5" s="155" t="s">
        <v>410</v>
      </c>
      <c r="K5" s="69"/>
    </row>
    <row r="6" spans="1:11" ht="10.5" customHeight="1">
      <c r="A6" s="69"/>
      <c r="B6" s="156" t="s">
        <v>434</v>
      </c>
      <c r="C6" s="157"/>
      <c r="D6" s="576" t="s">
        <v>435</v>
      </c>
      <c r="E6" s="578">
        <v>2</v>
      </c>
      <c r="F6" s="580">
        <v>50000</v>
      </c>
      <c r="G6" s="582">
        <v>100000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436</v>
      </c>
      <c r="C7" s="160"/>
      <c r="D7" s="577"/>
      <c r="E7" s="579"/>
      <c r="F7" s="581"/>
      <c r="G7" s="583"/>
      <c r="H7" s="356"/>
      <c r="I7" s="356" t="s">
        <v>437</v>
      </c>
      <c r="J7" s="161"/>
      <c r="K7" s="69" t="s">
        <v>96</v>
      </c>
    </row>
    <row r="8" spans="1:11" ht="10.5" customHeight="1">
      <c r="A8" s="69"/>
      <c r="B8" s="156" t="s">
        <v>438</v>
      </c>
      <c r="C8" s="157"/>
      <c r="D8" s="576" t="s">
        <v>435</v>
      </c>
      <c r="E8" s="578">
        <v>6</v>
      </c>
      <c r="F8" s="580">
        <v>6000</v>
      </c>
      <c r="G8" s="582">
        <v>36000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439</v>
      </c>
      <c r="C9" s="160"/>
      <c r="D9" s="577"/>
      <c r="E9" s="579"/>
      <c r="F9" s="581"/>
      <c r="G9" s="583"/>
      <c r="H9" s="356"/>
      <c r="I9" s="356" t="s">
        <v>437</v>
      </c>
      <c r="J9" s="162"/>
      <c r="K9" s="69" t="s">
        <v>96</v>
      </c>
    </row>
    <row r="10" spans="1:11" ht="10.5" customHeight="1">
      <c r="A10" s="69"/>
      <c r="B10" s="156" t="s">
        <v>440</v>
      </c>
      <c r="C10" s="157"/>
      <c r="D10" s="576" t="s">
        <v>435</v>
      </c>
      <c r="E10" s="578">
        <v>4</v>
      </c>
      <c r="F10" s="580">
        <v>9000</v>
      </c>
      <c r="G10" s="582">
        <v>36000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441</v>
      </c>
      <c r="C11" s="160"/>
      <c r="D11" s="577"/>
      <c r="E11" s="579"/>
      <c r="F11" s="581"/>
      <c r="G11" s="583"/>
      <c r="H11" s="356"/>
      <c r="I11" s="356" t="s">
        <v>437</v>
      </c>
      <c r="J11" s="161"/>
      <c r="K11" s="69" t="s">
        <v>96</v>
      </c>
    </row>
    <row r="12" spans="1:11" ht="10.5" customHeight="1">
      <c r="A12" s="69"/>
      <c r="B12" s="156" t="s">
        <v>442</v>
      </c>
      <c r="C12" s="157"/>
      <c r="D12" s="576" t="s">
        <v>443</v>
      </c>
      <c r="E12" s="584">
        <v>1</v>
      </c>
      <c r="F12" s="580">
        <v>50000</v>
      </c>
      <c r="G12" s="582">
        <v>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437</v>
      </c>
      <c r="J13" s="161"/>
      <c r="K13" s="69" t="s">
        <v>96</v>
      </c>
    </row>
    <row r="14" spans="1:11" ht="10.5" customHeight="1">
      <c r="A14" s="69"/>
      <c r="B14" s="156" t="s">
        <v>444</v>
      </c>
      <c r="C14" s="157"/>
      <c r="D14" s="576" t="s">
        <v>435</v>
      </c>
      <c r="E14" s="584">
        <v>6</v>
      </c>
      <c r="F14" s="580">
        <v>9000</v>
      </c>
      <c r="G14" s="582">
        <v>54000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445</v>
      </c>
      <c r="C15" s="160"/>
      <c r="D15" s="577"/>
      <c r="E15" s="585"/>
      <c r="F15" s="581"/>
      <c r="G15" s="583"/>
      <c r="H15" s="356"/>
      <c r="I15" s="356" t="s">
        <v>437</v>
      </c>
      <c r="J15" s="161"/>
      <c r="K15" s="69" t="s">
        <v>96</v>
      </c>
    </row>
    <row r="16" spans="1:11" ht="10.5" customHeight="1">
      <c r="A16" s="69"/>
      <c r="B16" s="156" t="s">
        <v>444</v>
      </c>
      <c r="C16" s="157"/>
      <c r="D16" s="576" t="s">
        <v>435</v>
      </c>
      <c r="E16" s="584">
        <v>6</v>
      </c>
      <c r="F16" s="580">
        <v>12000</v>
      </c>
      <c r="G16" s="582">
        <v>72000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446</v>
      </c>
      <c r="C17" s="160"/>
      <c r="D17" s="577"/>
      <c r="E17" s="585"/>
      <c r="F17" s="581"/>
      <c r="G17" s="583"/>
      <c r="H17" s="356"/>
      <c r="I17" s="356" t="s">
        <v>437</v>
      </c>
      <c r="J17" s="161"/>
      <c r="K17" s="69" t="s">
        <v>96</v>
      </c>
    </row>
    <row r="18" spans="1:11" ht="10.5" customHeight="1">
      <c r="A18" s="69"/>
      <c r="B18" s="156" t="s">
        <v>447</v>
      </c>
      <c r="C18" s="157"/>
      <c r="D18" s="576" t="s">
        <v>435</v>
      </c>
      <c r="E18" s="584">
        <v>6</v>
      </c>
      <c r="F18" s="580">
        <v>2500</v>
      </c>
      <c r="G18" s="582">
        <v>15000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437</v>
      </c>
      <c r="J19" s="161"/>
      <c r="K19" s="69" t="s">
        <v>96</v>
      </c>
    </row>
    <row r="20" spans="1:11" ht="10.5" customHeight="1">
      <c r="A20" s="69"/>
      <c r="B20" s="156" t="s">
        <v>448</v>
      </c>
      <c r="C20" s="157"/>
      <c r="D20" s="576" t="s">
        <v>435</v>
      </c>
      <c r="E20" s="584">
        <v>6</v>
      </c>
      <c r="F20" s="580">
        <v>1500</v>
      </c>
      <c r="G20" s="582">
        <v>9000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437</v>
      </c>
      <c r="J21" s="161"/>
      <c r="K21" s="69" t="s">
        <v>96</v>
      </c>
    </row>
    <row r="22" spans="1:11" ht="10.5" customHeight="1">
      <c r="A22" s="69"/>
      <c r="B22" s="156" t="s">
        <v>449</v>
      </c>
      <c r="C22" s="157"/>
      <c r="D22" s="576" t="s">
        <v>435</v>
      </c>
      <c r="E22" s="584">
        <v>4</v>
      </c>
      <c r="F22" s="580">
        <v>1500</v>
      </c>
      <c r="G22" s="582">
        <v>6000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437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426</v>
      </c>
      <c r="C26" s="157"/>
      <c r="D26" s="576"/>
      <c r="E26" s="584"/>
      <c r="F26" s="580"/>
      <c r="G26" s="582">
        <v>378000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401</v>
      </c>
      <c r="C3" s="146" t="s">
        <v>402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403</v>
      </c>
      <c r="K4" s="69"/>
    </row>
    <row r="5" spans="1:11" ht="18" customHeight="1">
      <c r="A5" s="69"/>
      <c r="B5" s="574" t="s">
        <v>404</v>
      </c>
      <c r="C5" s="575"/>
      <c r="D5" s="153" t="s">
        <v>85</v>
      </c>
      <c r="E5" s="153" t="s">
        <v>405</v>
      </c>
      <c r="F5" s="153" t="s">
        <v>406</v>
      </c>
      <c r="G5" s="153" t="s">
        <v>407</v>
      </c>
      <c r="H5" s="154" t="s">
        <v>408</v>
      </c>
      <c r="I5" s="153" t="s">
        <v>409</v>
      </c>
      <c r="J5" s="155" t="s">
        <v>410</v>
      </c>
      <c r="K5" s="69"/>
    </row>
    <row r="6" spans="1:11" ht="10.5" customHeight="1">
      <c r="A6" s="69"/>
      <c r="B6" s="156" t="s">
        <v>450</v>
      </c>
      <c r="C6" s="157"/>
      <c r="D6" s="576" t="s">
        <v>451</v>
      </c>
      <c r="E6" s="578">
        <v>2</v>
      </c>
      <c r="F6" s="580">
        <v>15000</v>
      </c>
      <c r="G6" s="582">
        <v>30000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452</v>
      </c>
      <c r="C7" s="160"/>
      <c r="D7" s="577"/>
      <c r="E7" s="579"/>
      <c r="F7" s="581"/>
      <c r="G7" s="583"/>
      <c r="H7" s="356"/>
      <c r="I7" s="356" t="s">
        <v>453</v>
      </c>
      <c r="J7" s="161"/>
      <c r="K7" s="69" t="s">
        <v>96</v>
      </c>
    </row>
    <row r="8" spans="1:11" ht="10.5" customHeight="1">
      <c r="A8" s="69"/>
      <c r="B8" s="156" t="s">
        <v>450</v>
      </c>
      <c r="C8" s="157"/>
      <c r="D8" s="576" t="s">
        <v>451</v>
      </c>
      <c r="E8" s="578">
        <v>2</v>
      </c>
      <c r="F8" s="580">
        <v>15000</v>
      </c>
      <c r="G8" s="582">
        <v>30000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454</v>
      </c>
      <c r="C9" s="160"/>
      <c r="D9" s="577"/>
      <c r="E9" s="579"/>
      <c r="F9" s="581"/>
      <c r="G9" s="583"/>
      <c r="H9" s="356"/>
      <c r="I9" s="356" t="s">
        <v>453</v>
      </c>
      <c r="J9" s="162"/>
      <c r="K9" s="69" t="s">
        <v>96</v>
      </c>
    </row>
    <row r="10" spans="1:11" ht="10.5" customHeight="1">
      <c r="A10" s="69"/>
      <c r="B10" s="156" t="s">
        <v>450</v>
      </c>
      <c r="C10" s="157"/>
      <c r="D10" s="576" t="s">
        <v>451</v>
      </c>
      <c r="E10" s="578">
        <v>2</v>
      </c>
      <c r="F10" s="580">
        <v>15000</v>
      </c>
      <c r="G10" s="582">
        <v>30000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455</v>
      </c>
      <c r="C11" s="160"/>
      <c r="D11" s="577"/>
      <c r="E11" s="579"/>
      <c r="F11" s="581"/>
      <c r="G11" s="583"/>
      <c r="H11" s="356"/>
      <c r="I11" s="356" t="s">
        <v>453</v>
      </c>
      <c r="J11" s="161"/>
      <c r="K11" s="69" t="s">
        <v>96</v>
      </c>
    </row>
    <row r="12" spans="1:11" ht="10.5" customHeight="1">
      <c r="A12" s="69"/>
      <c r="B12" s="156" t="s">
        <v>450</v>
      </c>
      <c r="C12" s="157"/>
      <c r="D12" s="576" t="s">
        <v>451</v>
      </c>
      <c r="E12" s="584">
        <v>2</v>
      </c>
      <c r="F12" s="580">
        <v>15000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456</v>
      </c>
      <c r="C13" s="160"/>
      <c r="D13" s="577"/>
      <c r="E13" s="585"/>
      <c r="F13" s="581"/>
      <c r="G13" s="583"/>
      <c r="H13" s="356"/>
      <c r="I13" s="356" t="s">
        <v>453</v>
      </c>
      <c r="J13" s="161"/>
      <c r="K13" s="69" t="s">
        <v>96</v>
      </c>
    </row>
    <row r="14" spans="1:11" ht="10.5" customHeight="1">
      <c r="A14" s="69"/>
      <c r="B14" s="156" t="s">
        <v>457</v>
      </c>
      <c r="C14" s="157"/>
      <c r="D14" s="576" t="s">
        <v>435</v>
      </c>
      <c r="E14" s="584">
        <v>1</v>
      </c>
      <c r="F14" s="580">
        <v>35000</v>
      </c>
      <c r="G14" s="582">
        <v>35000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458</v>
      </c>
      <c r="C15" s="160"/>
      <c r="D15" s="577"/>
      <c r="E15" s="585"/>
      <c r="F15" s="581"/>
      <c r="G15" s="583"/>
      <c r="H15" s="356"/>
      <c r="I15" s="356" t="s">
        <v>453</v>
      </c>
      <c r="J15" s="161"/>
      <c r="K15" s="69" t="s">
        <v>96</v>
      </c>
    </row>
    <row r="16" spans="1:11" ht="10.5" customHeight="1">
      <c r="A16" s="69"/>
      <c r="B16" s="156" t="s">
        <v>459</v>
      </c>
      <c r="C16" s="157"/>
      <c r="D16" s="576" t="s">
        <v>435</v>
      </c>
      <c r="E16" s="584">
        <v>2</v>
      </c>
      <c r="F16" s="580">
        <v>14000</v>
      </c>
      <c r="G16" s="582">
        <v>28000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453</v>
      </c>
      <c r="J17" s="161"/>
      <c r="K17" s="69" t="s">
        <v>96</v>
      </c>
    </row>
    <row r="18" spans="1:11" ht="10.5" customHeight="1">
      <c r="A18" s="69"/>
      <c r="B18" s="156" t="s">
        <v>460</v>
      </c>
      <c r="C18" s="157"/>
      <c r="D18" s="576" t="s">
        <v>435</v>
      </c>
      <c r="E18" s="584">
        <v>12</v>
      </c>
      <c r="F18" s="580">
        <v>10000</v>
      </c>
      <c r="G18" s="582">
        <v>120000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453</v>
      </c>
      <c r="J19" s="161"/>
      <c r="K19" s="69" t="s">
        <v>96</v>
      </c>
    </row>
    <row r="20" spans="1:11" ht="10.5" customHeight="1">
      <c r="A20" s="69"/>
      <c r="B20" s="156" t="s">
        <v>461</v>
      </c>
      <c r="C20" s="157"/>
      <c r="D20" s="576" t="s">
        <v>435</v>
      </c>
      <c r="E20" s="584">
        <v>22</v>
      </c>
      <c r="F20" s="580">
        <v>8000</v>
      </c>
      <c r="G20" s="582">
        <v>176000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462</v>
      </c>
      <c r="C21" s="160"/>
      <c r="D21" s="577"/>
      <c r="E21" s="585"/>
      <c r="F21" s="581"/>
      <c r="G21" s="583"/>
      <c r="H21" s="356"/>
      <c r="I21" s="356" t="s">
        <v>453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426</v>
      </c>
      <c r="C24" s="157"/>
      <c r="D24" s="576"/>
      <c r="E24" s="578"/>
      <c r="F24" s="580"/>
      <c r="G24" s="582">
        <v>479000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2026-02-03T07:29:42Z</dcterms:modified>
  <cp:category/>
  <cp:contentStatus/>
</cp:coreProperties>
</file>