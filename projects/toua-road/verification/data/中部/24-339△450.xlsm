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filterPrivacy="1" showInkAnnotation="0" updateLinks="never" codeName="ThisWorkbook"/>
  <xr:revisionPtr revIDLastSave="0" documentId="8_{CBD9E946-CCC1-4B53-9224-CDA918BAA86B}" xr6:coauthVersionLast="47" xr6:coauthVersionMax="47" xr10:uidLastSave="{00000000-0000-0000-0000-000000000000}"/>
  <bookViews>
    <workbookView xWindow="28680" yWindow="-120" windowWidth="29040" windowHeight="15720" tabRatio="728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現場経費総括表" sheetId="33" r:id="rId9"/>
    <sheet name="工事費一覧表(現場経費)" sheetId="34" r:id="rId10"/>
    <sheet name="調書(材料費)" sheetId="8" r:id="rId11"/>
    <sheet name="調書(労務費)" sheetId="13" r:id="rId12"/>
    <sheet name="調書(外注費)" sheetId="14" r:id="rId13"/>
    <sheet name="調書(機械費)" sheetId="16" r:id="rId14"/>
    <sheet name="調書(運搬費)" sheetId="15" r:id="rId15"/>
  </sheets>
  <functionGroups builtInGroupCount="19"/>
  <definedNames>
    <definedName name="_xlnm._FilterDatabase" localSheetId="9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'工事費一覧表(現場経費)'!$A$1:$AF$8</definedName>
    <definedName name="_xlnm.Print_Area" localSheetId="6">'工事費一覧表(直接工事費)'!$A$1:$AF$60</definedName>
    <definedName name="_xlnm.Print_Area" localSheetId="0">実行予算書鑑!$A$1:$AM$32</definedName>
    <definedName name="_xlnm.Print_Area" localSheetId="14">'調書(運搬費)'!#REF!</definedName>
    <definedName name="_xlnm.Print_Area" localSheetId="12">'調書(外注費)'!#REF!</definedName>
    <definedName name="_xlnm.Print_Area" localSheetId="13">'調書(機械費)'!#REF!</definedName>
    <definedName name="_xlnm.Print_Area" localSheetId="10">'調書(材料費)'!#REF!</definedName>
    <definedName name="_xlnm.Print_Area" localSheetId="11">'調書(労務費)'!#REF!</definedName>
    <definedName name="_xlnm.Print_Titles" localSheetId="9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D1" i="34" l="1"/>
  <c r="D1" i="29"/>
  <c r="Z1" i="34"/>
  <c r="R1" i="34"/>
  <c r="J1" i="34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/>
  <c r="D11" i="25"/>
  <c r="O26" i="25" l="1"/>
  <c r="O21" i="25" s="1"/>
  <c r="Q26" i="25"/>
  <c r="Q21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O22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Q22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<sst xmlns="http://schemas.openxmlformats.org/spreadsheetml/2006/main" count="1131" uniqueCount="337">
  <si>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</si>
  <si>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</si>
  <si>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</si>
  <si>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</si>
  <si>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</si>
  <si>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</si>
  <si>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</si>
  <si>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</si>
  <si>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</si>
  <si>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</si>
  <si>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</si>
  <si>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</si>
  <si>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</si>
  <si>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</si>
  <si>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</si>
  <si>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</si>
  <si>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</si>
  <si>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</si>
  <si>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</si>
  <si>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</si>
  <si>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</si>
  <si>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</si>
  <si>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</si>
  <si>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</si>
  <si>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</si>
  <si>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</si>
  <si>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</si>
  <si>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</si>
  <si>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</si>
  <si>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</si>
  <si>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</si>
  <si>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</si>
  <si>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</si>
  <si>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</si>
  <si>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</si>
  <si>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</si>
  <si>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</si>
  <si>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</si>
  <si>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</si>
  <si>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</si>
  <si>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</si>
  <si>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</si>
  <si>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</si>
  <si>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</si>
  <si>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</si>
  <si>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</si>
  <si>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</si>
  <si>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</si>
  <si>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</si>
  <si>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</si>
  <si>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</si>
  <si>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</si>
  <si>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</si>
  <si>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</si>
  <si>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</si>
  <si>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</si>
  <si>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</si>
  <si>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</si>
  <si>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</si>
  <si>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</si>
  <si>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</si>
  <si>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</si>
  <si>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</si>
  <si>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</si>
  <si>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</si>
  <si>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</si>
  <si>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</si>
  <si>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</si>
  <si>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</si>
  <si>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</si>
  <si>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</si>
  <si>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</si>
  <si>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</si>
  <si>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</si>
  <si>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</si>
  <si>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単位</t>
    <rPh sb="0" eb="2">
      <t>タンイ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</si>
  <si>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</si>
  <si>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</si>
  <si>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</si>
  <si>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</si>
  <si>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</si>
  <si>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</si>
  <si>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</si>
  <si>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</si>
  <si>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</si>
  <si>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</si>
  <si>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</si>
  <si>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</si>
  <si>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</si>
  <si>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</si>
  <si>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</si>
  <si>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</si>
  <si>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</si>
  <si>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</si>
  <si>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</si>
  <si>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</si>
  <si>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</si>
  <si>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</si>
  <si>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</si>
  <si>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</si>
  <si>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</si>
  <si>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</si>
  <si>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</si>
  <si>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外注調書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</si>
  <si>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</si>
  <si>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</si>
  <si>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</si>
  <si>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</si>
  <si>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</si>
  <si>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</si>
  <si>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</si>
  <si>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</si>
  <si>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</si>
  <si>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</si>
  <si>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</si>
  <si>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</si>
  <si>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</si>
  <si>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</si>
  <si>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</si>
  <si>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</si>
  <si>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</si>
  <si>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</si>
  <si>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</si>
  <si>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</si>
  <si>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</si>
  <si>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</si>
  <si>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</si>
  <si>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</si>
  <si>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</si>
  <si>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</si>
  <si>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</si>
  <si>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</si>
  <si>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</si>
  <si>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</si>
  <si>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5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</si>
  <si>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</si>
  <si>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</si>
  <si>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</si>
  <si>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phoneticPr fontId="6"/>
  </si>
  <si>
    <t>工事総括表2</t>
    <phoneticPr fontId="6"/>
  </si>
  <si>
    <t>24-339 F</t>
  </si>
  <si>
    <t>（第1回変更予算）</t>
  </si>
  <si>
    <t>安井将太</t>
  </si>
  <si>
    <t>中小河川改良工事</t>
  </si>
  <si>
    <t>山田建設（株）</t>
  </si>
  <si>
    <t>中京支店</t>
  </si>
  <si>
    <t>蟹江町大字蟹江新田地内</t>
  </si>
  <si>
    <t>2025年4月1日</t>
  </si>
  <si>
    <t>2025年7月31日</t>
  </si>
  <si>
    <t>2025年5月12日</t>
  </si>
  <si>
    <t>2025年6月30日</t>
  </si>
  <si>
    <t>不陸整正</t>
  </si>
  <si>
    <t>表層</t>
  </si>
  <si>
    <t>不陸整正～表層</t>
  </si>
  <si>
    <t>共通費</t>
  </si>
  <si>
    <t>重機回送費</t>
  </si>
  <si>
    <t>法定福利費</t>
  </si>
  <si>
    <t>外注経費</t>
  </si>
  <si>
    <t>社員給料</t>
  </si>
  <si>
    <t>本工事は不陸整正・舗装工事の2回戦である。</t>
  </si>
  <si>
    <t>1回戦</t>
  </si>
  <si>
    <t>m2</t>
  </si>
  <si>
    <t>2回戦</t>
  </si>
  <si>
    <t>式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</si>
  <si>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</si>
  <si>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</si>
  <si>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</si>
  <si>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</si>
  <si>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</si>
  <si>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</si>
  <si>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</si>
  <si>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中部支社</t>
  </si>
  <si>
    <t>単独</t>
  </si>
  <si>
    <t>F</t>
  </si>
  <si>
    <t>2025年4月1日 ～ 2025年7月31日</t>
  </si>
  <si>
    <t>2025年5月12日 ～ 2025年6月30日</t>
  </si>
  <si>
    <t>本工事は不陸整正・舗装工事の2回戦である。</t>
    <phoneticPr fontId="4"/>
  </si>
  <si>
    <t>直接工事費</t>
  </si>
  <si>
    <t xml:space="preserve">  不陸整正</t>
  </si>
  <si>
    <t xml:space="preserve">  1回戦</t>
  </si>
  <si>
    <t xml:space="preserve">  2回戦</t>
  </si>
  <si>
    <t xml:space="preserve">  表層</t>
  </si>
  <si>
    <t xml:space="preserve">  不陸整正～表層</t>
  </si>
  <si>
    <t xml:space="preserve">  共通費</t>
  </si>
  <si>
    <t xml:space="preserve">  </t>
  </si>
  <si>
    <t xml:space="preserve">  重機回送費</t>
  </si>
  <si>
    <t xml:space="preserve">  法定福利費</t>
  </si>
  <si>
    <t xml:space="preserve">  外注経費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</si>
  <si>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</si>
  <si>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</si>
  <si>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</si>
  <si>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</si>
  <si>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</si>
  <si>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</si>
  <si>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</si>
  <si>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>計</t>
  </si>
  <si>
    <t>中小河川改良工事</t>
    <phoneticPr fontId="4"/>
  </si>
  <si>
    <t>総括</t>
  </si>
  <si>
    <t>集計行</t>
  </si>
  <si>
    <t>｜直接工事費</t>
  </si>
  <si>
    <t>内訳代価</t>
  </si>
  <si>
    <t>｜｜不陸整正</t>
  </si>
  <si>
    <t>｜｜｜軽油</t>
  </si>
  <si>
    <t>ℓ</t>
  </si>
  <si>
    <t xml:space="preserve">s5001 </t>
  </si>
  <si>
    <t xml:space="preserve">{数量=1*30} </t>
  </si>
  <si>
    <t>｜｜｜土工</t>
  </si>
  <si>
    <t>外注作業員</t>
  </si>
  <si>
    <t>人</t>
  </si>
  <si>
    <t xml:space="preserve">r2004 </t>
  </si>
  <si>
    <t xml:space="preserve">{数量=1*7} </t>
  </si>
  <si>
    <t>｜｜｜ｺﾝﾊﾞｲﾝﾄﾞﾛｰﾗ</t>
  </si>
  <si>
    <t>4t</t>
  </si>
  <si>
    <t>台</t>
  </si>
  <si>
    <t xml:space="preserve">k0006 </t>
  </si>
  <si>
    <t xml:space="preserve">{数量=1*1} </t>
  </si>
  <si>
    <t>｜｜｜ﾀｲﾔｼｮﾍﾞﾙ</t>
  </si>
  <si>
    <t>0.4m3</t>
  </si>
  <si>
    <t xml:space="preserve">k0007 </t>
  </si>
  <si>
    <t>｜｜｜ﾊﾞｯｸﾎｳ</t>
  </si>
  <si>
    <t>0.15m3</t>
  </si>
  <si>
    <t xml:space="preserve">k0012 </t>
  </si>
  <si>
    <t>｜｜｜ﾌﾟﾚｰﾄ</t>
  </si>
  <si>
    <t xml:space="preserve">k0015 </t>
  </si>
  <si>
    <t>｜｜｜3tﾀﾞﾝﾌﾟ</t>
  </si>
  <si>
    <t xml:space="preserve">u0002 </t>
  </si>
  <si>
    <t xml:space="preserve">{数量=1*2} </t>
  </si>
  <si>
    <t>｜｜｜連絡車</t>
  </si>
  <si>
    <t>Wﾋﾟｯｸ</t>
  </si>
  <si>
    <t xml:space="preserve">u0005 </t>
  </si>
  <si>
    <t>｜｜｜諸雑費</t>
  </si>
  <si>
    <t>調整金</t>
  </si>
  <si>
    <t>｜｜表層</t>
  </si>
  <si>
    <t xml:space="preserve">｜｜｜密粒度As13 </t>
  </si>
  <si>
    <t>現着</t>
  </si>
  <si>
    <t>t</t>
  </si>
  <si>
    <t xml:space="preserve">s2013 </t>
  </si>
  <si>
    <t xml:space="preserve">{数量=920*0.05*2.35*1.05} </t>
  </si>
  <si>
    <t>｜｜｜RSK-3・4</t>
  </si>
  <si>
    <t>リットル</t>
  </si>
  <si>
    <t xml:space="preserve">s1002 </t>
  </si>
  <si>
    <t xml:space="preserve">{数量=920*1.2} </t>
  </si>
  <si>
    <t>｜｜｜砂</t>
  </si>
  <si>
    <t>m3</t>
  </si>
  <si>
    <t xml:space="preserve">{数量=920*0.002} </t>
  </si>
  <si>
    <t xml:space="preserve">{数量=1*50} </t>
  </si>
  <si>
    <t xml:space="preserve">{数量=1*10} </t>
  </si>
  <si>
    <t>｜｜｜ｱｽﾌｧﾙﾄﾌｨﾆｯｼｬ</t>
  </si>
  <si>
    <t>W=3.2m級</t>
  </si>
  <si>
    <t xml:space="preserve">k0003 </t>
  </si>
  <si>
    <t>｜｜｜ﾃﾞｨｽﾄﾘﾋﾞｭｰﾀ</t>
  </si>
  <si>
    <t>車</t>
  </si>
  <si>
    <t xml:space="preserve">k1001 </t>
  </si>
  <si>
    <t>｜｜｜舗装道具</t>
  </si>
  <si>
    <t>｜｜不陸整正～表層</t>
  </si>
  <si>
    <t xml:space="preserve">{数量=303*0.05*2.35*1.05} </t>
  </si>
  <si>
    <t xml:space="preserve">{数量=303*1.2} </t>
  </si>
  <si>
    <t xml:space="preserve">{数量=303*0.002} </t>
  </si>
  <si>
    <t xml:space="preserve">{数量=1*9} </t>
  </si>
  <si>
    <t>｜｜共通費</t>
  </si>
  <si>
    <t>｜｜｜養生材</t>
  </si>
  <si>
    <t>｜｜｜コアカッター1式</t>
  </si>
  <si>
    <t>｜｜重機回送費</t>
  </si>
  <si>
    <t>TS</t>
  </si>
  <si>
    <t>回</t>
  </si>
  <si>
    <t>BH015</t>
  </si>
  <si>
    <t>｜｜｜10t車回送</t>
  </si>
  <si>
    <t>AE1432・CVR</t>
  </si>
  <si>
    <t xml:space="preserve">u0013 </t>
  </si>
  <si>
    <t>｜｜法定福利費</t>
  </si>
  <si>
    <t>｜｜｜法定福利費</t>
  </si>
  <si>
    <t>｜｜外注経費</t>
  </si>
  <si>
    <t>｜｜｜外注経費</t>
  </si>
  <si>
    <t>予算2</t>
    <phoneticPr fontId="6"/>
  </si>
  <si>
    <t>0</t>
  </si>
  <si>
    <t>#DIV/0!</t>
  </si>
  <si>
    <t>｜現場経費</t>
  </si>
  <si>
    <t>｜｜社員給料</t>
  </si>
  <si>
    <t>｜｜｜社員給料</t>
  </si>
  <si>
    <t>総合1級　昼間</t>
  </si>
  <si>
    <t>日</t>
  </si>
  <si>
    <t xml:space="preserve">m0002 </t>
  </si>
  <si>
    <t>工事名称</t>
    <phoneticPr fontId="6"/>
  </si>
  <si>
    <t>中小河川改良工事</t>
    <phoneticPr fontId="6"/>
  </si>
  <si>
    <t>24-339 F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</si>
  <si>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</si>
  <si>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</si>
  <si>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</si>
  <si>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</si>
  <si>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</si>
  <si>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</si>
  <si>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</si>
  <si>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RSK-3・4</t>
    <phoneticPr fontId="6"/>
  </si>
  <si>
    <t>リットル</t>
    <phoneticPr fontId="6"/>
  </si>
  <si>
    <t>材料費</t>
    <phoneticPr fontId="6"/>
  </si>
  <si>
    <t>軽油</t>
    <phoneticPr fontId="6"/>
  </si>
  <si>
    <t>ℓ</t>
    <phoneticPr fontId="6"/>
  </si>
  <si>
    <t>砂</t>
    <phoneticPr fontId="6"/>
  </si>
  <si>
    <t>m3</t>
    <phoneticPr fontId="6"/>
  </si>
  <si>
    <t xml:space="preserve">密粒度As13 </t>
    <phoneticPr fontId="6"/>
  </si>
  <si>
    <t>t</t>
    <phoneticPr fontId="6"/>
  </si>
  <si>
    <t>現着</t>
    <phoneticPr fontId="6"/>
  </si>
  <si>
    <t>養生材</t>
    <phoneticPr fontId="6"/>
  </si>
  <si>
    <t>式</t>
    <phoneticPr fontId="6"/>
  </si>
  <si>
    <t>計</t>
    <phoneticPr fontId="6"/>
  </si>
  <si>
    <t>土工</t>
    <phoneticPr fontId="6"/>
  </si>
  <si>
    <t>人</t>
    <phoneticPr fontId="6"/>
  </si>
  <si>
    <t>外注作業員</t>
    <phoneticPr fontId="6"/>
  </si>
  <si>
    <t>労務費</t>
    <phoneticPr fontId="6"/>
  </si>
  <si>
    <t>外注経費</t>
    <phoneticPr fontId="6"/>
  </si>
  <si>
    <t>1回戦</t>
    <phoneticPr fontId="6"/>
  </si>
  <si>
    <t>外注費</t>
    <phoneticPr fontId="6"/>
  </si>
  <si>
    <t>2回戦</t>
    <phoneticPr fontId="6"/>
  </si>
  <si>
    <t>ｱｽﾌｧﾙﾄﾌｨﾆｯｼｬ</t>
    <phoneticPr fontId="6"/>
  </si>
  <si>
    <t>台</t>
    <phoneticPr fontId="6"/>
  </si>
  <si>
    <t>W=3.2m級</t>
    <phoneticPr fontId="6"/>
  </si>
  <si>
    <t>機械費</t>
    <phoneticPr fontId="6"/>
  </si>
  <si>
    <t>コアカッター1式</t>
    <phoneticPr fontId="6"/>
  </si>
  <si>
    <t>ｺﾝﾊﾞｲﾝﾄﾞﾛｰﾗ</t>
    <phoneticPr fontId="6"/>
  </si>
  <si>
    <t>4t</t>
    <phoneticPr fontId="6"/>
  </si>
  <si>
    <t>ﾀｲﾔｼｮﾍﾞﾙ</t>
    <phoneticPr fontId="6"/>
  </si>
  <si>
    <t>0.4m3</t>
    <phoneticPr fontId="6"/>
  </si>
  <si>
    <t>ﾃﾞｨｽﾄﾘﾋﾞｭｰﾀ</t>
    <phoneticPr fontId="6"/>
  </si>
  <si>
    <t>車</t>
    <phoneticPr fontId="6"/>
  </si>
  <si>
    <t>ﾊﾞｯｸﾎｳ</t>
    <phoneticPr fontId="6"/>
  </si>
  <si>
    <t>0.15m3</t>
    <phoneticPr fontId="6"/>
  </si>
  <si>
    <t>ﾌﾟﾚｰﾄ</t>
    <phoneticPr fontId="6"/>
  </si>
  <si>
    <t>舗装道具</t>
    <phoneticPr fontId="6"/>
  </si>
  <si>
    <t>10t車回送</t>
    <phoneticPr fontId="6"/>
  </si>
  <si>
    <t>回</t>
    <phoneticPr fontId="6"/>
  </si>
  <si>
    <t>AE1432・CVR</t>
    <phoneticPr fontId="6"/>
  </si>
  <si>
    <t>運搬費</t>
    <phoneticPr fontId="6"/>
  </si>
  <si>
    <t>3tﾀﾞﾝﾌﾟ</t>
    <phoneticPr fontId="6"/>
  </si>
  <si>
    <t>BH015</t>
    <phoneticPr fontId="6"/>
  </si>
  <si>
    <t>TS</t>
    <phoneticPr fontId="6"/>
  </si>
  <si>
    <t>連絡車</t>
    <phoneticPr fontId="6"/>
  </si>
  <si>
    <t>Wﾋﾟｯｸ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</si>
</sst>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7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4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7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59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0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2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4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17" fillId="9" borderId="11" xfId="3" applyFont="1" applyFill="1" applyBorder="1" applyAlignment="1">
      <alignment horizontal="center" vertical="center"/>
    </xf>
    <xf numFmtId="49" fontId="3" fillId="9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9" borderId="0" xfId="3" applyFont="1" applyFill="1" applyAlignment="1">
      <alignment horizontal="left"/>
    </xf>
    <xf numFmtId="0" fontId="26" fillId="9" borderId="0" xfId="3" applyFont="1" applyFill="1"/>
    <xf numFmtId="0" fontId="26" fillId="9" borderId="0" xfId="3" applyFont="1" applyFill="1" applyAlignment="1">
      <alignment horizontal="center"/>
    </xf>
    <xf numFmtId="0" fontId="3" fillId="9" borderId="0" xfId="3" applyFont="1" applyFill="1" applyAlignment="1">
      <alignment horizontal="right"/>
    </xf>
    <xf numFmtId="0" fontId="3" fillId="9" borderId="0" xfId="3" applyFont="1" applyFill="1"/>
    <xf numFmtId="179" fontId="3" fillId="9" borderId="0" xfId="3" applyNumberFormat="1" applyFont="1" applyFill="1" applyAlignment="1">
      <alignment horizontal="right"/>
    </xf>
    <xf numFmtId="0" fontId="17" fillId="9" borderId="28" xfId="3" applyFont="1" applyFill="1" applyBorder="1" applyAlignment="1">
      <alignment horizontal="center" vertical="center"/>
    </xf>
    <xf numFmtId="0" fontId="17" fillId="9" borderId="123" xfId="3" applyFont="1" applyFill="1" applyBorder="1" applyAlignment="1">
      <alignment horizontal="center" vertical="center"/>
    </xf>
    <xf numFmtId="0" fontId="17" fillId="9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0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24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2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6" fillId="3" borderId="0" xfId="3" applyFont="1" applyFill="1" applyAlignment="1">
      <alignment horizontal="center"/>
    </xf>
    <xf numFmtId="0" fontId="3" fillId="13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3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53" xfId="2" applyFont="1" applyFill="1" applyBorder="1" applyAlignment="1">
      <alignment horizontal="center" vertical="center"/>
    </xf>
    <xf numFmtId="0" fontId="15" fillId="3" borderId="154" xfId="2" applyFont="1" applyFill="1" applyBorder="1" applyAlignment="1">
      <alignment horizontal="center" vertical="center"/>
    </xf>
    <xf numFmtId="0" fontId="15" fillId="3" borderId="155" xfId="2" applyFont="1" applyFill="1" applyBorder="1" applyAlignment="1">
      <alignment horizontal="center" vertical="center"/>
    </xf>
    <xf numFmtId="181" fontId="9" fillId="5" borderId="158" xfId="2" applyNumberFormat="1" applyFont="1" applyFill="1" applyBorder="1" applyAlignment="1">
      <alignment horizontal="center"/>
    </xf>
    <xf numFmtId="181" fontId="9" fillId="5" borderId="159" xfId="2" applyNumberFormat="1" applyFont="1" applyFill="1" applyBorder="1" applyAlignment="1">
      <alignment horizontal="center"/>
    </xf>
    <xf numFmtId="181" fontId="9" fillId="5" borderId="160" xfId="2" applyNumberFormat="1" applyFont="1" applyFill="1" applyBorder="1" applyAlignment="1">
      <alignment horizontal="center"/>
    </xf>
    <xf numFmtId="181" fontId="9" fillId="5" borderId="162" xfId="2" applyNumberFormat="1" applyFont="1" applyFill="1" applyBorder="1" applyAlignment="1">
      <alignment horizontal="center"/>
    </xf>
    <xf numFmtId="181" fontId="9" fillId="5" borderId="163" xfId="2" applyNumberFormat="1" applyFont="1" applyFill="1" applyBorder="1" applyAlignment="1">
      <alignment horizontal="center"/>
    </xf>
    <xf numFmtId="181" fontId="9" fillId="5" borderId="164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8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0" fontId="3" fillId="0" borderId="0" xfId="8" applyFont="1" applyAlignment="1">
      <alignment horizontal="center"/>
    </xf>
    <xf numFmtId="0" fontId="3" fillId="0" borderId="0" xfId="8" applyFont="1" applyAlignment="1">
      <alignment horizontal="right"/>
    </xf>
    <xf numFmtId="38" fontId="30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0" fillId="10" borderId="0" xfId="6" applyNumberFormat="1" applyFont="1" applyFill="1" applyAlignment="1"/>
    <xf numFmtId="0" fontId="30" fillId="0" borderId="0" xfId="6" applyNumberFormat="1" applyFont="1" applyAlignment="1"/>
    <xf numFmtId="177" fontId="3" fillId="0" borderId="0" xfId="6" applyNumberFormat="1" applyFont="1" applyBorder="1" applyAlignment="1"/>
    <xf numFmtId="38" fontId="30" fillId="0" borderId="5" xfId="5" applyFont="1" applyFill="1" applyBorder="1" applyAlignment="1">
      <alignment shrinkToFit="1"/>
    </xf>
    <xf numFmtId="0" fontId="11" fillId="11" borderId="117" xfId="8" applyFont="1" applyFill="1" applyBorder="1" applyAlignment="1">
      <alignment horizontal="center" vertical="center" wrapText="1"/>
    </xf>
    <xf numFmtId="0" fontId="31" fillId="11" borderId="117" xfId="8" applyFont="1" applyFill="1" applyBorder="1" applyAlignment="1">
      <alignment horizontal="center" vertical="center" wrapText="1"/>
    </xf>
    <xf numFmtId="0" fontId="3" fillId="11" borderId="117" xfId="8" applyFont="1" applyFill="1" applyBorder="1" applyAlignment="1">
      <alignment horizontal="center" vertical="center"/>
    </xf>
    <xf numFmtId="0" fontId="9" fillId="0" borderId="0" xfId="8" applyFont="1"/>
    <xf numFmtId="0" fontId="11" fillId="11" borderId="119" xfId="8" applyFont="1" applyFill="1" applyBorder="1" applyAlignment="1">
      <alignment horizontal="center" vertical="center"/>
    </xf>
    <xf numFmtId="0" fontId="3" fillId="11" borderId="119" xfId="8" applyFont="1" applyFill="1" applyBorder="1" applyAlignment="1">
      <alignment horizontal="center" vertical="center"/>
    </xf>
    <xf numFmtId="180" fontId="3" fillId="11" borderId="126" xfId="8" applyNumberFormat="1" applyFont="1" applyFill="1" applyBorder="1" applyAlignment="1">
      <alignment horizontal="center" vertical="center" shrinkToFit="1"/>
    </xf>
    <xf numFmtId="38" fontId="3" fillId="11" borderId="127" xfId="5" applyFont="1" applyFill="1" applyBorder="1" applyAlignment="1">
      <alignment horizontal="center" vertical="center" shrinkToFit="1"/>
    </xf>
    <xf numFmtId="180" fontId="3" fillId="11" borderId="128" xfId="8" applyNumberFormat="1" applyFont="1" applyFill="1" applyBorder="1" applyAlignment="1">
      <alignment horizontal="center" vertical="center" shrinkToFit="1"/>
    </xf>
    <xf numFmtId="180" fontId="3" fillId="11" borderId="129" xfId="8" applyNumberFormat="1" applyFont="1" applyFill="1" applyBorder="1" applyAlignment="1">
      <alignment horizontal="center" vertical="center" shrinkToFit="1"/>
    </xf>
    <xf numFmtId="180" fontId="15" fillId="11" borderId="127" xfId="8" applyNumberFormat="1" applyFont="1" applyFill="1" applyBorder="1" applyAlignment="1">
      <alignment horizontal="center" vertical="center" shrinkToFit="1"/>
    </xf>
    <xf numFmtId="180" fontId="15" fillId="11" borderId="130" xfId="8" applyNumberFormat="1" applyFont="1" applyFill="1" applyBorder="1" applyAlignment="1">
      <alignment horizontal="center" vertical="center" shrinkToFit="1"/>
    </xf>
    <xf numFmtId="180" fontId="3" fillId="11" borderId="11" xfId="8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2" fillId="0" borderId="21" xfId="5" applyNumberFormat="1" applyFont="1" applyBorder="1" applyAlignment="1">
      <alignment horizontal="center" shrinkToFit="1"/>
    </xf>
    <xf numFmtId="177" fontId="3" fillId="0" borderId="134" xfId="6" applyNumberFormat="1" applyFont="1" applyBorder="1" applyAlignment="1">
      <alignment shrinkToFit="1"/>
    </xf>
    <xf numFmtId="0" fontId="3" fillId="0" borderId="134" xfId="6" applyNumberFormat="1" applyFont="1" applyBorder="1" applyAlignment="1">
      <alignment shrinkToFit="1"/>
    </xf>
    <xf numFmtId="0" fontId="3" fillId="0" borderId="135" xfId="6" applyNumberFormat="1" applyFont="1" applyBorder="1" applyAlignment="1">
      <alignment shrinkToFit="1"/>
    </xf>
    <xf numFmtId="0" fontId="3" fillId="0" borderId="0" xfId="8" applyFont="1"/>
    <xf numFmtId="0" fontId="3" fillId="12" borderId="0" xfId="8" applyFont="1" applyFill="1"/>
    <xf numFmtId="0" fontId="3" fillId="12" borderId="0" xfId="8" applyFont="1" applyFill="1" applyAlignment="1">
      <alignment horizontal="center"/>
    </xf>
    <xf numFmtId="49" fontId="3" fillId="3" borderId="125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23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0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24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2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0" xfId="2" applyFont="1" applyBorder="1" applyAlignment="1">
      <alignment vertical="center"/>
    </xf>
    <xf numFmtId="0" fontId="9" fillId="0" borderId="171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2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74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25" xfId="3" applyFont="1" applyFill="1" applyBorder="1" applyAlignment="1">
      <alignment horizontal="center" vertical="center"/>
    </xf>
    <xf numFmtId="0" fontId="26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29" fillId="0" borderId="5" xfId="7" applyFont="1" applyBorder="1" applyAlignment="1">
      <alignment horizontal="left"/>
    </xf>
    <xf numFmtId="0" fontId="29" fillId="0" borderId="0" xfId="7" applyFont="1" applyAlignment="1">
      <alignment horizontal="left"/>
    </xf>
    <xf numFmtId="0" fontId="18" fillId="0" borderId="0" xfId="8" applyFont="1"/>
    <xf numFmtId="0" fontId="11" fillId="0" borderId="0" xfId="8" applyFont="1"/>
    <xf numFmtId="0" fontId="3" fillId="0" borderId="131" xfId="7" applyFont="1" applyBorder="1" applyAlignment="1">
      <alignment shrinkToFit="1"/>
    </xf>
    <xf numFmtId="183" fontId="3" fillId="0" borderId="133" xfId="5" applyNumberFormat="1" applyFont="1" applyBorder="1" applyAlignment="1">
      <alignment shrinkToFit="1"/>
    </xf>
    <xf numFmtId="182" fontId="3" fillId="0" borderId="134" xfId="5" applyNumberFormat="1" applyFont="1" applyBorder="1" applyAlignment="1">
      <alignment shrinkToFit="1"/>
    </xf>
    <xf numFmtId="0" fontId="3" fillId="0" borderId="133" xfId="8" applyFont="1" applyBorder="1" applyAlignment="1">
      <alignment shrinkToFit="1"/>
    </xf>
    <xf numFmtId="38" fontId="3" fillId="0" borderId="134" xfId="5" applyFont="1" applyBorder="1" applyAlignment="1">
      <alignment shrinkToFit="1"/>
    </xf>
    <xf numFmtId="0" fontId="18" fillId="12" borderId="0" xfId="8" applyFont="1" applyFill="1"/>
    <xf numFmtId="0" fontId="33" fillId="12" borderId="0" xfId="8" applyFont="1" applyFill="1" applyAlignment="1">
      <alignment shrinkToFit="1"/>
    </xf>
    <xf numFmtId="0" fontId="33" fillId="0" borderId="0" xfId="8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2" fontId="30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34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2" xfId="8" applyNumberFormat="1" applyFont="1" applyBorder="1"/>
    <xf numFmtId="49" fontId="3" fillId="0" borderId="131" xfId="5" applyNumberFormat="1" applyFont="1" applyBorder="1" applyAlignment="1">
      <alignment shrinkToFit="1"/>
    </xf>
    <xf numFmtId="49" fontId="3" fillId="0" borderId="131" xfId="7" applyNumberFormat="1" applyFont="1" applyBorder="1" applyAlignment="1">
      <alignment shrinkToFit="1"/>
    </xf>
    <xf numFmtId="49" fontId="3" fillId="0" borderId="134" xfId="6" applyNumberFormat="1" applyFont="1" applyBorder="1" applyAlignment="1">
      <alignment shrinkToFit="1"/>
    </xf>
    <xf numFmtId="49" fontId="3" fillId="0" borderId="135" xfId="6" applyNumberFormat="1" applyFont="1" applyBorder="1" applyAlignment="1">
      <alignment shrinkToFit="1"/>
    </xf>
    <xf numFmtId="49" fontId="3" fillId="0" borderId="131" xfId="7" applyNumberFormat="1" applyFont="1" applyBorder="1" applyAlignment="1">
      <alignment horizontal="center" shrinkToFit="1"/>
    </xf>
    <xf numFmtId="49" fontId="3" fillId="0" borderId="133" xfId="8" applyNumberFormat="1" applyFont="1" applyBorder="1" applyAlignment="1">
      <alignment shrinkToFit="1"/>
    </xf>
    <xf numFmtId="49" fontId="3" fillId="0" borderId="134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2" fillId="0" borderId="21" xfId="5" applyNumberFormat="1" applyFont="1" applyBorder="1" applyAlignment="1">
      <alignment horizontal="center" shrinkToFit="1"/>
    </xf>
    <xf numFmtId="49" fontId="29" fillId="0" borderId="5" xfId="7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9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1" xfId="2" applyNumberFormat="1" applyFont="1" applyBorder="1" applyAlignment="1">
      <alignment shrinkToFit="1"/>
    </xf>
    <xf numFmtId="182" fontId="3" fillId="0" borderId="152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1" xfId="2" applyNumberFormat="1" applyFont="1" applyBorder="1" applyAlignment="1">
      <alignment shrinkToFit="1"/>
    </xf>
    <xf numFmtId="187" fontId="9" fillId="0" borderId="142" xfId="2" applyNumberFormat="1" applyFont="1" applyBorder="1" applyAlignment="1">
      <alignment shrinkToFit="1"/>
    </xf>
    <xf numFmtId="187" fontId="9" fillId="0" borderId="143" xfId="2" applyNumberFormat="1" applyFont="1" applyBorder="1" applyAlignment="1">
      <alignment shrinkToFit="1"/>
    </xf>
    <xf numFmtId="187" fontId="28" fillId="0" borderId="144" xfId="2" applyNumberFormat="1" applyFont="1" applyBorder="1" applyAlignment="1">
      <alignment shrinkToFit="1"/>
    </xf>
    <xf numFmtId="187" fontId="28" fillId="0" borderId="145" xfId="2" applyNumberFormat="1" applyFont="1" applyBorder="1" applyAlignment="1">
      <alignment shrinkToFit="1"/>
    </xf>
    <xf numFmtId="187" fontId="28" fillId="0" borderId="146" xfId="2" applyNumberFormat="1" applyFont="1" applyBorder="1" applyAlignment="1">
      <alignment shrinkToFit="1"/>
    </xf>
    <xf numFmtId="182" fontId="3" fillId="5" borderId="147" xfId="5" applyNumberFormat="1" applyFont="1" applyFill="1" applyBorder="1" applyAlignment="1">
      <alignment shrinkToFit="1"/>
    </xf>
    <xf numFmtId="182" fontId="3" fillId="5" borderId="148" xfId="5" applyNumberFormat="1" applyFont="1" applyFill="1" applyBorder="1" applyAlignment="1">
      <alignment shrinkToFit="1"/>
    </xf>
    <xf numFmtId="182" fontId="3" fillId="5" borderId="149" xfId="5" applyNumberFormat="1" applyFont="1" applyFill="1" applyBorder="1" applyAlignment="1">
      <alignment shrinkToFit="1"/>
    </xf>
    <xf numFmtId="182" fontId="9" fillId="3" borderId="150" xfId="2" applyNumberFormat="1" applyFont="1" applyFill="1" applyBorder="1" applyAlignment="1">
      <alignment shrinkToFit="1"/>
    </xf>
    <xf numFmtId="49" fontId="3" fillId="0" borderId="11" xfId="9" applyNumberFormat="1" applyFont="1" applyBorder="1" applyAlignment="1">
      <alignment horizontal="center" vertical="center"/>
    </xf>
    <xf numFmtId="188" fontId="3" fillId="0" borderId="11" xfId="9" applyNumberFormat="1" applyFont="1" applyBorder="1" applyAlignment="1">
      <alignment horizontal="left" vertical="center"/>
    </xf>
    <xf numFmtId="188" fontId="3" fillId="0" borderId="35" xfId="9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9" applyNumberFormat="1" applyFont="1" applyBorder="1" applyAlignment="1">
      <alignment horizontal="left" vertical="center" indent="1"/>
    </xf>
    <xf numFmtId="188" fontId="3" fillId="0" borderId="11" xfId="9" applyNumberFormat="1" applyFont="1" applyBorder="1" applyAlignment="1">
      <alignment horizontal="left" vertical="center" indent="1"/>
    </xf>
    <xf numFmtId="188" fontId="3" fillId="0" borderId="14" xfId="9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7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65" xfId="2" applyFont="1" applyFill="1" applyBorder="1" applyAlignment="1">
      <alignment horizontal="left" vertical="center" shrinkToFit="1"/>
    </xf>
    <xf numFmtId="0" fontId="3" fillId="3" borderId="166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1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73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0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56" xfId="2" applyFont="1" applyFill="1" applyBorder="1" applyAlignment="1">
      <alignment horizontal="left" vertical="center" shrinkToFit="1"/>
    </xf>
    <xf numFmtId="0" fontId="3" fillId="3" borderId="157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36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37" xfId="3" applyFont="1" applyFill="1" applyBorder="1" applyAlignment="1">
      <alignment horizontal="center" vertical="center"/>
    </xf>
    <xf numFmtId="0" fontId="3" fillId="6" borderId="121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38" xfId="3" applyNumberFormat="1" applyFont="1" applyFill="1" applyBorder="1" applyAlignment="1">
      <alignment horizontal="left" vertical="top" wrapText="1"/>
    </xf>
    <xf numFmtId="49" fontId="15" fillId="3" borderId="139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4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3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1" borderId="28" xfId="8" applyNumberFormat="1" applyFont="1" applyFill="1" applyBorder="1" applyAlignment="1">
      <alignment horizontal="center" vertical="center"/>
    </xf>
    <xf numFmtId="180" fontId="3" fillId="11" borderId="27" xfId="8" applyNumberFormat="1" applyFont="1" applyFill="1" applyBorder="1" applyAlignment="1">
      <alignment horizontal="center" vertical="center"/>
    </xf>
    <xf numFmtId="180" fontId="3" fillId="11" borderId="40" xfId="8" applyNumberFormat="1" applyFont="1" applyFill="1" applyBorder="1" applyAlignment="1">
      <alignment horizontal="center" vertical="center"/>
    </xf>
    <xf numFmtId="0" fontId="3" fillId="11" borderId="123" xfId="8" applyFont="1" applyFill="1" applyBorder="1" applyAlignment="1">
      <alignment horizontal="center" vertical="center" shrinkToFit="1"/>
    </xf>
    <xf numFmtId="0" fontId="3" fillId="11" borderId="12" xfId="8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1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9" borderId="26" xfId="3" applyFont="1" applyFill="1" applyBorder="1" applyAlignment="1">
      <alignment horizontal="center" vertical="center"/>
    </xf>
    <xf numFmtId="0" fontId="17" fillId="9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1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0" xr:uid="{00000000-0005-0000-0000-000005000000}"/>
    <cellStyle name="標準 5" xfId="1" xr:uid="{00000000-0005-0000-0000-000006000000}"/>
    <cellStyle name="標準 5 2" xfId="9" xr:uid="{00000000-0005-0000-0000-000007000000}"/>
    <cellStyle name="標準_実行予算書様式提案_要素変更済2" xfId="7" xr:uid="{00000000-0005-0000-0000-000008000000}"/>
    <cellStyle name="標準_神田上水JV予算書_1(051202)" xfId="2" xr:uid="{00000000-0005-0000-0000-000009000000}"/>
    <cellStyle name="標準_人形町EV CMS" xfId="8" xr:uid="{00000000-0005-0000-0000-00000A000000}"/>
  </cellStyles>
  <dxfs count="2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tabSelected="1"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21"/>
      <c r="C1" s="221"/>
      <c r="D1" s="221"/>
      <c r="E1" s="221"/>
      <c r="F1" s="221"/>
      <c r="G1" s="221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221"/>
      <c r="S1" s="221"/>
      <c r="T1" s="221"/>
      <c r="U1" s="221"/>
      <c r="V1" s="221"/>
      <c r="W1" s="221"/>
      <c r="X1" s="221"/>
      <c r="Y1" s="221"/>
      <c r="Z1" s="221"/>
      <c r="AA1" s="221"/>
      <c r="AB1" s="221"/>
      <c r="AC1" s="409" t="s">
        <v>0</v>
      </c>
      <c r="AD1" s="410"/>
      <c r="AE1" s="410"/>
      <c r="AF1" s="410"/>
      <c r="AG1" s="411"/>
      <c r="AH1" s="412"/>
      <c r="AI1" s="412"/>
      <c r="AJ1" s="412"/>
      <c r="AK1" s="412"/>
      <c r="AL1" s="412"/>
      <c r="AM1" s="3"/>
      <c r="AP1" s="4"/>
    </row>
    <row r="2" spans="1:42" ht="22.5" customHeight="1" thickBot="1">
      <c r="A2" s="5"/>
      <c r="B2" s="246"/>
      <c r="L2" s="246"/>
      <c r="M2" s="413" t="s">
        <v>1</v>
      </c>
      <c r="N2" s="414"/>
      <c r="O2" s="414"/>
      <c r="P2" s="414"/>
      <c r="Q2" s="414"/>
      <c r="R2" s="414"/>
      <c r="S2" s="414"/>
      <c r="T2" s="414"/>
      <c r="U2" s="414"/>
      <c r="V2" s="414"/>
      <c r="W2" s="414"/>
      <c r="X2" s="414"/>
      <c r="Y2" s="414"/>
      <c r="Z2" s="414"/>
      <c r="AA2" s="414"/>
      <c r="AB2" s="414"/>
      <c r="AC2" s="246"/>
      <c r="AD2" s="246"/>
      <c r="AE2" s="246"/>
      <c r="AF2" s="246"/>
      <c r="AG2" s="246"/>
      <c r="AH2" s="246"/>
      <c r="AI2" s="246"/>
      <c r="AJ2" s="246"/>
      <c r="AK2" s="246"/>
      <c r="AL2" s="246"/>
      <c r="AM2" s="6"/>
      <c r="AP2" s="4"/>
    </row>
    <row r="3" spans="1:42" ht="18" thickBot="1">
      <c r="A3" s="5"/>
      <c r="B3" s="246"/>
      <c r="C3" s="415" t="s">
        <v>2</v>
      </c>
      <c r="D3" s="416"/>
      <c r="E3" s="416"/>
      <c r="F3" s="416"/>
      <c r="G3" s="417" t="s">
        <v>140</v>
      </c>
      <c r="H3" s="418"/>
      <c r="I3" s="418"/>
      <c r="J3" s="418"/>
      <c r="K3" s="419"/>
      <c r="L3" s="246"/>
      <c r="M3" s="246"/>
      <c r="N3" s="246"/>
      <c r="O3" s="420" t="s">
        <v>141</v>
      </c>
      <c r="P3" s="420"/>
      <c r="Q3" s="420"/>
      <c r="R3" s="420"/>
      <c r="S3" s="420"/>
      <c r="T3" s="420"/>
      <c r="U3" s="420"/>
      <c r="V3" s="420"/>
      <c r="W3" s="420"/>
      <c r="X3" s="420"/>
      <c r="Y3" s="420"/>
      <c r="Z3" s="420"/>
      <c r="AA3" s="246"/>
      <c r="AB3" s="246"/>
      <c r="AC3" s="246"/>
      <c r="AD3" s="161" t="s">
        <v>3</v>
      </c>
      <c r="AE3" s="222"/>
      <c r="AF3" s="222"/>
      <c r="AG3" s="222"/>
      <c r="AH3" s="231" t="s">
        <v>142</v>
      </c>
      <c r="AI3" s="222"/>
      <c r="AJ3" s="222"/>
      <c r="AK3" s="222"/>
      <c r="AL3" s="222"/>
      <c r="AM3" s="6"/>
    </row>
    <row r="4" spans="1:42" ht="17.25">
      <c r="A4" s="5"/>
      <c r="B4" s="246"/>
      <c r="C4" s="246"/>
      <c r="D4" s="246"/>
      <c r="E4" s="246"/>
      <c r="F4" s="246"/>
      <c r="G4" s="247"/>
      <c r="H4" s="247"/>
      <c r="I4" s="247"/>
      <c r="J4" s="247"/>
      <c r="K4" s="247"/>
      <c r="L4" s="246"/>
      <c r="M4" s="246"/>
      <c r="N4" s="246"/>
      <c r="O4" s="248"/>
      <c r="P4" s="248"/>
      <c r="Q4" s="248"/>
      <c r="R4" s="248"/>
      <c r="S4" s="248"/>
      <c r="T4" s="248"/>
      <c r="U4" s="248"/>
      <c r="V4" s="248"/>
      <c r="W4" s="248"/>
      <c r="X4" s="248"/>
      <c r="Y4" s="248"/>
      <c r="Z4" s="248"/>
      <c r="AA4" s="246"/>
      <c r="AB4" s="246"/>
      <c r="AC4" s="246"/>
      <c r="AD4" s="7" t="s">
        <v>4</v>
      </c>
      <c r="AE4" s="220"/>
      <c r="AF4" s="220"/>
      <c r="AG4" s="220"/>
      <c r="AH4" s="7"/>
      <c r="AI4" s="220"/>
      <c r="AJ4" s="220"/>
      <c r="AK4" s="220"/>
      <c r="AL4" s="220"/>
      <c r="AM4" s="6"/>
    </row>
    <row r="5" spans="1:42" ht="8.25" customHeight="1">
      <c r="A5" s="5"/>
      <c r="B5" s="246"/>
      <c r="C5" s="246"/>
      <c r="D5" s="246"/>
      <c r="E5" s="246"/>
      <c r="F5" s="246"/>
      <c r="G5" s="247"/>
      <c r="H5" s="247"/>
      <c r="I5" s="247"/>
      <c r="J5" s="247"/>
      <c r="K5" s="247"/>
      <c r="L5" s="246"/>
      <c r="M5" s="246"/>
      <c r="N5" s="246"/>
      <c r="O5" s="248"/>
      <c r="P5" s="248"/>
      <c r="Q5" s="248"/>
      <c r="R5" s="248"/>
      <c r="S5" s="248"/>
      <c r="T5" s="248"/>
      <c r="U5" s="248"/>
      <c r="V5" s="248"/>
      <c r="W5" s="248"/>
      <c r="X5" s="248"/>
      <c r="Y5" s="248"/>
      <c r="Z5" s="248"/>
      <c r="AA5" s="246"/>
      <c r="AB5" s="246"/>
      <c r="AC5" s="246"/>
      <c r="AD5" s="246"/>
      <c r="AE5" s="246"/>
      <c r="AF5" s="246"/>
      <c r="AG5" s="246"/>
      <c r="AH5" s="246"/>
      <c r="AI5" s="246"/>
      <c r="AJ5" s="246"/>
      <c r="AK5" s="246"/>
      <c r="AL5" s="246"/>
      <c r="AM5" s="6"/>
    </row>
    <row r="6" spans="1:42" ht="18.75">
      <c r="A6" s="5"/>
      <c r="B6" s="246"/>
      <c r="C6" s="246"/>
      <c r="D6" s="246"/>
      <c r="E6" s="246"/>
      <c r="F6" s="246"/>
      <c r="G6" s="403" t="s">
        <v>5</v>
      </c>
      <c r="H6" s="404"/>
      <c r="I6" s="404"/>
      <c r="J6" s="404"/>
      <c r="K6" s="404"/>
      <c r="L6" s="404"/>
      <c r="M6" s="404"/>
      <c r="N6" s="404"/>
      <c r="O6" s="404"/>
      <c r="P6" s="404"/>
      <c r="Q6" s="405" t="s">
        <v>6</v>
      </c>
      <c r="R6" s="406"/>
      <c r="S6" s="406"/>
      <c r="T6" s="406"/>
      <c r="U6" s="406"/>
      <c r="V6" s="406"/>
      <c r="W6" s="406"/>
      <c r="X6" s="406"/>
      <c r="Y6" s="406"/>
      <c r="Z6" s="406"/>
      <c r="AA6" s="405" t="s">
        <v>7</v>
      </c>
      <c r="AB6" s="404"/>
      <c r="AC6" s="404"/>
      <c r="AD6" s="404"/>
      <c r="AE6" s="404"/>
      <c r="AF6" s="404"/>
      <c r="AG6" s="404"/>
      <c r="AH6" s="404"/>
      <c r="AI6" s="404"/>
      <c r="AJ6" s="404"/>
      <c r="AK6" s="404"/>
      <c r="AL6" s="246"/>
      <c r="AM6" s="6"/>
    </row>
    <row r="7" spans="1:42">
      <c r="A7" s="5"/>
      <c r="B7" s="246"/>
      <c r="C7" s="246"/>
      <c r="D7" s="246"/>
      <c r="E7" s="246"/>
      <c r="F7" s="246"/>
      <c r="G7" s="403" t="s">
        <v>8</v>
      </c>
      <c r="H7" s="407"/>
      <c r="I7" s="407"/>
      <c r="J7" s="403" t="s">
        <v>9</v>
      </c>
      <c r="K7" s="407"/>
      <c r="L7" s="407"/>
      <c r="M7" s="407"/>
      <c r="N7" s="407"/>
      <c r="O7" s="407"/>
      <c r="P7" s="407"/>
      <c r="Q7" s="408" t="s">
        <v>10</v>
      </c>
      <c r="R7" s="408"/>
      <c r="S7" s="408"/>
      <c r="T7" s="405" t="s">
        <v>11</v>
      </c>
      <c r="U7" s="407"/>
      <c r="V7" s="407"/>
      <c r="W7" s="407"/>
      <c r="X7" s="407"/>
      <c r="Y7" s="407"/>
      <c r="Z7" s="407"/>
      <c r="AA7" s="405" t="s">
        <v>12</v>
      </c>
      <c r="AB7" s="407"/>
      <c r="AC7" s="407"/>
      <c r="AD7" s="405" t="s">
        <v>13</v>
      </c>
      <c r="AE7" s="407"/>
      <c r="AF7" s="407"/>
      <c r="AG7" s="407"/>
      <c r="AH7" s="407"/>
      <c r="AI7" s="405" t="s">
        <v>14</v>
      </c>
      <c r="AJ7" s="407"/>
      <c r="AK7" s="407"/>
      <c r="AL7" s="334"/>
      <c r="AM7" s="6"/>
    </row>
    <row r="8" spans="1:42" ht="29.25" customHeight="1">
      <c r="A8" s="5"/>
      <c r="B8" s="246"/>
      <c r="C8" s="246"/>
      <c r="D8" s="246"/>
      <c r="E8" s="246"/>
      <c r="F8" s="246"/>
      <c r="G8" s="8"/>
      <c r="H8" s="9"/>
      <c r="I8" s="10"/>
      <c r="J8" s="8"/>
      <c r="K8" s="9"/>
      <c r="L8" s="220"/>
      <c r="M8" s="220"/>
      <c r="N8" s="220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59"/>
      <c r="AB8" s="220"/>
      <c r="AC8" s="160"/>
      <c r="AD8" s="159"/>
      <c r="AE8" s="220"/>
      <c r="AF8" s="220"/>
      <c r="AG8" s="220"/>
      <c r="AH8" s="160"/>
      <c r="AI8" s="159"/>
      <c r="AJ8" s="220"/>
      <c r="AK8" s="160"/>
      <c r="AL8" s="246"/>
      <c r="AM8" s="6"/>
    </row>
    <row r="9" spans="1:42" ht="8.4499999999999993" customHeight="1">
      <c r="A9" s="5"/>
      <c r="B9" s="246"/>
      <c r="L9" s="249"/>
      <c r="M9" s="249"/>
      <c r="N9" s="249"/>
      <c r="O9" s="249"/>
      <c r="P9" s="249"/>
      <c r="Q9" s="249"/>
      <c r="R9" s="249"/>
      <c r="S9" s="249"/>
      <c r="T9" s="249"/>
      <c r="U9" s="249"/>
      <c r="V9" s="249"/>
      <c r="W9" s="249"/>
      <c r="X9" s="249"/>
      <c r="Y9" s="249"/>
      <c r="Z9" s="249"/>
      <c r="AA9" s="246"/>
      <c r="AB9" s="246"/>
      <c r="AC9" s="246"/>
      <c r="AD9" s="246"/>
      <c r="AE9" s="246"/>
      <c r="AF9" s="246"/>
      <c r="AG9" s="246"/>
      <c r="AH9" s="246"/>
      <c r="AI9" s="246"/>
      <c r="AJ9" s="246"/>
      <c r="AK9" s="246"/>
      <c r="AL9" s="246"/>
      <c r="AM9" s="6"/>
    </row>
    <row r="10" spans="1:42" ht="14.25">
      <c r="A10" s="5"/>
      <c r="B10" s="246"/>
      <c r="C10" s="246"/>
      <c r="D10" s="246"/>
      <c r="E10" s="393" t="s">
        <v>131</v>
      </c>
      <c r="F10" s="393"/>
      <c r="G10" s="393"/>
      <c r="H10" s="393"/>
      <c r="I10" s="397" t="s">
        <v>143</v>
      </c>
      <c r="J10" s="397"/>
      <c r="K10" s="397"/>
      <c r="L10" s="397"/>
      <c r="M10" s="397"/>
      <c r="N10" s="397"/>
      <c r="O10" s="397"/>
      <c r="P10" s="397"/>
      <c r="Q10" s="397"/>
      <c r="R10" s="397"/>
      <c r="S10" s="397"/>
      <c r="T10" s="397"/>
      <c r="U10" s="397"/>
      <c r="V10" s="397"/>
      <c r="W10" s="397"/>
      <c r="X10" s="397"/>
      <c r="Y10" s="397"/>
      <c r="Z10" s="397"/>
      <c r="AA10" s="397"/>
      <c r="AB10" s="397"/>
      <c r="AC10" s="397"/>
      <c r="AD10" s="246"/>
      <c r="AE10" s="246"/>
      <c r="AF10" s="246"/>
      <c r="AG10" s="246"/>
      <c r="AH10" s="246"/>
      <c r="AI10" s="246"/>
      <c r="AJ10" s="246"/>
      <c r="AK10" s="246"/>
      <c r="AL10" s="246"/>
      <c r="AM10" s="6"/>
    </row>
    <row r="11" spans="1:42" ht="6.6" customHeight="1">
      <c r="A11" s="5"/>
      <c r="B11" s="246"/>
      <c r="C11" s="246"/>
      <c r="D11" s="246"/>
      <c r="E11" s="246"/>
      <c r="F11" s="246"/>
      <c r="G11" s="246"/>
      <c r="H11" s="246"/>
      <c r="I11" s="246"/>
      <c r="J11" s="246"/>
      <c r="K11" s="246"/>
      <c r="L11" s="246"/>
      <c r="M11" s="246"/>
      <c r="N11" s="246"/>
      <c r="O11" s="250"/>
      <c r="P11" s="246"/>
      <c r="Q11" s="246"/>
      <c r="R11" s="246"/>
      <c r="S11" s="246"/>
      <c r="T11" s="246"/>
      <c r="U11" s="246"/>
      <c r="V11" s="246"/>
      <c r="W11" s="246"/>
      <c r="X11" s="246"/>
      <c r="Y11" s="246"/>
      <c r="Z11" s="246"/>
      <c r="AA11" s="246"/>
      <c r="AB11" s="246"/>
      <c r="AC11" s="246"/>
      <c r="AD11" s="246"/>
      <c r="AE11" s="246"/>
      <c r="AF11" s="246"/>
      <c r="AG11" s="246"/>
      <c r="AH11" s="246"/>
      <c r="AI11" s="246"/>
      <c r="AJ11" s="246"/>
      <c r="AK11" s="246"/>
      <c r="AL11" s="246"/>
      <c r="AM11" s="6"/>
    </row>
    <row r="12" spans="1:42" ht="14.25">
      <c r="A12" s="5"/>
      <c r="B12" s="246"/>
      <c r="C12" s="246"/>
      <c r="D12" s="246"/>
      <c r="E12" s="393" t="s">
        <v>132</v>
      </c>
      <c r="F12" s="393"/>
      <c r="G12" s="393"/>
      <c r="H12" s="393"/>
      <c r="I12" s="398" t="s">
        <v>144</v>
      </c>
      <c r="J12" s="398"/>
      <c r="K12" s="398"/>
      <c r="L12" s="398"/>
      <c r="M12" s="398"/>
      <c r="N12" s="398"/>
      <c r="O12" s="398"/>
      <c r="P12" s="398"/>
      <c r="Q12" s="398"/>
      <c r="R12" s="398"/>
      <c r="S12" s="398"/>
      <c r="T12" s="398"/>
      <c r="U12" s="398"/>
      <c r="V12" s="398"/>
      <c r="W12" s="398"/>
      <c r="X12" s="398"/>
      <c r="Y12" s="398"/>
      <c r="Z12" s="398"/>
      <c r="AA12" s="398"/>
      <c r="AB12" s="398"/>
      <c r="AC12" s="398"/>
      <c r="AD12" s="246"/>
      <c r="AE12" s="246"/>
      <c r="AF12" s="246"/>
      <c r="AG12" s="246"/>
      <c r="AH12" s="246"/>
      <c r="AI12" s="246"/>
      <c r="AJ12" s="246"/>
      <c r="AK12" s="246"/>
      <c r="AL12" s="246"/>
      <c r="AM12" s="6"/>
    </row>
    <row r="13" spans="1:42" ht="6.6" customHeight="1">
      <c r="A13" s="5"/>
      <c r="B13" s="246"/>
      <c r="C13" s="246"/>
      <c r="D13" s="246"/>
      <c r="E13" s="250"/>
      <c r="F13" s="250"/>
      <c r="G13" s="250"/>
      <c r="H13" s="250"/>
      <c r="I13" s="251"/>
      <c r="J13" s="251"/>
      <c r="K13" s="251"/>
      <c r="L13" s="251"/>
      <c r="M13" s="251"/>
      <c r="N13" s="251"/>
      <c r="O13" s="251"/>
      <c r="P13" s="251"/>
      <c r="Q13" s="251"/>
      <c r="R13" s="251"/>
      <c r="S13" s="251"/>
      <c r="T13" s="251"/>
      <c r="U13" s="251"/>
      <c r="V13" s="251"/>
      <c r="W13" s="251"/>
      <c r="X13" s="251"/>
      <c r="Y13" s="251"/>
      <c r="Z13" s="251"/>
      <c r="AA13" s="251"/>
      <c r="AB13" s="246"/>
      <c r="AC13" s="246"/>
      <c r="AD13" s="246"/>
      <c r="AE13" s="246"/>
      <c r="AF13" s="246"/>
      <c r="AG13" s="246"/>
      <c r="AH13" s="246"/>
      <c r="AI13" s="246"/>
      <c r="AJ13" s="246"/>
      <c r="AK13" s="246"/>
      <c r="AL13" s="246"/>
      <c r="AM13" s="6"/>
    </row>
    <row r="14" spans="1:42" ht="18.75">
      <c r="A14" s="5"/>
      <c r="B14" s="246"/>
      <c r="C14" s="246"/>
      <c r="D14" s="246"/>
      <c r="E14" s="399" t="s">
        <v>133</v>
      </c>
      <c r="F14" s="400"/>
      <c r="G14" s="400"/>
      <c r="H14" s="400"/>
      <c r="I14" s="401">
        <v>4450000</v>
      </c>
      <c r="J14" s="402"/>
      <c r="K14" s="402"/>
      <c r="L14" s="402"/>
      <c r="M14" s="402"/>
      <c r="N14" s="402"/>
      <c r="O14" s="402"/>
      <c r="P14" s="402"/>
      <c r="Q14" s="350"/>
      <c r="R14" s="350"/>
      <c r="S14" s="350"/>
      <c r="U14" s="252"/>
      <c r="V14" s="351"/>
      <c r="W14" s="351"/>
      <c r="X14" s="351"/>
      <c r="Y14" s="246"/>
      <c r="Z14" s="352"/>
      <c r="AA14" s="352"/>
      <c r="AB14" s="352"/>
      <c r="AC14" s="352"/>
      <c r="AD14" s="352"/>
      <c r="AE14" s="352"/>
      <c r="AF14" s="352"/>
      <c r="AG14" s="350"/>
      <c r="AH14" s="350"/>
      <c r="AI14" s="350"/>
      <c r="AJ14" s="246"/>
      <c r="AK14" s="246"/>
      <c r="AL14" s="246"/>
      <c r="AM14" s="6"/>
    </row>
    <row r="15" spans="1:42" ht="6.6" customHeight="1">
      <c r="A15" s="5"/>
      <c r="B15" s="246"/>
      <c r="C15" s="246"/>
      <c r="D15" s="246"/>
      <c r="E15" s="250"/>
      <c r="F15" s="250"/>
      <c r="G15" s="250"/>
      <c r="H15" s="250"/>
      <c r="I15" s="251"/>
      <c r="J15" s="251"/>
      <c r="K15" s="251"/>
      <c r="L15" s="251"/>
      <c r="M15" s="251"/>
      <c r="N15" s="251"/>
      <c r="O15" s="251"/>
      <c r="P15" s="251"/>
      <c r="Q15" s="251"/>
      <c r="R15" s="251"/>
      <c r="S15" s="251"/>
      <c r="T15" s="251"/>
      <c r="U15" s="251"/>
      <c r="V15" s="251"/>
      <c r="W15" s="251"/>
      <c r="X15" s="251"/>
      <c r="Y15" s="251"/>
      <c r="Z15" s="251"/>
      <c r="AA15" s="251"/>
      <c r="AB15" s="246"/>
      <c r="AC15" s="246"/>
      <c r="AD15" s="246"/>
      <c r="AE15" s="246"/>
      <c r="AF15" s="246"/>
      <c r="AG15" s="246"/>
      <c r="AH15" s="246"/>
      <c r="AI15" s="246"/>
      <c r="AJ15" s="246"/>
      <c r="AK15" s="246"/>
      <c r="AL15" s="246"/>
      <c r="AM15" s="6"/>
    </row>
    <row r="16" spans="1:42" ht="18.75">
      <c r="A16" s="5"/>
      <c r="B16" s="246"/>
      <c r="C16" s="246"/>
      <c r="D16" s="246"/>
      <c r="E16" s="393" t="s">
        <v>15</v>
      </c>
      <c r="F16" s="394"/>
      <c r="G16" s="394"/>
      <c r="H16" s="394"/>
      <c r="I16" s="395">
        <v>3548678</v>
      </c>
      <c r="J16" s="396"/>
      <c r="K16" s="396"/>
      <c r="L16" s="396"/>
      <c r="M16" s="396"/>
      <c r="N16" s="396"/>
      <c r="O16" s="396"/>
      <c r="P16" s="396"/>
      <c r="Q16" s="392">
        <v>0.79749999999999999</v>
      </c>
      <c r="R16" s="392"/>
      <c r="S16" s="392"/>
      <c r="U16" s="393" t="s">
        <v>16</v>
      </c>
      <c r="V16" s="394"/>
      <c r="W16" s="394"/>
      <c r="X16" s="394"/>
      <c r="Y16" s="395">
        <v>901322</v>
      </c>
      <c r="Z16" s="396"/>
      <c r="AA16" s="396"/>
      <c r="AB16" s="396"/>
      <c r="AC16" s="396"/>
      <c r="AD16" s="396"/>
      <c r="AE16" s="396"/>
      <c r="AF16" s="396"/>
      <c r="AG16" s="392">
        <v>0.20250000000000001</v>
      </c>
      <c r="AH16" s="392"/>
      <c r="AI16" s="392"/>
      <c r="AJ16" s="246"/>
      <c r="AK16" s="246"/>
      <c r="AL16" s="246"/>
      <c r="AM16" s="6"/>
    </row>
    <row r="17" spans="1:39" ht="6.6" customHeight="1">
      <c r="A17" s="5"/>
      <c r="B17" s="246"/>
      <c r="C17" s="246"/>
      <c r="D17" s="246"/>
      <c r="E17" s="246"/>
      <c r="F17" s="246"/>
      <c r="G17" s="246"/>
      <c r="H17" s="246"/>
      <c r="I17" s="246"/>
      <c r="J17" s="246"/>
      <c r="K17" s="246"/>
      <c r="L17" s="246"/>
      <c r="N17" s="253"/>
      <c r="O17" s="253"/>
      <c r="P17" s="253"/>
      <c r="Q17" s="253"/>
      <c r="R17" s="253"/>
      <c r="S17" s="253"/>
      <c r="T17" s="253"/>
      <c r="U17" s="253"/>
      <c r="V17" s="253"/>
      <c r="W17" s="253"/>
      <c r="X17" s="253"/>
      <c r="Y17" s="253"/>
      <c r="Z17" s="253"/>
      <c r="AA17" s="252"/>
      <c r="AB17" s="246"/>
      <c r="AC17" s="246"/>
      <c r="AD17" s="246"/>
      <c r="AE17" s="246"/>
      <c r="AF17" s="246"/>
      <c r="AG17" s="246"/>
      <c r="AH17" s="246"/>
      <c r="AI17" s="246"/>
      <c r="AJ17" s="246"/>
      <c r="AK17" s="246"/>
      <c r="AL17" s="246"/>
      <c r="AM17" s="14"/>
    </row>
    <row r="18" spans="1:39" ht="18.75">
      <c r="A18" s="5"/>
      <c r="B18" s="246"/>
      <c r="C18" s="246"/>
      <c r="D18" s="246"/>
      <c r="E18" s="393" t="s">
        <v>17</v>
      </c>
      <c r="F18" s="394"/>
      <c r="G18" s="394"/>
      <c r="H18" s="394"/>
      <c r="I18" s="395"/>
      <c r="J18" s="396"/>
      <c r="K18" s="396"/>
      <c r="L18" s="396"/>
      <c r="M18" s="396"/>
      <c r="N18" s="396"/>
      <c r="O18" s="396"/>
      <c r="P18" s="396"/>
      <c r="Q18" s="392"/>
      <c r="R18" s="392"/>
      <c r="S18" s="392"/>
      <c r="U18" s="393" t="s">
        <v>18</v>
      </c>
      <c r="V18" s="394"/>
      <c r="W18" s="394"/>
      <c r="X18" s="394"/>
      <c r="Y18" s="395"/>
      <c r="Z18" s="396"/>
      <c r="AA18" s="396"/>
      <c r="AB18" s="396"/>
      <c r="AC18" s="396"/>
      <c r="AD18" s="396"/>
      <c r="AE18" s="396"/>
      <c r="AF18" s="396"/>
      <c r="AG18" s="392"/>
      <c r="AH18" s="392"/>
      <c r="AI18" s="392"/>
      <c r="AJ18" s="246"/>
      <c r="AK18" s="246"/>
      <c r="AL18" s="246"/>
      <c r="AM18" s="14"/>
    </row>
    <row r="19" spans="1:39" ht="20.100000000000001" customHeight="1">
      <c r="A19" s="5"/>
      <c r="B19" s="246"/>
      <c r="C19" s="246"/>
      <c r="D19" s="246"/>
      <c r="E19" s="246"/>
      <c r="F19" s="246"/>
      <c r="G19" s="246"/>
      <c r="H19" s="246"/>
      <c r="I19" s="246"/>
      <c r="J19" s="246"/>
      <c r="K19" s="246"/>
      <c r="L19" s="246"/>
      <c r="M19" s="253"/>
      <c r="N19" s="253"/>
      <c r="O19" s="253"/>
      <c r="P19" s="253"/>
      <c r="Q19" s="253"/>
      <c r="R19" s="253"/>
      <c r="S19" s="253"/>
      <c r="T19" s="253"/>
      <c r="U19" s="253"/>
      <c r="V19" s="253"/>
      <c r="W19" s="253"/>
      <c r="X19" s="253"/>
      <c r="Y19" s="253"/>
      <c r="Z19" s="253"/>
      <c r="AA19" s="246"/>
      <c r="AB19" s="246"/>
      <c r="AC19" s="246"/>
      <c r="AD19" s="246"/>
      <c r="AE19" s="246"/>
      <c r="AF19" s="246"/>
      <c r="AG19" s="246"/>
      <c r="AI19" s="246"/>
      <c r="AJ19" s="246"/>
      <c r="AK19" s="246"/>
      <c r="AL19" s="246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46"/>
      <c r="AM20" s="14"/>
    </row>
    <row r="21" spans="1:39" ht="19.5" customHeight="1">
      <c r="A21" s="5"/>
      <c r="B21" s="21"/>
      <c r="C21" s="246"/>
      <c r="D21" s="246"/>
      <c r="E21" s="246"/>
      <c r="F21" s="246"/>
      <c r="G21" s="246"/>
      <c r="H21" s="246"/>
      <c r="I21" s="246"/>
      <c r="J21" s="246"/>
      <c r="K21" s="246"/>
      <c r="L21" s="246"/>
      <c r="M21" s="246"/>
      <c r="S21" s="22"/>
      <c r="U21" s="23"/>
      <c r="Z21" s="246"/>
      <c r="AA21" s="246"/>
      <c r="AB21" s="246"/>
      <c r="AC21" s="246"/>
      <c r="AD21" s="246"/>
      <c r="AE21" s="246"/>
      <c r="AF21" s="246"/>
      <c r="AG21" s="246"/>
      <c r="AH21" s="246"/>
      <c r="AI21" s="246"/>
      <c r="AJ21" s="246"/>
      <c r="AK21" s="24"/>
      <c r="AL21" s="246"/>
      <c r="AM21" s="14"/>
    </row>
    <row r="22" spans="1:39" ht="19.5" customHeight="1">
      <c r="A22" s="5"/>
      <c r="B22" s="21"/>
      <c r="C22" s="246"/>
      <c r="D22" s="246"/>
      <c r="E22" s="246"/>
      <c r="F22" s="246"/>
      <c r="G22" s="246"/>
      <c r="H22" s="246"/>
      <c r="I22" s="246"/>
      <c r="J22" s="246"/>
      <c r="K22" s="246"/>
      <c r="L22" s="246"/>
      <c r="M22" s="246"/>
      <c r="N22" s="246"/>
      <c r="O22" s="246"/>
      <c r="P22" s="246"/>
      <c r="Q22" s="246"/>
      <c r="R22" s="246"/>
      <c r="S22" s="24"/>
      <c r="T22" s="246"/>
      <c r="U22" s="21"/>
      <c r="V22" s="246"/>
      <c r="W22" s="246"/>
      <c r="X22" s="246"/>
      <c r="Y22" s="246"/>
      <c r="Z22" s="246"/>
      <c r="AA22" s="246"/>
      <c r="AB22" s="246"/>
      <c r="AC22" s="246"/>
      <c r="AD22" s="246"/>
      <c r="AE22" s="246"/>
      <c r="AF22" s="246"/>
      <c r="AG22" s="246"/>
      <c r="AH22" s="246"/>
      <c r="AI22" s="254"/>
      <c r="AJ22" s="254"/>
      <c r="AK22" s="25"/>
      <c r="AL22" s="254"/>
      <c r="AM22" s="26"/>
    </row>
    <row r="23" spans="1:39" ht="19.5" customHeight="1">
      <c r="A23" s="5"/>
      <c r="B23" s="21"/>
      <c r="C23" s="246"/>
      <c r="D23" s="246"/>
      <c r="E23" s="246"/>
      <c r="F23" s="246"/>
      <c r="G23" s="246"/>
      <c r="H23" s="246"/>
      <c r="I23" s="246"/>
      <c r="J23" s="246"/>
      <c r="K23" s="246"/>
      <c r="L23" s="246"/>
      <c r="M23" s="246"/>
      <c r="N23" s="246"/>
      <c r="O23" s="246"/>
      <c r="P23" s="246"/>
      <c r="Q23" s="246"/>
      <c r="R23" s="246"/>
      <c r="S23" s="24"/>
      <c r="T23" s="246"/>
      <c r="U23" s="23"/>
      <c r="X23" s="246"/>
      <c r="Y23" s="246"/>
      <c r="Z23" s="246"/>
      <c r="AA23" s="246"/>
      <c r="AB23" s="246"/>
      <c r="AC23" s="246"/>
      <c r="AD23" s="246"/>
      <c r="AE23" s="246"/>
      <c r="AF23" s="246"/>
      <c r="AG23" s="246"/>
      <c r="AH23" s="246"/>
      <c r="AI23" s="246"/>
      <c r="AJ23" s="246"/>
      <c r="AK23" s="24"/>
      <c r="AL23" s="246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46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46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70" t="s">
        <v>145</v>
      </c>
      <c r="B26" s="371"/>
      <c r="C26" s="371"/>
      <c r="D26" s="371"/>
      <c r="E26" s="371"/>
      <c r="F26" s="371"/>
      <c r="G26" s="371"/>
      <c r="H26" s="371"/>
      <c r="I26" s="371"/>
      <c r="J26" s="371"/>
      <c r="K26" s="371"/>
      <c r="L26" s="371"/>
      <c r="M26" s="371"/>
      <c r="N26" s="371"/>
      <c r="O26" s="371"/>
      <c r="P26" s="371"/>
      <c r="Q26" s="371"/>
      <c r="R26" s="371"/>
      <c r="S26" s="371"/>
      <c r="T26" s="372"/>
      <c r="U26" s="373"/>
      <c r="V26" s="373"/>
      <c r="W26" s="373"/>
      <c r="X26" s="373"/>
      <c r="Y26" s="373"/>
      <c r="Z26" s="373"/>
      <c r="AA26" s="373"/>
      <c r="AB26" s="373"/>
      <c r="AC26" s="373"/>
      <c r="AD26" s="373"/>
      <c r="AE26" s="373"/>
      <c r="AF26" s="373"/>
      <c r="AG26" s="373"/>
      <c r="AH26" s="373"/>
      <c r="AI26" s="373"/>
      <c r="AJ26" s="373"/>
      <c r="AK26" s="373"/>
      <c r="AL26" s="373"/>
      <c r="AM26" s="374"/>
    </row>
    <row r="27" spans="1:39">
      <c r="A27" s="375" t="s">
        <v>21</v>
      </c>
      <c r="B27" s="376"/>
      <c r="C27" s="376"/>
      <c r="D27" s="376"/>
      <c r="E27" s="377"/>
      <c r="F27" s="378" t="s">
        <v>146</v>
      </c>
      <c r="G27" s="379"/>
      <c r="H27" s="379"/>
      <c r="I27" s="379"/>
      <c r="J27" s="379"/>
      <c r="K27" s="379"/>
      <c r="L27" s="379"/>
      <c r="M27" s="379"/>
      <c r="N27" s="379"/>
      <c r="O27" s="379"/>
      <c r="P27" s="379"/>
      <c r="Q27" s="379"/>
      <c r="R27" s="379"/>
      <c r="S27" s="379"/>
      <c r="T27" s="379"/>
      <c r="U27" s="379"/>
      <c r="V27" s="379"/>
      <c r="W27" s="379"/>
      <c r="X27" s="379"/>
      <c r="Y27" s="379"/>
      <c r="Z27" s="379"/>
      <c r="AA27" s="379"/>
      <c r="AB27" s="379"/>
      <c r="AC27" s="379"/>
      <c r="AD27" s="379"/>
      <c r="AE27" s="379"/>
      <c r="AF27" s="379"/>
      <c r="AG27" s="379"/>
      <c r="AH27" s="379"/>
      <c r="AI27" s="379"/>
      <c r="AJ27" s="379"/>
      <c r="AK27" s="379"/>
      <c r="AL27" s="379"/>
      <c r="AM27" s="380"/>
    </row>
    <row r="28" spans="1:39">
      <c r="A28" s="366" t="s">
        <v>22</v>
      </c>
      <c r="B28" s="367"/>
      <c r="C28" s="367"/>
      <c r="D28" s="367"/>
      <c r="E28" s="381"/>
      <c r="F28" s="382" t="s">
        <v>147</v>
      </c>
      <c r="G28" s="383"/>
      <c r="H28" s="383"/>
      <c r="I28" s="383"/>
      <c r="J28" s="383"/>
      <c r="K28" s="383"/>
      <c r="L28" s="363" t="s">
        <v>134</v>
      </c>
      <c r="M28" s="363"/>
      <c r="N28" s="364" t="s">
        <v>148</v>
      </c>
      <c r="O28" s="364"/>
      <c r="P28" s="364"/>
      <c r="Q28" s="364"/>
      <c r="R28" s="364"/>
      <c r="S28" s="384"/>
      <c r="T28" s="385" t="s">
        <v>23</v>
      </c>
      <c r="U28" s="367"/>
      <c r="V28" s="367"/>
      <c r="W28" s="367"/>
      <c r="X28" s="381"/>
      <c r="Y28" s="382" t="s">
        <v>149</v>
      </c>
      <c r="Z28" s="383"/>
      <c r="AA28" s="383"/>
      <c r="AB28" s="383"/>
      <c r="AC28" s="383"/>
      <c r="AD28" s="383"/>
      <c r="AE28" s="363" t="s">
        <v>134</v>
      </c>
      <c r="AF28" s="363"/>
      <c r="AG28" s="364" t="s">
        <v>150</v>
      </c>
      <c r="AH28" s="364"/>
      <c r="AI28" s="364"/>
      <c r="AJ28" s="364"/>
      <c r="AK28" s="364"/>
      <c r="AL28" s="364"/>
      <c r="AM28" s="365"/>
    </row>
    <row r="29" spans="1:39">
      <c r="A29" s="366" t="s">
        <v>24</v>
      </c>
      <c r="B29" s="367"/>
      <c r="C29" s="367"/>
      <c r="D29" s="367"/>
      <c r="E29" s="367"/>
      <c r="F29" s="367"/>
      <c r="G29" s="367"/>
      <c r="H29" s="367"/>
      <c r="I29" s="367"/>
      <c r="J29" s="367"/>
      <c r="K29" s="367"/>
      <c r="L29" s="367"/>
      <c r="M29" s="367"/>
      <c r="N29" s="367"/>
      <c r="O29" s="367"/>
      <c r="P29" s="367"/>
      <c r="Q29" s="367"/>
      <c r="R29" s="367"/>
      <c r="S29" s="367"/>
      <c r="T29" s="367"/>
      <c r="U29" s="367"/>
      <c r="V29" s="367"/>
      <c r="W29" s="367"/>
      <c r="X29" s="367"/>
      <c r="Y29" s="367"/>
      <c r="Z29" s="367"/>
      <c r="AA29" s="367"/>
      <c r="AB29" s="367"/>
      <c r="AC29" s="367"/>
      <c r="AD29" s="367"/>
      <c r="AE29" s="367"/>
      <c r="AF29" s="367"/>
      <c r="AG29" s="367"/>
      <c r="AH29" s="367"/>
      <c r="AI29" s="367"/>
      <c r="AJ29" s="367"/>
      <c r="AK29" s="367"/>
      <c r="AL29" s="367"/>
      <c r="AM29" s="368"/>
    </row>
    <row r="30" spans="1:39" ht="18" customHeight="1">
      <c r="A30" s="386"/>
      <c r="B30" s="387"/>
      <c r="C30" s="387"/>
      <c r="D30" s="387"/>
      <c r="E30" s="387"/>
      <c r="F30" s="387"/>
      <c r="G30" s="387"/>
      <c r="H30" s="387"/>
      <c r="I30" s="387"/>
      <c r="J30" s="387"/>
      <c r="K30" s="387"/>
      <c r="L30" s="387"/>
      <c r="M30" s="387"/>
      <c r="N30" s="387"/>
      <c r="O30" s="387"/>
      <c r="P30" s="387"/>
      <c r="Q30" s="387"/>
      <c r="R30" s="387"/>
      <c r="S30" s="387"/>
      <c r="T30" s="387"/>
      <c r="U30" s="387"/>
      <c r="V30" s="387"/>
      <c r="W30" s="387"/>
      <c r="X30" s="387"/>
      <c r="Y30" s="387"/>
      <c r="Z30" s="387"/>
      <c r="AA30" s="387"/>
      <c r="AB30" s="387"/>
      <c r="AC30" s="387"/>
      <c r="AD30" s="387"/>
      <c r="AE30" s="387"/>
      <c r="AF30" s="387"/>
      <c r="AG30" s="387"/>
      <c r="AH30" s="387"/>
      <c r="AI30" s="387"/>
      <c r="AJ30" s="387"/>
      <c r="AK30" s="387"/>
      <c r="AL30" s="387"/>
      <c r="AM30" s="388"/>
    </row>
    <row r="31" spans="1:39" ht="18" customHeight="1" thickBot="1">
      <c r="A31" s="389"/>
      <c r="B31" s="390"/>
      <c r="C31" s="390"/>
      <c r="D31" s="390"/>
      <c r="E31" s="390"/>
      <c r="F31" s="390"/>
      <c r="G31" s="390"/>
      <c r="H31" s="390"/>
      <c r="I31" s="390"/>
      <c r="J31" s="390"/>
      <c r="K31" s="390"/>
      <c r="L31" s="390"/>
      <c r="M31" s="390"/>
      <c r="N31" s="390"/>
      <c r="O31" s="390"/>
      <c r="P31" s="390"/>
      <c r="Q31" s="390"/>
      <c r="R31" s="390"/>
      <c r="S31" s="390"/>
      <c r="T31" s="390"/>
      <c r="U31" s="390"/>
      <c r="V31" s="390"/>
      <c r="W31" s="390"/>
      <c r="X31" s="390"/>
      <c r="Y31" s="390"/>
      <c r="Z31" s="390"/>
      <c r="AA31" s="390"/>
      <c r="AB31" s="390"/>
      <c r="AC31" s="390"/>
      <c r="AD31" s="390"/>
      <c r="AE31" s="390"/>
      <c r="AF31" s="390"/>
      <c r="AG31" s="390"/>
      <c r="AH31" s="390"/>
      <c r="AI31" s="390"/>
      <c r="AJ31" s="390"/>
      <c r="AK31" s="390"/>
      <c r="AL31" s="390"/>
      <c r="AM31" s="391"/>
    </row>
    <row r="32" spans="1:39">
      <c r="A32" s="369" t="s">
        <v>128</v>
      </c>
      <c r="B32" s="369"/>
      <c r="C32" s="369"/>
      <c r="D32" s="369"/>
      <c r="E32" s="369"/>
      <c r="F32" s="369"/>
      <c r="G32" s="369"/>
      <c r="H32" s="369"/>
      <c r="I32" s="369"/>
      <c r="J32" s="369"/>
      <c r="K32" s="369"/>
      <c r="L32" s="369"/>
      <c r="M32" s="369"/>
      <c r="N32" s="369"/>
      <c r="O32" s="369"/>
      <c r="P32" s="369"/>
      <c r="Q32" s="369"/>
      <c r="R32" s="369"/>
      <c r="S32" s="369"/>
      <c r="T32" s="369"/>
      <c r="U32" s="369"/>
      <c r="V32" s="369"/>
      <c r="W32" s="369"/>
      <c r="X32" s="369"/>
      <c r="Y32" s="369"/>
      <c r="Z32" s="369"/>
      <c r="AA32" s="369"/>
      <c r="AB32" s="369"/>
      <c r="AC32" s="369"/>
      <c r="AD32" s="369"/>
      <c r="AE32" s="369"/>
      <c r="AF32" s="369"/>
      <c r="AG32" s="369"/>
      <c r="AH32" s="369"/>
      <c r="AI32" s="369"/>
      <c r="AJ32" s="369"/>
      <c r="AK32" s="369"/>
      <c r="AL32" s="369"/>
      <c r="AM32" s="369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55" t="s">
        <v>143</v>
      </c>
      <c r="D2" s="256"/>
      <c r="E2" s="257"/>
      <c r="F2" s="258"/>
      <c r="G2" s="258"/>
      <c r="H2" s="258"/>
      <c r="I2" s="259"/>
      <c r="J2" s="260"/>
      <c r="K2" s="430" t="s">
        <v>27</v>
      </c>
      <c r="L2" s="431"/>
      <c r="M2" s="432"/>
      <c r="N2" s="451" t="s">
        <v>140</v>
      </c>
      <c r="O2" s="452"/>
      <c r="P2" s="452"/>
      <c r="Q2" s="452"/>
      <c r="R2" s="453"/>
      <c r="S2" s="38" t="s">
        <v>28</v>
      </c>
      <c r="T2" s="335"/>
    </row>
    <row r="3" spans="1:20" ht="24.75" customHeight="1">
      <c r="A3" s="33"/>
      <c r="B3" s="39" t="s">
        <v>29</v>
      </c>
      <c r="C3" s="433">
        <v>45748</v>
      </c>
      <c r="D3" s="434"/>
      <c r="E3" s="261" t="s">
        <v>135</v>
      </c>
      <c r="F3" s="435">
        <v>45869</v>
      </c>
      <c r="G3" s="435"/>
      <c r="H3" s="435"/>
      <c r="I3" s="262"/>
      <c r="J3" s="262"/>
      <c r="K3" s="436" t="s">
        <v>30</v>
      </c>
      <c r="L3" s="437"/>
      <c r="M3" s="438"/>
      <c r="N3" s="425">
        <v>4450000</v>
      </c>
      <c r="O3" s="426"/>
      <c r="P3" s="427"/>
      <c r="Q3" s="263"/>
      <c r="R3" s="264"/>
      <c r="S3" s="40" t="s">
        <v>31</v>
      </c>
      <c r="T3" s="335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35"/>
    </row>
    <row r="5" spans="1:20" ht="24.75" customHeight="1" thickTop="1">
      <c r="A5" s="33"/>
      <c r="B5" s="47" t="s">
        <v>151</v>
      </c>
      <c r="C5" s="265">
        <v>202500</v>
      </c>
      <c r="D5" s="311">
        <f>IF(C5&lt;&gt;"",C5/$C$20,"")</f>
        <v>5.7063503648400897E-2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36"/>
    </row>
    <row r="6" spans="1:20" ht="24.75" customHeight="1">
      <c r="A6" s="33"/>
      <c r="B6" s="51" t="s">
        <v>151</v>
      </c>
      <c r="C6" s="266">
        <v>0</v>
      </c>
      <c r="D6" s="312">
        <f t="shared" ref="D6:D17" si="0">IF(C6&lt;&gt;"",C6/$C$20,"")</f>
        <v>0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36"/>
    </row>
    <row r="7" spans="1:20" ht="24.75" customHeight="1">
      <c r="A7" s="33"/>
      <c r="B7" s="51" t="s">
        <v>152</v>
      </c>
      <c r="C7" s="266">
        <v>1628400</v>
      </c>
      <c r="D7" s="312">
        <f t="shared" si="0"/>
        <v>0.45887510785706676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36"/>
    </row>
    <row r="8" spans="1:20" ht="24.75" customHeight="1">
      <c r="A8" s="33"/>
      <c r="B8" s="51" t="s">
        <v>153</v>
      </c>
      <c r="C8" s="266">
        <v>1007778</v>
      </c>
      <c r="D8" s="312">
        <f t="shared" si="0"/>
        <v>0.28398688187544768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36"/>
    </row>
    <row r="9" spans="1:20" ht="24.75" customHeight="1">
      <c r="A9" s="33"/>
      <c r="B9" s="51" t="s">
        <v>154</v>
      </c>
      <c r="C9" s="266">
        <v>35000</v>
      </c>
      <c r="D9" s="312">
        <f t="shared" si="0"/>
        <v>9.8628277910816371E-3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37"/>
    </row>
    <row r="10" spans="1:20" ht="24.75" customHeight="1">
      <c r="A10" s="33"/>
      <c r="B10" s="51" t="s">
        <v>155</v>
      </c>
      <c r="C10" s="266">
        <v>180000</v>
      </c>
      <c r="D10" s="312">
        <f t="shared" si="0"/>
        <v>5.0723114354134131E-2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37"/>
    </row>
    <row r="11" spans="1:20" ht="24.75" customHeight="1">
      <c r="A11" s="33"/>
      <c r="B11" s="51" t="s">
        <v>156</v>
      </c>
      <c r="C11" s="266">
        <v>100000</v>
      </c>
      <c r="D11" s="312">
        <f t="shared" si="0"/>
        <v>2.8179507974518962E-2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37"/>
    </row>
    <row r="12" spans="1:20" ht="24.75" customHeight="1">
      <c r="A12" s="33"/>
      <c r="B12" s="51" t="s">
        <v>157</v>
      </c>
      <c r="C12" s="266">
        <v>120000</v>
      </c>
      <c r="D12" s="312">
        <f t="shared" si="0"/>
        <v>3.3815409569422757E-2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36"/>
    </row>
    <row r="13" spans="1:20" ht="24.75" customHeight="1">
      <c r="A13" s="33"/>
      <c r="B13" s="51" t="s">
        <v>158</v>
      </c>
      <c r="C13" s="266">
        <v>275000</v>
      </c>
      <c r="D13" s="312">
        <f t="shared" si="0"/>
        <v>7.7493646929927149E-2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36"/>
    </row>
    <row r="14" spans="1:20" ht="24.75" customHeight="1">
      <c r="A14" s="33"/>
      <c r="B14" s="51"/>
      <c r="C14" s="266"/>
      <c r="D14" s="312" t="str">
        <f t="shared" si="0"/>
        <v/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/>
      <c r="C15" s="266"/>
      <c r="D15" s="312" t="str">
        <f t="shared" si="0"/>
        <v/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/>
      <c r="C16" s="266"/>
      <c r="D16" s="312" t="str">
        <f t="shared" si="0"/>
        <v/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/>
      <c r="C17" s="267"/>
      <c r="D17" s="312" t="str">
        <f t="shared" si="0"/>
        <v/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/>
      <c r="C18" s="267"/>
      <c r="D18" s="312" t="str">
        <f>IF(C18&lt;&gt;"",C18/$C$20,"")</f>
        <v/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/>
      <c r="C19" s="267"/>
      <c r="D19" s="312" t="str">
        <f>IF(C19&lt;&gt;"",C19/$C$20,"")</f>
        <v/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68">
        <f>SUM(C5:C19)</f>
        <v>3548678</v>
      </c>
      <c r="D20" s="313">
        <f>SUM(D5:D19)</f>
        <v>0.99999999999999978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28" t="s">
        <v>36</v>
      </c>
      <c r="C21" s="61"/>
      <c r="D21" s="62" t="s">
        <v>37</v>
      </c>
      <c r="E21" s="348">
        <f>E26</f>
        <v>0</v>
      </c>
      <c r="F21" s="349">
        <f t="shared" ref="F21:R21" si="1">F26</f>
        <v>0</v>
      </c>
      <c r="G21" s="349">
        <f t="shared" si="1"/>
        <v>0</v>
      </c>
      <c r="H21" s="349">
        <f t="shared" si="1"/>
        <v>0</v>
      </c>
      <c r="I21" s="349">
        <f t="shared" si="1"/>
        <v>0</v>
      </c>
      <c r="J21" s="349">
        <f t="shared" si="1"/>
        <v>0</v>
      </c>
      <c r="K21" s="349">
        <f t="shared" si="1"/>
        <v>0</v>
      </c>
      <c r="L21" s="349">
        <f t="shared" si="1"/>
        <v>0</v>
      </c>
      <c r="M21" s="349">
        <f t="shared" si="1"/>
        <v>0</v>
      </c>
      <c r="N21" s="349">
        <f t="shared" si="1"/>
        <v>0</v>
      </c>
      <c r="O21" s="349">
        <f t="shared" si="1"/>
        <v>0</v>
      </c>
      <c r="P21" s="349">
        <f t="shared" si="1"/>
        <v>0</v>
      </c>
      <c r="Q21" s="349">
        <f t="shared" si="1"/>
        <v>0</v>
      </c>
      <c r="R21" s="349">
        <f t="shared" si="1"/>
        <v>0</v>
      </c>
      <c r="S21" s="63"/>
    </row>
    <row r="22" spans="1:19" ht="24.75" customHeight="1" thickBot="1">
      <c r="A22" s="33"/>
      <c r="B22" s="429"/>
      <c r="C22" s="64" t="s">
        <v>38</v>
      </c>
      <c r="D22" s="65" t="s">
        <v>39</v>
      </c>
      <c r="E22" s="269">
        <f>ROUND($C$20*E21/1000,0)</f>
        <v>0</v>
      </c>
      <c r="F22" s="270">
        <f t="shared" ref="F22:R22" si="2">ROUND($C$20*F21/1000,0)</f>
        <v>0</v>
      </c>
      <c r="G22" s="270">
        <f t="shared" si="2"/>
        <v>0</v>
      </c>
      <c r="H22" s="270">
        <f t="shared" si="2"/>
        <v>0</v>
      </c>
      <c r="I22" s="270">
        <f t="shared" si="2"/>
        <v>0</v>
      </c>
      <c r="J22" s="270">
        <f t="shared" si="2"/>
        <v>0</v>
      </c>
      <c r="K22" s="270">
        <f t="shared" si="2"/>
        <v>0</v>
      </c>
      <c r="L22" s="270">
        <f t="shared" si="2"/>
        <v>0</v>
      </c>
      <c r="M22" s="270">
        <f t="shared" si="2"/>
        <v>0</v>
      </c>
      <c r="N22" s="270">
        <f t="shared" si="2"/>
        <v>0</v>
      </c>
      <c r="O22" s="270">
        <f t="shared" si="2"/>
        <v>0</v>
      </c>
      <c r="P22" s="270">
        <f t="shared" si="2"/>
        <v>0</v>
      </c>
      <c r="Q22" s="270">
        <f t="shared" si="2"/>
        <v>0</v>
      </c>
      <c r="R22" s="270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39" t="s">
        <v>115</v>
      </c>
      <c r="D25" s="440"/>
      <c r="E25" s="353"/>
      <c r="F25" s="354">
        <f>E26+F26</f>
        <v>0</v>
      </c>
      <c r="G25" s="354">
        <f t="shared" ref="G25:R25" si="3">F25+G26</f>
        <v>0</v>
      </c>
      <c r="H25" s="354">
        <f t="shared" si="3"/>
        <v>0</v>
      </c>
      <c r="I25" s="354">
        <f t="shared" si="3"/>
        <v>0</v>
      </c>
      <c r="J25" s="354">
        <f t="shared" si="3"/>
        <v>0</v>
      </c>
      <c r="K25" s="354">
        <f t="shared" si="3"/>
        <v>0</v>
      </c>
      <c r="L25" s="354">
        <f t="shared" si="3"/>
        <v>0</v>
      </c>
      <c r="M25" s="354">
        <f t="shared" si="3"/>
        <v>0</v>
      </c>
      <c r="N25" s="354">
        <f t="shared" si="3"/>
        <v>0</v>
      </c>
      <c r="O25" s="354">
        <f t="shared" si="3"/>
        <v>0</v>
      </c>
      <c r="P25" s="354">
        <f t="shared" si="3"/>
        <v>0</v>
      </c>
      <c r="Q25" s="354">
        <f t="shared" si="3"/>
        <v>0</v>
      </c>
      <c r="R25" s="355">
        <f t="shared" si="3"/>
        <v>0</v>
      </c>
      <c r="S25" s="164"/>
    </row>
    <row r="26" spans="1:19" ht="24.6" customHeight="1">
      <c r="A26" s="33"/>
      <c r="B26" s="33"/>
      <c r="C26" s="441"/>
      <c r="D26" s="442"/>
      <c r="E26" s="356">
        <f t="shared" ref="E26:R26" si="4">E27/($C$20/1000)</f>
        <v>0</v>
      </c>
      <c r="F26" s="357">
        <f t="shared" si="4"/>
        <v>0</v>
      </c>
      <c r="G26" s="357">
        <f t="shared" si="4"/>
        <v>0</v>
      </c>
      <c r="H26" s="357">
        <f t="shared" si="4"/>
        <v>0</v>
      </c>
      <c r="I26" s="357">
        <f t="shared" si="4"/>
        <v>0</v>
      </c>
      <c r="J26" s="357">
        <f t="shared" si="4"/>
        <v>0</v>
      </c>
      <c r="K26" s="357">
        <f t="shared" si="4"/>
        <v>0</v>
      </c>
      <c r="L26" s="357">
        <f t="shared" si="4"/>
        <v>0</v>
      </c>
      <c r="M26" s="357">
        <f t="shared" si="4"/>
        <v>0</v>
      </c>
      <c r="N26" s="357">
        <f t="shared" si="4"/>
        <v>0</v>
      </c>
      <c r="O26" s="357">
        <f t="shared" si="4"/>
        <v>0</v>
      </c>
      <c r="P26" s="357">
        <f t="shared" si="4"/>
        <v>0</v>
      </c>
      <c r="Q26" s="357">
        <f t="shared" si="4"/>
        <v>0</v>
      </c>
      <c r="R26" s="358">
        <f t="shared" si="4"/>
        <v>0</v>
      </c>
      <c r="S26" s="165"/>
    </row>
    <row r="27" spans="1:19" ht="24.6" customHeight="1">
      <c r="A27" s="33"/>
      <c r="B27" s="33"/>
      <c r="C27" s="443" t="s">
        <v>116</v>
      </c>
      <c r="D27" s="444"/>
      <c r="E27" s="359"/>
      <c r="F27" s="360"/>
      <c r="G27" s="360"/>
      <c r="H27" s="360"/>
      <c r="I27" s="360"/>
      <c r="J27" s="360"/>
      <c r="K27" s="360"/>
      <c r="L27" s="360"/>
      <c r="M27" s="360"/>
      <c r="N27" s="360"/>
      <c r="O27" s="360"/>
      <c r="P27" s="360"/>
      <c r="Q27" s="360"/>
      <c r="R27" s="361"/>
      <c r="S27" s="165"/>
    </row>
    <row r="28" spans="1:19" ht="24.6" customHeight="1" thickBot="1">
      <c r="A28" s="33"/>
      <c r="B28" s="33"/>
      <c r="C28" s="445"/>
      <c r="D28" s="446"/>
      <c r="E28" s="362"/>
      <c r="F28" s="346">
        <f>E27+F27</f>
        <v>0</v>
      </c>
      <c r="G28" s="346">
        <f t="shared" ref="G28:R28" si="5">F28+G27</f>
        <v>0</v>
      </c>
      <c r="H28" s="346">
        <f t="shared" si="5"/>
        <v>0</v>
      </c>
      <c r="I28" s="346">
        <f t="shared" si="5"/>
        <v>0</v>
      </c>
      <c r="J28" s="346">
        <f t="shared" si="5"/>
        <v>0</v>
      </c>
      <c r="K28" s="346">
        <f t="shared" si="5"/>
        <v>0</v>
      </c>
      <c r="L28" s="346">
        <f t="shared" si="5"/>
        <v>0</v>
      </c>
      <c r="M28" s="346">
        <f t="shared" si="5"/>
        <v>0</v>
      </c>
      <c r="N28" s="346">
        <f t="shared" si="5"/>
        <v>0</v>
      </c>
      <c r="O28" s="346">
        <f t="shared" si="5"/>
        <v>0</v>
      </c>
      <c r="P28" s="346">
        <f t="shared" si="5"/>
        <v>0</v>
      </c>
      <c r="Q28" s="346">
        <f t="shared" si="5"/>
        <v>0</v>
      </c>
      <c r="R28" s="347">
        <f t="shared" si="5"/>
        <v>0</v>
      </c>
      <c r="S28" s="165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47"/>
      <c r="D30" s="448"/>
      <c r="E30" s="166" t="s">
        <v>117</v>
      </c>
      <c r="F30" s="167" t="s">
        <v>118</v>
      </c>
      <c r="G30" s="166" t="s">
        <v>119</v>
      </c>
      <c r="H30" s="167" t="s">
        <v>120</v>
      </c>
      <c r="I30" s="166" t="s">
        <v>121</v>
      </c>
      <c r="J30" s="167" t="s">
        <v>122</v>
      </c>
      <c r="K30" s="166" t="s">
        <v>123</v>
      </c>
      <c r="L30" s="167" t="s">
        <v>124</v>
      </c>
      <c r="M30" s="166" t="s">
        <v>125</v>
      </c>
      <c r="N30" s="168" t="s">
        <v>126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49"/>
      <c r="D31" s="450"/>
      <c r="E31" s="169"/>
      <c r="F31" s="170"/>
      <c r="G31" s="169"/>
      <c r="H31" s="170"/>
      <c r="I31" s="169"/>
      <c r="J31" s="170"/>
      <c r="K31" s="169"/>
      <c r="L31" s="170"/>
      <c r="M31" s="169"/>
      <c r="N31" s="171"/>
      <c r="O31" s="33"/>
      <c r="P31" s="33"/>
      <c r="Q31" s="33"/>
      <c r="R31" s="33"/>
      <c r="S31" s="33"/>
    </row>
    <row r="32" spans="1:19" ht="24.6" customHeight="1">
      <c r="A32" s="33"/>
      <c r="B32" s="33"/>
      <c r="C32" s="423"/>
      <c r="D32" s="424"/>
      <c r="E32" s="172"/>
      <c r="F32" s="173"/>
      <c r="G32" s="172"/>
      <c r="H32" s="173"/>
      <c r="I32" s="172"/>
      <c r="J32" s="173"/>
      <c r="K32" s="172"/>
      <c r="L32" s="173"/>
      <c r="M32" s="172"/>
      <c r="N32" s="174"/>
      <c r="O32" s="33"/>
      <c r="P32" s="33"/>
      <c r="Q32" s="33"/>
      <c r="R32" s="33"/>
      <c r="S32" s="33"/>
    </row>
    <row r="33" spans="1:19" ht="24.6" customHeight="1">
      <c r="A33" s="33"/>
      <c r="B33" s="33"/>
      <c r="C33" s="423"/>
      <c r="D33" s="424"/>
      <c r="E33" s="172"/>
      <c r="F33" s="173"/>
      <c r="G33" s="172"/>
      <c r="H33" s="173"/>
      <c r="I33" s="172"/>
      <c r="J33" s="173"/>
      <c r="K33" s="172"/>
      <c r="L33" s="173"/>
      <c r="M33" s="172"/>
      <c r="N33" s="174"/>
      <c r="O33" s="33"/>
      <c r="P33" s="33"/>
      <c r="Q33" s="33"/>
      <c r="R33" s="33"/>
      <c r="S33" s="33"/>
    </row>
    <row r="34" spans="1:19" ht="24.6" customHeight="1">
      <c r="A34" s="33"/>
      <c r="B34" s="33"/>
      <c r="C34" s="423"/>
      <c r="D34" s="424"/>
      <c r="E34" s="172"/>
      <c r="F34" s="173"/>
      <c r="G34" s="172"/>
      <c r="H34" s="173"/>
      <c r="I34" s="172"/>
      <c r="J34" s="173"/>
      <c r="K34" s="172"/>
      <c r="L34" s="173"/>
      <c r="M34" s="172"/>
      <c r="N34" s="174"/>
      <c r="O34" s="33"/>
      <c r="P34" s="33"/>
      <c r="Q34" s="33"/>
      <c r="R34" s="33"/>
      <c r="S34" s="33"/>
    </row>
    <row r="35" spans="1:19" ht="24.6" customHeight="1">
      <c r="A35" s="33"/>
      <c r="B35" s="33"/>
      <c r="C35" s="423"/>
      <c r="D35" s="424"/>
      <c r="E35" s="172"/>
      <c r="F35" s="173"/>
      <c r="G35" s="172"/>
      <c r="H35" s="173"/>
      <c r="I35" s="172"/>
      <c r="J35" s="173"/>
      <c r="K35" s="172"/>
      <c r="L35" s="173"/>
      <c r="M35" s="172"/>
      <c r="N35" s="174"/>
      <c r="O35" s="33"/>
      <c r="P35" s="33"/>
      <c r="Q35" s="33"/>
      <c r="R35" s="33"/>
      <c r="S35" s="33"/>
    </row>
    <row r="36" spans="1:19" ht="24.6" customHeight="1">
      <c r="A36" s="33"/>
      <c r="B36" s="33"/>
      <c r="C36" s="423"/>
      <c r="D36" s="424"/>
      <c r="E36" s="172"/>
      <c r="F36" s="173"/>
      <c r="G36" s="172"/>
      <c r="H36" s="173"/>
      <c r="I36" s="172"/>
      <c r="J36" s="173"/>
      <c r="K36" s="172"/>
      <c r="L36" s="173"/>
      <c r="M36" s="172"/>
      <c r="N36" s="174"/>
      <c r="O36" s="33"/>
      <c r="P36" s="33"/>
      <c r="Q36" s="33"/>
      <c r="R36" s="33"/>
      <c r="S36" s="33"/>
    </row>
    <row r="37" spans="1:19" ht="24.6" customHeight="1">
      <c r="A37" s="33"/>
      <c r="B37" s="33"/>
      <c r="C37" s="423"/>
      <c r="D37" s="424"/>
      <c r="E37" s="172"/>
      <c r="F37" s="173"/>
      <c r="G37" s="172"/>
      <c r="H37" s="173"/>
      <c r="I37" s="172"/>
      <c r="J37" s="173"/>
      <c r="K37" s="172"/>
      <c r="L37" s="173"/>
      <c r="M37" s="172"/>
      <c r="N37" s="174"/>
      <c r="O37" s="33"/>
      <c r="P37" s="33"/>
      <c r="Q37" s="33"/>
      <c r="R37" s="33"/>
      <c r="S37" s="33"/>
    </row>
    <row r="38" spans="1:19" ht="24.6" customHeight="1">
      <c r="A38" s="33"/>
      <c r="B38" s="33"/>
      <c r="C38" s="423"/>
      <c r="D38" s="424"/>
      <c r="E38" s="172"/>
      <c r="F38" s="173"/>
      <c r="G38" s="172"/>
      <c r="H38" s="173"/>
      <c r="I38" s="172"/>
      <c r="J38" s="173"/>
      <c r="K38" s="172"/>
      <c r="L38" s="173"/>
      <c r="M38" s="172"/>
      <c r="N38" s="174"/>
      <c r="O38" s="33"/>
      <c r="P38" s="33"/>
      <c r="Q38" s="33"/>
      <c r="R38" s="33"/>
      <c r="S38" s="33"/>
    </row>
    <row r="39" spans="1:19" ht="24.6" customHeight="1">
      <c r="A39" s="33"/>
      <c r="B39" s="33"/>
      <c r="C39" s="423"/>
      <c r="D39" s="424"/>
      <c r="E39" s="172"/>
      <c r="F39" s="173"/>
      <c r="G39" s="172"/>
      <c r="H39" s="173"/>
      <c r="I39" s="172"/>
      <c r="J39" s="173"/>
      <c r="K39" s="172"/>
      <c r="L39" s="173"/>
      <c r="M39" s="172"/>
      <c r="N39" s="174"/>
      <c r="O39" s="33"/>
      <c r="P39" s="33"/>
      <c r="Q39" s="33"/>
      <c r="R39" s="33"/>
      <c r="S39" s="33"/>
    </row>
    <row r="40" spans="1:19" ht="24.6" customHeight="1">
      <c r="A40" s="33"/>
      <c r="B40" s="33"/>
      <c r="C40" s="423"/>
      <c r="D40" s="424"/>
      <c r="E40" s="172"/>
      <c r="F40" s="173"/>
      <c r="G40" s="172"/>
      <c r="H40" s="173"/>
      <c r="I40" s="172"/>
      <c r="J40" s="173"/>
      <c r="K40" s="172"/>
      <c r="L40" s="173"/>
      <c r="M40" s="172"/>
      <c r="N40" s="174"/>
      <c r="O40" s="33"/>
      <c r="P40" s="33"/>
      <c r="Q40" s="33"/>
      <c r="R40" s="33"/>
      <c r="S40" s="33"/>
    </row>
    <row r="41" spans="1:19" ht="24.6" customHeight="1">
      <c r="A41" s="33"/>
      <c r="B41" s="33"/>
      <c r="C41" s="423"/>
      <c r="D41" s="424"/>
      <c r="E41" s="172"/>
      <c r="F41" s="173"/>
      <c r="G41" s="172"/>
      <c r="H41" s="173"/>
      <c r="I41" s="172"/>
      <c r="J41" s="173"/>
      <c r="K41" s="172"/>
      <c r="L41" s="173"/>
      <c r="M41" s="172"/>
      <c r="N41" s="174"/>
      <c r="O41" s="33"/>
      <c r="P41" s="33"/>
      <c r="Q41" s="33"/>
      <c r="R41" s="33"/>
      <c r="S41" s="33"/>
    </row>
    <row r="42" spans="1:19" ht="24.6" customHeight="1">
      <c r="A42" s="33"/>
      <c r="B42" s="33"/>
      <c r="C42" s="423"/>
      <c r="D42" s="424"/>
      <c r="E42" s="172"/>
      <c r="F42" s="173"/>
      <c r="G42" s="172"/>
      <c r="H42" s="173"/>
      <c r="I42" s="172"/>
      <c r="J42" s="173"/>
      <c r="K42" s="172"/>
      <c r="L42" s="173"/>
      <c r="M42" s="172"/>
      <c r="N42" s="174"/>
      <c r="O42" s="33"/>
      <c r="P42" s="33"/>
      <c r="Q42" s="33"/>
      <c r="R42" s="33"/>
      <c r="S42" s="33"/>
    </row>
    <row r="43" spans="1:19" ht="24.6" customHeight="1">
      <c r="A43" s="33"/>
      <c r="B43" s="33"/>
      <c r="C43" s="423"/>
      <c r="D43" s="424"/>
      <c r="E43" s="172"/>
      <c r="F43" s="173"/>
      <c r="G43" s="172"/>
      <c r="H43" s="173"/>
      <c r="I43" s="172"/>
      <c r="J43" s="173"/>
      <c r="K43" s="172"/>
      <c r="L43" s="173"/>
      <c r="M43" s="172"/>
      <c r="N43" s="174"/>
      <c r="O43" s="33"/>
      <c r="P43" s="33"/>
      <c r="Q43" s="33"/>
      <c r="R43" s="33"/>
      <c r="S43" s="33"/>
    </row>
    <row r="44" spans="1:19" ht="24.6" customHeight="1">
      <c r="A44" s="33"/>
      <c r="B44" s="33"/>
      <c r="C44" s="423"/>
      <c r="D44" s="424"/>
      <c r="E44" s="172"/>
      <c r="F44" s="173"/>
      <c r="G44" s="172"/>
      <c r="H44" s="173"/>
      <c r="I44" s="172"/>
      <c r="J44" s="173"/>
      <c r="K44" s="172"/>
      <c r="L44" s="173"/>
      <c r="M44" s="172"/>
      <c r="N44" s="174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21"/>
      <c r="D45" s="422"/>
      <c r="E45" s="175"/>
      <c r="F45" s="176"/>
      <c r="G45" s="175"/>
      <c r="H45" s="176"/>
      <c r="I45" s="175"/>
      <c r="J45" s="176"/>
      <c r="K45" s="175"/>
      <c r="L45" s="176"/>
      <c r="M45" s="175"/>
      <c r="N45" s="177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54"/>
      <c r="M2" s="454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55" t="s">
        <v>159</v>
      </c>
      <c r="C4" s="456"/>
      <c r="D4" s="456"/>
      <c r="E4" s="456"/>
      <c r="F4" s="456"/>
      <c r="G4" s="456"/>
      <c r="H4" s="456"/>
      <c r="I4" s="457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58"/>
      <c r="C5" s="459"/>
      <c r="D5" s="459"/>
      <c r="E5" s="459"/>
      <c r="F5" s="459"/>
      <c r="G5" s="459"/>
      <c r="H5" s="459"/>
      <c r="I5" s="460"/>
      <c r="J5" s="82" t="s">
        <v>151</v>
      </c>
      <c r="K5" s="271" t="s">
        <v>160</v>
      </c>
      <c r="L5" s="272" t="s">
        <v>161</v>
      </c>
      <c r="M5" s="273">
        <v>900</v>
      </c>
      <c r="N5" s="69"/>
      <c r="O5" s="274"/>
      <c r="P5" s="275"/>
      <c r="Q5" s="276"/>
      <c r="R5" s="277"/>
    </row>
    <row r="6" spans="1:18" ht="24.95" customHeight="1">
      <c r="A6" s="69"/>
      <c r="B6" s="458"/>
      <c r="C6" s="459"/>
      <c r="D6" s="459"/>
      <c r="E6" s="459"/>
      <c r="F6" s="459"/>
      <c r="G6" s="459"/>
      <c r="H6" s="459"/>
      <c r="I6" s="460"/>
      <c r="J6" s="85" t="s">
        <v>151</v>
      </c>
      <c r="K6" s="278" t="s">
        <v>162</v>
      </c>
      <c r="L6" s="279" t="s">
        <v>161</v>
      </c>
      <c r="M6" s="280"/>
      <c r="N6" s="69"/>
      <c r="O6" s="274"/>
      <c r="P6" s="275"/>
      <c r="Q6" s="276"/>
      <c r="R6" s="277"/>
    </row>
    <row r="7" spans="1:18" ht="24.95" customHeight="1">
      <c r="A7" s="69"/>
      <c r="B7" s="458"/>
      <c r="C7" s="459"/>
      <c r="D7" s="459"/>
      <c r="E7" s="459"/>
      <c r="F7" s="459"/>
      <c r="G7" s="459"/>
      <c r="H7" s="459"/>
      <c r="I7" s="460"/>
      <c r="J7" s="85" t="s">
        <v>152</v>
      </c>
      <c r="K7" s="278" t="s">
        <v>160</v>
      </c>
      <c r="L7" s="279" t="s">
        <v>161</v>
      </c>
      <c r="M7" s="280">
        <v>920</v>
      </c>
      <c r="N7" s="69"/>
      <c r="O7" s="274"/>
      <c r="P7" s="275"/>
      <c r="Q7" s="276"/>
      <c r="R7" s="277"/>
    </row>
    <row r="8" spans="1:18" ht="24.95" customHeight="1">
      <c r="A8" s="69"/>
      <c r="B8" s="458"/>
      <c r="C8" s="459"/>
      <c r="D8" s="459"/>
      <c r="E8" s="459"/>
      <c r="F8" s="459"/>
      <c r="G8" s="459"/>
      <c r="H8" s="459"/>
      <c r="I8" s="460"/>
      <c r="J8" s="85" t="s">
        <v>153</v>
      </c>
      <c r="K8" s="278" t="s">
        <v>162</v>
      </c>
      <c r="L8" s="279" t="s">
        <v>161</v>
      </c>
      <c r="M8" s="280">
        <v>303</v>
      </c>
      <c r="N8" s="69"/>
      <c r="O8" s="274"/>
      <c r="P8" s="275"/>
      <c r="Q8" s="276"/>
      <c r="R8" s="277"/>
    </row>
    <row r="9" spans="1:18" ht="24.95" customHeight="1">
      <c r="A9" s="69"/>
      <c r="B9" s="458"/>
      <c r="C9" s="459"/>
      <c r="D9" s="459"/>
      <c r="E9" s="459"/>
      <c r="F9" s="459"/>
      <c r="G9" s="459"/>
      <c r="H9" s="459"/>
      <c r="I9" s="460"/>
      <c r="J9" s="85" t="s">
        <v>154</v>
      </c>
      <c r="K9" s="278"/>
      <c r="L9" s="279" t="s">
        <v>163</v>
      </c>
      <c r="M9" s="280">
        <v>1</v>
      </c>
      <c r="N9" s="69"/>
      <c r="O9" s="274"/>
      <c r="P9" s="275"/>
      <c r="Q9" s="276"/>
      <c r="R9" s="277"/>
    </row>
    <row r="10" spans="1:18" ht="24.95" customHeight="1">
      <c r="A10" s="69"/>
      <c r="B10" s="458"/>
      <c r="C10" s="459"/>
      <c r="D10" s="459"/>
      <c r="E10" s="459"/>
      <c r="F10" s="459"/>
      <c r="G10" s="459"/>
      <c r="H10" s="459"/>
      <c r="I10" s="460"/>
      <c r="J10" s="85" t="s">
        <v>155</v>
      </c>
      <c r="K10" s="278"/>
      <c r="L10" s="279" t="s">
        <v>163</v>
      </c>
      <c r="M10" s="280">
        <v>1</v>
      </c>
      <c r="N10" s="69"/>
      <c r="O10" s="274"/>
      <c r="P10" s="275"/>
      <c r="Q10" s="276"/>
      <c r="R10" s="277"/>
    </row>
    <row r="11" spans="1:18" ht="24.95" customHeight="1">
      <c r="A11" s="69"/>
      <c r="B11" s="458"/>
      <c r="C11" s="459"/>
      <c r="D11" s="459"/>
      <c r="E11" s="459"/>
      <c r="F11" s="459"/>
      <c r="G11" s="459"/>
      <c r="H11" s="459"/>
      <c r="I11" s="460"/>
      <c r="J11" s="88" t="s">
        <v>156</v>
      </c>
      <c r="K11" s="278"/>
      <c r="L11" s="279" t="s">
        <v>163</v>
      </c>
      <c r="M11" s="280">
        <v>1</v>
      </c>
      <c r="N11" s="69"/>
      <c r="O11" s="274"/>
      <c r="P11" s="275"/>
      <c r="Q11" s="276"/>
      <c r="R11" s="277"/>
    </row>
    <row r="12" spans="1:18" ht="24.95" customHeight="1">
      <c r="A12" s="69"/>
      <c r="B12" s="458"/>
      <c r="C12" s="459"/>
      <c r="D12" s="459"/>
      <c r="E12" s="459"/>
      <c r="F12" s="459"/>
      <c r="G12" s="459"/>
      <c r="H12" s="459"/>
      <c r="I12" s="460"/>
      <c r="J12" s="88" t="s">
        <v>157</v>
      </c>
      <c r="K12" s="278"/>
      <c r="L12" s="279" t="s">
        <v>163</v>
      </c>
      <c r="M12" s="280">
        <v>1</v>
      </c>
      <c r="N12" s="69"/>
      <c r="O12" s="274"/>
      <c r="P12" s="275"/>
      <c r="Q12" s="276"/>
      <c r="R12" s="277"/>
    </row>
    <row r="13" spans="1:18" ht="24.95" customHeight="1">
      <c r="A13" s="69"/>
      <c r="B13" s="458"/>
      <c r="C13" s="459"/>
      <c r="D13" s="459"/>
      <c r="E13" s="459"/>
      <c r="F13" s="459"/>
      <c r="G13" s="459"/>
      <c r="H13" s="459"/>
      <c r="I13" s="460"/>
      <c r="J13" s="88" t="s">
        <v>158</v>
      </c>
      <c r="K13" s="278"/>
      <c r="L13" s="279" t="s">
        <v>163</v>
      </c>
      <c r="M13" s="280">
        <v>1</v>
      </c>
      <c r="N13" s="69"/>
      <c r="O13" s="274"/>
      <c r="P13" s="275"/>
      <c r="Q13" s="276"/>
      <c r="R13" s="277"/>
    </row>
    <row r="14" spans="1:18" ht="24.95" customHeight="1" thickBot="1">
      <c r="A14" s="69"/>
      <c r="B14" s="461"/>
      <c r="C14" s="462"/>
      <c r="D14" s="462"/>
      <c r="E14" s="462"/>
      <c r="F14" s="462"/>
      <c r="G14" s="462"/>
      <c r="H14" s="462"/>
      <c r="I14" s="463"/>
      <c r="J14" s="88"/>
      <c r="K14" s="278"/>
      <c r="L14" s="279"/>
      <c r="M14" s="280"/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/>
      <c r="K15" s="278"/>
      <c r="L15" s="279"/>
      <c r="M15" s="280"/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/>
      <c r="K16" s="278"/>
      <c r="L16" s="279"/>
      <c r="M16" s="280"/>
      <c r="N16" s="69"/>
      <c r="O16" s="69"/>
    </row>
    <row r="17" spans="1:23" ht="24.95" customHeight="1">
      <c r="A17" s="69"/>
      <c r="B17" s="94"/>
      <c r="C17" s="83"/>
      <c r="D17" s="84"/>
      <c r="E17" s="281"/>
      <c r="F17" s="95"/>
      <c r="G17" s="83"/>
      <c r="H17" s="84"/>
      <c r="I17" s="281"/>
      <c r="J17" s="88"/>
      <c r="K17" s="278"/>
      <c r="L17" s="279"/>
      <c r="M17" s="280"/>
      <c r="N17" s="69"/>
      <c r="O17" s="69"/>
    </row>
    <row r="18" spans="1:23" ht="24.95" customHeight="1">
      <c r="A18" s="69"/>
      <c r="B18" s="96"/>
      <c r="C18" s="86"/>
      <c r="D18" s="87"/>
      <c r="E18" s="282"/>
      <c r="F18" s="88"/>
      <c r="G18" s="86"/>
      <c r="H18" s="87"/>
      <c r="I18" s="282"/>
      <c r="J18" s="88"/>
      <c r="K18" s="278"/>
      <c r="L18" s="279"/>
      <c r="M18" s="280"/>
      <c r="N18" s="69"/>
      <c r="O18" s="69"/>
    </row>
    <row r="19" spans="1:23" ht="24.95" customHeight="1" thickBot="1">
      <c r="A19" s="69"/>
      <c r="B19" s="97"/>
      <c r="C19" s="98"/>
      <c r="D19" s="99"/>
      <c r="E19" s="283"/>
      <c r="F19" s="100"/>
      <c r="G19" s="98"/>
      <c r="H19" s="99"/>
      <c r="I19" s="283"/>
      <c r="J19" s="100"/>
      <c r="K19" s="284"/>
      <c r="L19" s="285"/>
      <c r="M19" s="286"/>
      <c r="N19" s="69"/>
      <c r="O19" s="69"/>
    </row>
    <row r="20" spans="1:23" s="102" customFormat="1" ht="18" customHeight="1">
      <c r="A20" s="338"/>
      <c r="B20" s="338"/>
      <c r="C20" s="338"/>
      <c r="D20" s="338"/>
      <c r="E20" s="338"/>
      <c r="F20" s="338"/>
      <c r="G20" s="338"/>
      <c r="H20" s="338"/>
      <c r="I20" s="338"/>
      <c r="J20" s="339"/>
      <c r="K20" s="338"/>
      <c r="L20" s="338"/>
      <c r="M20" s="340"/>
      <c r="N20" s="338"/>
      <c r="O20" s="338"/>
      <c r="P20" s="245"/>
      <c r="Q20" s="245"/>
      <c r="R20" s="245"/>
      <c r="S20" s="245"/>
      <c r="T20" s="245"/>
      <c r="U20" s="245"/>
      <c r="V20" s="245"/>
      <c r="W20" s="245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topLeftCell="A14"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481" t="s">
        <v>50</v>
      </c>
      <c r="B2" s="482"/>
      <c r="C2" s="482"/>
      <c r="D2" s="482"/>
      <c r="E2" s="482"/>
      <c r="F2" s="482"/>
      <c r="G2" s="482"/>
      <c r="H2" s="482"/>
      <c r="I2" s="482"/>
      <c r="J2" s="482"/>
      <c r="K2" s="482"/>
      <c r="L2" s="482"/>
      <c r="M2" s="482"/>
      <c r="N2" s="482"/>
      <c r="O2" s="482"/>
      <c r="P2" s="483"/>
    </row>
    <row r="3" spans="1:17" ht="19.5" customHeight="1" thickBot="1">
      <c r="A3" s="69"/>
      <c r="B3" s="232"/>
      <c r="C3" s="232"/>
      <c r="D3" s="233"/>
      <c r="E3" s="69"/>
      <c r="F3" s="69"/>
      <c r="G3" s="69"/>
      <c r="H3" s="69"/>
      <c r="I3" s="234"/>
      <c r="J3" s="234"/>
      <c r="K3" s="234"/>
      <c r="L3" s="69"/>
      <c r="M3" s="484"/>
      <c r="N3" s="484"/>
      <c r="O3" s="454"/>
      <c r="P3" s="69"/>
    </row>
    <row r="4" spans="1:17" ht="30" customHeight="1">
      <c r="A4" s="69"/>
      <c r="B4" s="103" t="s">
        <v>51</v>
      </c>
      <c r="C4" s="485" t="s">
        <v>143</v>
      </c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6"/>
      <c r="O4" s="487"/>
      <c r="P4" s="69"/>
    </row>
    <row r="5" spans="1:17" ht="30" customHeight="1">
      <c r="A5" s="69"/>
      <c r="B5" s="104" t="s">
        <v>52</v>
      </c>
      <c r="C5" s="467" t="s">
        <v>143</v>
      </c>
      <c r="D5" s="488"/>
      <c r="E5" s="235" t="s">
        <v>129</v>
      </c>
      <c r="F5" s="489" t="s">
        <v>171</v>
      </c>
      <c r="G5" s="490"/>
      <c r="H5" s="235" t="s">
        <v>130</v>
      </c>
      <c r="I5" s="467" t="s">
        <v>145</v>
      </c>
      <c r="J5" s="491"/>
      <c r="K5" s="469"/>
      <c r="L5" s="105" t="s">
        <v>114</v>
      </c>
      <c r="M5" s="467"/>
      <c r="N5" s="491"/>
      <c r="O5" s="492"/>
      <c r="P5" s="69"/>
    </row>
    <row r="6" spans="1:17" ht="30" customHeight="1">
      <c r="A6" s="69"/>
      <c r="B6" s="106" t="s">
        <v>53</v>
      </c>
      <c r="C6" s="467" t="s">
        <v>140</v>
      </c>
      <c r="D6" s="469"/>
      <c r="E6" s="105"/>
      <c r="F6" s="107" t="s">
        <v>54</v>
      </c>
      <c r="G6" s="107" t="s">
        <v>55</v>
      </c>
      <c r="H6" s="108" t="s">
        <v>164</v>
      </c>
      <c r="I6" s="109" t="s">
        <v>165</v>
      </c>
      <c r="J6" s="109" t="s">
        <v>166</v>
      </c>
      <c r="K6" s="109" t="s">
        <v>167</v>
      </c>
      <c r="L6" s="109" t="s">
        <v>168</v>
      </c>
      <c r="M6" s="110" t="s">
        <v>169</v>
      </c>
      <c r="N6" s="109" t="s">
        <v>170</v>
      </c>
      <c r="O6" s="111" t="s">
        <v>156</v>
      </c>
      <c r="P6" s="236"/>
      <c r="Q6" s="237"/>
    </row>
    <row r="7" spans="1:17" ht="30" customHeight="1">
      <c r="A7" s="69"/>
      <c r="B7" s="106" t="s">
        <v>56</v>
      </c>
      <c r="C7" s="467" t="s">
        <v>144</v>
      </c>
      <c r="D7" s="469"/>
      <c r="E7" s="112" t="s">
        <v>57</v>
      </c>
      <c r="F7" s="238">
        <v>4450000</v>
      </c>
      <c r="G7" s="310">
        <v>1</v>
      </c>
      <c r="H7" s="239"/>
      <c r="I7" s="240"/>
      <c r="J7" s="240"/>
      <c r="K7" s="240"/>
      <c r="L7" s="240"/>
      <c r="M7" s="241"/>
      <c r="N7" s="242"/>
      <c r="O7" s="243"/>
      <c r="P7" s="244"/>
      <c r="Q7" s="224"/>
    </row>
    <row r="8" spans="1:17" ht="30" customHeight="1">
      <c r="A8" s="69"/>
      <c r="B8" s="106" t="s">
        <v>58</v>
      </c>
      <c r="C8" s="467"/>
      <c r="D8" s="468"/>
      <c r="E8" s="112" t="s">
        <v>59</v>
      </c>
      <c r="F8" s="238">
        <v>3548678</v>
      </c>
      <c r="G8" s="310">
        <v>0.79749999999999999</v>
      </c>
      <c r="H8" s="239">
        <v>1856447</v>
      </c>
      <c r="I8" s="240">
        <v>646641</v>
      </c>
      <c r="J8" s="240">
        <v>120000</v>
      </c>
      <c r="K8" s="240">
        <v>304597</v>
      </c>
      <c r="L8" s="241">
        <v>244565</v>
      </c>
      <c r="M8" s="241"/>
      <c r="N8" s="242">
        <v>275000</v>
      </c>
      <c r="O8" s="243">
        <v>100000</v>
      </c>
      <c r="P8" s="244"/>
      <c r="Q8" s="224"/>
    </row>
    <row r="9" spans="1:17" ht="30" customHeight="1">
      <c r="A9" s="69"/>
      <c r="B9" s="106" t="s">
        <v>21</v>
      </c>
      <c r="C9" s="467" t="s">
        <v>146</v>
      </c>
      <c r="D9" s="469"/>
      <c r="E9" s="113" t="s">
        <v>60</v>
      </c>
      <c r="F9" s="238">
        <v>3273678</v>
      </c>
      <c r="G9" s="310">
        <v>0.73570000000000002</v>
      </c>
      <c r="H9" s="239">
        <v>1856447</v>
      </c>
      <c r="I9" s="240">
        <v>646641</v>
      </c>
      <c r="J9" s="240">
        <v>120000</v>
      </c>
      <c r="K9" s="240">
        <v>304597</v>
      </c>
      <c r="L9" s="241">
        <v>244565</v>
      </c>
      <c r="M9" s="241"/>
      <c r="N9" s="242"/>
      <c r="O9" s="243">
        <v>100000</v>
      </c>
      <c r="P9" s="341"/>
      <c r="Q9" s="342"/>
    </row>
    <row r="10" spans="1:17" ht="30" customHeight="1">
      <c r="A10" s="69"/>
      <c r="B10" s="106" t="s">
        <v>61</v>
      </c>
      <c r="C10" s="467" t="s">
        <v>142</v>
      </c>
      <c r="D10" s="469"/>
      <c r="E10" s="113" t="s">
        <v>62</v>
      </c>
      <c r="F10" s="238"/>
      <c r="G10" s="310"/>
      <c r="H10" s="239"/>
      <c r="I10" s="242"/>
      <c r="J10" s="242"/>
      <c r="K10" s="242"/>
      <c r="L10" s="240"/>
      <c r="M10" s="241"/>
      <c r="N10" s="242"/>
      <c r="O10" s="243"/>
      <c r="P10" s="341"/>
      <c r="Q10" s="245"/>
    </row>
    <row r="11" spans="1:17" ht="30" customHeight="1">
      <c r="A11" s="69"/>
      <c r="B11" s="106" t="s">
        <v>63</v>
      </c>
      <c r="C11" s="467"/>
      <c r="D11" s="469"/>
      <c r="E11" s="113" t="s">
        <v>64</v>
      </c>
      <c r="F11" s="238">
        <v>275000</v>
      </c>
      <c r="G11" s="310">
        <v>6.1800000000000001E-2</v>
      </c>
      <c r="H11" s="239"/>
      <c r="I11" s="242"/>
      <c r="J11" s="242"/>
      <c r="K11" s="242"/>
      <c r="L11" s="240"/>
      <c r="M11" s="241"/>
      <c r="N11" s="242">
        <v>275000</v>
      </c>
      <c r="O11" s="243"/>
      <c r="P11" s="341"/>
      <c r="Q11" s="245"/>
    </row>
    <row r="12" spans="1:17" ht="30" customHeight="1">
      <c r="A12" s="69"/>
      <c r="B12" s="106" t="s">
        <v>65</v>
      </c>
      <c r="C12" s="467" t="s">
        <v>172</v>
      </c>
      <c r="D12" s="468"/>
      <c r="E12" s="112" t="s">
        <v>66</v>
      </c>
      <c r="F12" s="238">
        <v>901322</v>
      </c>
      <c r="G12" s="310">
        <v>0.20250000000000001</v>
      </c>
      <c r="H12" s="239"/>
      <c r="I12" s="242"/>
      <c r="J12" s="242"/>
      <c r="K12" s="242"/>
      <c r="L12" s="240"/>
      <c r="M12" s="241"/>
      <c r="N12" s="242"/>
      <c r="O12" s="243"/>
      <c r="P12" s="341"/>
      <c r="Q12" s="245"/>
    </row>
    <row r="13" spans="1:17" ht="30" customHeight="1">
      <c r="A13" s="69"/>
      <c r="B13" s="106" t="s">
        <v>67</v>
      </c>
      <c r="C13" s="467" t="s">
        <v>173</v>
      </c>
      <c r="D13" s="468"/>
      <c r="E13" s="158" t="s">
        <v>106</v>
      </c>
      <c r="F13" s="238">
        <v>302600</v>
      </c>
      <c r="G13" s="310">
        <v>6.8000000000000005E-2</v>
      </c>
      <c r="H13" s="239"/>
      <c r="I13" s="242"/>
      <c r="J13" s="242"/>
      <c r="K13" s="242"/>
      <c r="L13" s="240"/>
      <c r="M13" s="241"/>
      <c r="N13" s="242"/>
      <c r="O13" s="243"/>
      <c r="P13" s="341"/>
      <c r="Q13" s="245"/>
    </row>
    <row r="14" spans="1:17" ht="30" customHeight="1">
      <c r="A14" s="69"/>
      <c r="B14" s="106" t="s">
        <v>68</v>
      </c>
      <c r="C14" s="467" t="s">
        <v>147</v>
      </c>
      <c r="D14" s="469"/>
      <c r="E14" s="113" t="s">
        <v>107</v>
      </c>
      <c r="F14" s="238">
        <v>200250</v>
      </c>
      <c r="G14" s="310">
        <v>4.4999999999999998E-2</v>
      </c>
      <c r="H14" s="239"/>
      <c r="I14" s="242"/>
      <c r="J14" s="242"/>
      <c r="K14" s="242"/>
      <c r="L14" s="240"/>
      <c r="M14" s="241"/>
      <c r="N14" s="242"/>
      <c r="O14" s="243"/>
      <c r="P14" s="341"/>
      <c r="Q14" s="245"/>
    </row>
    <row r="15" spans="1:17" ht="30" customHeight="1">
      <c r="A15" s="69"/>
      <c r="B15" s="225" t="s">
        <v>22</v>
      </c>
      <c r="C15" s="470" t="s">
        <v>174</v>
      </c>
      <c r="D15" s="471"/>
      <c r="E15" s="113" t="s">
        <v>108</v>
      </c>
      <c r="F15" s="238">
        <v>102350</v>
      </c>
      <c r="G15" s="310">
        <v>2.3E-2</v>
      </c>
      <c r="H15" s="239"/>
      <c r="I15" s="242"/>
      <c r="J15" s="242"/>
      <c r="K15" s="242"/>
      <c r="L15" s="240"/>
      <c r="M15" s="241"/>
      <c r="N15" s="242"/>
      <c r="O15" s="243"/>
      <c r="P15" s="338"/>
      <c r="Q15" s="245"/>
    </row>
    <row r="16" spans="1:17" ht="30" customHeight="1">
      <c r="A16" s="69"/>
      <c r="B16" s="106" t="s">
        <v>112</v>
      </c>
      <c r="C16" s="467" t="s">
        <v>175</v>
      </c>
      <c r="D16" s="469"/>
      <c r="E16" s="112" t="s">
        <v>109</v>
      </c>
      <c r="F16" s="238">
        <v>598722</v>
      </c>
      <c r="G16" s="310">
        <v>0.13450000000000001</v>
      </c>
      <c r="H16" s="239"/>
      <c r="I16" s="242"/>
      <c r="J16" s="242"/>
      <c r="K16" s="242"/>
      <c r="L16" s="240"/>
      <c r="M16" s="241"/>
      <c r="N16" s="242"/>
      <c r="O16" s="243"/>
      <c r="P16" s="341"/>
      <c r="Q16" s="245"/>
    </row>
    <row r="17" spans="1:21" ht="30" customHeight="1">
      <c r="A17" s="69"/>
      <c r="B17" s="472" t="s">
        <v>70</v>
      </c>
      <c r="C17" s="475" t="s">
        <v>176</v>
      </c>
      <c r="D17" s="476"/>
      <c r="E17" s="112" t="s">
        <v>110</v>
      </c>
      <c r="F17" s="238">
        <v>66750</v>
      </c>
      <c r="G17" s="310">
        <v>1.4999999999999999E-2</v>
      </c>
      <c r="H17" s="239"/>
      <c r="I17" s="242"/>
      <c r="J17" s="242"/>
      <c r="K17" s="242"/>
      <c r="L17" s="240"/>
      <c r="M17" s="241"/>
      <c r="N17" s="242"/>
      <c r="O17" s="243"/>
      <c r="P17" s="341"/>
      <c r="Q17" s="245"/>
    </row>
    <row r="18" spans="1:21" ht="30" customHeight="1">
      <c r="A18" s="69"/>
      <c r="B18" s="473"/>
      <c r="C18" s="477"/>
      <c r="D18" s="478"/>
      <c r="E18" s="157" t="s">
        <v>111</v>
      </c>
      <c r="F18" s="238">
        <v>531972</v>
      </c>
      <c r="G18" s="310">
        <v>0.1195</v>
      </c>
      <c r="H18" s="239"/>
      <c r="I18" s="242"/>
      <c r="J18" s="242"/>
      <c r="K18" s="242"/>
      <c r="L18" s="240"/>
      <c r="M18" s="241"/>
      <c r="N18" s="242"/>
      <c r="O18" s="243"/>
      <c r="P18" s="341"/>
      <c r="Q18" s="245"/>
    </row>
    <row r="19" spans="1:21" ht="184.5" customHeight="1" thickBot="1">
      <c r="A19" s="69"/>
      <c r="B19" s="474"/>
      <c r="C19" s="479"/>
      <c r="D19" s="480"/>
      <c r="E19" s="162" t="s">
        <v>69</v>
      </c>
      <c r="F19" s="464"/>
      <c r="G19" s="465"/>
      <c r="H19" s="465"/>
      <c r="I19" s="465"/>
      <c r="J19" s="465"/>
      <c r="K19" s="465"/>
      <c r="L19" s="465"/>
      <c r="M19" s="465"/>
      <c r="N19" s="465"/>
      <c r="O19" s="466"/>
      <c r="P19" s="338"/>
      <c r="Q19" s="245"/>
    </row>
    <row r="20" spans="1:21" s="102" customFormat="1">
      <c r="A20" s="338"/>
      <c r="B20" s="338"/>
      <c r="C20" s="338"/>
      <c r="D20" s="338"/>
      <c r="E20" s="338"/>
      <c r="F20" s="338"/>
      <c r="G20" s="338"/>
      <c r="H20" s="338"/>
      <c r="I20" s="338"/>
      <c r="J20" s="338"/>
      <c r="K20" s="338"/>
      <c r="L20" s="338"/>
      <c r="M20" s="338"/>
      <c r="N20" s="338"/>
      <c r="O20" s="343"/>
      <c r="P20" s="338"/>
      <c r="Q20" s="245"/>
      <c r="R20" s="245"/>
      <c r="S20" s="245"/>
      <c r="T20" s="245"/>
      <c r="U20" s="245"/>
    </row>
    <row r="21" spans="1:21">
      <c r="E21" s="245"/>
      <c r="F21" s="245"/>
      <c r="G21" s="245"/>
      <c r="H21" s="245"/>
      <c r="I21" s="245"/>
      <c r="J21" s="245"/>
      <c r="K21" s="245"/>
    </row>
    <row r="22" spans="1:21">
      <c r="E22" s="245"/>
      <c r="F22" s="245"/>
      <c r="G22" s="245"/>
      <c r="H22" s="245"/>
      <c r="I22" s="245"/>
      <c r="J22" s="245"/>
      <c r="K22" s="245"/>
    </row>
    <row r="23" spans="1:21">
      <c r="E23" s="130"/>
      <c r="F23" s="130"/>
      <c r="G23" s="130"/>
      <c r="H23" s="130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31"/>
      <c r="C1" s="131"/>
      <c r="D1" s="509" t="s">
        <v>139</v>
      </c>
      <c r="E1" s="509"/>
      <c r="F1" s="509"/>
      <c r="G1" s="509"/>
      <c r="H1" s="69"/>
      <c r="I1" s="69"/>
      <c r="J1" s="69"/>
      <c r="K1" s="69"/>
    </row>
    <row r="2" spans="1:11" ht="15.95" customHeight="1">
      <c r="A2" s="132"/>
      <c r="B2" s="132"/>
      <c r="C2" s="132"/>
      <c r="D2" s="132"/>
      <c r="E2" s="132"/>
      <c r="F2" s="132"/>
      <c r="G2" s="132"/>
      <c r="H2" s="132"/>
      <c r="I2" s="132"/>
      <c r="J2" s="132"/>
      <c r="K2" s="132"/>
    </row>
    <row r="3" spans="1:11" ht="30.95" customHeight="1">
      <c r="A3" s="133"/>
      <c r="B3" s="287" t="s">
        <v>85</v>
      </c>
      <c r="C3" s="208" t="s">
        <v>143</v>
      </c>
      <c r="D3" s="274"/>
      <c r="E3" s="288"/>
      <c r="F3" s="156"/>
      <c r="G3" s="156"/>
      <c r="H3" s="156"/>
      <c r="I3" s="156"/>
      <c r="J3" s="289"/>
      <c r="K3" s="133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10" t="s">
        <v>86</v>
      </c>
      <c r="C5" s="511"/>
      <c r="D5" s="209" t="s">
        <v>75</v>
      </c>
      <c r="E5" s="209" t="s">
        <v>87</v>
      </c>
      <c r="F5" s="209" t="s">
        <v>88</v>
      </c>
      <c r="G5" s="209" t="s">
        <v>73</v>
      </c>
      <c r="H5" s="210" t="s">
        <v>89</v>
      </c>
      <c r="I5" s="209" t="s">
        <v>55</v>
      </c>
      <c r="J5" s="116" t="s">
        <v>91</v>
      </c>
      <c r="K5" s="69"/>
    </row>
    <row r="6" spans="1:11" ht="15.6" customHeight="1">
      <c r="A6" s="69"/>
      <c r="B6" s="211" t="s">
        <v>177</v>
      </c>
      <c r="C6" s="155"/>
      <c r="D6" s="493"/>
      <c r="E6" s="495"/>
      <c r="F6" s="497"/>
      <c r="G6" s="499"/>
      <c r="H6" s="327"/>
      <c r="I6" s="501"/>
      <c r="J6" s="212"/>
      <c r="K6" s="69" t="s">
        <v>92</v>
      </c>
    </row>
    <row r="7" spans="1:11" ht="15.6" customHeight="1">
      <c r="A7" s="69"/>
      <c r="B7" s="213"/>
      <c r="C7" s="214"/>
      <c r="D7" s="494"/>
      <c r="E7" s="496"/>
      <c r="F7" s="498"/>
      <c r="G7" s="500"/>
      <c r="H7" s="328"/>
      <c r="I7" s="502"/>
      <c r="J7" s="215"/>
      <c r="K7" s="69" t="s">
        <v>92</v>
      </c>
    </row>
    <row r="8" spans="1:11" ht="15.6" customHeight="1">
      <c r="A8" s="69"/>
      <c r="B8" s="211" t="s">
        <v>178</v>
      </c>
      <c r="C8" s="155"/>
      <c r="D8" s="493" t="s">
        <v>161</v>
      </c>
      <c r="E8" s="495">
        <v>900</v>
      </c>
      <c r="F8" s="497">
        <v>225</v>
      </c>
      <c r="G8" s="499">
        <v>202500</v>
      </c>
      <c r="H8" s="327"/>
      <c r="I8" s="501">
        <v>4.5499999999999999E-2</v>
      </c>
      <c r="J8" s="216"/>
      <c r="K8" s="69" t="s">
        <v>92</v>
      </c>
    </row>
    <row r="9" spans="1:11" ht="15.6" customHeight="1">
      <c r="A9" s="69"/>
      <c r="B9" s="213" t="s">
        <v>179</v>
      </c>
      <c r="C9" s="214"/>
      <c r="D9" s="494"/>
      <c r="E9" s="496"/>
      <c r="F9" s="498"/>
      <c r="G9" s="500"/>
      <c r="H9" s="328"/>
      <c r="I9" s="502"/>
      <c r="J9" s="216"/>
      <c r="K9" s="69" t="s">
        <v>92</v>
      </c>
    </row>
    <row r="10" spans="1:11" ht="15.6" customHeight="1">
      <c r="A10" s="69"/>
      <c r="B10" s="211" t="s">
        <v>178</v>
      </c>
      <c r="C10" s="155"/>
      <c r="D10" s="493" t="s">
        <v>161</v>
      </c>
      <c r="E10" s="495"/>
      <c r="F10" s="497"/>
      <c r="G10" s="499"/>
      <c r="H10" s="327"/>
      <c r="I10" s="501"/>
      <c r="J10" s="212"/>
      <c r="K10" s="69" t="s">
        <v>92</v>
      </c>
    </row>
    <row r="11" spans="1:11" ht="15.6" customHeight="1">
      <c r="A11" s="69"/>
      <c r="B11" s="213" t="s">
        <v>180</v>
      </c>
      <c r="C11" s="214"/>
      <c r="D11" s="494"/>
      <c r="E11" s="496"/>
      <c r="F11" s="498"/>
      <c r="G11" s="500"/>
      <c r="H11" s="328"/>
      <c r="I11" s="502"/>
      <c r="J11" s="215"/>
      <c r="K11" s="69" t="s">
        <v>92</v>
      </c>
    </row>
    <row r="12" spans="1:11" ht="15.6" customHeight="1">
      <c r="A12" s="69"/>
      <c r="B12" s="211" t="s">
        <v>181</v>
      </c>
      <c r="C12" s="155"/>
      <c r="D12" s="493" t="s">
        <v>161</v>
      </c>
      <c r="E12" s="495">
        <v>920</v>
      </c>
      <c r="F12" s="497">
        <v>1770</v>
      </c>
      <c r="G12" s="499">
        <v>1628400</v>
      </c>
      <c r="H12" s="327"/>
      <c r="I12" s="501">
        <v>0.3659</v>
      </c>
      <c r="J12" s="212"/>
      <c r="K12" s="69" t="s">
        <v>92</v>
      </c>
    </row>
    <row r="13" spans="1:11" ht="15.6" customHeight="1">
      <c r="A13" s="69"/>
      <c r="B13" s="213" t="s">
        <v>179</v>
      </c>
      <c r="C13" s="214"/>
      <c r="D13" s="494"/>
      <c r="E13" s="496"/>
      <c r="F13" s="498"/>
      <c r="G13" s="500"/>
      <c r="H13" s="328"/>
      <c r="I13" s="502"/>
      <c r="J13" s="215"/>
      <c r="K13" s="69" t="s">
        <v>92</v>
      </c>
    </row>
    <row r="14" spans="1:11" ht="15.6" customHeight="1">
      <c r="A14" s="69"/>
      <c r="B14" s="211" t="s">
        <v>182</v>
      </c>
      <c r="C14" s="155"/>
      <c r="D14" s="493" t="s">
        <v>161</v>
      </c>
      <c r="E14" s="495">
        <v>303</v>
      </c>
      <c r="F14" s="497">
        <v>3326</v>
      </c>
      <c r="G14" s="499">
        <v>1007778</v>
      </c>
      <c r="H14" s="327"/>
      <c r="I14" s="501">
        <v>0.22639999999999999</v>
      </c>
      <c r="J14" s="212"/>
      <c r="K14" s="69" t="s">
        <v>92</v>
      </c>
    </row>
    <row r="15" spans="1:11" ht="15.6" customHeight="1">
      <c r="A15" s="69"/>
      <c r="B15" s="213" t="s">
        <v>180</v>
      </c>
      <c r="C15" s="214"/>
      <c r="D15" s="494"/>
      <c r="E15" s="496"/>
      <c r="F15" s="498"/>
      <c r="G15" s="500"/>
      <c r="H15" s="328"/>
      <c r="I15" s="502"/>
      <c r="J15" s="215"/>
      <c r="K15" s="69" t="s">
        <v>92</v>
      </c>
    </row>
    <row r="16" spans="1:11" ht="15.6" customHeight="1">
      <c r="A16" s="69"/>
      <c r="B16" s="211" t="s">
        <v>183</v>
      </c>
      <c r="C16" s="155"/>
      <c r="D16" s="493" t="s">
        <v>163</v>
      </c>
      <c r="E16" s="495">
        <v>1</v>
      </c>
      <c r="F16" s="497">
        <v>35000</v>
      </c>
      <c r="G16" s="499">
        <v>35000</v>
      </c>
      <c r="H16" s="327"/>
      <c r="I16" s="501">
        <v>7.7999999999999996E-3</v>
      </c>
      <c r="J16" s="212"/>
      <c r="K16" s="69" t="s">
        <v>92</v>
      </c>
    </row>
    <row r="17" spans="1:11" ht="15.6" customHeight="1">
      <c r="A17" s="69"/>
      <c r="B17" s="213" t="s">
        <v>184</v>
      </c>
      <c r="C17" s="214"/>
      <c r="D17" s="494"/>
      <c r="E17" s="496"/>
      <c r="F17" s="498"/>
      <c r="G17" s="500"/>
      <c r="H17" s="328"/>
      <c r="I17" s="502"/>
      <c r="J17" s="215"/>
      <c r="K17" s="69" t="s">
        <v>92</v>
      </c>
    </row>
    <row r="18" spans="1:11" ht="15.6" customHeight="1">
      <c r="A18" s="69"/>
      <c r="B18" s="211" t="s">
        <v>185</v>
      </c>
      <c r="C18" s="155"/>
      <c r="D18" s="493" t="s">
        <v>163</v>
      </c>
      <c r="E18" s="495">
        <v>1</v>
      </c>
      <c r="F18" s="497">
        <v>180000</v>
      </c>
      <c r="G18" s="499">
        <v>180000</v>
      </c>
      <c r="H18" s="327"/>
      <c r="I18" s="501">
        <v>4.0399999999999998E-2</v>
      </c>
      <c r="J18" s="212"/>
      <c r="K18" s="69" t="s">
        <v>92</v>
      </c>
    </row>
    <row r="19" spans="1:11" ht="15.6" customHeight="1">
      <c r="A19" s="69"/>
      <c r="B19" s="213" t="s">
        <v>184</v>
      </c>
      <c r="C19" s="214"/>
      <c r="D19" s="494"/>
      <c r="E19" s="496"/>
      <c r="F19" s="498"/>
      <c r="G19" s="500"/>
      <c r="H19" s="328"/>
      <c r="I19" s="502"/>
      <c r="J19" s="215"/>
      <c r="K19" s="69" t="s">
        <v>92</v>
      </c>
    </row>
    <row r="20" spans="1:11" ht="15.6" customHeight="1">
      <c r="A20" s="69"/>
      <c r="B20" s="211" t="s">
        <v>186</v>
      </c>
      <c r="C20" s="155"/>
      <c r="D20" s="493" t="s">
        <v>163</v>
      </c>
      <c r="E20" s="495">
        <v>1</v>
      </c>
      <c r="F20" s="497">
        <v>100000</v>
      </c>
      <c r="G20" s="499">
        <v>100000</v>
      </c>
      <c r="H20" s="327"/>
      <c r="I20" s="501">
        <v>2.24E-2</v>
      </c>
      <c r="J20" s="212"/>
      <c r="K20" s="69" t="s">
        <v>92</v>
      </c>
    </row>
    <row r="21" spans="1:11" ht="15.6" customHeight="1">
      <c r="A21" s="69"/>
      <c r="B21" s="213" t="s">
        <v>184</v>
      </c>
      <c r="C21" s="214"/>
      <c r="D21" s="494"/>
      <c r="E21" s="496"/>
      <c r="F21" s="498"/>
      <c r="G21" s="500"/>
      <c r="H21" s="328"/>
      <c r="I21" s="502"/>
      <c r="J21" s="215"/>
      <c r="K21" s="69" t="s">
        <v>92</v>
      </c>
    </row>
    <row r="22" spans="1:11" ht="15.6" customHeight="1">
      <c r="A22" s="69"/>
      <c r="B22" s="211" t="s">
        <v>187</v>
      </c>
      <c r="C22" s="155"/>
      <c r="D22" s="493" t="s">
        <v>163</v>
      </c>
      <c r="E22" s="495">
        <v>1</v>
      </c>
      <c r="F22" s="497">
        <v>120000</v>
      </c>
      <c r="G22" s="499">
        <v>120000</v>
      </c>
      <c r="H22" s="327"/>
      <c r="I22" s="501">
        <v>2.69E-2</v>
      </c>
      <c r="J22" s="212"/>
      <c r="K22" s="69" t="s">
        <v>92</v>
      </c>
    </row>
    <row r="23" spans="1:11" ht="15.6" customHeight="1">
      <c r="A23" s="69"/>
      <c r="B23" s="213" t="s">
        <v>184</v>
      </c>
      <c r="C23" s="214"/>
      <c r="D23" s="494"/>
      <c r="E23" s="496"/>
      <c r="F23" s="498"/>
      <c r="G23" s="500"/>
      <c r="H23" s="328"/>
      <c r="I23" s="502"/>
      <c r="J23" s="215"/>
      <c r="K23" s="69" t="s">
        <v>92</v>
      </c>
    </row>
    <row r="24" spans="1:11" ht="15.6" customHeight="1">
      <c r="A24" s="69"/>
      <c r="B24" s="211" t="s">
        <v>188</v>
      </c>
      <c r="C24" s="155"/>
      <c r="D24" s="493"/>
      <c r="E24" s="495"/>
      <c r="F24" s="497"/>
      <c r="G24" s="499">
        <v>3273678</v>
      </c>
      <c r="H24" s="327"/>
      <c r="I24" s="501">
        <v>0.73570000000000002</v>
      </c>
      <c r="J24" s="212"/>
      <c r="K24" s="69" t="s">
        <v>92</v>
      </c>
    </row>
    <row r="25" spans="1:11" ht="15.6" customHeight="1">
      <c r="A25" s="69"/>
      <c r="B25" s="213"/>
      <c r="C25" s="214"/>
      <c r="D25" s="494"/>
      <c r="E25" s="496"/>
      <c r="F25" s="498"/>
      <c r="G25" s="500"/>
      <c r="H25" s="328"/>
      <c r="I25" s="502"/>
      <c r="J25" s="215"/>
      <c r="K25" s="69" t="s">
        <v>92</v>
      </c>
    </row>
    <row r="26" spans="1:11" ht="15.6" customHeight="1">
      <c r="A26" s="69"/>
      <c r="B26" s="211"/>
      <c r="C26" s="155"/>
      <c r="D26" s="493"/>
      <c r="E26" s="495"/>
      <c r="F26" s="497"/>
      <c r="G26" s="499"/>
      <c r="H26" s="327"/>
      <c r="I26" s="501"/>
      <c r="J26" s="212"/>
      <c r="K26" s="69" t="s">
        <v>92</v>
      </c>
    </row>
    <row r="27" spans="1:11" ht="15.6" customHeight="1">
      <c r="A27" s="69"/>
      <c r="B27" s="213"/>
      <c r="C27" s="214"/>
      <c r="D27" s="494"/>
      <c r="E27" s="496"/>
      <c r="F27" s="498"/>
      <c r="G27" s="500"/>
      <c r="H27" s="328"/>
      <c r="I27" s="502"/>
      <c r="J27" s="215"/>
      <c r="K27" s="69" t="s">
        <v>92</v>
      </c>
    </row>
    <row r="28" spans="1:11" ht="15.6" customHeight="1">
      <c r="A28" s="69"/>
      <c r="B28" s="211" t="s">
        <v>189</v>
      </c>
      <c r="C28" s="155"/>
      <c r="D28" s="493"/>
      <c r="E28" s="495"/>
      <c r="F28" s="497"/>
      <c r="G28" s="499"/>
      <c r="H28" s="327"/>
      <c r="I28" s="501"/>
      <c r="J28" s="212"/>
      <c r="K28" s="69" t="s">
        <v>92</v>
      </c>
    </row>
    <row r="29" spans="1:11" ht="15.6" customHeight="1">
      <c r="A29" s="69"/>
      <c r="B29" s="213"/>
      <c r="C29" s="214"/>
      <c r="D29" s="494"/>
      <c r="E29" s="496"/>
      <c r="F29" s="498"/>
      <c r="G29" s="500"/>
      <c r="H29" s="328"/>
      <c r="I29" s="502"/>
      <c r="J29" s="215"/>
      <c r="K29" s="69" t="s">
        <v>92</v>
      </c>
    </row>
    <row r="30" spans="1:11" ht="15.6" customHeight="1">
      <c r="A30" s="69"/>
      <c r="B30" s="211" t="s">
        <v>190</v>
      </c>
      <c r="C30" s="155"/>
      <c r="D30" s="493"/>
      <c r="E30" s="495"/>
      <c r="F30" s="497"/>
      <c r="G30" s="499"/>
      <c r="H30" s="327"/>
      <c r="I30" s="501"/>
      <c r="J30" s="212"/>
      <c r="K30" s="69" t="s">
        <v>92</v>
      </c>
    </row>
    <row r="31" spans="1:11" ht="15.6" customHeight="1">
      <c r="A31" s="69"/>
      <c r="B31" s="213" t="s">
        <v>184</v>
      </c>
      <c r="C31" s="214"/>
      <c r="D31" s="494"/>
      <c r="E31" s="496"/>
      <c r="F31" s="498"/>
      <c r="G31" s="500"/>
      <c r="H31" s="328"/>
      <c r="I31" s="502"/>
      <c r="J31" s="215"/>
      <c r="K31" s="69" t="s">
        <v>92</v>
      </c>
    </row>
    <row r="32" spans="1:11" ht="15.6" customHeight="1">
      <c r="A32" s="69"/>
      <c r="B32" s="211" t="s">
        <v>191</v>
      </c>
      <c r="C32" s="155"/>
      <c r="D32" s="508" t="s">
        <v>163</v>
      </c>
      <c r="E32" s="495">
        <v>1</v>
      </c>
      <c r="F32" s="497">
        <v>275000</v>
      </c>
      <c r="G32" s="499">
        <v>275000</v>
      </c>
      <c r="H32" s="327"/>
      <c r="I32" s="501">
        <v>6.1800000000000001E-2</v>
      </c>
      <c r="J32" s="212"/>
      <c r="K32" s="69" t="s">
        <v>92</v>
      </c>
    </row>
    <row r="33" spans="1:11" ht="15.6" customHeight="1">
      <c r="A33" s="69"/>
      <c r="B33" s="213" t="s">
        <v>184</v>
      </c>
      <c r="C33" s="214"/>
      <c r="D33" s="508"/>
      <c r="E33" s="496"/>
      <c r="F33" s="498"/>
      <c r="G33" s="500"/>
      <c r="H33" s="330"/>
      <c r="I33" s="502"/>
      <c r="J33" s="215"/>
      <c r="K33" s="69" t="s">
        <v>92</v>
      </c>
    </row>
    <row r="34" spans="1:11" ht="15.6" customHeight="1">
      <c r="A34" s="69"/>
      <c r="B34" s="211" t="s">
        <v>192</v>
      </c>
      <c r="C34" s="155"/>
      <c r="D34" s="493"/>
      <c r="E34" s="495"/>
      <c r="F34" s="497"/>
      <c r="G34" s="499">
        <v>275000</v>
      </c>
      <c r="H34" s="327"/>
      <c r="I34" s="501">
        <v>6.1699999999999998E-2</v>
      </c>
      <c r="J34" s="212"/>
      <c r="K34" s="69" t="s">
        <v>92</v>
      </c>
    </row>
    <row r="35" spans="1:11" ht="15.6" customHeight="1">
      <c r="A35" s="69"/>
      <c r="B35" s="213"/>
      <c r="C35" s="214"/>
      <c r="D35" s="494"/>
      <c r="E35" s="496"/>
      <c r="F35" s="498"/>
      <c r="G35" s="500"/>
      <c r="H35" s="328"/>
      <c r="I35" s="502"/>
      <c r="J35" s="215"/>
      <c r="K35" s="69" t="s">
        <v>92</v>
      </c>
    </row>
    <row r="36" spans="1:11" ht="15.6" customHeight="1">
      <c r="A36" s="69"/>
      <c r="B36" s="290"/>
      <c r="C36" s="291"/>
      <c r="D36" s="493"/>
      <c r="E36" s="495"/>
      <c r="F36" s="497"/>
      <c r="G36" s="499"/>
      <c r="H36" s="327"/>
      <c r="I36" s="501"/>
      <c r="J36" s="212"/>
      <c r="K36" s="69" t="s">
        <v>92</v>
      </c>
    </row>
    <row r="37" spans="1:11" ht="15.6" customHeight="1" thickBot="1">
      <c r="A37" s="69"/>
      <c r="B37" s="217"/>
      <c r="C37" s="218"/>
      <c r="D37" s="503"/>
      <c r="E37" s="504"/>
      <c r="F37" s="505"/>
      <c r="G37" s="506"/>
      <c r="H37" s="329"/>
      <c r="I37" s="507"/>
      <c r="J37" s="219"/>
      <c r="K37" s="69" t="s">
        <v>92</v>
      </c>
    </row>
    <row r="38" spans="1:11" ht="30" customHeight="1" thickBot="1">
      <c r="A38" s="69"/>
      <c r="B38" s="131"/>
      <c r="C38" s="131"/>
      <c r="D38" s="509" t="s">
        <v>139</v>
      </c>
      <c r="E38" s="509"/>
      <c r="F38" s="509"/>
      <c r="G38" s="509"/>
      <c r="H38" s="69"/>
      <c r="I38" s="69"/>
      <c r="J38" s="69"/>
      <c r="K38" s="69"/>
    </row>
    <row r="39" spans="1:11" ht="15.95" customHeight="1">
      <c r="A39" s="132"/>
      <c r="B39" s="132"/>
      <c r="C39" s="132"/>
      <c r="D39" s="132"/>
      <c r="E39" s="132"/>
      <c r="F39" s="132"/>
      <c r="G39" s="132"/>
      <c r="H39" s="132"/>
      <c r="I39" s="132"/>
      <c r="J39" s="132"/>
      <c r="K39" s="132"/>
    </row>
    <row r="40" spans="1:11" ht="30.95" customHeight="1">
      <c r="A40" s="133"/>
      <c r="B40" s="287" t="s">
        <v>85</v>
      </c>
      <c r="C40" s="208" t="s">
        <v>143</v>
      </c>
      <c r="D40" s="274"/>
      <c r="E40" s="288"/>
      <c r="F40" s="156"/>
      <c r="G40" s="156"/>
      <c r="H40" s="156"/>
      <c r="I40" s="156"/>
      <c r="J40" s="289"/>
      <c r="K40" s="133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10" t="s">
        <v>86</v>
      </c>
      <c r="C42" s="511"/>
      <c r="D42" s="209" t="s">
        <v>75</v>
      </c>
      <c r="E42" s="209" t="s">
        <v>87</v>
      </c>
      <c r="F42" s="209" t="s">
        <v>88</v>
      </c>
      <c r="G42" s="209" t="s">
        <v>73</v>
      </c>
      <c r="H42" s="210" t="s">
        <v>89</v>
      </c>
      <c r="I42" s="209" t="s">
        <v>55</v>
      </c>
      <c r="J42" s="116" t="s">
        <v>91</v>
      </c>
      <c r="K42" s="69"/>
    </row>
    <row r="43" spans="1:11" ht="15.6" customHeight="1">
      <c r="A43" s="69"/>
      <c r="B43" s="211" t="s">
        <v>193</v>
      </c>
      <c r="C43" s="155"/>
      <c r="D43" s="493"/>
      <c r="E43" s="495"/>
      <c r="F43" s="497"/>
      <c r="G43" s="499">
        <v>3548678</v>
      </c>
      <c r="H43" s="327"/>
      <c r="I43" s="501">
        <v>0.79749999999999999</v>
      </c>
      <c r="J43" s="212"/>
      <c r="K43" s="69" t="s">
        <v>92</v>
      </c>
    </row>
    <row r="44" spans="1:11" ht="15.6" customHeight="1">
      <c r="A44" s="69"/>
      <c r="B44" s="213"/>
      <c r="C44" s="214"/>
      <c r="D44" s="494"/>
      <c r="E44" s="496"/>
      <c r="F44" s="498"/>
      <c r="G44" s="500"/>
      <c r="H44" s="328"/>
      <c r="I44" s="502"/>
      <c r="J44" s="215"/>
      <c r="K44" s="69" t="s">
        <v>92</v>
      </c>
    </row>
    <row r="45" spans="1:11" ht="15.6" customHeight="1">
      <c r="A45" s="69"/>
      <c r="B45" s="211"/>
      <c r="C45" s="155"/>
      <c r="D45" s="493"/>
      <c r="E45" s="495"/>
      <c r="F45" s="497"/>
      <c r="G45" s="499"/>
      <c r="H45" s="327"/>
      <c r="I45" s="501"/>
      <c r="J45" s="216"/>
      <c r="K45" s="69" t="s">
        <v>92</v>
      </c>
    </row>
    <row r="46" spans="1:11" ht="15.6" customHeight="1">
      <c r="A46" s="69"/>
      <c r="B46" s="213"/>
      <c r="C46" s="214"/>
      <c r="D46" s="494"/>
      <c r="E46" s="496"/>
      <c r="F46" s="498"/>
      <c r="G46" s="500"/>
      <c r="H46" s="328"/>
      <c r="I46" s="502"/>
      <c r="J46" s="216"/>
      <c r="K46" s="69" t="s">
        <v>92</v>
      </c>
    </row>
    <row r="47" spans="1:11" ht="15.6" customHeight="1">
      <c r="A47" s="69"/>
      <c r="B47" s="211" t="s">
        <v>194</v>
      </c>
      <c r="C47" s="155"/>
      <c r="D47" s="493"/>
      <c r="E47" s="495"/>
      <c r="F47" s="497"/>
      <c r="G47" s="499">
        <v>901322</v>
      </c>
      <c r="H47" s="327"/>
      <c r="I47" s="501">
        <v>0.20250000000000001</v>
      </c>
      <c r="J47" s="212"/>
      <c r="K47" s="69" t="s">
        <v>92</v>
      </c>
    </row>
    <row r="48" spans="1:11" ht="15.6" customHeight="1">
      <c r="A48" s="69"/>
      <c r="B48" s="213"/>
      <c r="C48" s="214"/>
      <c r="D48" s="494"/>
      <c r="E48" s="496"/>
      <c r="F48" s="498"/>
      <c r="G48" s="500"/>
      <c r="H48" s="328"/>
      <c r="I48" s="502"/>
      <c r="J48" s="215"/>
      <c r="K48" s="69" t="s">
        <v>92</v>
      </c>
    </row>
    <row r="49" spans="1:11" ht="15.6" customHeight="1">
      <c r="A49" s="69"/>
      <c r="B49" s="211"/>
      <c r="C49" s="155"/>
      <c r="D49" s="493"/>
      <c r="E49" s="495"/>
      <c r="F49" s="497"/>
      <c r="G49" s="499"/>
      <c r="H49" s="327"/>
      <c r="I49" s="501"/>
      <c r="J49" s="212"/>
      <c r="K49" s="69" t="s">
        <v>92</v>
      </c>
    </row>
    <row r="50" spans="1:11" ht="15.6" customHeight="1">
      <c r="A50" s="69"/>
      <c r="B50" s="213"/>
      <c r="C50" s="214"/>
      <c r="D50" s="494"/>
      <c r="E50" s="496"/>
      <c r="F50" s="498"/>
      <c r="G50" s="500"/>
      <c r="H50" s="328"/>
      <c r="I50" s="502"/>
      <c r="J50" s="215"/>
      <c r="K50" s="69" t="s">
        <v>92</v>
      </c>
    </row>
    <row r="51" spans="1:11" ht="15.6" customHeight="1">
      <c r="A51" s="69"/>
      <c r="B51" s="211" t="s">
        <v>127</v>
      </c>
      <c r="C51" s="155"/>
      <c r="D51" s="493"/>
      <c r="E51" s="495"/>
      <c r="F51" s="497"/>
      <c r="G51" s="499">
        <v>4450000</v>
      </c>
      <c r="H51" s="327"/>
      <c r="I51" s="501">
        <v>1</v>
      </c>
      <c r="J51" s="212"/>
      <c r="K51" s="69" t="s">
        <v>92</v>
      </c>
    </row>
    <row r="52" spans="1:11" ht="15.6" customHeight="1">
      <c r="A52" s="69"/>
      <c r="B52" s="213"/>
      <c r="C52" s="214"/>
      <c r="D52" s="494"/>
      <c r="E52" s="496"/>
      <c r="F52" s="498"/>
      <c r="G52" s="500"/>
      <c r="H52" s="328"/>
      <c r="I52" s="502"/>
      <c r="J52" s="215"/>
      <c r="K52" s="69" t="s">
        <v>92</v>
      </c>
    </row>
    <row r="53" spans="1:11" ht="15.6" customHeight="1">
      <c r="A53" s="69"/>
      <c r="B53" s="211"/>
      <c r="C53" s="155"/>
      <c r="D53" s="493"/>
      <c r="E53" s="495"/>
      <c r="F53" s="497"/>
      <c r="G53" s="499"/>
      <c r="H53" s="327"/>
      <c r="I53" s="501"/>
      <c r="J53" s="212"/>
      <c r="K53" s="69" t="s">
        <v>92</v>
      </c>
    </row>
    <row r="54" spans="1:11" ht="15.6" customHeight="1">
      <c r="A54" s="69"/>
      <c r="B54" s="213"/>
      <c r="C54" s="214"/>
      <c r="D54" s="494"/>
      <c r="E54" s="496"/>
      <c r="F54" s="498"/>
      <c r="G54" s="500"/>
      <c r="H54" s="328"/>
      <c r="I54" s="502"/>
      <c r="J54" s="215"/>
      <c r="K54" s="69" t="s">
        <v>92</v>
      </c>
    </row>
    <row r="55" spans="1:11" ht="15.6" customHeight="1">
      <c r="A55" s="69"/>
      <c r="B55" s="211"/>
      <c r="C55" s="155"/>
      <c r="D55" s="493"/>
      <c r="E55" s="495"/>
      <c r="F55" s="497"/>
      <c r="G55" s="499"/>
      <c r="H55" s="327"/>
      <c r="I55" s="501"/>
      <c r="J55" s="212"/>
      <c r="K55" s="69" t="s">
        <v>92</v>
      </c>
    </row>
    <row r="56" spans="1:11" ht="15.6" customHeight="1">
      <c r="A56" s="69"/>
      <c r="B56" s="213"/>
      <c r="C56" s="214"/>
      <c r="D56" s="494"/>
      <c r="E56" s="496"/>
      <c r="F56" s="498"/>
      <c r="G56" s="500"/>
      <c r="H56" s="328"/>
      <c r="I56" s="502"/>
      <c r="J56" s="215"/>
      <c r="K56" s="69" t="s">
        <v>92</v>
      </c>
    </row>
    <row r="57" spans="1:11" ht="15.6" customHeight="1">
      <c r="A57" s="69"/>
      <c r="B57" s="211"/>
      <c r="C57" s="155"/>
      <c r="D57" s="493"/>
      <c r="E57" s="495"/>
      <c r="F57" s="497"/>
      <c r="G57" s="499"/>
      <c r="H57" s="327"/>
      <c r="I57" s="501"/>
      <c r="J57" s="212"/>
      <c r="K57" s="69" t="s">
        <v>92</v>
      </c>
    </row>
    <row r="58" spans="1:11" ht="15.6" customHeight="1">
      <c r="A58" s="69"/>
      <c r="B58" s="213"/>
      <c r="C58" s="214"/>
      <c r="D58" s="494"/>
      <c r="E58" s="496"/>
      <c r="F58" s="498"/>
      <c r="G58" s="500"/>
      <c r="H58" s="328"/>
      <c r="I58" s="502"/>
      <c r="J58" s="215"/>
      <c r="K58" s="69" t="s">
        <v>92</v>
      </c>
    </row>
    <row r="59" spans="1:11" ht="15.6" customHeight="1">
      <c r="A59" s="69"/>
      <c r="B59" s="211"/>
      <c r="C59" s="155"/>
      <c r="D59" s="493"/>
      <c r="E59" s="495"/>
      <c r="F59" s="497"/>
      <c r="G59" s="499"/>
      <c r="H59" s="327"/>
      <c r="I59" s="501"/>
      <c r="J59" s="212"/>
      <c r="K59" s="69" t="s">
        <v>92</v>
      </c>
    </row>
    <row r="60" spans="1:11" ht="15.6" customHeight="1">
      <c r="A60" s="69"/>
      <c r="B60" s="213"/>
      <c r="C60" s="214"/>
      <c r="D60" s="494"/>
      <c r="E60" s="496"/>
      <c r="F60" s="498"/>
      <c r="G60" s="500"/>
      <c r="H60" s="328"/>
      <c r="I60" s="502"/>
      <c r="J60" s="215"/>
      <c r="K60" s="69" t="s">
        <v>92</v>
      </c>
    </row>
    <row r="61" spans="1:11" ht="15.6" customHeight="1">
      <c r="A61" s="69"/>
      <c r="B61" s="211"/>
      <c r="C61" s="155"/>
      <c r="D61" s="493"/>
      <c r="E61" s="495"/>
      <c r="F61" s="497"/>
      <c r="G61" s="499"/>
      <c r="H61" s="327"/>
      <c r="I61" s="501"/>
      <c r="J61" s="212"/>
      <c r="K61" s="69" t="s">
        <v>92</v>
      </c>
    </row>
    <row r="62" spans="1:11" ht="15.6" customHeight="1">
      <c r="A62" s="69"/>
      <c r="B62" s="213"/>
      <c r="C62" s="214"/>
      <c r="D62" s="494"/>
      <c r="E62" s="496"/>
      <c r="F62" s="498"/>
      <c r="G62" s="500"/>
      <c r="H62" s="328"/>
      <c r="I62" s="502"/>
      <c r="J62" s="215"/>
      <c r="K62" s="69" t="s">
        <v>92</v>
      </c>
    </row>
    <row r="63" spans="1:11" ht="15.6" customHeight="1">
      <c r="A63" s="69"/>
      <c r="B63" s="211"/>
      <c r="C63" s="155"/>
      <c r="D63" s="493"/>
      <c r="E63" s="495"/>
      <c r="F63" s="497"/>
      <c r="G63" s="499"/>
      <c r="H63" s="327"/>
      <c r="I63" s="501"/>
      <c r="J63" s="212"/>
      <c r="K63" s="69" t="s">
        <v>92</v>
      </c>
    </row>
    <row r="64" spans="1:11" ht="15.6" customHeight="1">
      <c r="A64" s="69"/>
      <c r="B64" s="213"/>
      <c r="C64" s="214"/>
      <c r="D64" s="494"/>
      <c r="E64" s="496"/>
      <c r="F64" s="498"/>
      <c r="G64" s="500"/>
      <c r="H64" s="328"/>
      <c r="I64" s="502"/>
      <c r="J64" s="215"/>
      <c r="K64" s="69" t="s">
        <v>92</v>
      </c>
    </row>
    <row r="65" spans="1:11" ht="15.6" customHeight="1">
      <c r="A65" s="69"/>
      <c r="B65" s="211"/>
      <c r="C65" s="155"/>
      <c r="D65" s="493"/>
      <c r="E65" s="495"/>
      <c r="F65" s="497"/>
      <c r="G65" s="499"/>
      <c r="H65" s="327"/>
      <c r="I65" s="501"/>
      <c r="J65" s="212"/>
      <c r="K65" s="69" t="s">
        <v>92</v>
      </c>
    </row>
    <row r="66" spans="1:11" ht="15.6" customHeight="1">
      <c r="A66" s="69"/>
      <c r="B66" s="213"/>
      <c r="C66" s="214"/>
      <c r="D66" s="494"/>
      <c r="E66" s="496"/>
      <c r="F66" s="498"/>
      <c r="G66" s="500"/>
      <c r="H66" s="328"/>
      <c r="I66" s="502"/>
      <c r="J66" s="215"/>
      <c r="K66" s="69" t="s">
        <v>92</v>
      </c>
    </row>
    <row r="67" spans="1:11" ht="15.6" customHeight="1">
      <c r="A67" s="69"/>
      <c r="B67" s="211"/>
      <c r="C67" s="155"/>
      <c r="D67" s="493"/>
      <c r="E67" s="495"/>
      <c r="F67" s="497"/>
      <c r="G67" s="499"/>
      <c r="H67" s="327"/>
      <c r="I67" s="501"/>
      <c r="J67" s="212"/>
      <c r="K67" s="69" t="s">
        <v>92</v>
      </c>
    </row>
    <row r="68" spans="1:11" ht="15.6" customHeight="1">
      <c r="A68" s="69"/>
      <c r="B68" s="213"/>
      <c r="C68" s="214"/>
      <c r="D68" s="494"/>
      <c r="E68" s="496"/>
      <c r="F68" s="498"/>
      <c r="G68" s="500"/>
      <c r="H68" s="328"/>
      <c r="I68" s="502"/>
      <c r="J68" s="215"/>
      <c r="K68" s="69" t="s">
        <v>92</v>
      </c>
    </row>
    <row r="69" spans="1:11" ht="15.6" customHeight="1">
      <c r="A69" s="69"/>
      <c r="B69" s="211"/>
      <c r="C69" s="155"/>
      <c r="D69" s="508"/>
      <c r="E69" s="495"/>
      <c r="F69" s="497"/>
      <c r="G69" s="499"/>
      <c r="H69" s="327"/>
      <c r="I69" s="501"/>
      <c r="J69" s="212"/>
      <c r="K69" s="69" t="s">
        <v>92</v>
      </c>
    </row>
    <row r="70" spans="1:11" ht="15.6" customHeight="1">
      <c r="A70" s="69"/>
      <c r="B70" s="213"/>
      <c r="C70" s="214"/>
      <c r="D70" s="508"/>
      <c r="E70" s="496"/>
      <c r="F70" s="498"/>
      <c r="G70" s="500"/>
      <c r="H70" s="330"/>
      <c r="I70" s="502"/>
      <c r="J70" s="215"/>
      <c r="K70" s="69" t="s">
        <v>92</v>
      </c>
    </row>
    <row r="71" spans="1:11" ht="15.6" customHeight="1">
      <c r="A71" s="69"/>
      <c r="B71" s="211"/>
      <c r="C71" s="155"/>
      <c r="D71" s="493"/>
      <c r="E71" s="495"/>
      <c r="F71" s="497"/>
      <c r="G71" s="499"/>
      <c r="H71" s="327"/>
      <c r="I71" s="501"/>
      <c r="J71" s="212"/>
      <c r="K71" s="69" t="s">
        <v>92</v>
      </c>
    </row>
    <row r="72" spans="1:11" ht="15.6" customHeight="1">
      <c r="A72" s="69"/>
      <c r="B72" s="213"/>
      <c r="C72" s="214"/>
      <c r="D72" s="494"/>
      <c r="E72" s="496"/>
      <c r="F72" s="498"/>
      <c r="G72" s="500"/>
      <c r="H72" s="328"/>
      <c r="I72" s="502"/>
      <c r="J72" s="215"/>
      <c r="K72" s="69" t="s">
        <v>92</v>
      </c>
    </row>
    <row r="73" spans="1:11" ht="15.6" customHeight="1">
      <c r="A73" s="69"/>
      <c r="B73" s="290"/>
      <c r="C73" s="291"/>
      <c r="D73" s="493"/>
      <c r="E73" s="495"/>
      <c r="F73" s="497"/>
      <c r="G73" s="499"/>
      <c r="H73" s="327"/>
      <c r="I73" s="501"/>
      <c r="J73" s="212"/>
      <c r="K73" s="69" t="s">
        <v>92</v>
      </c>
    </row>
    <row r="74" spans="1:11" ht="15.6" customHeight="1" thickBot="1">
      <c r="A74" s="69"/>
      <c r="B74" s="217"/>
      <c r="C74" s="218"/>
      <c r="D74" s="503"/>
      <c r="E74" s="504"/>
      <c r="F74" s="505"/>
      <c r="G74" s="506"/>
      <c r="H74" s="329"/>
      <c r="I74" s="507"/>
      <c r="J74" s="219"/>
      <c r="K74" s="69" t="s">
        <v>92</v>
      </c>
    </row>
  </sheetData>
  <mergeCells count="164"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709A8-27A5-41BD-AA15-739215632B30}">
  <sheetPr codeName="Sheet4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31"/>
      <c r="C1" s="131"/>
      <c r="D1" s="509" t="s">
        <v>60</v>
      </c>
      <c r="E1" s="509"/>
      <c r="F1" s="509"/>
      <c r="G1" s="509"/>
      <c r="H1" s="69"/>
      <c r="I1" s="69"/>
      <c r="J1" s="69"/>
      <c r="K1" s="69"/>
    </row>
    <row r="2" spans="1:11" ht="15.95" customHeight="1">
      <c r="A2" s="132"/>
      <c r="B2" s="132"/>
      <c r="C2" s="132"/>
      <c r="D2" s="132"/>
      <c r="E2" s="132"/>
      <c r="F2" s="132"/>
      <c r="G2" s="132"/>
      <c r="H2" s="132"/>
      <c r="I2" s="132"/>
      <c r="J2" s="132"/>
      <c r="K2" s="132"/>
    </row>
    <row r="3" spans="1:11" ht="30.95" customHeight="1">
      <c r="A3" s="133"/>
      <c r="B3" s="287" t="s">
        <v>85</v>
      </c>
      <c r="C3" s="208" t="s">
        <v>196</v>
      </c>
      <c r="D3" s="274"/>
      <c r="E3" s="288"/>
      <c r="F3" s="156"/>
      <c r="G3" s="156"/>
      <c r="H3" s="156"/>
      <c r="I3" s="156"/>
      <c r="J3" s="289"/>
      <c r="K3" s="133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10" t="s">
        <v>86</v>
      </c>
      <c r="C5" s="511"/>
      <c r="D5" s="209" t="s">
        <v>75</v>
      </c>
      <c r="E5" s="209" t="s">
        <v>87</v>
      </c>
      <c r="F5" s="209" t="s">
        <v>88</v>
      </c>
      <c r="G5" s="209" t="s">
        <v>73</v>
      </c>
      <c r="H5" s="210" t="s">
        <v>89</v>
      </c>
      <c r="I5" s="209" t="s">
        <v>90</v>
      </c>
      <c r="J5" s="116" t="s">
        <v>91</v>
      </c>
      <c r="K5" s="69"/>
    </row>
    <row r="6" spans="1:11" ht="15.6" customHeight="1">
      <c r="A6" s="69"/>
      <c r="B6" s="211" t="s">
        <v>151</v>
      </c>
      <c r="C6" s="155"/>
      <c r="D6" s="493" t="s">
        <v>161</v>
      </c>
      <c r="E6" s="495">
        <v>900</v>
      </c>
      <c r="F6" s="497">
        <v>225</v>
      </c>
      <c r="G6" s="499">
        <v>202500</v>
      </c>
      <c r="H6" s="327"/>
      <c r="I6" s="327"/>
      <c r="J6" s="212"/>
      <c r="K6" s="69" t="s">
        <v>92</v>
      </c>
    </row>
    <row r="7" spans="1:11" ht="15.6" customHeight="1">
      <c r="A7" s="69"/>
      <c r="B7" s="213" t="s">
        <v>160</v>
      </c>
      <c r="C7" s="214"/>
      <c r="D7" s="494"/>
      <c r="E7" s="496"/>
      <c r="F7" s="498"/>
      <c r="G7" s="500"/>
      <c r="H7" s="328"/>
      <c r="I7" s="328"/>
      <c r="J7" s="215"/>
      <c r="K7" s="69" t="s">
        <v>92</v>
      </c>
    </row>
    <row r="8" spans="1:11" ht="15.6" customHeight="1">
      <c r="A8" s="69"/>
      <c r="B8" s="211" t="s">
        <v>151</v>
      </c>
      <c r="C8" s="155"/>
      <c r="D8" s="493" t="s">
        <v>161</v>
      </c>
      <c r="E8" s="495"/>
      <c r="F8" s="497"/>
      <c r="G8" s="499"/>
      <c r="H8" s="327"/>
      <c r="I8" s="327"/>
      <c r="J8" s="216"/>
      <c r="K8" s="69" t="s">
        <v>92</v>
      </c>
    </row>
    <row r="9" spans="1:11" ht="15.6" customHeight="1">
      <c r="A9" s="69"/>
      <c r="B9" s="213" t="s">
        <v>162</v>
      </c>
      <c r="C9" s="214"/>
      <c r="D9" s="494"/>
      <c r="E9" s="496"/>
      <c r="F9" s="498"/>
      <c r="G9" s="500"/>
      <c r="H9" s="328"/>
      <c r="I9" s="328"/>
      <c r="J9" s="216"/>
      <c r="K9" s="69" t="s">
        <v>92</v>
      </c>
    </row>
    <row r="10" spans="1:11" ht="15.6" customHeight="1">
      <c r="A10" s="69"/>
      <c r="B10" s="211" t="s">
        <v>152</v>
      </c>
      <c r="C10" s="155"/>
      <c r="D10" s="493" t="s">
        <v>161</v>
      </c>
      <c r="E10" s="495">
        <v>920</v>
      </c>
      <c r="F10" s="497">
        <v>1770</v>
      </c>
      <c r="G10" s="499">
        <v>1628400</v>
      </c>
      <c r="H10" s="327"/>
      <c r="I10" s="327"/>
      <c r="J10" s="212"/>
      <c r="K10" s="69" t="s">
        <v>92</v>
      </c>
    </row>
    <row r="11" spans="1:11" ht="15.6" customHeight="1">
      <c r="A11" s="69"/>
      <c r="B11" s="213" t="s">
        <v>160</v>
      </c>
      <c r="C11" s="214"/>
      <c r="D11" s="494"/>
      <c r="E11" s="496"/>
      <c r="F11" s="498"/>
      <c r="G11" s="500"/>
      <c r="H11" s="328"/>
      <c r="I11" s="328"/>
      <c r="J11" s="215"/>
      <c r="K11" s="69" t="s">
        <v>92</v>
      </c>
    </row>
    <row r="12" spans="1:11" ht="15.6" customHeight="1">
      <c r="A12" s="69"/>
      <c r="B12" s="211" t="s">
        <v>153</v>
      </c>
      <c r="C12" s="155"/>
      <c r="D12" s="493" t="s">
        <v>161</v>
      </c>
      <c r="E12" s="495">
        <v>303</v>
      </c>
      <c r="F12" s="497">
        <v>3326</v>
      </c>
      <c r="G12" s="499">
        <v>1007778</v>
      </c>
      <c r="H12" s="327"/>
      <c r="I12" s="327"/>
      <c r="J12" s="212"/>
      <c r="K12" s="69" t="s">
        <v>92</v>
      </c>
    </row>
    <row r="13" spans="1:11" ht="15.6" customHeight="1">
      <c r="A13" s="69"/>
      <c r="B13" s="213" t="s">
        <v>162</v>
      </c>
      <c r="C13" s="214"/>
      <c r="D13" s="494"/>
      <c r="E13" s="496"/>
      <c r="F13" s="498"/>
      <c r="G13" s="500"/>
      <c r="H13" s="328"/>
      <c r="I13" s="328"/>
      <c r="J13" s="215"/>
      <c r="K13" s="69" t="s">
        <v>92</v>
      </c>
    </row>
    <row r="14" spans="1:11" ht="15.6" customHeight="1">
      <c r="A14" s="69"/>
      <c r="B14" s="211" t="s">
        <v>154</v>
      </c>
      <c r="C14" s="155"/>
      <c r="D14" s="493" t="s">
        <v>163</v>
      </c>
      <c r="E14" s="495">
        <v>1</v>
      </c>
      <c r="F14" s="497">
        <v>35000</v>
      </c>
      <c r="G14" s="499">
        <v>35000</v>
      </c>
      <c r="H14" s="327"/>
      <c r="I14" s="327"/>
      <c r="J14" s="212"/>
      <c r="K14" s="69" t="s">
        <v>92</v>
      </c>
    </row>
    <row r="15" spans="1:11" ht="15.6" customHeight="1">
      <c r="A15" s="69"/>
      <c r="B15" s="213"/>
      <c r="C15" s="214"/>
      <c r="D15" s="494"/>
      <c r="E15" s="496"/>
      <c r="F15" s="498"/>
      <c r="G15" s="500"/>
      <c r="H15" s="328"/>
      <c r="I15" s="328"/>
      <c r="J15" s="215"/>
      <c r="K15" s="69" t="s">
        <v>92</v>
      </c>
    </row>
    <row r="16" spans="1:11" ht="15.6" customHeight="1">
      <c r="A16" s="69"/>
      <c r="B16" s="211" t="s">
        <v>155</v>
      </c>
      <c r="C16" s="155"/>
      <c r="D16" s="493" t="s">
        <v>163</v>
      </c>
      <c r="E16" s="495">
        <v>1</v>
      </c>
      <c r="F16" s="497">
        <v>180000</v>
      </c>
      <c r="G16" s="499">
        <v>180000</v>
      </c>
      <c r="H16" s="327"/>
      <c r="I16" s="327"/>
      <c r="J16" s="212"/>
      <c r="K16" s="69" t="s">
        <v>92</v>
      </c>
    </row>
    <row r="17" spans="1:11" ht="15.6" customHeight="1">
      <c r="A17" s="69"/>
      <c r="B17" s="213"/>
      <c r="C17" s="214"/>
      <c r="D17" s="494"/>
      <c r="E17" s="496"/>
      <c r="F17" s="498"/>
      <c r="G17" s="500"/>
      <c r="H17" s="328"/>
      <c r="I17" s="328"/>
      <c r="J17" s="215"/>
      <c r="K17" s="69" t="s">
        <v>92</v>
      </c>
    </row>
    <row r="18" spans="1:11" ht="15.6" customHeight="1">
      <c r="A18" s="69"/>
      <c r="B18" s="211" t="s">
        <v>156</v>
      </c>
      <c r="C18" s="155"/>
      <c r="D18" s="493" t="s">
        <v>163</v>
      </c>
      <c r="E18" s="495">
        <v>1</v>
      </c>
      <c r="F18" s="497">
        <v>100000</v>
      </c>
      <c r="G18" s="499">
        <v>100000</v>
      </c>
      <c r="H18" s="327"/>
      <c r="I18" s="327"/>
      <c r="J18" s="212"/>
      <c r="K18" s="69" t="s">
        <v>92</v>
      </c>
    </row>
    <row r="19" spans="1:11" ht="15.6" customHeight="1">
      <c r="A19" s="69"/>
      <c r="B19" s="213"/>
      <c r="C19" s="214"/>
      <c r="D19" s="494"/>
      <c r="E19" s="496"/>
      <c r="F19" s="498"/>
      <c r="G19" s="500"/>
      <c r="H19" s="328"/>
      <c r="I19" s="328"/>
      <c r="J19" s="215"/>
      <c r="K19" s="69" t="s">
        <v>92</v>
      </c>
    </row>
    <row r="20" spans="1:11" ht="15.6" customHeight="1">
      <c r="A20" s="69"/>
      <c r="B20" s="211" t="s">
        <v>157</v>
      </c>
      <c r="C20" s="155"/>
      <c r="D20" s="493" t="s">
        <v>163</v>
      </c>
      <c r="E20" s="495">
        <v>1</v>
      </c>
      <c r="F20" s="497">
        <v>120000</v>
      </c>
      <c r="G20" s="499">
        <v>120000</v>
      </c>
      <c r="H20" s="327"/>
      <c r="I20" s="327"/>
      <c r="J20" s="212"/>
      <c r="K20" s="69" t="s">
        <v>92</v>
      </c>
    </row>
    <row r="21" spans="1:11" ht="15.6" customHeight="1">
      <c r="A21" s="69"/>
      <c r="B21" s="213"/>
      <c r="C21" s="214"/>
      <c r="D21" s="494"/>
      <c r="E21" s="496"/>
      <c r="F21" s="498"/>
      <c r="G21" s="500"/>
      <c r="H21" s="328"/>
      <c r="I21" s="328"/>
      <c r="J21" s="215"/>
      <c r="K21" s="69" t="s">
        <v>92</v>
      </c>
    </row>
    <row r="22" spans="1:11" ht="15.6" customHeight="1">
      <c r="A22" s="69"/>
      <c r="B22" s="211"/>
      <c r="C22" s="155"/>
      <c r="D22" s="493"/>
      <c r="E22" s="495"/>
      <c r="F22" s="497"/>
      <c r="G22" s="499"/>
      <c r="H22" s="327"/>
      <c r="I22" s="327"/>
      <c r="J22" s="212"/>
      <c r="K22" s="69" t="s">
        <v>92</v>
      </c>
    </row>
    <row r="23" spans="1:11" ht="15.6" customHeight="1">
      <c r="A23" s="69"/>
      <c r="B23" s="213"/>
      <c r="C23" s="214"/>
      <c r="D23" s="494"/>
      <c r="E23" s="496"/>
      <c r="F23" s="498"/>
      <c r="G23" s="500"/>
      <c r="H23" s="328"/>
      <c r="I23" s="328"/>
      <c r="J23" s="215"/>
      <c r="K23" s="69" t="s">
        <v>92</v>
      </c>
    </row>
    <row r="24" spans="1:11" ht="15.6" customHeight="1">
      <c r="A24" s="69"/>
      <c r="B24" s="211" t="s">
        <v>195</v>
      </c>
      <c r="C24" s="155"/>
      <c r="D24" s="493"/>
      <c r="E24" s="495"/>
      <c r="F24" s="497"/>
      <c r="G24" s="499">
        <v>3273678</v>
      </c>
      <c r="H24" s="327"/>
      <c r="I24" s="327"/>
      <c r="J24" s="212"/>
      <c r="K24" s="69" t="s">
        <v>92</v>
      </c>
    </row>
    <row r="25" spans="1:11" ht="15.6" customHeight="1">
      <c r="A25" s="69"/>
      <c r="B25" s="213"/>
      <c r="C25" s="214"/>
      <c r="D25" s="494"/>
      <c r="E25" s="496"/>
      <c r="F25" s="498"/>
      <c r="G25" s="500"/>
      <c r="H25" s="328"/>
      <c r="I25" s="328"/>
      <c r="J25" s="215"/>
      <c r="K25" s="69" t="s">
        <v>92</v>
      </c>
    </row>
    <row r="26" spans="1:11" ht="15.6" customHeight="1">
      <c r="A26" s="69"/>
      <c r="B26" s="211"/>
      <c r="C26" s="155"/>
      <c r="D26" s="493"/>
      <c r="E26" s="495"/>
      <c r="F26" s="497"/>
      <c r="G26" s="499"/>
      <c r="H26" s="327"/>
      <c r="I26" s="327"/>
      <c r="J26" s="212"/>
      <c r="K26" s="69" t="s">
        <v>92</v>
      </c>
    </row>
    <row r="27" spans="1:11" ht="15.6" customHeight="1">
      <c r="A27" s="69"/>
      <c r="B27" s="213"/>
      <c r="C27" s="214"/>
      <c r="D27" s="494"/>
      <c r="E27" s="496"/>
      <c r="F27" s="498"/>
      <c r="G27" s="500"/>
      <c r="H27" s="328"/>
      <c r="I27" s="328"/>
      <c r="J27" s="215"/>
      <c r="K27" s="69" t="s">
        <v>92</v>
      </c>
    </row>
    <row r="28" spans="1:11" ht="15.6" customHeight="1">
      <c r="A28" s="69"/>
      <c r="B28" s="211"/>
      <c r="C28" s="155"/>
      <c r="D28" s="493"/>
      <c r="E28" s="495"/>
      <c r="F28" s="497"/>
      <c r="G28" s="499"/>
      <c r="H28" s="327"/>
      <c r="I28" s="327"/>
      <c r="J28" s="212"/>
      <c r="K28" s="69" t="s">
        <v>92</v>
      </c>
    </row>
    <row r="29" spans="1:11" ht="15.6" customHeight="1">
      <c r="A29" s="69"/>
      <c r="B29" s="213"/>
      <c r="C29" s="214"/>
      <c r="D29" s="494"/>
      <c r="E29" s="496"/>
      <c r="F29" s="498"/>
      <c r="G29" s="500"/>
      <c r="H29" s="328"/>
      <c r="I29" s="328"/>
      <c r="J29" s="215"/>
      <c r="K29" s="69" t="s">
        <v>92</v>
      </c>
    </row>
    <row r="30" spans="1:11" ht="15.6" customHeight="1">
      <c r="A30" s="69"/>
      <c r="B30" s="211"/>
      <c r="C30" s="155"/>
      <c r="D30" s="493"/>
      <c r="E30" s="495"/>
      <c r="F30" s="497"/>
      <c r="G30" s="499"/>
      <c r="H30" s="327"/>
      <c r="I30" s="327"/>
      <c r="J30" s="212"/>
      <c r="K30" s="69" t="s">
        <v>92</v>
      </c>
    </row>
    <row r="31" spans="1:11" ht="15.6" customHeight="1">
      <c r="A31" s="69"/>
      <c r="B31" s="213"/>
      <c r="C31" s="214"/>
      <c r="D31" s="494"/>
      <c r="E31" s="496"/>
      <c r="F31" s="498"/>
      <c r="G31" s="500"/>
      <c r="H31" s="328"/>
      <c r="I31" s="328"/>
      <c r="J31" s="215"/>
      <c r="K31" s="69" t="s">
        <v>92</v>
      </c>
    </row>
    <row r="32" spans="1:11" ht="15.6" customHeight="1">
      <c r="A32" s="69"/>
      <c r="B32" s="211"/>
      <c r="C32" s="155"/>
      <c r="D32" s="508"/>
      <c r="E32" s="495"/>
      <c r="F32" s="497"/>
      <c r="G32" s="499"/>
      <c r="H32" s="327"/>
      <c r="I32" s="327"/>
      <c r="J32" s="212"/>
      <c r="K32" s="69" t="s">
        <v>92</v>
      </c>
    </row>
    <row r="33" spans="1:11" ht="15.6" customHeight="1">
      <c r="A33" s="69"/>
      <c r="B33" s="213"/>
      <c r="C33" s="214"/>
      <c r="D33" s="508"/>
      <c r="E33" s="496"/>
      <c r="F33" s="498"/>
      <c r="G33" s="500"/>
      <c r="H33" s="330"/>
      <c r="I33" s="328"/>
      <c r="J33" s="215"/>
      <c r="K33" s="69" t="s">
        <v>92</v>
      </c>
    </row>
    <row r="34" spans="1:11" ht="15.6" customHeight="1">
      <c r="A34" s="69"/>
      <c r="B34" s="211"/>
      <c r="C34" s="155"/>
      <c r="D34" s="493"/>
      <c r="E34" s="495"/>
      <c r="F34" s="497"/>
      <c r="G34" s="499"/>
      <c r="H34" s="327"/>
      <c r="I34" s="327"/>
      <c r="J34" s="212"/>
      <c r="K34" s="69" t="s">
        <v>92</v>
      </c>
    </row>
    <row r="35" spans="1:11" ht="15.6" customHeight="1">
      <c r="A35" s="69"/>
      <c r="B35" s="213"/>
      <c r="C35" s="214"/>
      <c r="D35" s="494"/>
      <c r="E35" s="496"/>
      <c r="F35" s="498"/>
      <c r="G35" s="500"/>
      <c r="H35" s="328"/>
      <c r="I35" s="328"/>
      <c r="J35" s="215"/>
      <c r="K35" s="69" t="s">
        <v>92</v>
      </c>
    </row>
    <row r="36" spans="1:11" ht="15.6" customHeight="1">
      <c r="A36" s="69"/>
      <c r="B36" s="290"/>
      <c r="C36" s="291"/>
      <c r="D36" s="493"/>
      <c r="E36" s="495"/>
      <c r="F36" s="497"/>
      <c r="G36" s="499"/>
      <c r="H36" s="327"/>
      <c r="I36" s="327"/>
      <c r="J36" s="212"/>
      <c r="K36" s="69" t="s">
        <v>92</v>
      </c>
    </row>
    <row r="37" spans="1:11" ht="15.6" customHeight="1" thickBot="1">
      <c r="A37" s="69"/>
      <c r="B37" s="217"/>
      <c r="C37" s="218"/>
      <c r="D37" s="503"/>
      <c r="E37" s="504"/>
      <c r="F37" s="505"/>
      <c r="G37" s="506"/>
      <c r="H37" s="329"/>
      <c r="I37" s="329"/>
      <c r="J37" s="219"/>
      <c r="K37" s="69" t="s">
        <v>92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60"/>
  <sheetViews>
    <sheetView zoomScaleNormal="100" zoomScaleSheetLayoutView="85" workbookViewId="0">
      <pane xSplit="4" ySplit="4" topLeftCell="E3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05" customWidth="1"/>
    <col min="2" max="2" width="11.625" style="205" customWidth="1"/>
    <col min="3" max="3" width="6.375" style="294" customWidth="1"/>
    <col min="4" max="4" width="32.625" style="205" customWidth="1"/>
    <col min="5" max="5" width="22.375" style="205" customWidth="1"/>
    <col min="6" max="6" width="4.875" style="178" customWidth="1"/>
    <col min="7" max="7" width="7.875" style="205" customWidth="1"/>
    <col min="8" max="8" width="10.375" style="205" customWidth="1"/>
    <col min="9" max="9" width="11.375" style="205" customWidth="1"/>
    <col min="10" max="10" width="6.5" style="205" customWidth="1"/>
    <col min="11" max="11" width="1.625" style="178" customWidth="1"/>
    <col min="12" max="14" width="6.5" style="205" customWidth="1"/>
    <col min="15" max="15" width="7.875" style="205" hidden="1" customWidth="1"/>
    <col min="16" max="16" width="10.375" style="205" hidden="1" customWidth="1"/>
    <col min="17" max="17" width="11.375" style="205" hidden="1" customWidth="1"/>
    <col min="18" max="18" width="6.5" style="205" hidden="1" customWidth="1"/>
    <col min="19" max="19" width="1.625" style="178" hidden="1" customWidth="1"/>
    <col min="20" max="22" width="6.5" style="205" hidden="1" customWidth="1"/>
    <col min="23" max="23" width="7.875" style="205" hidden="1" customWidth="1"/>
    <col min="24" max="24" width="10.375" style="205" hidden="1" customWidth="1"/>
    <col min="25" max="25" width="11.375" style="205" hidden="1" customWidth="1"/>
    <col min="26" max="26" width="6.5" style="205" hidden="1" customWidth="1"/>
    <col min="27" max="27" width="1.625" style="178" hidden="1" customWidth="1"/>
    <col min="28" max="30" width="6.5" style="205" hidden="1" customWidth="1"/>
    <col min="31" max="31" width="5.25" style="205" customWidth="1"/>
    <col min="32" max="32" width="28.75" style="303" customWidth="1"/>
    <col min="33" max="33" width="1.875" style="205" customWidth="1"/>
    <col min="34" max="16384" width="8.25" style="205"/>
  </cols>
  <sheetData>
    <row r="1" spans="1:32" ht="22.5" customHeight="1" thickBot="1">
      <c r="A1" s="292"/>
      <c r="B1" s="293"/>
      <c r="D1" s="326" t="str">
        <f>IF(実行予算書鑑!I10="","",実行予算書鑑!I10)</f>
        <v>中小河川改良工事</v>
      </c>
      <c r="G1" s="295"/>
      <c r="H1" s="179" t="s">
        <v>136</v>
      </c>
      <c r="I1" s="309">
        <v>4450000</v>
      </c>
      <c r="J1" s="315">
        <f>I4/I$1</f>
        <v>0.79745573033707862</v>
      </c>
      <c r="K1" s="182"/>
      <c r="L1" s="183">
        <v>3</v>
      </c>
      <c r="M1" s="184"/>
      <c r="N1" s="184"/>
      <c r="O1" s="295"/>
      <c r="P1" s="179" t="s">
        <v>57</v>
      </c>
      <c r="Q1" s="180"/>
      <c r="R1" s="185" t="e">
        <v>#DIV/0!</v>
      </c>
      <c r="S1" s="182"/>
      <c r="T1" s="183">
        <v>3</v>
      </c>
      <c r="U1" s="184"/>
      <c r="V1" s="184"/>
      <c r="X1" s="179" t="s">
        <v>57</v>
      </c>
      <c r="Y1" s="180"/>
      <c r="Z1" s="181" t="e">
        <v>#DIV/0!</v>
      </c>
      <c r="AA1" s="182"/>
      <c r="AB1" s="183">
        <v>3</v>
      </c>
      <c r="AC1" s="184"/>
      <c r="AD1" s="184"/>
      <c r="AE1" s="293"/>
      <c r="AF1" s="186"/>
    </row>
    <row r="2" spans="1:32" s="190" customFormat="1" ht="22.5" customHeight="1">
      <c r="A2" s="187" t="s">
        <v>93</v>
      </c>
      <c r="B2" s="187" t="s">
        <v>137</v>
      </c>
      <c r="C2" s="189" t="s">
        <v>95</v>
      </c>
      <c r="D2" s="189" t="s">
        <v>96</v>
      </c>
      <c r="E2" s="189" t="s">
        <v>80</v>
      </c>
      <c r="F2" s="189" t="s">
        <v>75</v>
      </c>
      <c r="G2" s="512" t="s">
        <v>273</v>
      </c>
      <c r="H2" s="513"/>
      <c r="I2" s="513"/>
      <c r="J2" s="513"/>
      <c r="K2" s="513"/>
      <c r="L2" s="513"/>
      <c r="M2" s="513"/>
      <c r="N2" s="514"/>
      <c r="O2" s="512" t="s">
        <v>97</v>
      </c>
      <c r="P2" s="513"/>
      <c r="Q2" s="513"/>
      <c r="R2" s="513"/>
      <c r="S2" s="513"/>
      <c r="T2" s="513"/>
      <c r="U2" s="513"/>
      <c r="V2" s="514"/>
      <c r="W2" s="512" t="s">
        <v>98</v>
      </c>
      <c r="X2" s="513"/>
      <c r="Y2" s="513"/>
      <c r="Z2" s="513"/>
      <c r="AA2" s="513"/>
      <c r="AB2" s="513"/>
      <c r="AC2" s="513"/>
      <c r="AD2" s="514"/>
      <c r="AE2" s="188" t="s">
        <v>94</v>
      </c>
      <c r="AF2" s="515" t="s">
        <v>91</v>
      </c>
    </row>
    <row r="3" spans="1:32" s="178" customFormat="1" ht="16.5" customHeight="1">
      <c r="A3" s="191"/>
      <c r="B3" s="191"/>
      <c r="C3" s="192"/>
      <c r="D3" s="192"/>
      <c r="E3" s="192"/>
      <c r="F3" s="192"/>
      <c r="G3" s="193" t="s">
        <v>87</v>
      </c>
      <c r="H3" s="194" t="s">
        <v>88</v>
      </c>
      <c r="I3" s="194" t="s">
        <v>73</v>
      </c>
      <c r="J3" s="195" t="s">
        <v>99</v>
      </c>
      <c r="K3" s="196"/>
      <c r="L3" s="197" t="s">
        <v>100</v>
      </c>
      <c r="M3" s="197" t="s">
        <v>101</v>
      </c>
      <c r="N3" s="198" t="s">
        <v>89</v>
      </c>
      <c r="O3" s="193" t="s">
        <v>87</v>
      </c>
      <c r="P3" s="194" t="s">
        <v>88</v>
      </c>
      <c r="Q3" s="194" t="s">
        <v>73</v>
      </c>
      <c r="R3" s="195" t="s">
        <v>99</v>
      </c>
      <c r="S3" s="199"/>
      <c r="T3" s="197" t="s">
        <v>100</v>
      </c>
      <c r="U3" s="197" t="s">
        <v>101</v>
      </c>
      <c r="V3" s="198" t="s">
        <v>89</v>
      </c>
      <c r="W3" s="193" t="s">
        <v>87</v>
      </c>
      <c r="X3" s="194" t="s">
        <v>88</v>
      </c>
      <c r="Y3" s="194" t="s">
        <v>73</v>
      </c>
      <c r="Z3" s="195" t="s">
        <v>99</v>
      </c>
      <c r="AA3" s="196"/>
      <c r="AB3" s="197" t="s">
        <v>100</v>
      </c>
      <c r="AC3" s="197" t="s">
        <v>101</v>
      </c>
      <c r="AD3" s="198" t="s">
        <v>89</v>
      </c>
      <c r="AE3" s="191"/>
      <c r="AF3" s="516"/>
    </row>
    <row r="4" spans="1:32">
      <c r="A4" s="296">
        <v>0</v>
      </c>
      <c r="B4" s="318"/>
      <c r="C4" s="318" t="s">
        <v>197</v>
      </c>
      <c r="D4" s="316" t="s">
        <v>143</v>
      </c>
      <c r="E4" s="318"/>
      <c r="F4" s="321" t="s">
        <v>163</v>
      </c>
      <c r="G4" s="297">
        <v>1</v>
      </c>
      <c r="H4" s="298">
        <v>3548678</v>
      </c>
      <c r="I4" s="298">
        <v>3548678</v>
      </c>
      <c r="J4" s="200">
        <v>1</v>
      </c>
      <c r="K4" s="201" t="str">
        <f>IF(OR(J4="",G4=J4),"","*")</f>
        <v/>
      </c>
      <c r="L4" s="314">
        <f>IF($A4&lt;=L$1,I4/I$4,"")</f>
        <v>1</v>
      </c>
      <c r="M4" s="319"/>
      <c r="N4" s="320"/>
      <c r="O4" s="299">
        <v>0</v>
      </c>
      <c r="P4" s="300">
        <v>0</v>
      </c>
      <c r="Q4" s="300">
        <v>0</v>
      </c>
      <c r="R4" s="200">
        <v>0</v>
      </c>
      <c r="S4" s="201"/>
      <c r="T4" s="202" t="e">
        <v>#DIV/0!</v>
      </c>
      <c r="U4" s="203"/>
      <c r="V4" s="204"/>
      <c r="W4" s="299">
        <v>0</v>
      </c>
      <c r="X4" s="300">
        <v>0</v>
      </c>
      <c r="Y4" s="300">
        <v>0</v>
      </c>
      <c r="Z4" s="200">
        <v>0</v>
      </c>
      <c r="AA4" s="201"/>
      <c r="AB4" s="202" t="e">
        <v>#DIV/0!</v>
      </c>
      <c r="AC4" s="203"/>
      <c r="AD4" s="204"/>
      <c r="AE4" s="318"/>
      <c r="AF4" s="317"/>
    </row>
    <row r="5" spans="1:32">
      <c r="A5" s="296">
        <v>1</v>
      </c>
      <c r="B5" s="318"/>
      <c r="C5" s="318" t="s">
        <v>198</v>
      </c>
      <c r="D5" s="316" t="s">
        <v>199</v>
      </c>
      <c r="E5" s="318"/>
      <c r="F5" s="321" t="s">
        <v>163</v>
      </c>
      <c r="G5" s="297">
        <v>1</v>
      </c>
      <c r="H5" s="298">
        <v>3273678</v>
      </c>
      <c r="I5" s="298">
        <v>3273678</v>
      </c>
      <c r="J5" s="200"/>
      <c r="K5" s="201" t="str">
        <f>IF(OR(J5="",G5=J5),"","*")</f>
        <v/>
      </c>
      <c r="L5" s="314">
        <f>IF($A5&lt;=L$1,I5/I$4,"")</f>
        <v>0.92250635307007289</v>
      </c>
      <c r="M5" s="319"/>
      <c r="N5" s="320"/>
      <c r="O5" s="299">
        <v>0</v>
      </c>
      <c r="P5" s="300">
        <v>0</v>
      </c>
      <c r="Q5" s="300">
        <v>0</v>
      </c>
      <c r="R5" s="200">
        <v>0</v>
      </c>
      <c r="S5" s="201"/>
      <c r="T5" s="202" t="e">
        <v>#DIV/0!</v>
      </c>
      <c r="U5" s="203"/>
      <c r="V5" s="204"/>
      <c r="W5" s="299">
        <v>0</v>
      </c>
      <c r="X5" s="300">
        <v>0</v>
      </c>
      <c r="Y5" s="300">
        <v>0</v>
      </c>
      <c r="Z5" s="200">
        <v>0</v>
      </c>
      <c r="AA5" s="201"/>
      <c r="AB5" s="202" t="e">
        <v>#DIV/0!</v>
      </c>
      <c r="AC5" s="203"/>
      <c r="AD5" s="204"/>
      <c r="AE5" s="318"/>
      <c r="AF5" s="317"/>
    </row>
    <row r="6" spans="1:32">
      <c r="A6" s="296">
        <v>2</v>
      </c>
      <c r="B6" s="318"/>
      <c r="C6" s="318" t="s">
        <v>200</v>
      </c>
      <c r="D6" s="316" t="s">
        <v>201</v>
      </c>
      <c r="E6" s="318" t="s">
        <v>160</v>
      </c>
      <c r="F6" s="321" t="s">
        <v>161</v>
      </c>
      <c r="G6" s="297">
        <v>900</v>
      </c>
      <c r="H6" s="298">
        <v>225</v>
      </c>
      <c r="I6" s="298">
        <v>202500</v>
      </c>
      <c r="J6" s="200">
        <v>936</v>
      </c>
      <c r="K6" s="201" t="str">
        <f>IF(OR(J6="",G6=J6),"","*")</f>
        <v>*</v>
      </c>
      <c r="L6" s="314">
        <f>IF($A6&lt;=L$1,I6/I$4,"")</f>
        <v>5.7063503648400897E-2</v>
      </c>
      <c r="M6" s="319"/>
      <c r="N6" s="320"/>
      <c r="O6" s="299">
        <v>0</v>
      </c>
      <c r="P6" s="300">
        <v>0</v>
      </c>
      <c r="Q6" s="300">
        <v>0</v>
      </c>
      <c r="R6" s="200">
        <v>0</v>
      </c>
      <c r="S6" s="201"/>
      <c r="T6" s="202" t="e">
        <v>#DIV/0!</v>
      </c>
      <c r="U6" s="203"/>
      <c r="V6" s="204"/>
      <c r="W6" s="299">
        <v>0</v>
      </c>
      <c r="X6" s="300">
        <v>0</v>
      </c>
      <c r="Y6" s="300">
        <v>0</v>
      </c>
      <c r="Z6" s="200">
        <v>0</v>
      </c>
      <c r="AA6" s="201"/>
      <c r="AB6" s="202" t="e">
        <v>#DIV/0!</v>
      </c>
      <c r="AC6" s="203"/>
      <c r="AD6" s="204"/>
      <c r="AE6" s="318"/>
      <c r="AF6" s="317"/>
    </row>
    <row r="7" spans="1:32">
      <c r="A7" s="296">
        <v>3</v>
      </c>
      <c r="B7" s="318"/>
      <c r="C7" s="318" t="s">
        <v>164</v>
      </c>
      <c r="D7" s="316" t="s">
        <v>202</v>
      </c>
      <c r="E7" s="318"/>
      <c r="F7" s="321" t="s">
        <v>203</v>
      </c>
      <c r="G7" s="297">
        <v>30</v>
      </c>
      <c r="H7" s="298">
        <v>150</v>
      </c>
      <c r="I7" s="298">
        <v>4500</v>
      </c>
      <c r="J7" s="200"/>
      <c r="K7" s="201" t="str">
        <f>IF(OR(J7="",G7=J7),"","*")</f>
        <v/>
      </c>
      <c r="L7" s="314">
        <f>IF($A7&lt;=L$1,I7/I$4,"")</f>
        <v>1.2680778588533533E-3</v>
      </c>
      <c r="M7" s="319"/>
      <c r="N7" s="320"/>
      <c r="O7" s="299">
        <v>0</v>
      </c>
      <c r="P7" s="300">
        <v>0</v>
      </c>
      <c r="Q7" s="300">
        <v>0</v>
      </c>
      <c r="R7" s="200">
        <v>0</v>
      </c>
      <c r="S7" s="201"/>
      <c r="T7" s="202" t="e">
        <v>#DIV/0!</v>
      </c>
      <c r="U7" s="203"/>
      <c r="V7" s="204"/>
      <c r="W7" s="299">
        <v>0</v>
      </c>
      <c r="X7" s="300">
        <v>0</v>
      </c>
      <c r="Y7" s="300">
        <v>0</v>
      </c>
      <c r="Z7" s="200">
        <v>0</v>
      </c>
      <c r="AA7" s="201"/>
      <c r="AB7" s="202" t="e">
        <v>#DIV/0!</v>
      </c>
      <c r="AC7" s="203"/>
      <c r="AD7" s="204"/>
      <c r="AE7" s="318" t="s">
        <v>204</v>
      </c>
      <c r="AF7" s="317" t="s">
        <v>205</v>
      </c>
    </row>
    <row r="8" spans="1:32">
      <c r="A8" s="296">
        <v>3</v>
      </c>
      <c r="B8" s="318"/>
      <c r="C8" s="318" t="s">
        <v>165</v>
      </c>
      <c r="D8" s="316" t="s">
        <v>206</v>
      </c>
      <c r="E8" s="318" t="s">
        <v>207</v>
      </c>
      <c r="F8" s="321" t="s">
        <v>208</v>
      </c>
      <c r="G8" s="297">
        <v>7</v>
      </c>
      <c r="H8" s="298">
        <v>23000</v>
      </c>
      <c r="I8" s="298">
        <v>161000</v>
      </c>
      <c r="J8" s="200"/>
      <c r="K8" s="201" t="str">
        <f>IF(OR(J8="",G8=J8),"","*")</f>
        <v/>
      </c>
      <c r="L8" s="314">
        <f>IF($A8&lt;=L$1,I8/I$4,"")</f>
        <v>4.5369007838975531E-2</v>
      </c>
      <c r="M8" s="319"/>
      <c r="N8" s="320"/>
      <c r="O8" s="299">
        <v>0</v>
      </c>
      <c r="P8" s="300">
        <v>0</v>
      </c>
      <c r="Q8" s="300">
        <v>0</v>
      </c>
      <c r="R8" s="200">
        <v>0</v>
      </c>
      <c r="S8" s="201"/>
      <c r="T8" s="202" t="e">
        <v>#DIV/0!</v>
      </c>
      <c r="U8" s="203"/>
      <c r="V8" s="204"/>
      <c r="W8" s="299">
        <v>0</v>
      </c>
      <c r="X8" s="300">
        <v>0</v>
      </c>
      <c r="Y8" s="300">
        <v>0</v>
      </c>
      <c r="Z8" s="200">
        <v>0</v>
      </c>
      <c r="AA8" s="201"/>
      <c r="AB8" s="202" t="e">
        <v>#DIV/0!</v>
      </c>
      <c r="AC8" s="203"/>
      <c r="AD8" s="204"/>
      <c r="AE8" s="318" t="s">
        <v>209</v>
      </c>
      <c r="AF8" s="317" t="s">
        <v>210</v>
      </c>
    </row>
    <row r="9" spans="1:32">
      <c r="A9" s="296">
        <v>3</v>
      </c>
      <c r="B9" s="318"/>
      <c r="C9" s="318" t="s">
        <v>167</v>
      </c>
      <c r="D9" s="316" t="s">
        <v>211</v>
      </c>
      <c r="E9" s="318" t="s">
        <v>212</v>
      </c>
      <c r="F9" s="321" t="s">
        <v>213</v>
      </c>
      <c r="G9" s="297">
        <v>1</v>
      </c>
      <c r="H9" s="298">
        <v>6000</v>
      </c>
      <c r="I9" s="298">
        <v>6000</v>
      </c>
      <c r="J9" s="200"/>
      <c r="K9" s="201" t="str">
        <f>IF(OR(J9="",G9=J9),"","*")</f>
        <v/>
      </c>
      <c r="L9" s="314">
        <f>IF($A9&lt;=L$1,I9/I$4,"")</f>
        <v>1.6907704784711378E-3</v>
      </c>
      <c r="M9" s="319"/>
      <c r="N9" s="320"/>
      <c r="O9" s="299">
        <v>0</v>
      </c>
      <c r="P9" s="300">
        <v>0</v>
      </c>
      <c r="Q9" s="300">
        <v>0</v>
      </c>
      <c r="R9" s="200">
        <v>0</v>
      </c>
      <c r="S9" s="201"/>
      <c r="T9" s="202" t="e">
        <v>#DIV/0!</v>
      </c>
      <c r="U9" s="203"/>
      <c r="V9" s="204"/>
      <c r="W9" s="299">
        <v>0</v>
      </c>
      <c r="X9" s="300">
        <v>0</v>
      </c>
      <c r="Y9" s="300">
        <v>0</v>
      </c>
      <c r="Z9" s="200">
        <v>0</v>
      </c>
      <c r="AA9" s="201"/>
      <c r="AB9" s="202" t="e">
        <v>#DIV/0!</v>
      </c>
      <c r="AC9" s="203"/>
      <c r="AD9" s="204"/>
      <c r="AE9" s="318" t="s">
        <v>214</v>
      </c>
      <c r="AF9" s="317" t="s">
        <v>215</v>
      </c>
    </row>
    <row r="10" spans="1:32">
      <c r="A10" s="296">
        <v>3</v>
      </c>
      <c r="B10" s="318"/>
      <c r="C10" s="318" t="s">
        <v>167</v>
      </c>
      <c r="D10" s="316" t="s">
        <v>216</v>
      </c>
      <c r="E10" s="318" t="s">
        <v>217</v>
      </c>
      <c r="F10" s="321" t="s">
        <v>213</v>
      </c>
      <c r="G10" s="297">
        <v>1</v>
      </c>
      <c r="H10" s="298">
        <v>7000</v>
      </c>
      <c r="I10" s="298">
        <v>7000</v>
      </c>
      <c r="J10" s="200"/>
      <c r="K10" s="201" t="str">
        <f>IF(OR(J10="",G10=J10),"","*")</f>
        <v/>
      </c>
      <c r="L10" s="314">
        <f>IF($A10&lt;=L$1,I10/I$4,"")</f>
        <v>1.9725655582163272E-3</v>
      </c>
      <c r="M10" s="319"/>
      <c r="N10" s="320"/>
      <c r="O10" s="299">
        <v>0</v>
      </c>
      <c r="P10" s="300">
        <v>0</v>
      </c>
      <c r="Q10" s="300">
        <v>0</v>
      </c>
      <c r="R10" s="200">
        <v>0</v>
      </c>
      <c r="S10" s="201"/>
      <c r="T10" s="202" t="e">
        <v>#DIV/0!</v>
      </c>
      <c r="U10" s="203"/>
      <c r="V10" s="204"/>
      <c r="W10" s="299">
        <v>0</v>
      </c>
      <c r="X10" s="300">
        <v>0</v>
      </c>
      <c r="Y10" s="300">
        <v>0</v>
      </c>
      <c r="Z10" s="200">
        <v>0</v>
      </c>
      <c r="AA10" s="201"/>
      <c r="AB10" s="202" t="e">
        <v>#DIV/0!</v>
      </c>
      <c r="AC10" s="203"/>
      <c r="AD10" s="204"/>
      <c r="AE10" s="318" t="s">
        <v>218</v>
      </c>
      <c r="AF10" s="317" t="s">
        <v>215</v>
      </c>
    </row>
    <row r="11" spans="1:32">
      <c r="A11" s="296">
        <v>3</v>
      </c>
      <c r="B11" s="318"/>
      <c r="C11" s="318" t="s">
        <v>167</v>
      </c>
      <c r="D11" s="316" t="s">
        <v>219</v>
      </c>
      <c r="E11" s="318" t="s">
        <v>220</v>
      </c>
      <c r="F11" s="321" t="s">
        <v>213</v>
      </c>
      <c r="G11" s="297">
        <v>1</v>
      </c>
      <c r="H11" s="298">
        <v>7000</v>
      </c>
      <c r="I11" s="298">
        <v>7000</v>
      </c>
      <c r="J11" s="200"/>
      <c r="K11" s="201" t="str">
        <f>IF(OR(J11="",G11=J11),"","*")</f>
        <v/>
      </c>
      <c r="L11" s="314">
        <f>IF($A11&lt;=L$1,I11/I$4,"")</f>
        <v>1.9725655582163272E-3</v>
      </c>
      <c r="M11" s="319"/>
      <c r="N11" s="320"/>
      <c r="O11" s="299">
        <v>0</v>
      </c>
      <c r="P11" s="300">
        <v>0</v>
      </c>
      <c r="Q11" s="300">
        <v>0</v>
      </c>
      <c r="R11" s="200">
        <v>0</v>
      </c>
      <c r="S11" s="201"/>
      <c r="T11" s="202" t="e">
        <v>#DIV/0!</v>
      </c>
      <c r="U11" s="203"/>
      <c r="V11" s="204"/>
      <c r="W11" s="299">
        <v>0</v>
      </c>
      <c r="X11" s="300">
        <v>0</v>
      </c>
      <c r="Y11" s="300">
        <v>0</v>
      </c>
      <c r="Z11" s="200">
        <v>0</v>
      </c>
      <c r="AA11" s="201"/>
      <c r="AB11" s="202" t="e">
        <v>#DIV/0!</v>
      </c>
      <c r="AC11" s="203"/>
      <c r="AD11" s="204"/>
      <c r="AE11" s="318" t="s">
        <v>221</v>
      </c>
      <c r="AF11" s="317" t="s">
        <v>215</v>
      </c>
    </row>
    <row r="12" spans="1:32">
      <c r="A12" s="296">
        <v>3</v>
      </c>
      <c r="B12" s="318"/>
      <c r="C12" s="318" t="s">
        <v>167</v>
      </c>
      <c r="D12" s="316" t="s">
        <v>222</v>
      </c>
      <c r="E12" s="318"/>
      <c r="F12" s="321" t="s">
        <v>213</v>
      </c>
      <c r="G12" s="297">
        <v>1</v>
      </c>
      <c r="H12" s="298">
        <v>3000</v>
      </c>
      <c r="I12" s="298">
        <v>3000</v>
      </c>
      <c r="J12" s="200"/>
      <c r="K12" s="201" t="str">
        <f>IF(OR(J12="",G12=J12),"","*")</f>
        <v/>
      </c>
      <c r="L12" s="314">
        <f>IF($A12&lt;=L$1,I12/I$4,"")</f>
        <v>8.4538523923556889E-4</v>
      </c>
      <c r="M12" s="319"/>
      <c r="N12" s="320"/>
      <c r="O12" s="299">
        <v>0</v>
      </c>
      <c r="P12" s="300">
        <v>0</v>
      </c>
      <c r="Q12" s="300">
        <v>0</v>
      </c>
      <c r="R12" s="200">
        <v>0</v>
      </c>
      <c r="S12" s="201"/>
      <c r="T12" s="202" t="e">
        <v>#DIV/0!</v>
      </c>
      <c r="U12" s="203"/>
      <c r="V12" s="204"/>
      <c r="W12" s="299">
        <v>0</v>
      </c>
      <c r="X12" s="300">
        <v>0</v>
      </c>
      <c r="Y12" s="300">
        <v>0</v>
      </c>
      <c r="Z12" s="200">
        <v>0</v>
      </c>
      <c r="AA12" s="201"/>
      <c r="AB12" s="202" t="e">
        <v>#DIV/0!</v>
      </c>
      <c r="AC12" s="203"/>
      <c r="AD12" s="204"/>
      <c r="AE12" s="318" t="s">
        <v>223</v>
      </c>
      <c r="AF12" s="317" t="s">
        <v>215</v>
      </c>
    </row>
    <row r="13" spans="1:32">
      <c r="A13" s="296">
        <v>3</v>
      </c>
      <c r="B13" s="318"/>
      <c r="C13" s="318" t="s">
        <v>168</v>
      </c>
      <c r="D13" s="316" t="s">
        <v>224</v>
      </c>
      <c r="E13" s="318"/>
      <c r="F13" s="321" t="s">
        <v>213</v>
      </c>
      <c r="G13" s="297">
        <v>2</v>
      </c>
      <c r="H13" s="298">
        <v>7000</v>
      </c>
      <c r="I13" s="298">
        <v>14000</v>
      </c>
      <c r="J13" s="200"/>
      <c r="K13" s="201" t="str">
        <f>IF(OR(J13="",G13=J13),"","*")</f>
        <v/>
      </c>
      <c r="L13" s="314">
        <f>IF($A13&lt;=L$1,I13/I$4,"")</f>
        <v>3.9451311164326545E-3</v>
      </c>
      <c r="M13" s="319"/>
      <c r="N13" s="320"/>
      <c r="O13" s="299">
        <v>0</v>
      </c>
      <c r="P13" s="300">
        <v>0</v>
      </c>
      <c r="Q13" s="300">
        <v>0</v>
      </c>
      <c r="R13" s="200">
        <v>0</v>
      </c>
      <c r="S13" s="201"/>
      <c r="T13" s="202" t="e">
        <v>#DIV/0!</v>
      </c>
      <c r="U13" s="203"/>
      <c r="V13" s="204"/>
      <c r="W13" s="299">
        <v>0</v>
      </c>
      <c r="X13" s="300">
        <v>0</v>
      </c>
      <c r="Y13" s="300">
        <v>0</v>
      </c>
      <c r="Z13" s="200">
        <v>0</v>
      </c>
      <c r="AA13" s="201"/>
      <c r="AB13" s="202" t="e">
        <v>#DIV/0!</v>
      </c>
      <c r="AC13" s="203"/>
      <c r="AD13" s="204"/>
      <c r="AE13" s="318" t="s">
        <v>225</v>
      </c>
      <c r="AF13" s="317" t="s">
        <v>226</v>
      </c>
    </row>
    <row r="14" spans="1:32">
      <c r="A14" s="296">
        <v>3</v>
      </c>
      <c r="B14" s="318"/>
      <c r="C14" s="318" t="s">
        <v>168</v>
      </c>
      <c r="D14" s="316" t="s">
        <v>227</v>
      </c>
      <c r="E14" s="318" t="s">
        <v>228</v>
      </c>
      <c r="F14" s="321" t="s">
        <v>213</v>
      </c>
      <c r="G14" s="297">
        <v>1</v>
      </c>
      <c r="H14" s="298">
        <v>6000</v>
      </c>
      <c r="I14" s="298">
        <v>6000</v>
      </c>
      <c r="J14" s="200"/>
      <c r="K14" s="201" t="str">
        <f>IF(OR(J14="",G14=J14),"","*")</f>
        <v/>
      </c>
      <c r="L14" s="314">
        <f>IF($A14&lt;=L$1,I14/I$4,"")</f>
        <v>1.6907704784711378E-3</v>
      </c>
      <c r="M14" s="319"/>
      <c r="N14" s="320"/>
      <c r="O14" s="299">
        <v>0</v>
      </c>
      <c r="P14" s="300">
        <v>0</v>
      </c>
      <c r="Q14" s="300">
        <v>0</v>
      </c>
      <c r="R14" s="200">
        <v>0</v>
      </c>
      <c r="S14" s="201"/>
      <c r="T14" s="202" t="e">
        <v>#DIV/0!</v>
      </c>
      <c r="U14" s="203"/>
      <c r="V14" s="204"/>
      <c r="W14" s="299">
        <v>0</v>
      </c>
      <c r="X14" s="300">
        <v>0</v>
      </c>
      <c r="Y14" s="300">
        <v>0</v>
      </c>
      <c r="Z14" s="200">
        <v>0</v>
      </c>
      <c r="AA14" s="201"/>
      <c r="AB14" s="202" t="e">
        <v>#DIV/0!</v>
      </c>
      <c r="AC14" s="203"/>
      <c r="AD14" s="204"/>
      <c r="AE14" s="318" t="s">
        <v>229</v>
      </c>
      <c r="AF14" s="317" t="s">
        <v>215</v>
      </c>
    </row>
    <row r="15" spans="1:32">
      <c r="A15" s="296">
        <v>3</v>
      </c>
      <c r="B15" s="318"/>
      <c r="C15" s="318"/>
      <c r="D15" s="316" t="s">
        <v>230</v>
      </c>
      <c r="E15" s="318"/>
      <c r="F15" s="321" t="s">
        <v>163</v>
      </c>
      <c r="G15" s="297">
        <v>1</v>
      </c>
      <c r="H15" s="298">
        <v>2100</v>
      </c>
      <c r="I15" s="298">
        <v>2100</v>
      </c>
      <c r="J15" s="200"/>
      <c r="K15" s="201" t="str">
        <f>IF(OR(J15="",G15=J15),"","*")</f>
        <v/>
      </c>
      <c r="L15" s="314">
        <f>IF($A15&lt;=L$1,I15/I$4,"")</f>
        <v>5.9176966746489815E-4</v>
      </c>
      <c r="M15" s="319"/>
      <c r="N15" s="320" t="s">
        <v>231</v>
      </c>
      <c r="O15" s="299">
        <v>0</v>
      </c>
      <c r="P15" s="300">
        <v>0</v>
      </c>
      <c r="Q15" s="300">
        <v>0</v>
      </c>
      <c r="R15" s="200">
        <v>0</v>
      </c>
      <c r="S15" s="201"/>
      <c r="T15" s="202" t="e">
        <v>#DIV/0!</v>
      </c>
      <c r="U15" s="203"/>
      <c r="V15" s="204"/>
      <c r="W15" s="299">
        <v>0</v>
      </c>
      <c r="X15" s="300">
        <v>0</v>
      </c>
      <c r="Y15" s="300">
        <v>0</v>
      </c>
      <c r="Z15" s="200">
        <v>0</v>
      </c>
      <c r="AA15" s="201"/>
      <c r="AB15" s="202" t="e">
        <v>#DIV/0!</v>
      </c>
      <c r="AC15" s="203"/>
      <c r="AD15" s="204"/>
      <c r="AE15" s="318"/>
      <c r="AF15" s="317"/>
    </row>
    <row r="16" spans="1:32">
      <c r="A16" s="296">
        <v>2</v>
      </c>
      <c r="B16" s="318"/>
      <c r="C16" s="318" t="s">
        <v>200</v>
      </c>
      <c r="D16" s="316" t="s">
        <v>201</v>
      </c>
      <c r="E16" s="318" t="s">
        <v>162</v>
      </c>
      <c r="F16" s="321" t="s">
        <v>161</v>
      </c>
      <c r="G16" s="297">
        <v>0</v>
      </c>
      <c r="H16" s="298">
        <v>0</v>
      </c>
      <c r="I16" s="298">
        <v>0</v>
      </c>
      <c r="J16" s="200">
        <v>217</v>
      </c>
      <c r="K16" s="201" t="str">
        <f>IF(OR(J16="",G16=J16),"","*")</f>
        <v>*</v>
      </c>
      <c r="L16" s="314">
        <f>IF($A16&lt;=L$1,I16/I$4,"")</f>
        <v>0</v>
      </c>
      <c r="M16" s="319"/>
      <c r="N16" s="320"/>
      <c r="O16" s="299">
        <v>0</v>
      </c>
      <c r="P16" s="300">
        <v>0</v>
      </c>
      <c r="Q16" s="300">
        <v>0</v>
      </c>
      <c r="R16" s="200">
        <v>0</v>
      </c>
      <c r="S16" s="201"/>
      <c r="T16" s="202" t="e">
        <v>#DIV/0!</v>
      </c>
      <c r="U16" s="203"/>
      <c r="V16" s="204"/>
      <c r="W16" s="299">
        <v>0</v>
      </c>
      <c r="X16" s="300">
        <v>0</v>
      </c>
      <c r="Y16" s="300">
        <v>0</v>
      </c>
      <c r="Z16" s="200">
        <v>0</v>
      </c>
      <c r="AA16" s="201"/>
      <c r="AB16" s="202" t="e">
        <v>#DIV/0!</v>
      </c>
      <c r="AC16" s="203"/>
      <c r="AD16" s="204"/>
      <c r="AE16" s="318"/>
      <c r="AF16" s="317"/>
    </row>
    <row r="17" spans="1:32">
      <c r="A17" s="296">
        <v>2</v>
      </c>
      <c r="B17" s="318"/>
      <c r="C17" s="318" t="s">
        <v>200</v>
      </c>
      <c r="D17" s="316" t="s">
        <v>232</v>
      </c>
      <c r="E17" s="318" t="s">
        <v>160</v>
      </c>
      <c r="F17" s="321" t="s">
        <v>161</v>
      </c>
      <c r="G17" s="297">
        <v>920</v>
      </c>
      <c r="H17" s="298">
        <v>1770</v>
      </c>
      <c r="I17" s="298">
        <v>1628400</v>
      </c>
      <c r="J17" s="200">
        <v>936</v>
      </c>
      <c r="K17" s="201" t="str">
        <f>IF(OR(J17="",G17=J17),"","*")</f>
        <v>*</v>
      </c>
      <c r="L17" s="314">
        <f>IF($A17&lt;=L$1,I17/I$4,"")</f>
        <v>0.45887510785706676</v>
      </c>
      <c r="M17" s="319"/>
      <c r="N17" s="320"/>
      <c r="O17" s="299">
        <v>0</v>
      </c>
      <c r="P17" s="300">
        <v>0</v>
      </c>
      <c r="Q17" s="300">
        <v>0</v>
      </c>
      <c r="R17" s="200">
        <v>0</v>
      </c>
      <c r="S17" s="201"/>
      <c r="T17" s="202" t="e">
        <v>#DIV/0!</v>
      </c>
      <c r="U17" s="203"/>
      <c r="V17" s="204"/>
      <c r="W17" s="299">
        <v>0</v>
      </c>
      <c r="X17" s="300">
        <v>0</v>
      </c>
      <c r="Y17" s="300">
        <v>0</v>
      </c>
      <c r="Z17" s="200">
        <v>0</v>
      </c>
      <c r="AA17" s="201"/>
      <c r="AB17" s="202" t="e">
        <v>#DIV/0!</v>
      </c>
      <c r="AC17" s="203"/>
      <c r="AD17" s="204"/>
      <c r="AE17" s="318"/>
      <c r="AF17" s="317"/>
    </row>
    <row r="18" spans="1:32">
      <c r="A18" s="296">
        <v>3</v>
      </c>
      <c r="B18" s="318"/>
      <c r="C18" s="318" t="s">
        <v>164</v>
      </c>
      <c r="D18" s="316" t="s">
        <v>233</v>
      </c>
      <c r="E18" s="318" t="s">
        <v>234</v>
      </c>
      <c r="F18" s="321" t="s">
        <v>235</v>
      </c>
      <c r="G18" s="297">
        <v>115</v>
      </c>
      <c r="H18" s="298">
        <v>10000</v>
      </c>
      <c r="I18" s="298">
        <v>1150000</v>
      </c>
      <c r="J18" s="200"/>
      <c r="K18" s="201" t="str">
        <f>IF(OR(J18="",G18=J18),"","*")</f>
        <v/>
      </c>
      <c r="L18" s="314">
        <f>IF($A18&lt;=L$1,I18/I$4,"")</f>
        <v>0.32406434170696807</v>
      </c>
      <c r="M18" s="319"/>
      <c r="N18" s="320"/>
      <c r="O18" s="299">
        <v>0</v>
      </c>
      <c r="P18" s="300">
        <v>0</v>
      </c>
      <c r="Q18" s="300">
        <v>0</v>
      </c>
      <c r="R18" s="200">
        <v>0</v>
      </c>
      <c r="S18" s="201"/>
      <c r="T18" s="202" t="e">
        <v>#DIV/0!</v>
      </c>
      <c r="U18" s="203"/>
      <c r="V18" s="204"/>
      <c r="W18" s="299">
        <v>0</v>
      </c>
      <c r="X18" s="300">
        <v>0</v>
      </c>
      <c r="Y18" s="300">
        <v>0</v>
      </c>
      <c r="Z18" s="200">
        <v>0</v>
      </c>
      <c r="AA18" s="201"/>
      <c r="AB18" s="202" t="e">
        <v>#DIV/0!</v>
      </c>
      <c r="AC18" s="203"/>
      <c r="AD18" s="204"/>
      <c r="AE18" s="318" t="s">
        <v>236</v>
      </c>
      <c r="AF18" s="317" t="s">
        <v>237</v>
      </c>
    </row>
    <row r="19" spans="1:32">
      <c r="A19" s="296">
        <v>3</v>
      </c>
      <c r="B19" s="318"/>
      <c r="C19" s="318" t="s">
        <v>164</v>
      </c>
      <c r="D19" s="316" t="s">
        <v>238</v>
      </c>
      <c r="E19" s="318"/>
      <c r="F19" s="321" t="s">
        <v>239</v>
      </c>
      <c r="G19" s="297">
        <v>1105</v>
      </c>
      <c r="H19" s="298">
        <v>110</v>
      </c>
      <c r="I19" s="298">
        <v>121550</v>
      </c>
      <c r="J19" s="200"/>
      <c r="K19" s="201" t="str">
        <f>IF(OR(J19="",G19=J19),"","*")</f>
        <v/>
      </c>
      <c r="L19" s="314">
        <f>IF($A19&lt;=L$1,I19/I$4,"")</f>
        <v>3.4252191943027796E-2</v>
      </c>
      <c r="M19" s="319"/>
      <c r="N19" s="320"/>
      <c r="O19" s="299">
        <v>0</v>
      </c>
      <c r="P19" s="300">
        <v>0</v>
      </c>
      <c r="Q19" s="300">
        <v>0</v>
      </c>
      <c r="R19" s="200">
        <v>0</v>
      </c>
      <c r="S19" s="201"/>
      <c r="T19" s="202" t="e">
        <v>#DIV/0!</v>
      </c>
      <c r="U19" s="203"/>
      <c r="V19" s="204"/>
      <c r="W19" s="299">
        <v>0</v>
      </c>
      <c r="X19" s="300">
        <v>0</v>
      </c>
      <c r="Y19" s="300">
        <v>0</v>
      </c>
      <c r="Z19" s="200">
        <v>0</v>
      </c>
      <c r="AA19" s="201"/>
      <c r="AB19" s="202" t="e">
        <v>#DIV/0!</v>
      </c>
      <c r="AC19" s="203"/>
      <c r="AD19" s="204"/>
      <c r="AE19" s="318" t="s">
        <v>240</v>
      </c>
      <c r="AF19" s="317" t="s">
        <v>241</v>
      </c>
    </row>
    <row r="20" spans="1:32">
      <c r="A20" s="296">
        <v>3</v>
      </c>
      <c r="B20" s="318"/>
      <c r="C20" s="318" t="s">
        <v>164</v>
      </c>
      <c r="D20" s="316" t="s">
        <v>242</v>
      </c>
      <c r="E20" s="318"/>
      <c r="F20" s="321" t="s">
        <v>243</v>
      </c>
      <c r="G20" s="297">
        <v>2</v>
      </c>
      <c r="H20" s="298">
        <v>5000</v>
      </c>
      <c r="I20" s="298">
        <v>10000</v>
      </c>
      <c r="J20" s="200"/>
      <c r="K20" s="201" t="str">
        <f>IF(OR(J20="",G20=J20),"","*")</f>
        <v/>
      </c>
      <c r="L20" s="314">
        <f>IF($A20&lt;=L$1,I20/I$4,"")</f>
        <v>2.8179507974518962E-3</v>
      </c>
      <c r="M20" s="319"/>
      <c r="N20" s="320"/>
      <c r="O20" s="299">
        <v>0</v>
      </c>
      <c r="P20" s="300">
        <v>0</v>
      </c>
      <c r="Q20" s="300">
        <v>0</v>
      </c>
      <c r="R20" s="200">
        <v>0</v>
      </c>
      <c r="S20" s="201"/>
      <c r="T20" s="202" t="e">
        <v>#DIV/0!</v>
      </c>
      <c r="U20" s="203"/>
      <c r="V20" s="204"/>
      <c r="W20" s="299">
        <v>0</v>
      </c>
      <c r="X20" s="300">
        <v>0</v>
      </c>
      <c r="Y20" s="300">
        <v>0</v>
      </c>
      <c r="Z20" s="200">
        <v>0</v>
      </c>
      <c r="AA20" s="201"/>
      <c r="AB20" s="202" t="e">
        <v>#DIV/0!</v>
      </c>
      <c r="AC20" s="203"/>
      <c r="AD20" s="204"/>
      <c r="AE20" s="318"/>
      <c r="AF20" s="317" t="s">
        <v>244</v>
      </c>
    </row>
    <row r="21" spans="1:32">
      <c r="A21" s="296">
        <v>3</v>
      </c>
      <c r="B21" s="318"/>
      <c r="C21" s="318" t="s">
        <v>164</v>
      </c>
      <c r="D21" s="316" t="s">
        <v>202</v>
      </c>
      <c r="E21" s="318"/>
      <c r="F21" s="321" t="s">
        <v>203</v>
      </c>
      <c r="G21" s="297">
        <v>50</v>
      </c>
      <c r="H21" s="298">
        <v>150</v>
      </c>
      <c r="I21" s="298">
        <v>7500</v>
      </c>
      <c r="J21" s="200"/>
      <c r="K21" s="201" t="str">
        <f>IF(OR(J21="",G21=J21),"","*")</f>
        <v/>
      </c>
      <c r="L21" s="314">
        <f>IF($A21&lt;=L$1,I21/I$4,"")</f>
        <v>2.1134630980889223E-3</v>
      </c>
      <c r="M21" s="319"/>
      <c r="N21" s="320"/>
      <c r="O21" s="299">
        <v>0</v>
      </c>
      <c r="P21" s="300">
        <v>0</v>
      </c>
      <c r="Q21" s="300">
        <v>0</v>
      </c>
      <c r="R21" s="200">
        <v>0</v>
      </c>
      <c r="S21" s="201"/>
      <c r="T21" s="202" t="e">
        <v>#DIV/0!</v>
      </c>
      <c r="U21" s="203"/>
      <c r="V21" s="204"/>
      <c r="W21" s="299">
        <v>0</v>
      </c>
      <c r="X21" s="300">
        <v>0</v>
      </c>
      <c r="Y21" s="300">
        <v>0</v>
      </c>
      <c r="Z21" s="200">
        <v>0</v>
      </c>
      <c r="AA21" s="201"/>
      <c r="AB21" s="202" t="e">
        <v>#DIV/0!</v>
      </c>
      <c r="AC21" s="203"/>
      <c r="AD21" s="204"/>
      <c r="AE21" s="318" t="s">
        <v>204</v>
      </c>
      <c r="AF21" s="317" t="s">
        <v>245</v>
      </c>
    </row>
    <row r="22" spans="1:32">
      <c r="A22" s="296">
        <v>3</v>
      </c>
      <c r="B22" s="318"/>
      <c r="C22" s="318" t="s">
        <v>165</v>
      </c>
      <c r="D22" s="316" t="s">
        <v>206</v>
      </c>
      <c r="E22" s="318" t="s">
        <v>207</v>
      </c>
      <c r="F22" s="321" t="s">
        <v>208</v>
      </c>
      <c r="G22" s="297">
        <v>10</v>
      </c>
      <c r="H22" s="298">
        <v>23000</v>
      </c>
      <c r="I22" s="298">
        <v>230000</v>
      </c>
      <c r="J22" s="200"/>
      <c r="K22" s="201" t="str">
        <f>IF(OR(J22="",G22=J22),"","*")</f>
        <v/>
      </c>
      <c r="L22" s="314">
        <f>IF($A22&lt;=L$1,I22/I$4,"")</f>
        <v>6.4812868341393617E-2</v>
      </c>
      <c r="M22" s="319"/>
      <c r="N22" s="320"/>
      <c r="O22" s="299">
        <v>0</v>
      </c>
      <c r="P22" s="300">
        <v>0</v>
      </c>
      <c r="Q22" s="300">
        <v>0</v>
      </c>
      <c r="R22" s="200">
        <v>0</v>
      </c>
      <c r="S22" s="201"/>
      <c r="T22" s="202" t="e">
        <v>#DIV/0!</v>
      </c>
      <c r="U22" s="203"/>
      <c r="V22" s="204"/>
      <c r="W22" s="299">
        <v>0</v>
      </c>
      <c r="X22" s="300">
        <v>0</v>
      </c>
      <c r="Y22" s="300">
        <v>0</v>
      </c>
      <c r="Z22" s="200">
        <v>0</v>
      </c>
      <c r="AA22" s="201"/>
      <c r="AB22" s="202" t="e">
        <v>#DIV/0!</v>
      </c>
      <c r="AC22" s="203"/>
      <c r="AD22" s="204"/>
      <c r="AE22" s="318" t="s">
        <v>209</v>
      </c>
      <c r="AF22" s="317" t="s">
        <v>246</v>
      </c>
    </row>
    <row r="23" spans="1:32">
      <c r="A23" s="296">
        <v>3</v>
      </c>
      <c r="B23" s="318"/>
      <c r="C23" s="318" t="s">
        <v>167</v>
      </c>
      <c r="D23" s="316" t="s">
        <v>247</v>
      </c>
      <c r="E23" s="318" t="s">
        <v>248</v>
      </c>
      <c r="F23" s="321" t="s">
        <v>213</v>
      </c>
      <c r="G23" s="297">
        <v>1</v>
      </c>
      <c r="H23" s="298">
        <v>35000</v>
      </c>
      <c r="I23" s="298">
        <v>35000</v>
      </c>
      <c r="J23" s="200"/>
      <c r="K23" s="201" t="str">
        <f>IF(OR(J23="",G23=J23),"","*")</f>
        <v/>
      </c>
      <c r="L23" s="314">
        <f>IF($A23&lt;=L$1,I23/I$4,"")</f>
        <v>9.8628277910816371E-3</v>
      </c>
      <c r="M23" s="319"/>
      <c r="N23" s="320"/>
      <c r="O23" s="299">
        <v>0</v>
      </c>
      <c r="P23" s="300">
        <v>0</v>
      </c>
      <c r="Q23" s="300">
        <v>0</v>
      </c>
      <c r="R23" s="200">
        <v>0</v>
      </c>
      <c r="S23" s="201"/>
      <c r="T23" s="202" t="e">
        <v>#DIV/0!</v>
      </c>
      <c r="U23" s="203"/>
      <c r="V23" s="204"/>
      <c r="W23" s="299">
        <v>0</v>
      </c>
      <c r="X23" s="300">
        <v>0</v>
      </c>
      <c r="Y23" s="300">
        <v>0</v>
      </c>
      <c r="Z23" s="200">
        <v>0</v>
      </c>
      <c r="AA23" s="201"/>
      <c r="AB23" s="202" t="e">
        <v>#DIV/0!</v>
      </c>
      <c r="AC23" s="203"/>
      <c r="AD23" s="204"/>
      <c r="AE23" s="318" t="s">
        <v>249</v>
      </c>
      <c r="AF23" s="317" t="s">
        <v>215</v>
      </c>
    </row>
    <row r="24" spans="1:32">
      <c r="A24" s="296">
        <v>3</v>
      </c>
      <c r="B24" s="318"/>
      <c r="C24" s="318" t="s">
        <v>167</v>
      </c>
      <c r="D24" s="316" t="s">
        <v>211</v>
      </c>
      <c r="E24" s="318" t="s">
        <v>212</v>
      </c>
      <c r="F24" s="321" t="s">
        <v>213</v>
      </c>
      <c r="G24" s="297">
        <v>1</v>
      </c>
      <c r="H24" s="298">
        <v>6000</v>
      </c>
      <c r="I24" s="298">
        <v>6000</v>
      </c>
      <c r="J24" s="200"/>
      <c r="K24" s="201" t="str">
        <f>IF(OR(J24="",G24=J24),"","*")</f>
        <v/>
      </c>
      <c r="L24" s="314">
        <f>IF($A24&lt;=L$1,I24/I$4,"")</f>
        <v>1.6907704784711378E-3</v>
      </c>
      <c r="M24" s="319"/>
      <c r="N24" s="320"/>
      <c r="O24" s="299">
        <v>0</v>
      </c>
      <c r="P24" s="300">
        <v>0</v>
      </c>
      <c r="Q24" s="300">
        <v>0</v>
      </c>
      <c r="R24" s="200">
        <v>0</v>
      </c>
      <c r="S24" s="201"/>
      <c r="T24" s="202" t="e">
        <v>#DIV/0!</v>
      </c>
      <c r="U24" s="203"/>
      <c r="V24" s="204"/>
      <c r="W24" s="299">
        <v>0</v>
      </c>
      <c r="X24" s="300">
        <v>0</v>
      </c>
      <c r="Y24" s="300">
        <v>0</v>
      </c>
      <c r="Z24" s="200">
        <v>0</v>
      </c>
      <c r="AA24" s="201"/>
      <c r="AB24" s="202" t="e">
        <v>#DIV/0!</v>
      </c>
      <c r="AC24" s="203"/>
      <c r="AD24" s="204"/>
      <c r="AE24" s="318" t="s">
        <v>214</v>
      </c>
      <c r="AF24" s="317" t="s">
        <v>215</v>
      </c>
    </row>
    <row r="25" spans="1:32">
      <c r="A25" s="296">
        <v>3</v>
      </c>
      <c r="B25" s="318"/>
      <c r="C25" s="318" t="s">
        <v>167</v>
      </c>
      <c r="D25" s="316" t="s">
        <v>216</v>
      </c>
      <c r="E25" s="318" t="s">
        <v>217</v>
      </c>
      <c r="F25" s="321" t="s">
        <v>213</v>
      </c>
      <c r="G25" s="297">
        <v>1</v>
      </c>
      <c r="H25" s="298">
        <v>7000</v>
      </c>
      <c r="I25" s="298">
        <v>7000</v>
      </c>
      <c r="J25" s="200"/>
      <c r="K25" s="201" t="str">
        <f>IF(OR(J25="",G25=J25),"","*")</f>
        <v/>
      </c>
      <c r="L25" s="314">
        <f>IF($A25&lt;=L$1,I25/I$4,"")</f>
        <v>1.9725655582163272E-3</v>
      </c>
      <c r="M25" s="319"/>
      <c r="N25" s="320"/>
      <c r="O25" s="299">
        <v>0</v>
      </c>
      <c r="P25" s="300">
        <v>0</v>
      </c>
      <c r="Q25" s="300">
        <v>0</v>
      </c>
      <c r="R25" s="200">
        <v>0</v>
      </c>
      <c r="S25" s="201"/>
      <c r="T25" s="202" t="e">
        <v>#DIV/0!</v>
      </c>
      <c r="U25" s="203"/>
      <c r="V25" s="204"/>
      <c r="W25" s="299">
        <v>0</v>
      </c>
      <c r="X25" s="300">
        <v>0</v>
      </c>
      <c r="Y25" s="300">
        <v>0</v>
      </c>
      <c r="Z25" s="200">
        <v>0</v>
      </c>
      <c r="AA25" s="201"/>
      <c r="AB25" s="202" t="e">
        <v>#DIV/0!</v>
      </c>
      <c r="AC25" s="203"/>
      <c r="AD25" s="204"/>
      <c r="AE25" s="318" t="s">
        <v>218</v>
      </c>
      <c r="AF25" s="317" t="s">
        <v>215</v>
      </c>
    </row>
    <row r="26" spans="1:32">
      <c r="A26" s="296">
        <v>3</v>
      </c>
      <c r="B26" s="318"/>
      <c r="C26" s="318" t="s">
        <v>167</v>
      </c>
      <c r="D26" s="316" t="s">
        <v>219</v>
      </c>
      <c r="E26" s="318" t="s">
        <v>220</v>
      </c>
      <c r="F26" s="321" t="s">
        <v>213</v>
      </c>
      <c r="G26" s="297">
        <v>1</v>
      </c>
      <c r="H26" s="298">
        <v>7000</v>
      </c>
      <c r="I26" s="298">
        <v>7000</v>
      </c>
      <c r="J26" s="200"/>
      <c r="K26" s="201" t="str">
        <f>IF(OR(J26="",G26=J26),"","*")</f>
        <v/>
      </c>
      <c r="L26" s="314">
        <f>IF($A26&lt;=L$1,I26/I$4,"")</f>
        <v>1.9725655582163272E-3</v>
      </c>
      <c r="M26" s="319"/>
      <c r="N26" s="320"/>
      <c r="O26" s="299">
        <v>0</v>
      </c>
      <c r="P26" s="300">
        <v>0</v>
      </c>
      <c r="Q26" s="300">
        <v>0</v>
      </c>
      <c r="R26" s="200">
        <v>0</v>
      </c>
      <c r="S26" s="201"/>
      <c r="T26" s="202" t="e">
        <v>#DIV/0!</v>
      </c>
      <c r="U26" s="203"/>
      <c r="V26" s="204"/>
      <c r="W26" s="299">
        <v>0</v>
      </c>
      <c r="X26" s="300">
        <v>0</v>
      </c>
      <c r="Y26" s="300">
        <v>0</v>
      </c>
      <c r="Z26" s="200">
        <v>0</v>
      </c>
      <c r="AA26" s="201"/>
      <c r="AB26" s="202" t="e">
        <v>#DIV/0!</v>
      </c>
      <c r="AC26" s="203"/>
      <c r="AD26" s="204"/>
      <c r="AE26" s="318" t="s">
        <v>221</v>
      </c>
      <c r="AF26" s="317" t="s">
        <v>215</v>
      </c>
    </row>
    <row r="27" spans="1:32">
      <c r="A27" s="296">
        <v>3</v>
      </c>
      <c r="B27" s="318"/>
      <c r="C27" s="318" t="s">
        <v>167</v>
      </c>
      <c r="D27" s="316" t="s">
        <v>222</v>
      </c>
      <c r="E27" s="318"/>
      <c r="F27" s="321" t="s">
        <v>213</v>
      </c>
      <c r="G27" s="297">
        <v>1</v>
      </c>
      <c r="H27" s="298">
        <v>3000</v>
      </c>
      <c r="I27" s="298">
        <v>3000</v>
      </c>
      <c r="J27" s="200"/>
      <c r="K27" s="201" t="str">
        <f>IF(OR(J27="",G27=J27),"","*")</f>
        <v/>
      </c>
      <c r="L27" s="314">
        <f>IF($A27&lt;=L$1,I27/I$4,"")</f>
        <v>8.4538523923556889E-4</v>
      </c>
      <c r="M27" s="319"/>
      <c r="N27" s="320"/>
      <c r="O27" s="299">
        <v>0</v>
      </c>
      <c r="P27" s="300">
        <v>0</v>
      </c>
      <c r="Q27" s="300">
        <v>0</v>
      </c>
      <c r="R27" s="200">
        <v>0</v>
      </c>
      <c r="S27" s="201"/>
      <c r="T27" s="202" t="e">
        <v>#DIV/0!</v>
      </c>
      <c r="U27" s="203"/>
      <c r="V27" s="204"/>
      <c r="W27" s="299">
        <v>0</v>
      </c>
      <c r="X27" s="300">
        <v>0</v>
      </c>
      <c r="Y27" s="300">
        <v>0</v>
      </c>
      <c r="Z27" s="200">
        <v>0</v>
      </c>
      <c r="AA27" s="201"/>
      <c r="AB27" s="202" t="e">
        <v>#DIV/0!</v>
      </c>
      <c r="AC27" s="203"/>
      <c r="AD27" s="204"/>
      <c r="AE27" s="318" t="s">
        <v>223</v>
      </c>
      <c r="AF27" s="317" t="s">
        <v>215</v>
      </c>
    </row>
    <row r="28" spans="1:32">
      <c r="A28" s="296">
        <v>3</v>
      </c>
      <c r="B28" s="318"/>
      <c r="C28" s="318" t="s">
        <v>167</v>
      </c>
      <c r="D28" s="316" t="s">
        <v>250</v>
      </c>
      <c r="E28" s="318"/>
      <c r="F28" s="321" t="s">
        <v>251</v>
      </c>
      <c r="G28" s="297">
        <v>1</v>
      </c>
      <c r="H28" s="298">
        <v>50000</v>
      </c>
      <c r="I28" s="298">
        <v>50000</v>
      </c>
      <c r="J28" s="200"/>
      <c r="K28" s="201" t="str">
        <f>IF(OR(J28="",G28=J28),"","*")</f>
        <v/>
      </c>
      <c r="L28" s="314">
        <f>IF($A28&lt;=L$1,I28/I$4,"")</f>
        <v>1.4089753987259481E-2</v>
      </c>
      <c r="M28" s="319"/>
      <c r="N28" s="320"/>
      <c r="O28" s="299">
        <v>0</v>
      </c>
      <c r="P28" s="300">
        <v>0</v>
      </c>
      <c r="Q28" s="300">
        <v>0</v>
      </c>
      <c r="R28" s="200">
        <v>0</v>
      </c>
      <c r="S28" s="201"/>
      <c r="T28" s="202" t="e">
        <v>#DIV/0!</v>
      </c>
      <c r="U28" s="203"/>
      <c r="V28" s="204"/>
      <c r="W28" s="299">
        <v>0</v>
      </c>
      <c r="X28" s="300">
        <v>0</v>
      </c>
      <c r="Y28" s="300">
        <v>0</v>
      </c>
      <c r="Z28" s="200">
        <v>0</v>
      </c>
      <c r="AA28" s="201"/>
      <c r="AB28" s="202" t="e">
        <v>#DIV/0!</v>
      </c>
      <c r="AC28" s="203"/>
      <c r="AD28" s="204"/>
      <c r="AE28" s="318" t="s">
        <v>252</v>
      </c>
      <c r="AF28" s="317" t="s">
        <v>215</v>
      </c>
    </row>
    <row r="29" spans="1:32">
      <c r="A29" s="296">
        <v>3</v>
      </c>
      <c r="B29" s="318"/>
      <c r="C29" s="318" t="s">
        <v>167</v>
      </c>
      <c r="D29" s="316" t="s">
        <v>253</v>
      </c>
      <c r="E29" s="318"/>
      <c r="F29" s="321" t="s">
        <v>163</v>
      </c>
      <c r="G29" s="297">
        <v>1</v>
      </c>
      <c r="H29" s="298">
        <v>10000</v>
      </c>
      <c r="I29" s="298">
        <v>10000</v>
      </c>
      <c r="J29" s="200"/>
      <c r="K29" s="201" t="str">
        <f>IF(OR(J29="",G29=J29),"","*")</f>
        <v/>
      </c>
      <c r="L29" s="314">
        <f>IF($A29&lt;=L$1,I29/I$4,"")</f>
        <v>2.8179507974518962E-3</v>
      </c>
      <c r="M29" s="319"/>
      <c r="N29" s="320"/>
      <c r="O29" s="299">
        <v>0</v>
      </c>
      <c r="P29" s="300">
        <v>0</v>
      </c>
      <c r="Q29" s="300">
        <v>0</v>
      </c>
      <c r="R29" s="200">
        <v>0</v>
      </c>
      <c r="S29" s="201"/>
      <c r="T29" s="202" t="e">
        <v>#DIV/0!</v>
      </c>
      <c r="U29" s="203"/>
      <c r="V29" s="204"/>
      <c r="W29" s="299">
        <v>0</v>
      </c>
      <c r="X29" s="300">
        <v>0</v>
      </c>
      <c r="Y29" s="300">
        <v>0</v>
      </c>
      <c r="Z29" s="200">
        <v>0</v>
      </c>
      <c r="AA29" s="201"/>
      <c r="AB29" s="202" t="e">
        <v>#DIV/0!</v>
      </c>
      <c r="AC29" s="203"/>
      <c r="AD29" s="204"/>
      <c r="AE29" s="318"/>
      <c r="AF29" s="317" t="s">
        <v>215</v>
      </c>
    </row>
    <row r="30" spans="1:32">
      <c r="A30" s="296">
        <v>3</v>
      </c>
      <c r="B30" s="318"/>
      <c r="C30" s="318" t="s">
        <v>168</v>
      </c>
      <c r="D30" s="316" t="s">
        <v>224</v>
      </c>
      <c r="E30" s="318"/>
      <c r="F30" s="321" t="s">
        <v>213</v>
      </c>
      <c r="G30" s="297">
        <v>2</v>
      </c>
      <c r="H30" s="298">
        <v>7000</v>
      </c>
      <c r="I30" s="298">
        <v>14000</v>
      </c>
      <c r="J30" s="200"/>
      <c r="K30" s="201" t="str">
        <f>IF(OR(J30="",G30=J30),"","*")</f>
        <v/>
      </c>
      <c r="L30" s="314">
        <f>IF($A30&lt;=L$1,I30/I$4,"")</f>
        <v>3.9451311164326545E-3</v>
      </c>
      <c r="M30" s="319"/>
      <c r="N30" s="320"/>
      <c r="O30" s="299">
        <v>0</v>
      </c>
      <c r="P30" s="300">
        <v>0</v>
      </c>
      <c r="Q30" s="300">
        <v>0</v>
      </c>
      <c r="R30" s="200">
        <v>0</v>
      </c>
      <c r="S30" s="201"/>
      <c r="T30" s="202" t="e">
        <v>#DIV/0!</v>
      </c>
      <c r="U30" s="203"/>
      <c r="V30" s="204"/>
      <c r="W30" s="299">
        <v>0</v>
      </c>
      <c r="X30" s="300">
        <v>0</v>
      </c>
      <c r="Y30" s="300">
        <v>0</v>
      </c>
      <c r="Z30" s="200">
        <v>0</v>
      </c>
      <c r="AA30" s="201"/>
      <c r="AB30" s="202" t="e">
        <v>#DIV/0!</v>
      </c>
      <c r="AC30" s="203"/>
      <c r="AD30" s="204"/>
      <c r="AE30" s="318" t="s">
        <v>225</v>
      </c>
      <c r="AF30" s="317" t="s">
        <v>226</v>
      </c>
    </row>
    <row r="31" spans="1:32">
      <c r="A31" s="296">
        <v>3</v>
      </c>
      <c r="B31" s="318"/>
      <c r="C31" s="318" t="s">
        <v>168</v>
      </c>
      <c r="D31" s="316" t="s">
        <v>227</v>
      </c>
      <c r="E31" s="318" t="s">
        <v>228</v>
      </c>
      <c r="F31" s="321" t="s">
        <v>213</v>
      </c>
      <c r="G31" s="297">
        <v>1</v>
      </c>
      <c r="H31" s="298">
        <v>6000</v>
      </c>
      <c r="I31" s="298">
        <v>6000</v>
      </c>
      <c r="J31" s="200"/>
      <c r="K31" s="201" t="str">
        <f>IF(OR(J31="",G31=J31),"","*")</f>
        <v/>
      </c>
      <c r="L31" s="314">
        <f>IF($A31&lt;=L$1,I31/I$4,"")</f>
        <v>1.6907704784711378E-3</v>
      </c>
      <c r="M31" s="319"/>
      <c r="N31" s="320"/>
      <c r="O31" s="299">
        <v>0</v>
      </c>
      <c r="P31" s="300">
        <v>0</v>
      </c>
      <c r="Q31" s="300">
        <v>0</v>
      </c>
      <c r="R31" s="200">
        <v>0</v>
      </c>
      <c r="S31" s="201"/>
      <c r="T31" s="202" t="e">
        <v>#DIV/0!</v>
      </c>
      <c r="U31" s="203"/>
      <c r="V31" s="204"/>
      <c r="W31" s="299">
        <v>0</v>
      </c>
      <c r="X31" s="300">
        <v>0</v>
      </c>
      <c r="Y31" s="300">
        <v>0</v>
      </c>
      <c r="Z31" s="200">
        <v>0</v>
      </c>
      <c r="AA31" s="201"/>
      <c r="AB31" s="202" t="e">
        <v>#DIV/0!</v>
      </c>
      <c r="AC31" s="203"/>
      <c r="AD31" s="204"/>
      <c r="AE31" s="318" t="s">
        <v>229</v>
      </c>
      <c r="AF31" s="317" t="s">
        <v>215</v>
      </c>
    </row>
    <row r="32" spans="1:32">
      <c r="A32" s="296">
        <v>2</v>
      </c>
      <c r="B32" s="318"/>
      <c r="C32" s="318" t="s">
        <v>200</v>
      </c>
      <c r="D32" s="316" t="s">
        <v>254</v>
      </c>
      <c r="E32" s="318" t="s">
        <v>162</v>
      </c>
      <c r="F32" s="321" t="s">
        <v>161</v>
      </c>
      <c r="G32" s="297">
        <v>303</v>
      </c>
      <c r="H32" s="298">
        <v>3326</v>
      </c>
      <c r="I32" s="298">
        <v>1007778</v>
      </c>
      <c r="J32" s="200">
        <v>236</v>
      </c>
      <c r="K32" s="201" t="str">
        <f>IF(OR(J32="",G32=J32),"","*")</f>
        <v>*</v>
      </c>
      <c r="L32" s="314">
        <f>IF($A32&lt;=L$1,I32/I$4,"")</f>
        <v>0.28398688187544768</v>
      </c>
      <c r="M32" s="319"/>
      <c r="N32" s="320"/>
      <c r="O32" s="299">
        <v>0</v>
      </c>
      <c r="P32" s="300">
        <v>0</v>
      </c>
      <c r="Q32" s="300">
        <v>0</v>
      </c>
      <c r="R32" s="200">
        <v>0</v>
      </c>
      <c r="S32" s="201"/>
      <c r="T32" s="202" t="e">
        <v>#DIV/0!</v>
      </c>
      <c r="U32" s="203"/>
      <c r="V32" s="204"/>
      <c r="W32" s="299">
        <v>0</v>
      </c>
      <c r="X32" s="300">
        <v>0</v>
      </c>
      <c r="Y32" s="300">
        <v>0</v>
      </c>
      <c r="Z32" s="200">
        <v>0</v>
      </c>
      <c r="AA32" s="201"/>
      <c r="AB32" s="202" t="e">
        <v>#DIV/0!</v>
      </c>
      <c r="AC32" s="203"/>
      <c r="AD32" s="204"/>
      <c r="AE32" s="318"/>
      <c r="AF32" s="317"/>
    </row>
    <row r="33" spans="1:32">
      <c r="A33" s="296">
        <v>3</v>
      </c>
      <c r="B33" s="318"/>
      <c r="C33" s="318" t="s">
        <v>164</v>
      </c>
      <c r="D33" s="316" t="s">
        <v>233</v>
      </c>
      <c r="E33" s="318" t="s">
        <v>234</v>
      </c>
      <c r="F33" s="321" t="s">
        <v>235</v>
      </c>
      <c r="G33" s="297">
        <v>39</v>
      </c>
      <c r="H33" s="298">
        <v>10000</v>
      </c>
      <c r="I33" s="298">
        <v>390000</v>
      </c>
      <c r="J33" s="200"/>
      <c r="K33" s="201" t="str">
        <f>IF(OR(J33="",G33=J33),"","*")</f>
        <v/>
      </c>
      <c r="L33" s="314">
        <f>IF($A33&lt;=L$1,I33/I$4,"")</f>
        <v>0.10990008110062395</v>
      </c>
      <c r="M33" s="319"/>
      <c r="N33" s="320"/>
      <c r="O33" s="299">
        <v>0</v>
      </c>
      <c r="P33" s="300">
        <v>0</v>
      </c>
      <c r="Q33" s="300">
        <v>0</v>
      </c>
      <c r="R33" s="200">
        <v>0</v>
      </c>
      <c r="S33" s="201"/>
      <c r="T33" s="202" t="e">
        <v>#DIV/0!</v>
      </c>
      <c r="U33" s="203"/>
      <c r="V33" s="204"/>
      <c r="W33" s="299">
        <v>0</v>
      </c>
      <c r="X33" s="300">
        <v>0</v>
      </c>
      <c r="Y33" s="300">
        <v>0</v>
      </c>
      <c r="Z33" s="200">
        <v>0</v>
      </c>
      <c r="AA33" s="201"/>
      <c r="AB33" s="202" t="e">
        <v>#DIV/0!</v>
      </c>
      <c r="AC33" s="203"/>
      <c r="AD33" s="204"/>
      <c r="AE33" s="318" t="s">
        <v>236</v>
      </c>
      <c r="AF33" s="317" t="s">
        <v>255</v>
      </c>
    </row>
    <row r="34" spans="1:32">
      <c r="A34" s="296">
        <v>3</v>
      </c>
      <c r="B34" s="318"/>
      <c r="C34" s="318" t="s">
        <v>164</v>
      </c>
      <c r="D34" s="316" t="s">
        <v>238</v>
      </c>
      <c r="E34" s="318"/>
      <c r="F34" s="321" t="s">
        <v>239</v>
      </c>
      <c r="G34" s="297">
        <v>365</v>
      </c>
      <c r="H34" s="298">
        <v>110</v>
      </c>
      <c r="I34" s="298">
        <v>40150</v>
      </c>
      <c r="J34" s="200"/>
      <c r="K34" s="201" t="str">
        <f>IF(OR(J34="",G34=J34),"","*")</f>
        <v/>
      </c>
      <c r="L34" s="314">
        <f>IF($A34&lt;=L$1,I34/I$4,"")</f>
        <v>1.1314072451769363E-2</v>
      </c>
      <c r="M34" s="319"/>
      <c r="N34" s="320"/>
      <c r="O34" s="299">
        <v>0</v>
      </c>
      <c r="P34" s="300">
        <v>0</v>
      </c>
      <c r="Q34" s="300">
        <v>0</v>
      </c>
      <c r="R34" s="200">
        <v>0</v>
      </c>
      <c r="S34" s="201"/>
      <c r="T34" s="202" t="e">
        <v>#DIV/0!</v>
      </c>
      <c r="U34" s="203"/>
      <c r="V34" s="204"/>
      <c r="W34" s="299">
        <v>0</v>
      </c>
      <c r="X34" s="300">
        <v>0</v>
      </c>
      <c r="Y34" s="300">
        <v>0</v>
      </c>
      <c r="Z34" s="200">
        <v>0</v>
      </c>
      <c r="AA34" s="201"/>
      <c r="AB34" s="202" t="e">
        <v>#DIV/0!</v>
      </c>
      <c r="AC34" s="203"/>
      <c r="AD34" s="204"/>
      <c r="AE34" s="318" t="s">
        <v>240</v>
      </c>
      <c r="AF34" s="317" t="s">
        <v>256</v>
      </c>
    </row>
    <row r="35" spans="1:32">
      <c r="A35" s="296">
        <v>3</v>
      </c>
      <c r="B35" s="318"/>
      <c r="C35" s="318" t="s">
        <v>164</v>
      </c>
      <c r="D35" s="316" t="s">
        <v>242</v>
      </c>
      <c r="E35" s="318"/>
      <c r="F35" s="321" t="s">
        <v>243</v>
      </c>
      <c r="G35" s="297">
        <v>0.5</v>
      </c>
      <c r="H35" s="298">
        <v>5000</v>
      </c>
      <c r="I35" s="298">
        <v>2500</v>
      </c>
      <c r="J35" s="200"/>
      <c r="K35" s="201" t="str">
        <f>IF(OR(J35="",G35=J35),"","*")</f>
        <v/>
      </c>
      <c r="L35" s="314">
        <f>IF($A35&lt;=L$1,I35/I$4,"")</f>
        <v>7.0448769936297406E-4</v>
      </c>
      <c r="M35" s="319"/>
      <c r="N35" s="320"/>
      <c r="O35" s="299">
        <v>0</v>
      </c>
      <c r="P35" s="300">
        <v>0</v>
      </c>
      <c r="Q35" s="300">
        <v>0</v>
      </c>
      <c r="R35" s="200">
        <v>0</v>
      </c>
      <c r="S35" s="201"/>
      <c r="T35" s="202" t="e">
        <v>#DIV/0!</v>
      </c>
      <c r="U35" s="203"/>
      <c r="V35" s="204"/>
      <c r="W35" s="299">
        <v>0</v>
      </c>
      <c r="X35" s="300">
        <v>0</v>
      </c>
      <c r="Y35" s="300">
        <v>0</v>
      </c>
      <c r="Z35" s="200">
        <v>0</v>
      </c>
      <c r="AA35" s="201"/>
      <c r="AB35" s="202" t="e">
        <v>#DIV/0!</v>
      </c>
      <c r="AC35" s="203"/>
      <c r="AD35" s="204"/>
      <c r="AE35" s="318"/>
      <c r="AF35" s="317" t="s">
        <v>257</v>
      </c>
    </row>
    <row r="36" spans="1:32">
      <c r="A36" s="296">
        <v>3</v>
      </c>
      <c r="B36" s="318"/>
      <c r="C36" s="318" t="s">
        <v>164</v>
      </c>
      <c r="D36" s="316" t="s">
        <v>202</v>
      </c>
      <c r="E36" s="318"/>
      <c r="F36" s="321" t="s">
        <v>203</v>
      </c>
      <c r="G36" s="297">
        <v>50</v>
      </c>
      <c r="H36" s="298">
        <v>150</v>
      </c>
      <c r="I36" s="298">
        <v>7500</v>
      </c>
      <c r="J36" s="200"/>
      <c r="K36" s="201" t="str">
        <f>IF(OR(J36="",G36=J36),"","*")</f>
        <v/>
      </c>
      <c r="L36" s="314">
        <f>IF($A36&lt;=L$1,I36/I$4,"")</f>
        <v>2.1134630980889223E-3</v>
      </c>
      <c r="M36" s="319"/>
      <c r="N36" s="320"/>
      <c r="O36" s="299">
        <v>0</v>
      </c>
      <c r="P36" s="300">
        <v>0</v>
      </c>
      <c r="Q36" s="300">
        <v>0</v>
      </c>
      <c r="R36" s="200">
        <v>0</v>
      </c>
      <c r="S36" s="201"/>
      <c r="T36" s="202" t="e">
        <v>#DIV/0!</v>
      </c>
      <c r="U36" s="203"/>
      <c r="V36" s="204"/>
      <c r="W36" s="299">
        <v>0</v>
      </c>
      <c r="X36" s="300">
        <v>0</v>
      </c>
      <c r="Y36" s="300">
        <v>0</v>
      </c>
      <c r="Z36" s="200">
        <v>0</v>
      </c>
      <c r="AA36" s="201"/>
      <c r="AB36" s="202" t="e">
        <v>#DIV/0!</v>
      </c>
      <c r="AC36" s="203"/>
      <c r="AD36" s="204"/>
      <c r="AE36" s="318" t="s">
        <v>204</v>
      </c>
      <c r="AF36" s="317" t="s">
        <v>245</v>
      </c>
    </row>
    <row r="37" spans="1:32">
      <c r="A37" s="296">
        <v>3</v>
      </c>
      <c r="B37" s="318"/>
      <c r="C37" s="318" t="s">
        <v>165</v>
      </c>
      <c r="D37" s="316" t="s">
        <v>206</v>
      </c>
      <c r="E37" s="318" t="s">
        <v>207</v>
      </c>
      <c r="F37" s="321" t="s">
        <v>208</v>
      </c>
      <c r="G37" s="297">
        <v>9</v>
      </c>
      <c r="H37" s="298">
        <v>23000</v>
      </c>
      <c r="I37" s="298">
        <v>207000</v>
      </c>
      <c r="J37" s="200"/>
      <c r="K37" s="201" t="str">
        <f>IF(OR(J37="",G37=J37),"","*")</f>
        <v/>
      </c>
      <c r="L37" s="314">
        <f>IF($A37&lt;=L$1,I37/I$4,"")</f>
        <v>5.8331581507254253E-2</v>
      </c>
      <c r="M37" s="319"/>
      <c r="N37" s="320"/>
      <c r="O37" s="299">
        <v>0</v>
      </c>
      <c r="P37" s="300">
        <v>0</v>
      </c>
      <c r="Q37" s="300">
        <v>0</v>
      </c>
      <c r="R37" s="200">
        <v>0</v>
      </c>
      <c r="S37" s="201"/>
      <c r="T37" s="202" t="e">
        <v>#DIV/0!</v>
      </c>
      <c r="U37" s="203"/>
      <c r="V37" s="204"/>
      <c r="W37" s="299">
        <v>0</v>
      </c>
      <c r="X37" s="300">
        <v>0</v>
      </c>
      <c r="Y37" s="300">
        <v>0</v>
      </c>
      <c r="Z37" s="200">
        <v>0</v>
      </c>
      <c r="AA37" s="201"/>
      <c r="AB37" s="202" t="e">
        <v>#DIV/0!</v>
      </c>
      <c r="AC37" s="203"/>
      <c r="AD37" s="204"/>
      <c r="AE37" s="318" t="s">
        <v>209</v>
      </c>
      <c r="AF37" s="317" t="s">
        <v>258</v>
      </c>
    </row>
    <row r="38" spans="1:32">
      <c r="A38" s="296">
        <v>3</v>
      </c>
      <c r="B38" s="318"/>
      <c r="C38" s="318" t="s">
        <v>167</v>
      </c>
      <c r="D38" s="316" t="s">
        <v>247</v>
      </c>
      <c r="E38" s="318" t="s">
        <v>248</v>
      </c>
      <c r="F38" s="321" t="s">
        <v>213</v>
      </c>
      <c r="G38" s="297">
        <v>1</v>
      </c>
      <c r="H38" s="298">
        <v>35000</v>
      </c>
      <c r="I38" s="298">
        <v>35000</v>
      </c>
      <c r="J38" s="200"/>
      <c r="K38" s="201" t="str">
        <f>IF(OR(J38="",G38=J38),"","*")</f>
        <v/>
      </c>
      <c r="L38" s="314">
        <f>IF($A38&lt;=L$1,I38/I$4,"")</f>
        <v>9.8628277910816371E-3</v>
      </c>
      <c r="M38" s="319"/>
      <c r="N38" s="320"/>
      <c r="O38" s="299">
        <v>0</v>
      </c>
      <c r="P38" s="300">
        <v>0</v>
      </c>
      <c r="Q38" s="300">
        <v>0</v>
      </c>
      <c r="R38" s="200">
        <v>0</v>
      </c>
      <c r="S38" s="201"/>
      <c r="T38" s="202" t="e">
        <v>#DIV/0!</v>
      </c>
      <c r="U38" s="203"/>
      <c r="V38" s="204"/>
      <c r="W38" s="299">
        <v>0</v>
      </c>
      <c r="X38" s="300">
        <v>0</v>
      </c>
      <c r="Y38" s="300">
        <v>0</v>
      </c>
      <c r="Z38" s="200">
        <v>0</v>
      </c>
      <c r="AA38" s="201"/>
      <c r="AB38" s="202" t="e">
        <v>#DIV/0!</v>
      </c>
      <c r="AC38" s="203"/>
      <c r="AD38" s="204"/>
      <c r="AE38" s="318" t="s">
        <v>249</v>
      </c>
      <c r="AF38" s="317" t="s">
        <v>215</v>
      </c>
    </row>
    <row r="39" spans="1:32">
      <c r="A39" s="296">
        <v>3</v>
      </c>
      <c r="B39" s="318"/>
      <c r="C39" s="318" t="s">
        <v>167</v>
      </c>
      <c r="D39" s="316" t="s">
        <v>211</v>
      </c>
      <c r="E39" s="318" t="s">
        <v>212</v>
      </c>
      <c r="F39" s="321" t="s">
        <v>213</v>
      </c>
      <c r="G39" s="297">
        <v>1</v>
      </c>
      <c r="H39" s="298">
        <v>6000</v>
      </c>
      <c r="I39" s="298">
        <v>6000</v>
      </c>
      <c r="J39" s="200"/>
      <c r="K39" s="201" t="str">
        <f>IF(OR(J39="",G39=J39),"","*")</f>
        <v/>
      </c>
      <c r="L39" s="314">
        <f>IF($A39&lt;=L$1,I39/I$4,"")</f>
        <v>1.6907704784711378E-3</v>
      </c>
      <c r="M39" s="319"/>
      <c r="N39" s="320"/>
      <c r="O39" s="299">
        <v>0</v>
      </c>
      <c r="P39" s="300">
        <v>0</v>
      </c>
      <c r="Q39" s="300">
        <v>0</v>
      </c>
      <c r="R39" s="200">
        <v>0</v>
      </c>
      <c r="S39" s="201"/>
      <c r="T39" s="202" t="e">
        <v>#DIV/0!</v>
      </c>
      <c r="U39" s="203"/>
      <c r="V39" s="204"/>
      <c r="W39" s="299">
        <v>0</v>
      </c>
      <c r="X39" s="300">
        <v>0</v>
      </c>
      <c r="Y39" s="300">
        <v>0</v>
      </c>
      <c r="Z39" s="200">
        <v>0</v>
      </c>
      <c r="AA39" s="201"/>
      <c r="AB39" s="202" t="e">
        <v>#DIV/0!</v>
      </c>
      <c r="AC39" s="203"/>
      <c r="AD39" s="204"/>
      <c r="AE39" s="318" t="s">
        <v>214</v>
      </c>
      <c r="AF39" s="317" t="s">
        <v>215</v>
      </c>
    </row>
    <row r="40" spans="1:32">
      <c r="A40" s="296">
        <v>3</v>
      </c>
      <c r="B40" s="318"/>
      <c r="C40" s="318" t="s">
        <v>167</v>
      </c>
      <c r="D40" s="316" t="s">
        <v>216</v>
      </c>
      <c r="E40" s="318" t="s">
        <v>217</v>
      </c>
      <c r="F40" s="321" t="s">
        <v>213</v>
      </c>
      <c r="G40" s="297">
        <v>1</v>
      </c>
      <c r="H40" s="298">
        <v>7000</v>
      </c>
      <c r="I40" s="298">
        <v>7000</v>
      </c>
      <c r="J40" s="200"/>
      <c r="K40" s="201" t="str">
        <f>IF(OR(J40="",G40=J40),"","*")</f>
        <v/>
      </c>
      <c r="L40" s="314">
        <f>IF($A40&lt;=L$1,I40/I$4,"")</f>
        <v>1.9725655582163272E-3</v>
      </c>
      <c r="M40" s="319"/>
      <c r="N40" s="320"/>
      <c r="O40" s="299">
        <v>0</v>
      </c>
      <c r="P40" s="300">
        <v>0</v>
      </c>
      <c r="Q40" s="300">
        <v>0</v>
      </c>
      <c r="R40" s="200">
        <v>0</v>
      </c>
      <c r="S40" s="201"/>
      <c r="T40" s="202" t="e">
        <v>#DIV/0!</v>
      </c>
      <c r="U40" s="203"/>
      <c r="V40" s="204"/>
      <c r="W40" s="299">
        <v>0</v>
      </c>
      <c r="X40" s="300">
        <v>0</v>
      </c>
      <c r="Y40" s="300">
        <v>0</v>
      </c>
      <c r="Z40" s="200">
        <v>0</v>
      </c>
      <c r="AA40" s="201"/>
      <c r="AB40" s="202" t="e">
        <v>#DIV/0!</v>
      </c>
      <c r="AC40" s="203"/>
      <c r="AD40" s="204"/>
      <c r="AE40" s="318" t="s">
        <v>218</v>
      </c>
      <c r="AF40" s="317" t="s">
        <v>215</v>
      </c>
    </row>
    <row r="41" spans="1:32">
      <c r="A41" s="296">
        <v>3</v>
      </c>
      <c r="B41" s="318"/>
      <c r="C41" s="318" t="s">
        <v>167</v>
      </c>
      <c r="D41" s="316" t="s">
        <v>219</v>
      </c>
      <c r="E41" s="318" t="s">
        <v>220</v>
      </c>
      <c r="F41" s="321" t="s">
        <v>213</v>
      </c>
      <c r="G41" s="297">
        <v>1</v>
      </c>
      <c r="H41" s="298">
        <v>7000</v>
      </c>
      <c r="I41" s="298">
        <v>7000</v>
      </c>
      <c r="J41" s="200"/>
      <c r="K41" s="201" t="str">
        <f>IF(OR(J41="",G41=J41),"","*")</f>
        <v/>
      </c>
      <c r="L41" s="314">
        <f>IF($A41&lt;=L$1,I41/I$4,"")</f>
        <v>1.9725655582163272E-3</v>
      </c>
      <c r="M41" s="319"/>
      <c r="N41" s="320"/>
      <c r="O41" s="299">
        <v>0</v>
      </c>
      <c r="P41" s="300">
        <v>0</v>
      </c>
      <c r="Q41" s="300">
        <v>0</v>
      </c>
      <c r="R41" s="200">
        <v>0</v>
      </c>
      <c r="S41" s="201"/>
      <c r="T41" s="202" t="e">
        <v>#DIV/0!</v>
      </c>
      <c r="U41" s="203"/>
      <c r="V41" s="204"/>
      <c r="W41" s="299">
        <v>0</v>
      </c>
      <c r="X41" s="300">
        <v>0</v>
      </c>
      <c r="Y41" s="300">
        <v>0</v>
      </c>
      <c r="Z41" s="200">
        <v>0</v>
      </c>
      <c r="AA41" s="201"/>
      <c r="AB41" s="202" t="e">
        <v>#DIV/0!</v>
      </c>
      <c r="AC41" s="203"/>
      <c r="AD41" s="204"/>
      <c r="AE41" s="318" t="s">
        <v>221</v>
      </c>
      <c r="AF41" s="317" t="s">
        <v>215</v>
      </c>
    </row>
    <row r="42" spans="1:32">
      <c r="A42" s="296">
        <v>3</v>
      </c>
      <c r="B42" s="318"/>
      <c r="C42" s="318" t="s">
        <v>167</v>
      </c>
      <c r="D42" s="316" t="s">
        <v>222</v>
      </c>
      <c r="E42" s="318"/>
      <c r="F42" s="321" t="s">
        <v>213</v>
      </c>
      <c r="G42" s="297">
        <v>1</v>
      </c>
      <c r="H42" s="298">
        <v>3000</v>
      </c>
      <c r="I42" s="298">
        <v>3000</v>
      </c>
      <c r="J42" s="200"/>
      <c r="K42" s="201" t="str">
        <f>IF(OR(J42="",G42=J42),"","*")</f>
        <v/>
      </c>
      <c r="L42" s="314">
        <f>IF($A42&lt;=L$1,I42/I$4,"")</f>
        <v>8.4538523923556889E-4</v>
      </c>
      <c r="M42" s="319"/>
      <c r="N42" s="320"/>
      <c r="O42" s="299">
        <v>0</v>
      </c>
      <c r="P42" s="300">
        <v>0</v>
      </c>
      <c r="Q42" s="300">
        <v>0</v>
      </c>
      <c r="R42" s="200">
        <v>0</v>
      </c>
      <c r="S42" s="201"/>
      <c r="T42" s="202" t="e">
        <v>#DIV/0!</v>
      </c>
      <c r="U42" s="203"/>
      <c r="V42" s="204"/>
      <c r="W42" s="299">
        <v>0</v>
      </c>
      <c r="X42" s="300">
        <v>0</v>
      </c>
      <c r="Y42" s="300">
        <v>0</v>
      </c>
      <c r="Z42" s="200">
        <v>0</v>
      </c>
      <c r="AA42" s="201"/>
      <c r="AB42" s="202" t="e">
        <v>#DIV/0!</v>
      </c>
      <c r="AC42" s="203"/>
      <c r="AD42" s="204"/>
      <c r="AE42" s="318" t="s">
        <v>223</v>
      </c>
      <c r="AF42" s="317" t="s">
        <v>215</v>
      </c>
    </row>
    <row r="43" spans="1:32">
      <c r="A43" s="296">
        <v>3</v>
      </c>
      <c r="B43" s="318"/>
      <c r="C43" s="318" t="s">
        <v>167</v>
      </c>
      <c r="D43" s="316" t="s">
        <v>250</v>
      </c>
      <c r="E43" s="318"/>
      <c r="F43" s="321" t="s">
        <v>251</v>
      </c>
      <c r="G43" s="297">
        <v>1</v>
      </c>
      <c r="H43" s="298">
        <v>50000</v>
      </c>
      <c r="I43" s="298">
        <v>50000</v>
      </c>
      <c r="J43" s="200"/>
      <c r="K43" s="201" t="str">
        <f>IF(OR(J43="",G43=J43),"","*")</f>
        <v/>
      </c>
      <c r="L43" s="314">
        <f>IF($A43&lt;=L$1,I43/I$4,"")</f>
        <v>1.4089753987259481E-2</v>
      </c>
      <c r="M43" s="319"/>
      <c r="N43" s="320"/>
      <c r="O43" s="299">
        <v>0</v>
      </c>
      <c r="P43" s="300">
        <v>0</v>
      </c>
      <c r="Q43" s="300">
        <v>0</v>
      </c>
      <c r="R43" s="200">
        <v>0</v>
      </c>
      <c r="S43" s="201"/>
      <c r="T43" s="202" t="e">
        <v>#DIV/0!</v>
      </c>
      <c r="U43" s="203"/>
      <c r="V43" s="204"/>
      <c r="W43" s="299">
        <v>0</v>
      </c>
      <c r="X43" s="300">
        <v>0</v>
      </c>
      <c r="Y43" s="300">
        <v>0</v>
      </c>
      <c r="Z43" s="200">
        <v>0</v>
      </c>
      <c r="AA43" s="201"/>
      <c r="AB43" s="202" t="e">
        <v>#DIV/0!</v>
      </c>
      <c r="AC43" s="203"/>
      <c r="AD43" s="204"/>
      <c r="AE43" s="318" t="s">
        <v>252</v>
      </c>
      <c r="AF43" s="317" t="s">
        <v>215</v>
      </c>
    </row>
    <row r="44" spans="1:32">
      <c r="A44" s="296">
        <v>3</v>
      </c>
      <c r="B44" s="318"/>
      <c r="C44" s="318" t="s">
        <v>167</v>
      </c>
      <c r="D44" s="316" t="s">
        <v>253</v>
      </c>
      <c r="E44" s="318"/>
      <c r="F44" s="321" t="s">
        <v>163</v>
      </c>
      <c r="G44" s="297">
        <v>1</v>
      </c>
      <c r="H44" s="298">
        <v>10000</v>
      </c>
      <c r="I44" s="298">
        <v>10000</v>
      </c>
      <c r="J44" s="200"/>
      <c r="K44" s="201" t="str">
        <f>IF(OR(J44="",G44=J44),"","*")</f>
        <v/>
      </c>
      <c r="L44" s="314">
        <f>IF($A44&lt;=L$1,I44/I$4,"")</f>
        <v>2.8179507974518962E-3</v>
      </c>
      <c r="M44" s="319"/>
      <c r="N44" s="320"/>
      <c r="O44" s="299">
        <v>0</v>
      </c>
      <c r="P44" s="300">
        <v>0</v>
      </c>
      <c r="Q44" s="300">
        <v>0</v>
      </c>
      <c r="R44" s="200">
        <v>0</v>
      </c>
      <c r="S44" s="201"/>
      <c r="T44" s="202" t="e">
        <v>#DIV/0!</v>
      </c>
      <c r="U44" s="203"/>
      <c r="V44" s="204"/>
      <c r="W44" s="299">
        <v>0</v>
      </c>
      <c r="X44" s="300">
        <v>0</v>
      </c>
      <c r="Y44" s="300">
        <v>0</v>
      </c>
      <c r="Z44" s="200">
        <v>0</v>
      </c>
      <c r="AA44" s="201"/>
      <c r="AB44" s="202" t="e">
        <v>#DIV/0!</v>
      </c>
      <c r="AC44" s="203"/>
      <c r="AD44" s="204"/>
      <c r="AE44" s="318"/>
      <c r="AF44" s="317" t="s">
        <v>215</v>
      </c>
    </row>
    <row r="45" spans="1:32">
      <c r="A45" s="296">
        <v>3</v>
      </c>
      <c r="B45" s="318"/>
      <c r="C45" s="318" t="s">
        <v>168</v>
      </c>
      <c r="D45" s="316" t="s">
        <v>224</v>
      </c>
      <c r="E45" s="318"/>
      <c r="F45" s="321" t="s">
        <v>213</v>
      </c>
      <c r="G45" s="297">
        <v>2</v>
      </c>
      <c r="H45" s="298">
        <v>7000</v>
      </c>
      <c r="I45" s="298">
        <v>14000</v>
      </c>
      <c r="J45" s="200"/>
      <c r="K45" s="201" t="str">
        <f>IF(OR(J45="",G45=J45),"","*")</f>
        <v/>
      </c>
      <c r="L45" s="314">
        <f>IF($A45&lt;=L$1,I45/I$4,"")</f>
        <v>3.9451311164326545E-3</v>
      </c>
      <c r="M45" s="319"/>
      <c r="N45" s="320"/>
      <c r="O45" s="299">
        <v>0</v>
      </c>
      <c r="P45" s="300">
        <v>0</v>
      </c>
      <c r="Q45" s="300">
        <v>0</v>
      </c>
      <c r="R45" s="200">
        <v>0</v>
      </c>
      <c r="S45" s="201"/>
      <c r="T45" s="202" t="e">
        <v>#DIV/0!</v>
      </c>
      <c r="U45" s="203"/>
      <c r="V45" s="204"/>
      <c r="W45" s="299">
        <v>0</v>
      </c>
      <c r="X45" s="300">
        <v>0</v>
      </c>
      <c r="Y45" s="300">
        <v>0</v>
      </c>
      <c r="Z45" s="200">
        <v>0</v>
      </c>
      <c r="AA45" s="201"/>
      <c r="AB45" s="202" t="e">
        <v>#DIV/0!</v>
      </c>
      <c r="AC45" s="203"/>
      <c r="AD45" s="204"/>
      <c r="AE45" s="318" t="s">
        <v>225</v>
      </c>
      <c r="AF45" s="317" t="s">
        <v>226</v>
      </c>
    </row>
    <row r="46" spans="1:32">
      <c r="A46" s="296">
        <v>3</v>
      </c>
      <c r="B46" s="318"/>
      <c r="C46" s="318" t="s">
        <v>168</v>
      </c>
      <c r="D46" s="316" t="s">
        <v>227</v>
      </c>
      <c r="E46" s="318" t="s">
        <v>228</v>
      </c>
      <c r="F46" s="321" t="s">
        <v>213</v>
      </c>
      <c r="G46" s="297">
        <v>1</v>
      </c>
      <c r="H46" s="298">
        <v>6000</v>
      </c>
      <c r="I46" s="298">
        <v>6000</v>
      </c>
      <c r="J46" s="200"/>
      <c r="K46" s="201" t="str">
        <f>IF(OR(J46="",G46=J46),"","*")</f>
        <v/>
      </c>
      <c r="L46" s="314">
        <f>IF($A46&lt;=L$1,I46/I$4,"")</f>
        <v>1.6907704784711378E-3</v>
      </c>
      <c r="M46" s="319"/>
      <c r="N46" s="320"/>
      <c r="O46" s="299">
        <v>0</v>
      </c>
      <c r="P46" s="300">
        <v>0</v>
      </c>
      <c r="Q46" s="300">
        <v>0</v>
      </c>
      <c r="R46" s="200">
        <v>0</v>
      </c>
      <c r="S46" s="201"/>
      <c r="T46" s="202" t="e">
        <v>#DIV/0!</v>
      </c>
      <c r="U46" s="203"/>
      <c r="V46" s="204"/>
      <c r="W46" s="299">
        <v>0</v>
      </c>
      <c r="X46" s="300">
        <v>0</v>
      </c>
      <c r="Y46" s="300">
        <v>0</v>
      </c>
      <c r="Z46" s="200">
        <v>0</v>
      </c>
      <c r="AA46" s="201"/>
      <c r="AB46" s="202" t="e">
        <v>#DIV/0!</v>
      </c>
      <c r="AC46" s="203"/>
      <c r="AD46" s="204"/>
      <c r="AE46" s="318" t="s">
        <v>229</v>
      </c>
      <c r="AF46" s="317" t="s">
        <v>215</v>
      </c>
    </row>
    <row r="47" spans="1:32">
      <c r="A47" s="296">
        <v>2</v>
      </c>
      <c r="B47" s="318"/>
      <c r="C47" s="318" t="s">
        <v>200</v>
      </c>
      <c r="D47" s="316" t="s">
        <v>259</v>
      </c>
      <c r="E47" s="318"/>
      <c r="F47" s="321" t="s">
        <v>163</v>
      </c>
      <c r="G47" s="297">
        <v>1</v>
      </c>
      <c r="H47" s="298">
        <v>35000</v>
      </c>
      <c r="I47" s="298">
        <v>35000</v>
      </c>
      <c r="J47" s="200">
        <v>1</v>
      </c>
      <c r="K47" s="201" t="str">
        <f>IF(OR(J47="",G47=J47),"","*")</f>
        <v/>
      </c>
      <c r="L47" s="314">
        <f>IF($A47&lt;=L$1,I47/I$4,"")</f>
        <v>9.8628277910816371E-3</v>
      </c>
      <c r="M47" s="319"/>
      <c r="N47" s="320"/>
      <c r="O47" s="299">
        <v>0</v>
      </c>
      <c r="P47" s="300">
        <v>0</v>
      </c>
      <c r="Q47" s="300">
        <v>0</v>
      </c>
      <c r="R47" s="200">
        <v>0</v>
      </c>
      <c r="S47" s="201"/>
      <c r="T47" s="202" t="e">
        <v>#DIV/0!</v>
      </c>
      <c r="U47" s="203"/>
      <c r="V47" s="204"/>
      <c r="W47" s="299">
        <v>0</v>
      </c>
      <c r="X47" s="300">
        <v>0</v>
      </c>
      <c r="Y47" s="300">
        <v>0</v>
      </c>
      <c r="Z47" s="200">
        <v>0</v>
      </c>
      <c r="AA47" s="201"/>
      <c r="AB47" s="202" t="e">
        <v>#DIV/0!</v>
      </c>
      <c r="AC47" s="203"/>
      <c r="AD47" s="204"/>
      <c r="AE47" s="318"/>
      <c r="AF47" s="317"/>
    </row>
    <row r="48" spans="1:32">
      <c r="A48" s="296">
        <v>3</v>
      </c>
      <c r="B48" s="318"/>
      <c r="C48" s="318" t="s">
        <v>164</v>
      </c>
      <c r="D48" s="316" t="s">
        <v>260</v>
      </c>
      <c r="E48" s="318"/>
      <c r="F48" s="321" t="s">
        <v>163</v>
      </c>
      <c r="G48" s="297">
        <v>1</v>
      </c>
      <c r="H48" s="298">
        <v>20000</v>
      </c>
      <c r="I48" s="298">
        <v>20000</v>
      </c>
      <c r="J48" s="200"/>
      <c r="K48" s="201" t="str">
        <f>IF(OR(J48="",G48=J48),"","*")</f>
        <v/>
      </c>
      <c r="L48" s="314">
        <f>IF($A48&lt;=L$1,I48/I$4,"")</f>
        <v>5.6359015949037925E-3</v>
      </c>
      <c r="M48" s="319"/>
      <c r="N48" s="320"/>
      <c r="O48" s="299">
        <v>0</v>
      </c>
      <c r="P48" s="300">
        <v>0</v>
      </c>
      <c r="Q48" s="300">
        <v>0</v>
      </c>
      <c r="R48" s="200">
        <v>0</v>
      </c>
      <c r="S48" s="201"/>
      <c r="T48" s="202" t="e">
        <v>#DIV/0!</v>
      </c>
      <c r="U48" s="203"/>
      <c r="V48" s="204"/>
      <c r="W48" s="299">
        <v>0</v>
      </c>
      <c r="X48" s="300">
        <v>0</v>
      </c>
      <c r="Y48" s="300">
        <v>0</v>
      </c>
      <c r="Z48" s="200">
        <v>0</v>
      </c>
      <c r="AA48" s="201"/>
      <c r="AB48" s="202" t="e">
        <v>#DIV/0!</v>
      </c>
      <c r="AC48" s="203"/>
      <c r="AD48" s="204"/>
      <c r="AE48" s="318"/>
      <c r="AF48" s="317" t="s">
        <v>215</v>
      </c>
    </row>
    <row r="49" spans="1:32">
      <c r="A49" s="296">
        <v>3</v>
      </c>
      <c r="B49" s="318"/>
      <c r="C49" s="318" t="s">
        <v>167</v>
      </c>
      <c r="D49" s="316" t="s">
        <v>261</v>
      </c>
      <c r="E49" s="318"/>
      <c r="F49" s="321" t="s">
        <v>163</v>
      </c>
      <c r="G49" s="297">
        <v>1</v>
      </c>
      <c r="H49" s="298">
        <v>15000</v>
      </c>
      <c r="I49" s="298">
        <v>15000</v>
      </c>
      <c r="J49" s="200"/>
      <c r="K49" s="201" t="str">
        <f>IF(OR(J49="",G49=J49),"","*")</f>
        <v/>
      </c>
      <c r="L49" s="314">
        <f>IF($A49&lt;=L$1,I49/I$4,"")</f>
        <v>4.2269261961778446E-3</v>
      </c>
      <c r="M49" s="319"/>
      <c r="N49" s="320"/>
      <c r="O49" s="299">
        <v>0</v>
      </c>
      <c r="P49" s="300">
        <v>0</v>
      </c>
      <c r="Q49" s="300">
        <v>0</v>
      </c>
      <c r="R49" s="200">
        <v>0</v>
      </c>
      <c r="S49" s="201"/>
      <c r="T49" s="202" t="e">
        <v>#DIV/0!</v>
      </c>
      <c r="U49" s="203"/>
      <c r="V49" s="204"/>
      <c r="W49" s="299">
        <v>0</v>
      </c>
      <c r="X49" s="300">
        <v>0</v>
      </c>
      <c r="Y49" s="300">
        <v>0</v>
      </c>
      <c r="Z49" s="200">
        <v>0</v>
      </c>
      <c r="AA49" s="201"/>
      <c r="AB49" s="202" t="e">
        <v>#DIV/0!</v>
      </c>
      <c r="AC49" s="203"/>
      <c r="AD49" s="204"/>
      <c r="AE49" s="318"/>
      <c r="AF49" s="317" t="s">
        <v>215</v>
      </c>
    </row>
    <row r="50" spans="1:32">
      <c r="A50" s="296">
        <v>2</v>
      </c>
      <c r="B50" s="318"/>
      <c r="C50" s="318" t="s">
        <v>200</v>
      </c>
      <c r="D50" s="316" t="s">
        <v>262</v>
      </c>
      <c r="E50" s="318"/>
      <c r="F50" s="321" t="s">
        <v>163</v>
      </c>
      <c r="G50" s="297">
        <v>1</v>
      </c>
      <c r="H50" s="298">
        <v>180000</v>
      </c>
      <c r="I50" s="298">
        <v>180000</v>
      </c>
      <c r="J50" s="200">
        <v>1</v>
      </c>
      <c r="K50" s="201" t="str">
        <f>IF(OR(J50="",G50=J50),"","*")</f>
        <v/>
      </c>
      <c r="L50" s="314">
        <f>IF($A50&lt;=L$1,I50/I$4,"")</f>
        <v>5.0723114354134131E-2</v>
      </c>
      <c r="M50" s="319"/>
      <c r="N50" s="320"/>
      <c r="O50" s="299">
        <v>0</v>
      </c>
      <c r="P50" s="300">
        <v>0</v>
      </c>
      <c r="Q50" s="300">
        <v>0</v>
      </c>
      <c r="R50" s="200">
        <v>0</v>
      </c>
      <c r="S50" s="201"/>
      <c r="T50" s="202" t="e">
        <v>#DIV/0!</v>
      </c>
      <c r="U50" s="203"/>
      <c r="V50" s="204"/>
      <c r="W50" s="299">
        <v>0</v>
      </c>
      <c r="X50" s="300">
        <v>0</v>
      </c>
      <c r="Y50" s="300">
        <v>0</v>
      </c>
      <c r="Z50" s="200">
        <v>0</v>
      </c>
      <c r="AA50" s="201"/>
      <c r="AB50" s="202" t="e">
        <v>#DIV/0!</v>
      </c>
      <c r="AC50" s="203"/>
      <c r="AD50" s="204"/>
      <c r="AE50" s="318"/>
      <c r="AF50" s="317"/>
    </row>
    <row r="51" spans="1:32">
      <c r="A51" s="296">
        <v>3</v>
      </c>
      <c r="B51" s="318"/>
      <c r="C51" s="318" t="s">
        <v>168</v>
      </c>
      <c r="D51" s="316" t="s">
        <v>224</v>
      </c>
      <c r="E51" s="318" t="s">
        <v>263</v>
      </c>
      <c r="F51" s="321" t="s">
        <v>264</v>
      </c>
      <c r="G51" s="297">
        <v>4</v>
      </c>
      <c r="H51" s="298">
        <v>10000</v>
      </c>
      <c r="I51" s="298">
        <v>40000</v>
      </c>
      <c r="J51" s="200"/>
      <c r="K51" s="201" t="str">
        <f>IF(OR(J51="",G51=J51),"","*")</f>
        <v/>
      </c>
      <c r="L51" s="314">
        <f>IF($A51&lt;=L$1,I51/I$4,"")</f>
        <v>1.1271803189807585E-2</v>
      </c>
      <c r="M51" s="319"/>
      <c r="N51" s="320"/>
      <c r="O51" s="299">
        <v>0</v>
      </c>
      <c r="P51" s="300">
        <v>0</v>
      </c>
      <c r="Q51" s="300">
        <v>0</v>
      </c>
      <c r="R51" s="200">
        <v>0</v>
      </c>
      <c r="S51" s="201"/>
      <c r="T51" s="202" t="e">
        <v>#DIV/0!</v>
      </c>
      <c r="U51" s="203"/>
      <c r="V51" s="204"/>
      <c r="W51" s="299">
        <v>0</v>
      </c>
      <c r="X51" s="300">
        <v>0</v>
      </c>
      <c r="Y51" s="300">
        <v>0</v>
      </c>
      <c r="Z51" s="200">
        <v>0</v>
      </c>
      <c r="AA51" s="201"/>
      <c r="AB51" s="202" t="e">
        <v>#DIV/0!</v>
      </c>
      <c r="AC51" s="203"/>
      <c r="AD51" s="204"/>
      <c r="AE51" s="318" t="s">
        <v>225</v>
      </c>
      <c r="AF51" s="317"/>
    </row>
    <row r="52" spans="1:32">
      <c r="A52" s="296">
        <v>3</v>
      </c>
      <c r="B52" s="318"/>
      <c r="C52" s="318" t="s">
        <v>168</v>
      </c>
      <c r="D52" s="316" t="s">
        <v>224</v>
      </c>
      <c r="E52" s="318" t="s">
        <v>265</v>
      </c>
      <c r="F52" s="321" t="s">
        <v>264</v>
      </c>
      <c r="G52" s="297">
        <v>4</v>
      </c>
      <c r="H52" s="298">
        <v>10000</v>
      </c>
      <c r="I52" s="298">
        <v>40000</v>
      </c>
      <c r="J52" s="200"/>
      <c r="K52" s="201" t="str">
        <f>IF(OR(J52="",G52=J52),"","*")</f>
        <v/>
      </c>
      <c r="L52" s="314">
        <f>IF($A52&lt;=L$1,I52/I$4,"")</f>
        <v>1.1271803189807585E-2</v>
      </c>
      <c r="M52" s="319"/>
      <c r="N52" s="320"/>
      <c r="O52" s="299">
        <v>0</v>
      </c>
      <c r="P52" s="300">
        <v>0</v>
      </c>
      <c r="Q52" s="300">
        <v>0</v>
      </c>
      <c r="R52" s="200">
        <v>0</v>
      </c>
      <c r="S52" s="201"/>
      <c r="T52" s="202" t="e">
        <v>#DIV/0!</v>
      </c>
      <c r="U52" s="203"/>
      <c r="V52" s="204"/>
      <c r="W52" s="299">
        <v>0</v>
      </c>
      <c r="X52" s="300">
        <v>0</v>
      </c>
      <c r="Y52" s="300">
        <v>0</v>
      </c>
      <c r="Z52" s="200">
        <v>0</v>
      </c>
      <c r="AA52" s="201"/>
      <c r="AB52" s="202" t="e">
        <v>#DIV/0!</v>
      </c>
      <c r="AC52" s="203"/>
      <c r="AD52" s="204"/>
      <c r="AE52" s="318" t="s">
        <v>225</v>
      </c>
      <c r="AF52" s="317"/>
    </row>
    <row r="53" spans="1:32">
      <c r="A53" s="296">
        <v>3</v>
      </c>
      <c r="B53" s="318"/>
      <c r="C53" s="318" t="s">
        <v>168</v>
      </c>
      <c r="D53" s="316" t="s">
        <v>266</v>
      </c>
      <c r="E53" s="318" t="s">
        <v>267</v>
      </c>
      <c r="F53" s="321" t="s">
        <v>264</v>
      </c>
      <c r="G53" s="297">
        <v>4</v>
      </c>
      <c r="H53" s="298">
        <v>25000</v>
      </c>
      <c r="I53" s="298">
        <v>100000</v>
      </c>
      <c r="J53" s="200"/>
      <c r="K53" s="201" t="str">
        <f>IF(OR(J53="",G53=J53),"","*")</f>
        <v/>
      </c>
      <c r="L53" s="314">
        <f>IF($A53&lt;=L$1,I53/I$4,"")</f>
        <v>2.8179507974518962E-2</v>
      </c>
      <c r="M53" s="319"/>
      <c r="N53" s="320"/>
      <c r="O53" s="299">
        <v>0</v>
      </c>
      <c r="P53" s="300">
        <v>0</v>
      </c>
      <c r="Q53" s="300">
        <v>0</v>
      </c>
      <c r="R53" s="200">
        <v>0</v>
      </c>
      <c r="S53" s="201"/>
      <c r="T53" s="202" t="e">
        <v>#DIV/0!</v>
      </c>
      <c r="U53" s="203"/>
      <c r="V53" s="204"/>
      <c r="W53" s="299">
        <v>0</v>
      </c>
      <c r="X53" s="300">
        <v>0</v>
      </c>
      <c r="Y53" s="300">
        <v>0</v>
      </c>
      <c r="Z53" s="200">
        <v>0</v>
      </c>
      <c r="AA53" s="201"/>
      <c r="AB53" s="202" t="e">
        <v>#DIV/0!</v>
      </c>
      <c r="AC53" s="203"/>
      <c r="AD53" s="204"/>
      <c r="AE53" s="318" t="s">
        <v>268</v>
      </c>
      <c r="AF53" s="317"/>
    </row>
    <row r="54" spans="1:32">
      <c r="A54" s="296">
        <v>2</v>
      </c>
      <c r="B54" s="318"/>
      <c r="C54" s="318" t="s">
        <v>200</v>
      </c>
      <c r="D54" s="316" t="s">
        <v>269</v>
      </c>
      <c r="E54" s="318"/>
      <c r="F54" s="321" t="s">
        <v>163</v>
      </c>
      <c r="G54" s="297">
        <v>1</v>
      </c>
      <c r="H54" s="298">
        <v>100000</v>
      </c>
      <c r="I54" s="298">
        <v>100000</v>
      </c>
      <c r="J54" s="200">
        <v>1</v>
      </c>
      <c r="K54" s="201" t="str">
        <f>IF(OR(J54="",G54=J54),"","*")</f>
        <v/>
      </c>
      <c r="L54" s="314">
        <f>IF($A54&lt;=L$1,I54/I$4,"")</f>
        <v>2.8179507974518962E-2</v>
      </c>
      <c r="M54" s="319"/>
      <c r="N54" s="320"/>
      <c r="O54" s="299">
        <v>0</v>
      </c>
      <c r="P54" s="300">
        <v>0</v>
      </c>
      <c r="Q54" s="300">
        <v>0</v>
      </c>
      <c r="R54" s="200">
        <v>0</v>
      </c>
      <c r="S54" s="201"/>
      <c r="T54" s="202" t="e">
        <v>#DIV/0!</v>
      </c>
      <c r="U54" s="203"/>
      <c r="V54" s="204"/>
      <c r="W54" s="299">
        <v>0</v>
      </c>
      <c r="X54" s="300">
        <v>0</v>
      </c>
      <c r="Y54" s="300">
        <v>0</v>
      </c>
      <c r="Z54" s="200">
        <v>0</v>
      </c>
      <c r="AA54" s="201"/>
      <c r="AB54" s="202" t="e">
        <v>#DIV/0!</v>
      </c>
      <c r="AC54" s="203"/>
      <c r="AD54" s="204"/>
      <c r="AE54" s="318"/>
      <c r="AF54" s="317"/>
    </row>
    <row r="55" spans="1:32">
      <c r="A55" s="296">
        <v>3</v>
      </c>
      <c r="B55" s="318"/>
      <c r="C55" s="318" t="s">
        <v>156</v>
      </c>
      <c r="D55" s="316" t="s">
        <v>270</v>
      </c>
      <c r="E55" s="318" t="s">
        <v>160</v>
      </c>
      <c r="F55" s="321" t="s">
        <v>163</v>
      </c>
      <c r="G55" s="297">
        <v>1</v>
      </c>
      <c r="H55" s="298">
        <v>50000</v>
      </c>
      <c r="I55" s="298">
        <v>50000</v>
      </c>
      <c r="J55" s="200"/>
      <c r="K55" s="201" t="str">
        <f>IF(OR(J55="",G55=J55),"","*")</f>
        <v/>
      </c>
      <c r="L55" s="314">
        <f>IF($A55&lt;=L$1,I55/I$4,"")</f>
        <v>1.4089753987259481E-2</v>
      </c>
      <c r="M55" s="319"/>
      <c r="N55" s="320"/>
      <c r="O55" s="299">
        <v>0</v>
      </c>
      <c r="P55" s="300">
        <v>0</v>
      </c>
      <c r="Q55" s="300">
        <v>0</v>
      </c>
      <c r="R55" s="200">
        <v>0</v>
      </c>
      <c r="S55" s="201"/>
      <c r="T55" s="202" t="e">
        <v>#DIV/0!</v>
      </c>
      <c r="U55" s="203"/>
      <c r="V55" s="204"/>
      <c r="W55" s="299">
        <v>0</v>
      </c>
      <c r="X55" s="300">
        <v>0</v>
      </c>
      <c r="Y55" s="300">
        <v>0</v>
      </c>
      <c r="Z55" s="200">
        <v>0</v>
      </c>
      <c r="AA55" s="201"/>
      <c r="AB55" s="202" t="e">
        <v>#DIV/0!</v>
      </c>
      <c r="AC55" s="203"/>
      <c r="AD55" s="204"/>
      <c r="AE55" s="318"/>
      <c r="AF55" s="317"/>
    </row>
    <row r="56" spans="1:32">
      <c r="A56" s="296">
        <v>3</v>
      </c>
      <c r="B56" s="318"/>
      <c r="C56" s="318" t="s">
        <v>156</v>
      </c>
      <c r="D56" s="316" t="s">
        <v>270</v>
      </c>
      <c r="E56" s="318" t="s">
        <v>162</v>
      </c>
      <c r="F56" s="321" t="s">
        <v>163</v>
      </c>
      <c r="G56" s="297">
        <v>1</v>
      </c>
      <c r="H56" s="298">
        <v>50000</v>
      </c>
      <c r="I56" s="298">
        <v>50000</v>
      </c>
      <c r="J56" s="200"/>
      <c r="K56" s="201" t="str">
        <f>IF(OR(J56="",G56=J56),"","*")</f>
        <v/>
      </c>
      <c r="L56" s="314">
        <f>IF($A56&lt;=L$1,I56/I$4,"")</f>
        <v>1.4089753987259481E-2</v>
      </c>
      <c r="M56" s="319"/>
      <c r="N56" s="320"/>
      <c r="O56" s="299">
        <v>0</v>
      </c>
      <c r="P56" s="300">
        <v>0</v>
      </c>
      <c r="Q56" s="300">
        <v>0</v>
      </c>
      <c r="R56" s="200">
        <v>0</v>
      </c>
      <c r="S56" s="201"/>
      <c r="T56" s="202" t="e">
        <v>#DIV/0!</v>
      </c>
      <c r="U56" s="203"/>
      <c r="V56" s="204"/>
      <c r="W56" s="299">
        <v>0</v>
      </c>
      <c r="X56" s="300">
        <v>0</v>
      </c>
      <c r="Y56" s="300">
        <v>0</v>
      </c>
      <c r="Z56" s="200">
        <v>0</v>
      </c>
      <c r="AA56" s="201"/>
      <c r="AB56" s="202" t="e">
        <v>#DIV/0!</v>
      </c>
      <c r="AC56" s="203"/>
      <c r="AD56" s="204"/>
      <c r="AE56" s="318"/>
      <c r="AF56" s="317"/>
    </row>
    <row r="57" spans="1:32">
      <c r="A57" s="296">
        <v>2</v>
      </c>
      <c r="B57" s="318"/>
      <c r="C57" s="318" t="s">
        <v>200</v>
      </c>
      <c r="D57" s="316" t="s">
        <v>271</v>
      </c>
      <c r="E57" s="318"/>
      <c r="F57" s="321" t="s">
        <v>163</v>
      </c>
      <c r="G57" s="297">
        <v>1</v>
      </c>
      <c r="H57" s="298">
        <v>120000</v>
      </c>
      <c r="I57" s="298">
        <v>120000</v>
      </c>
      <c r="J57" s="200">
        <v>1</v>
      </c>
      <c r="K57" s="201" t="str">
        <f>IF(OR(J57="",G57=J57),"","*")</f>
        <v/>
      </c>
      <c r="L57" s="314">
        <f>IF($A57&lt;=L$1,I57/I$4,"")</f>
        <v>3.3815409569422757E-2</v>
      </c>
      <c r="M57" s="319"/>
      <c r="N57" s="320"/>
      <c r="O57" s="299">
        <v>0</v>
      </c>
      <c r="P57" s="300">
        <v>0</v>
      </c>
      <c r="Q57" s="300">
        <v>0</v>
      </c>
      <c r="R57" s="200">
        <v>0</v>
      </c>
      <c r="S57" s="201"/>
      <c r="T57" s="202" t="e">
        <v>#DIV/0!</v>
      </c>
      <c r="U57" s="203"/>
      <c r="V57" s="204"/>
      <c r="W57" s="299">
        <v>0</v>
      </c>
      <c r="X57" s="300">
        <v>0</v>
      </c>
      <c r="Y57" s="300">
        <v>0</v>
      </c>
      <c r="Z57" s="200">
        <v>0</v>
      </c>
      <c r="AA57" s="201"/>
      <c r="AB57" s="202" t="e">
        <v>#DIV/0!</v>
      </c>
      <c r="AC57" s="203"/>
      <c r="AD57" s="204"/>
      <c r="AE57" s="318"/>
      <c r="AF57" s="317"/>
    </row>
    <row r="58" spans="1:32">
      <c r="A58" s="296">
        <v>3</v>
      </c>
      <c r="B58" s="318"/>
      <c r="C58" s="318" t="s">
        <v>166</v>
      </c>
      <c r="D58" s="316" t="s">
        <v>272</v>
      </c>
      <c r="E58" s="318" t="s">
        <v>160</v>
      </c>
      <c r="F58" s="321" t="s">
        <v>163</v>
      </c>
      <c r="G58" s="297">
        <v>1</v>
      </c>
      <c r="H58" s="298">
        <v>60000</v>
      </c>
      <c r="I58" s="298">
        <v>60000</v>
      </c>
      <c r="J58" s="200"/>
      <c r="K58" s="201" t="str">
        <f>IF(OR(J58="",G58=J58),"","*")</f>
        <v/>
      </c>
      <c r="L58" s="314">
        <f>IF($A58&lt;=L$1,I58/I$4,"")</f>
        <v>1.6907704784711378E-2</v>
      </c>
      <c r="M58" s="319"/>
      <c r="N58" s="320"/>
      <c r="O58" s="299">
        <v>0</v>
      </c>
      <c r="P58" s="300">
        <v>0</v>
      </c>
      <c r="Q58" s="300">
        <v>0</v>
      </c>
      <c r="R58" s="200">
        <v>0</v>
      </c>
      <c r="S58" s="201"/>
      <c r="T58" s="202" t="e">
        <v>#DIV/0!</v>
      </c>
      <c r="U58" s="203"/>
      <c r="V58" s="204"/>
      <c r="W58" s="299">
        <v>0</v>
      </c>
      <c r="X58" s="300">
        <v>0</v>
      </c>
      <c r="Y58" s="300">
        <v>0</v>
      </c>
      <c r="Z58" s="200">
        <v>0</v>
      </c>
      <c r="AA58" s="201"/>
      <c r="AB58" s="202" t="e">
        <v>#DIV/0!</v>
      </c>
      <c r="AC58" s="203"/>
      <c r="AD58" s="204"/>
      <c r="AE58" s="318"/>
      <c r="AF58" s="317"/>
    </row>
    <row r="59" spans="1:32">
      <c r="A59" s="296">
        <v>3</v>
      </c>
      <c r="B59" s="318"/>
      <c r="C59" s="318" t="s">
        <v>166</v>
      </c>
      <c r="D59" s="316" t="s">
        <v>272</v>
      </c>
      <c r="E59" s="318" t="s">
        <v>162</v>
      </c>
      <c r="F59" s="321" t="s">
        <v>163</v>
      </c>
      <c r="G59" s="297">
        <v>1</v>
      </c>
      <c r="H59" s="298">
        <v>60000</v>
      </c>
      <c r="I59" s="298">
        <v>60000</v>
      </c>
      <c r="J59" s="200"/>
      <c r="K59" s="201" t="str">
        <f>IF(OR(J59="",G59=J59),"","*")</f>
        <v/>
      </c>
      <c r="L59" s="314">
        <f>IF($A59&lt;=L$1,I59/I$4,"")</f>
        <v>1.6907704784711378E-2</v>
      </c>
      <c r="M59" s="319"/>
      <c r="N59" s="320"/>
      <c r="O59" s="299">
        <v>0</v>
      </c>
      <c r="P59" s="300">
        <v>0</v>
      </c>
      <c r="Q59" s="300">
        <v>0</v>
      </c>
      <c r="R59" s="200">
        <v>0</v>
      </c>
      <c r="S59" s="201"/>
      <c r="T59" s="202" t="e">
        <v>#DIV/0!</v>
      </c>
      <c r="U59" s="203"/>
      <c r="V59" s="204"/>
      <c r="W59" s="299">
        <v>0</v>
      </c>
      <c r="X59" s="300">
        <v>0</v>
      </c>
      <c r="Y59" s="300">
        <v>0</v>
      </c>
      <c r="Z59" s="200">
        <v>0</v>
      </c>
      <c r="AA59" s="201"/>
      <c r="AB59" s="202" t="e">
        <v>#DIV/0!</v>
      </c>
      <c r="AC59" s="203"/>
      <c r="AD59" s="204"/>
      <c r="AE59" s="318"/>
      <c r="AF59" s="317"/>
    </row>
    <row r="60" spans="1:32">
      <c r="A60" s="206"/>
      <c r="B60" s="206"/>
      <c r="C60" s="301"/>
      <c r="D60" s="206"/>
      <c r="E60" s="206"/>
      <c r="F60" s="207"/>
      <c r="G60" s="206"/>
      <c r="H60" s="206"/>
      <c r="I60" s="206"/>
      <c r="J60" s="206"/>
      <c r="K60" s="207"/>
      <c r="L60" s="206"/>
      <c r="M60" s="206"/>
      <c r="N60" s="206"/>
      <c r="O60" s="206"/>
      <c r="P60" s="206"/>
      <c r="Q60" s="206"/>
      <c r="R60" s="206"/>
      <c r="S60" s="207"/>
      <c r="T60" s="206"/>
      <c r="U60" s="206"/>
      <c r="V60" s="206"/>
      <c r="W60" s="206"/>
      <c r="X60" s="206"/>
      <c r="Y60" s="206"/>
      <c r="Z60" s="206"/>
      <c r="AA60" s="207"/>
      <c r="AB60" s="206"/>
      <c r="AC60" s="206"/>
      <c r="AD60" s="206"/>
      <c r="AE60" s="206"/>
      <c r="AF60" s="302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59 AF4:AF59">
    <cfRule type="expression" dxfId="19" priority="46" stopIfTrue="1">
      <formula>$A4&lt;=1</formula>
    </cfRule>
    <cfRule type="expression" dxfId="18" priority="47" stopIfTrue="1">
      <formula>$A4=2</formula>
    </cfRule>
    <cfRule type="expression" dxfId="17" priority="48" stopIfTrue="1">
      <formula>$A4=3</formula>
    </cfRule>
    <cfRule type="expression" dxfId="16" priority="49" stopIfTrue="1">
      <formula>$A4=4</formula>
    </cfRule>
    <cfRule type="expression" dxfId="15" priority="50" stopIfTrue="1">
      <formula>$A4=5</formula>
    </cfRule>
  </conditionalFormatting>
  <conditionalFormatting sqref="AE4:AE59">
    <cfRule type="expression" dxfId="14" priority="16" stopIfTrue="1">
      <formula>$A4&lt;=1</formula>
    </cfRule>
    <cfRule type="expression" dxfId="13" priority="17" stopIfTrue="1">
      <formula>$A4=2</formula>
    </cfRule>
    <cfRule type="expression" dxfId="12" priority="18" stopIfTrue="1">
      <formula>$A4=3</formula>
    </cfRule>
    <cfRule type="expression" dxfId="11" priority="19" stopIfTrue="1">
      <formula>$A4=4</formula>
    </cfRule>
    <cfRule type="expression" dxfId="1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17" t="s">
        <v>71</v>
      </c>
      <c r="C1" s="517"/>
      <c r="D1" s="517"/>
      <c r="E1" s="517"/>
      <c r="F1" s="517"/>
      <c r="G1" s="517"/>
      <c r="H1" s="226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10" t="s">
        <v>72</v>
      </c>
      <c r="C3" s="518"/>
      <c r="D3" s="115" t="s">
        <v>73</v>
      </c>
      <c r="E3" s="519" t="s">
        <v>74</v>
      </c>
      <c r="F3" s="520"/>
      <c r="G3" s="116" t="s">
        <v>73</v>
      </c>
      <c r="H3" s="69"/>
    </row>
    <row r="4" spans="1:8" ht="27" customHeight="1">
      <c r="A4" s="69"/>
      <c r="B4" s="117"/>
      <c r="C4" s="118"/>
      <c r="D4" s="304"/>
      <c r="E4" s="119"/>
      <c r="F4" s="118" t="s">
        <v>158</v>
      </c>
      <c r="G4" s="305">
        <v>275000</v>
      </c>
      <c r="H4" s="69"/>
    </row>
    <row r="5" spans="1:8" ht="27" customHeight="1">
      <c r="A5" s="69"/>
      <c r="B5" s="117"/>
      <c r="C5" s="118"/>
      <c r="D5" s="304"/>
      <c r="E5" s="119"/>
      <c r="F5" s="118"/>
      <c r="G5" s="305"/>
      <c r="H5" s="69"/>
    </row>
    <row r="6" spans="1:8" ht="27" customHeight="1">
      <c r="A6" s="69"/>
      <c r="B6" s="117"/>
      <c r="C6" s="118"/>
      <c r="D6" s="304"/>
      <c r="E6" s="119"/>
      <c r="F6" s="118" t="s">
        <v>195</v>
      </c>
      <c r="G6" s="305">
        <v>275000</v>
      </c>
      <c r="H6" s="69"/>
    </row>
    <row r="7" spans="1:8" ht="27" customHeight="1">
      <c r="A7" s="69"/>
      <c r="B7" s="117"/>
      <c r="C7" s="118"/>
      <c r="D7" s="304"/>
      <c r="E7" s="119"/>
      <c r="F7" s="118"/>
      <c r="G7" s="305"/>
      <c r="H7" s="69"/>
    </row>
    <row r="8" spans="1:8" ht="27" customHeight="1">
      <c r="A8" s="69"/>
      <c r="B8" s="117"/>
      <c r="C8" s="118"/>
      <c r="D8" s="304"/>
      <c r="E8" s="119"/>
      <c r="F8" s="118"/>
      <c r="G8" s="305"/>
      <c r="H8" s="69"/>
    </row>
    <row r="9" spans="1:8" ht="27" customHeight="1">
      <c r="A9" s="69"/>
      <c r="B9" s="117"/>
      <c r="C9" s="118"/>
      <c r="D9" s="304"/>
      <c r="E9" s="119"/>
      <c r="F9" s="118"/>
      <c r="G9" s="305"/>
      <c r="H9" s="69"/>
    </row>
    <row r="10" spans="1:8" ht="27" customHeight="1">
      <c r="A10" s="69"/>
      <c r="B10" s="117"/>
      <c r="C10" s="118"/>
      <c r="D10" s="304"/>
      <c r="E10" s="119"/>
      <c r="F10" s="118"/>
      <c r="G10" s="305"/>
      <c r="H10" s="69"/>
    </row>
    <row r="11" spans="1:8" ht="27" customHeight="1">
      <c r="A11" s="69"/>
      <c r="B11" s="117"/>
      <c r="C11" s="118"/>
      <c r="D11" s="304"/>
      <c r="E11" s="119"/>
      <c r="F11" s="118"/>
      <c r="G11" s="305"/>
      <c r="H11" s="69"/>
    </row>
    <row r="12" spans="1:8" ht="27" customHeight="1">
      <c r="A12" s="69"/>
      <c r="B12" s="117"/>
      <c r="C12" s="118"/>
      <c r="D12" s="304"/>
      <c r="E12" s="119"/>
      <c r="F12" s="118"/>
      <c r="G12" s="305"/>
      <c r="H12" s="69"/>
    </row>
    <row r="13" spans="1:8" ht="27" customHeight="1">
      <c r="A13" s="69"/>
      <c r="B13" s="117"/>
      <c r="C13" s="118"/>
      <c r="D13" s="304"/>
      <c r="E13" s="119"/>
      <c r="F13" s="118"/>
      <c r="G13" s="305"/>
      <c r="H13" s="69"/>
    </row>
    <row r="14" spans="1:8" ht="27" customHeight="1">
      <c r="A14" s="69"/>
      <c r="B14" s="117"/>
      <c r="C14" s="118"/>
      <c r="D14" s="304"/>
      <c r="E14" s="119"/>
      <c r="F14" s="118"/>
      <c r="G14" s="305"/>
      <c r="H14" s="69"/>
    </row>
    <row r="15" spans="1:8" ht="27" customHeight="1">
      <c r="A15" s="69"/>
      <c r="B15" s="117"/>
      <c r="C15" s="118"/>
      <c r="D15" s="304"/>
      <c r="E15" s="119"/>
      <c r="F15" s="118"/>
      <c r="G15" s="305"/>
      <c r="H15" s="69"/>
    </row>
    <row r="16" spans="1:8" ht="27" customHeight="1">
      <c r="A16" s="69"/>
      <c r="B16" s="117"/>
      <c r="C16" s="118"/>
      <c r="D16" s="304"/>
      <c r="E16" s="119"/>
      <c r="F16" s="118"/>
      <c r="G16" s="305"/>
      <c r="H16" s="69"/>
    </row>
    <row r="17" spans="1:8" ht="27" customHeight="1">
      <c r="A17" s="69"/>
      <c r="B17" s="117"/>
      <c r="C17" s="118"/>
      <c r="D17" s="304"/>
      <c r="E17" s="119"/>
      <c r="F17" s="118"/>
      <c r="G17" s="305"/>
      <c r="H17" s="69"/>
    </row>
    <row r="18" spans="1:8" ht="27" customHeight="1">
      <c r="A18" s="69"/>
      <c r="B18" s="117"/>
      <c r="C18" s="118"/>
      <c r="D18" s="304"/>
      <c r="E18" s="119"/>
      <c r="F18" s="118"/>
      <c r="G18" s="305"/>
      <c r="H18" s="69"/>
    </row>
    <row r="19" spans="1:8" ht="27" customHeight="1" thickBot="1">
      <c r="A19" s="69"/>
      <c r="B19" s="120"/>
      <c r="C19" s="121"/>
      <c r="D19" s="306"/>
      <c r="E19" s="122"/>
      <c r="F19" s="121"/>
      <c r="G19" s="307"/>
      <c r="H19" s="69"/>
    </row>
    <row r="20" spans="1:8">
      <c r="F20" s="163"/>
      <c r="G20" s="163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30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08" customFormat="1" ht="23.1" customHeight="1" thickBot="1">
      <c r="A1" s="123"/>
      <c r="B1" s="124"/>
      <c r="C1" s="521" t="s">
        <v>78</v>
      </c>
      <c r="D1" s="521"/>
      <c r="E1" s="521"/>
      <c r="F1" s="521"/>
      <c r="G1" s="125"/>
      <c r="H1" s="344"/>
      <c r="I1" s="223"/>
    </row>
    <row r="2" spans="1:9" ht="19.5" customHeight="1">
      <c r="A2" s="69"/>
      <c r="B2" s="227" t="s">
        <v>79</v>
      </c>
      <c r="C2" s="229" t="s">
        <v>80</v>
      </c>
      <c r="D2" s="229" t="s">
        <v>81</v>
      </c>
      <c r="E2" s="228" t="s">
        <v>82</v>
      </c>
      <c r="F2" s="228" t="s">
        <v>76</v>
      </c>
      <c r="G2" s="230" t="s">
        <v>77</v>
      </c>
      <c r="H2" s="126" t="s">
        <v>83</v>
      </c>
      <c r="I2" s="69"/>
    </row>
    <row r="3" spans="1:9" ht="15.75" customHeight="1">
      <c r="A3" s="69"/>
      <c r="B3" s="524" t="s">
        <v>158</v>
      </c>
      <c r="C3" s="526"/>
      <c r="D3" s="528" t="s">
        <v>163</v>
      </c>
      <c r="E3" s="530">
        <v>1</v>
      </c>
      <c r="F3" s="497">
        <v>275000</v>
      </c>
      <c r="G3" s="522">
        <v>275000</v>
      </c>
      <c r="H3" s="127"/>
      <c r="I3" s="69"/>
    </row>
    <row r="4" spans="1:9" ht="15.75" customHeight="1">
      <c r="A4" s="69"/>
      <c r="B4" s="525"/>
      <c r="C4" s="527"/>
      <c r="D4" s="529"/>
      <c r="E4" s="531"/>
      <c r="F4" s="532"/>
      <c r="G4" s="533"/>
      <c r="H4" s="128"/>
      <c r="I4" s="69"/>
    </row>
    <row r="5" spans="1:9" ht="15.75" customHeight="1">
      <c r="A5" s="69"/>
      <c r="B5" s="524"/>
      <c r="C5" s="526"/>
      <c r="D5" s="528"/>
      <c r="E5" s="530"/>
      <c r="F5" s="497"/>
      <c r="G5" s="522"/>
      <c r="H5" s="127"/>
      <c r="I5" s="69"/>
    </row>
    <row r="6" spans="1:9" ht="15.75" customHeight="1">
      <c r="A6" s="69"/>
      <c r="B6" s="525"/>
      <c r="C6" s="527"/>
      <c r="D6" s="529"/>
      <c r="E6" s="531"/>
      <c r="F6" s="532"/>
      <c r="G6" s="533"/>
      <c r="H6" s="128"/>
      <c r="I6" s="69"/>
    </row>
    <row r="7" spans="1:9" ht="15.75" customHeight="1">
      <c r="A7" s="69"/>
      <c r="B7" s="524" t="s">
        <v>195</v>
      </c>
      <c r="C7" s="526"/>
      <c r="D7" s="528"/>
      <c r="E7" s="530"/>
      <c r="F7" s="497"/>
      <c r="G7" s="522">
        <v>275000</v>
      </c>
      <c r="H7" s="127"/>
      <c r="I7" s="69"/>
    </row>
    <row r="8" spans="1:9" ht="15.75" customHeight="1">
      <c r="A8" s="69"/>
      <c r="B8" s="525"/>
      <c r="C8" s="527"/>
      <c r="D8" s="529"/>
      <c r="E8" s="531"/>
      <c r="F8" s="532"/>
      <c r="G8" s="533"/>
      <c r="H8" s="128"/>
      <c r="I8" s="69"/>
    </row>
    <row r="9" spans="1:9" ht="15.75" customHeight="1">
      <c r="A9" s="69"/>
      <c r="B9" s="524"/>
      <c r="C9" s="526"/>
      <c r="D9" s="528"/>
      <c r="E9" s="530"/>
      <c r="F9" s="497"/>
      <c r="G9" s="522"/>
      <c r="H9" s="127"/>
      <c r="I9" s="69"/>
    </row>
    <row r="10" spans="1:9" ht="15.75" customHeight="1">
      <c r="A10" s="69"/>
      <c r="B10" s="525"/>
      <c r="C10" s="527"/>
      <c r="D10" s="529"/>
      <c r="E10" s="531"/>
      <c r="F10" s="532"/>
      <c r="G10" s="533"/>
      <c r="H10" s="128"/>
      <c r="I10" s="69"/>
    </row>
    <row r="11" spans="1:9" ht="15.75" customHeight="1">
      <c r="A11" s="69"/>
      <c r="B11" s="524"/>
      <c r="C11" s="526"/>
      <c r="D11" s="528"/>
      <c r="E11" s="530"/>
      <c r="F11" s="497"/>
      <c r="G11" s="522"/>
      <c r="H11" s="127"/>
      <c r="I11" s="69"/>
    </row>
    <row r="12" spans="1:9" ht="15.75" customHeight="1">
      <c r="A12" s="69"/>
      <c r="B12" s="525"/>
      <c r="C12" s="527"/>
      <c r="D12" s="529"/>
      <c r="E12" s="531"/>
      <c r="F12" s="532"/>
      <c r="G12" s="533"/>
      <c r="H12" s="128"/>
      <c r="I12" s="69"/>
    </row>
    <row r="13" spans="1:9" ht="15.75" customHeight="1">
      <c r="A13" s="69"/>
      <c r="B13" s="524"/>
      <c r="C13" s="526"/>
      <c r="D13" s="528"/>
      <c r="E13" s="530"/>
      <c r="F13" s="497"/>
      <c r="G13" s="522"/>
      <c r="H13" s="127"/>
      <c r="I13" s="69"/>
    </row>
    <row r="14" spans="1:9" ht="15.75" customHeight="1">
      <c r="A14" s="69"/>
      <c r="B14" s="525"/>
      <c r="C14" s="527"/>
      <c r="D14" s="529"/>
      <c r="E14" s="531"/>
      <c r="F14" s="532"/>
      <c r="G14" s="533"/>
      <c r="H14" s="128"/>
      <c r="I14" s="69"/>
    </row>
    <row r="15" spans="1:9" ht="15.75" customHeight="1">
      <c r="A15" s="69"/>
      <c r="B15" s="524"/>
      <c r="C15" s="526"/>
      <c r="D15" s="528"/>
      <c r="E15" s="530"/>
      <c r="F15" s="497"/>
      <c r="G15" s="522"/>
      <c r="H15" s="127"/>
      <c r="I15" s="69"/>
    </row>
    <row r="16" spans="1:9" ht="15.75" customHeight="1">
      <c r="A16" s="69"/>
      <c r="B16" s="525"/>
      <c r="C16" s="527"/>
      <c r="D16" s="529"/>
      <c r="E16" s="531"/>
      <c r="F16" s="532"/>
      <c r="G16" s="533"/>
      <c r="H16" s="128"/>
      <c r="I16" s="69"/>
    </row>
    <row r="17" spans="1:9" ht="15.75" customHeight="1">
      <c r="A17" s="69"/>
      <c r="B17" s="524"/>
      <c r="C17" s="526"/>
      <c r="D17" s="528"/>
      <c r="E17" s="530"/>
      <c r="F17" s="497"/>
      <c r="G17" s="522"/>
      <c r="H17" s="127"/>
      <c r="I17" s="69"/>
    </row>
    <row r="18" spans="1:9" ht="15.75" customHeight="1">
      <c r="A18" s="69"/>
      <c r="B18" s="525"/>
      <c r="C18" s="527"/>
      <c r="D18" s="529"/>
      <c r="E18" s="531"/>
      <c r="F18" s="532"/>
      <c r="G18" s="533"/>
      <c r="H18" s="128"/>
      <c r="I18" s="69"/>
    </row>
    <row r="19" spans="1:9" ht="15.75" customHeight="1">
      <c r="A19" s="69"/>
      <c r="B19" s="524"/>
      <c r="C19" s="526"/>
      <c r="D19" s="528"/>
      <c r="E19" s="530"/>
      <c r="F19" s="497"/>
      <c r="G19" s="522"/>
      <c r="H19" s="127"/>
      <c r="I19" s="69"/>
    </row>
    <row r="20" spans="1:9" ht="15.75" customHeight="1">
      <c r="A20" s="69"/>
      <c r="B20" s="525"/>
      <c r="C20" s="527"/>
      <c r="D20" s="529"/>
      <c r="E20" s="531"/>
      <c r="F20" s="532"/>
      <c r="G20" s="533"/>
      <c r="H20" s="128"/>
      <c r="I20" s="69"/>
    </row>
    <row r="21" spans="1:9" ht="15.75" customHeight="1">
      <c r="A21" s="69"/>
      <c r="B21" s="524"/>
      <c r="C21" s="526"/>
      <c r="D21" s="528"/>
      <c r="E21" s="530"/>
      <c r="F21" s="497"/>
      <c r="G21" s="522"/>
      <c r="H21" s="127"/>
      <c r="I21" s="69"/>
    </row>
    <row r="22" spans="1:9" ht="15.75" customHeight="1">
      <c r="A22" s="69"/>
      <c r="B22" s="525"/>
      <c r="C22" s="527"/>
      <c r="D22" s="529"/>
      <c r="E22" s="531"/>
      <c r="F22" s="532"/>
      <c r="G22" s="533"/>
      <c r="H22" s="128"/>
      <c r="I22" s="69"/>
    </row>
    <row r="23" spans="1:9" ht="15.75" customHeight="1">
      <c r="A23" s="69"/>
      <c r="B23" s="524"/>
      <c r="C23" s="526"/>
      <c r="D23" s="528"/>
      <c r="E23" s="530"/>
      <c r="F23" s="497"/>
      <c r="G23" s="522"/>
      <c r="H23" s="127"/>
      <c r="I23" s="69"/>
    </row>
    <row r="24" spans="1:9" ht="15.75" customHeight="1">
      <c r="A24" s="69"/>
      <c r="B24" s="525"/>
      <c r="C24" s="527"/>
      <c r="D24" s="529"/>
      <c r="E24" s="531"/>
      <c r="F24" s="532"/>
      <c r="G24" s="533"/>
      <c r="H24" s="128"/>
      <c r="I24" s="69"/>
    </row>
    <row r="25" spans="1:9" ht="15.75" customHeight="1">
      <c r="A25" s="69"/>
      <c r="B25" s="524"/>
      <c r="C25" s="526"/>
      <c r="D25" s="528"/>
      <c r="E25" s="530"/>
      <c r="F25" s="497"/>
      <c r="G25" s="522"/>
      <c r="H25" s="127"/>
      <c r="I25" s="69"/>
    </row>
    <row r="26" spans="1:9" ht="15.75" customHeight="1">
      <c r="A26" s="69"/>
      <c r="B26" s="525"/>
      <c r="C26" s="527"/>
      <c r="D26" s="529"/>
      <c r="E26" s="531"/>
      <c r="F26" s="532"/>
      <c r="G26" s="533"/>
      <c r="H26" s="128"/>
      <c r="I26" s="69"/>
    </row>
    <row r="27" spans="1:9" ht="15.75" customHeight="1">
      <c r="A27" s="69"/>
      <c r="B27" s="524"/>
      <c r="C27" s="526"/>
      <c r="D27" s="528"/>
      <c r="E27" s="530"/>
      <c r="F27" s="497"/>
      <c r="G27" s="522"/>
      <c r="H27" s="127"/>
      <c r="I27" s="69"/>
    </row>
    <row r="28" spans="1:9" ht="15.75" customHeight="1">
      <c r="A28" s="69"/>
      <c r="B28" s="525"/>
      <c r="C28" s="527"/>
      <c r="D28" s="529"/>
      <c r="E28" s="531"/>
      <c r="F28" s="532"/>
      <c r="G28" s="533"/>
      <c r="H28" s="128"/>
      <c r="I28" s="69"/>
    </row>
    <row r="29" spans="1:9" ht="15.75" customHeight="1">
      <c r="A29" s="69"/>
      <c r="B29" s="524"/>
      <c r="C29" s="526"/>
      <c r="D29" s="528"/>
      <c r="E29" s="530"/>
      <c r="F29" s="497"/>
      <c r="G29" s="522"/>
      <c r="H29" s="127"/>
      <c r="I29" s="69"/>
    </row>
    <row r="30" spans="1:9" ht="15.75" customHeight="1" thickBot="1">
      <c r="A30" s="69"/>
      <c r="B30" s="534"/>
      <c r="C30" s="535"/>
      <c r="D30" s="536"/>
      <c r="E30" s="537"/>
      <c r="F30" s="538"/>
      <c r="G30" s="523"/>
      <c r="H30" s="129"/>
      <c r="I30" s="69"/>
    </row>
    <row r="31" spans="1:9" s="102" customFormat="1" ht="18" customHeight="1">
      <c r="A31" s="338"/>
      <c r="B31" s="338"/>
      <c r="C31" s="338"/>
      <c r="D31" s="338"/>
      <c r="E31" s="338"/>
      <c r="F31" s="338"/>
      <c r="G31" s="345"/>
      <c r="H31" s="345"/>
      <c r="I31" s="338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8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05" customWidth="1"/>
    <col min="2" max="2" width="11.625" style="205" customWidth="1"/>
    <col min="3" max="3" width="6.375" style="294" customWidth="1"/>
    <col min="4" max="4" width="32.625" style="205" customWidth="1"/>
    <col min="5" max="5" width="22.375" style="205" customWidth="1"/>
    <col min="6" max="6" width="4.875" style="178" customWidth="1"/>
    <col min="7" max="7" width="7.875" style="205" customWidth="1"/>
    <col min="8" max="8" width="10.375" style="205" customWidth="1"/>
    <col min="9" max="9" width="11.375" style="205" customWidth="1"/>
    <col min="10" max="10" width="6.5" style="205" customWidth="1"/>
    <col min="11" max="11" width="1.625" style="178" customWidth="1"/>
    <col min="12" max="14" width="6.5" style="205" customWidth="1"/>
    <col min="15" max="15" width="7.875" style="205" hidden="1" customWidth="1"/>
    <col min="16" max="16" width="10.375" style="205" hidden="1" customWidth="1"/>
    <col min="17" max="17" width="11.375" style="205" hidden="1" customWidth="1"/>
    <col min="18" max="18" width="6.5" style="205" hidden="1" customWidth="1"/>
    <col min="19" max="19" width="1.625" style="178" hidden="1" customWidth="1"/>
    <col min="20" max="22" width="6.5" style="205" hidden="1" customWidth="1"/>
    <col min="23" max="23" width="7.875" style="205" hidden="1" customWidth="1"/>
    <col min="24" max="24" width="10.375" style="205" hidden="1" customWidth="1"/>
    <col min="25" max="25" width="11.375" style="205" hidden="1" customWidth="1"/>
    <col min="26" max="26" width="6.5" style="205" hidden="1" customWidth="1"/>
    <col min="27" max="27" width="1.625" style="178" hidden="1" customWidth="1"/>
    <col min="28" max="30" width="6.5" style="205" hidden="1" customWidth="1"/>
    <col min="31" max="31" width="5.25" style="205" customWidth="1"/>
    <col min="32" max="32" width="28.75" style="303" customWidth="1"/>
    <col min="33" max="33" width="1.875" style="205" customWidth="1"/>
    <col min="34" max="16384" width="8.25" style="205"/>
  </cols>
  <sheetData>
    <row r="1" spans="1:32" ht="22.5" customHeight="1" thickBot="1">
      <c r="A1" s="292"/>
      <c r="B1" s="293"/>
      <c r="D1" s="326" t="str">
        <f>IF(実行予算書鑑!I10="","",実行予算書鑑!I10)</f>
        <v>中小河川改良工事</v>
      </c>
      <c r="G1" s="295"/>
      <c r="H1" s="179" t="s">
        <v>127</v>
      </c>
      <c r="I1" s="309">
        <v>4450000</v>
      </c>
      <c r="J1" s="315">
        <f>I4/I$1</f>
        <v>0.79745573033707862</v>
      </c>
      <c r="K1" s="182"/>
      <c r="L1" s="183">
        <v>3</v>
      </c>
      <c r="M1" s="184"/>
      <c r="N1" s="184"/>
      <c r="O1" s="295"/>
      <c r="P1" s="179" t="s">
        <v>57</v>
      </c>
      <c r="Q1" s="180"/>
      <c r="R1" s="185" t="e">
        <f>Q4/Q$1</f>
        <v>#DIV/0!</v>
      </c>
      <c r="S1" s="182"/>
      <c r="T1" s="183">
        <v>3</v>
      </c>
      <c r="U1" s="184"/>
      <c r="V1" s="184"/>
      <c r="X1" s="179" t="s">
        <v>57</v>
      </c>
      <c r="Y1" s="180"/>
      <c r="Z1" s="181" t="e">
        <f>Y4/Y$1</f>
        <v>#DIV/0!</v>
      </c>
      <c r="AA1" s="182"/>
      <c r="AB1" s="183">
        <v>3</v>
      </c>
      <c r="AC1" s="184"/>
      <c r="AD1" s="184"/>
      <c r="AE1" s="293"/>
      <c r="AF1" s="186"/>
    </row>
    <row r="2" spans="1:32" s="190" customFormat="1" ht="22.5" customHeight="1">
      <c r="A2" s="187" t="s">
        <v>93</v>
      </c>
      <c r="B2" s="187" t="s">
        <v>138</v>
      </c>
      <c r="C2" s="189" t="s">
        <v>95</v>
      </c>
      <c r="D2" s="189" t="s">
        <v>96</v>
      </c>
      <c r="E2" s="189" t="s">
        <v>80</v>
      </c>
      <c r="F2" s="189" t="s">
        <v>75</v>
      </c>
      <c r="G2" s="512" t="s">
        <v>273</v>
      </c>
      <c r="H2" s="513"/>
      <c r="I2" s="513"/>
      <c r="J2" s="513"/>
      <c r="K2" s="513"/>
      <c r="L2" s="513"/>
      <c r="M2" s="513"/>
      <c r="N2" s="514"/>
      <c r="O2" s="512" t="s">
        <v>97</v>
      </c>
      <c r="P2" s="513"/>
      <c r="Q2" s="513"/>
      <c r="R2" s="513"/>
      <c r="S2" s="513"/>
      <c r="T2" s="513"/>
      <c r="U2" s="513"/>
      <c r="V2" s="514"/>
      <c r="W2" s="512" t="s">
        <v>98</v>
      </c>
      <c r="X2" s="513"/>
      <c r="Y2" s="513"/>
      <c r="Z2" s="513"/>
      <c r="AA2" s="513"/>
      <c r="AB2" s="513"/>
      <c r="AC2" s="513"/>
      <c r="AD2" s="514"/>
      <c r="AE2" s="188" t="s">
        <v>94</v>
      </c>
      <c r="AF2" s="515" t="s">
        <v>91</v>
      </c>
    </row>
    <row r="3" spans="1:32" s="178" customFormat="1" ht="16.5" customHeight="1">
      <c r="A3" s="191"/>
      <c r="B3" s="191"/>
      <c r="C3" s="192"/>
      <c r="D3" s="192"/>
      <c r="E3" s="192"/>
      <c r="F3" s="192"/>
      <c r="G3" s="193" t="s">
        <v>87</v>
      </c>
      <c r="H3" s="194" t="s">
        <v>88</v>
      </c>
      <c r="I3" s="194" t="s">
        <v>73</v>
      </c>
      <c r="J3" s="195" t="s">
        <v>99</v>
      </c>
      <c r="K3" s="196"/>
      <c r="L3" s="197" t="s">
        <v>100</v>
      </c>
      <c r="M3" s="197" t="s">
        <v>101</v>
      </c>
      <c r="N3" s="198" t="s">
        <v>89</v>
      </c>
      <c r="O3" s="193" t="s">
        <v>87</v>
      </c>
      <c r="P3" s="194" t="s">
        <v>88</v>
      </c>
      <c r="Q3" s="194" t="s">
        <v>73</v>
      </c>
      <c r="R3" s="195" t="s">
        <v>99</v>
      </c>
      <c r="S3" s="199"/>
      <c r="T3" s="197" t="s">
        <v>100</v>
      </c>
      <c r="U3" s="197" t="s">
        <v>101</v>
      </c>
      <c r="V3" s="198" t="s">
        <v>89</v>
      </c>
      <c r="W3" s="193" t="s">
        <v>87</v>
      </c>
      <c r="X3" s="194" t="s">
        <v>88</v>
      </c>
      <c r="Y3" s="194" t="s">
        <v>73</v>
      </c>
      <c r="Z3" s="195" t="s">
        <v>99</v>
      </c>
      <c r="AA3" s="196"/>
      <c r="AB3" s="197" t="s">
        <v>100</v>
      </c>
      <c r="AC3" s="197" t="s">
        <v>101</v>
      </c>
      <c r="AD3" s="198" t="s">
        <v>89</v>
      </c>
      <c r="AE3" s="191"/>
      <c r="AF3" s="516"/>
    </row>
    <row r="4" spans="1:32">
      <c r="A4" s="296">
        <v>0</v>
      </c>
      <c r="B4" s="318"/>
      <c r="C4" s="318" t="s">
        <v>197</v>
      </c>
      <c r="D4" s="316" t="s">
        <v>143</v>
      </c>
      <c r="E4" s="318"/>
      <c r="F4" s="321" t="s">
        <v>163</v>
      </c>
      <c r="G4" s="297">
        <v>1</v>
      </c>
      <c r="H4" s="298">
        <v>3548678</v>
      </c>
      <c r="I4" s="298">
        <v>3548678</v>
      </c>
      <c r="J4" s="200">
        <v>1</v>
      </c>
      <c r="K4" s="201" t="str">
        <f>IF(OR(J4="",G4=J4),"","*")</f>
        <v/>
      </c>
      <c r="L4" s="314">
        <f>IF($A4&lt;=L$1,I4/I$4,"")</f>
        <v>1</v>
      </c>
      <c r="M4" s="319"/>
      <c r="N4" s="320"/>
      <c r="O4" s="322" t="s">
        <v>274</v>
      </c>
      <c r="P4" s="323" t="s">
        <v>274</v>
      </c>
      <c r="Q4" s="323" t="s">
        <v>274</v>
      </c>
      <c r="R4" s="324" t="s">
        <v>274</v>
      </c>
      <c r="S4" s="325"/>
      <c r="T4" s="319" t="s">
        <v>275</v>
      </c>
      <c r="U4" s="319"/>
      <c r="V4" s="320"/>
      <c r="W4" s="322" t="s">
        <v>274</v>
      </c>
      <c r="X4" s="323" t="s">
        <v>274</v>
      </c>
      <c r="Y4" s="323" t="s">
        <v>274</v>
      </c>
      <c r="Z4" s="324" t="s">
        <v>274</v>
      </c>
      <c r="AA4" s="325"/>
      <c r="AB4" s="319" t="s">
        <v>275</v>
      </c>
      <c r="AC4" s="319"/>
      <c r="AD4" s="320"/>
      <c r="AE4" s="318"/>
      <c r="AF4" s="317" t="s">
        <v>113</v>
      </c>
    </row>
    <row r="5" spans="1:32">
      <c r="A5" s="296">
        <v>1</v>
      </c>
      <c r="B5" s="318"/>
      <c r="C5" s="318" t="s">
        <v>198</v>
      </c>
      <c r="D5" s="316" t="s">
        <v>276</v>
      </c>
      <c r="E5" s="318"/>
      <c r="F5" s="321" t="s">
        <v>163</v>
      </c>
      <c r="G5" s="297">
        <v>1</v>
      </c>
      <c r="H5" s="298">
        <v>275000</v>
      </c>
      <c r="I5" s="298">
        <v>275000</v>
      </c>
      <c r="J5" s="200"/>
      <c r="K5" s="201" t="str">
        <f>IF(OR(J5="",G5=J5),"","*")</f>
        <v/>
      </c>
      <c r="L5" s="314">
        <f>IF($A5&lt;=L$1,I5/I$4,"")</f>
        <v>7.7493646929927149E-2</v>
      </c>
      <c r="M5" s="319"/>
      <c r="N5" s="320"/>
      <c r="O5" s="322" t="s">
        <v>274</v>
      </c>
      <c r="P5" s="323" t="s">
        <v>274</v>
      </c>
      <c r="Q5" s="323" t="s">
        <v>274</v>
      </c>
      <c r="R5" s="324" t="s">
        <v>274</v>
      </c>
      <c r="S5" s="325"/>
      <c r="T5" s="319" t="s">
        <v>275</v>
      </c>
      <c r="U5" s="319"/>
      <c r="V5" s="320"/>
      <c r="W5" s="322" t="s">
        <v>274</v>
      </c>
      <c r="X5" s="323" t="s">
        <v>274</v>
      </c>
      <c r="Y5" s="323" t="s">
        <v>274</v>
      </c>
      <c r="Z5" s="324" t="s">
        <v>274</v>
      </c>
      <c r="AA5" s="325"/>
      <c r="AB5" s="319" t="s">
        <v>275</v>
      </c>
      <c r="AC5" s="319"/>
      <c r="AD5" s="320"/>
      <c r="AE5" s="318"/>
      <c r="AF5" s="317" t="s">
        <v>113</v>
      </c>
    </row>
    <row r="6" spans="1:32">
      <c r="A6" s="296">
        <v>2</v>
      </c>
      <c r="B6" s="318"/>
      <c r="C6" s="318" t="s">
        <v>200</v>
      </c>
      <c r="D6" s="316" t="s">
        <v>277</v>
      </c>
      <c r="E6" s="318"/>
      <c r="F6" s="321" t="s">
        <v>163</v>
      </c>
      <c r="G6" s="297">
        <v>1</v>
      </c>
      <c r="H6" s="298">
        <v>275000</v>
      </c>
      <c r="I6" s="298">
        <v>275000</v>
      </c>
      <c r="J6" s="200">
        <v>1</v>
      </c>
      <c r="K6" s="201" t="str">
        <f>IF(OR(J6="",G6=J6),"","*")</f>
        <v/>
      </c>
      <c r="L6" s="314">
        <f>IF($A6&lt;=L$1,I6/I$4,"")</f>
        <v>7.7493646929927149E-2</v>
      </c>
      <c r="M6" s="319"/>
      <c r="N6" s="320"/>
      <c r="O6" s="322" t="s">
        <v>274</v>
      </c>
      <c r="P6" s="323" t="s">
        <v>274</v>
      </c>
      <c r="Q6" s="323" t="s">
        <v>274</v>
      </c>
      <c r="R6" s="324" t="s">
        <v>274</v>
      </c>
      <c r="S6" s="325"/>
      <c r="T6" s="319" t="s">
        <v>275</v>
      </c>
      <c r="U6" s="319"/>
      <c r="V6" s="320"/>
      <c r="W6" s="322" t="s">
        <v>274</v>
      </c>
      <c r="X6" s="323" t="s">
        <v>274</v>
      </c>
      <c r="Y6" s="323" t="s">
        <v>274</v>
      </c>
      <c r="Z6" s="324" t="s">
        <v>274</v>
      </c>
      <c r="AA6" s="325"/>
      <c r="AB6" s="319" t="s">
        <v>275</v>
      </c>
      <c r="AC6" s="319"/>
      <c r="AD6" s="320"/>
      <c r="AE6" s="318"/>
      <c r="AF6" s="317" t="s">
        <v>113</v>
      </c>
    </row>
    <row r="7" spans="1:32">
      <c r="A7" s="296">
        <v>3</v>
      </c>
      <c r="B7" s="318"/>
      <c r="C7" s="318" t="s">
        <v>170</v>
      </c>
      <c r="D7" s="316" t="s">
        <v>278</v>
      </c>
      <c r="E7" s="318" t="s">
        <v>279</v>
      </c>
      <c r="F7" s="321" t="s">
        <v>280</v>
      </c>
      <c r="G7" s="297">
        <v>10</v>
      </c>
      <c r="H7" s="298">
        <v>27500</v>
      </c>
      <c r="I7" s="298">
        <v>275000</v>
      </c>
      <c r="J7" s="200"/>
      <c r="K7" s="201" t="str">
        <f>IF(OR(J7="",G7=J7),"","*")</f>
        <v/>
      </c>
      <c r="L7" s="314">
        <f>IF($A7&lt;=L$1,I7/I$4,"")</f>
        <v>7.7493646929927149E-2</v>
      </c>
      <c r="M7" s="319"/>
      <c r="N7" s="320"/>
      <c r="O7" s="322" t="s">
        <v>274</v>
      </c>
      <c r="P7" s="323" t="s">
        <v>274</v>
      </c>
      <c r="Q7" s="323" t="s">
        <v>274</v>
      </c>
      <c r="R7" s="324" t="s">
        <v>274</v>
      </c>
      <c r="S7" s="325"/>
      <c r="T7" s="319" t="s">
        <v>275</v>
      </c>
      <c r="U7" s="319"/>
      <c r="V7" s="320"/>
      <c r="W7" s="322" t="s">
        <v>274</v>
      </c>
      <c r="X7" s="323" t="s">
        <v>274</v>
      </c>
      <c r="Y7" s="323" t="s">
        <v>274</v>
      </c>
      <c r="Z7" s="324" t="s">
        <v>274</v>
      </c>
      <c r="AA7" s="325"/>
      <c r="AB7" s="319" t="s">
        <v>275</v>
      </c>
      <c r="AC7" s="319"/>
      <c r="AD7" s="320"/>
      <c r="AE7" s="318" t="s">
        <v>281</v>
      </c>
      <c r="AF7" s="317" t="s">
        <v>113</v>
      </c>
    </row>
    <row r="8" spans="1:32">
      <c r="A8" s="206"/>
      <c r="B8" s="206"/>
      <c r="C8" s="301"/>
      <c r="D8" s="206"/>
      <c r="E8" s="206"/>
      <c r="F8" s="207"/>
      <c r="G8" s="206"/>
      <c r="H8" s="206"/>
      <c r="I8" s="206"/>
      <c r="J8" s="206"/>
      <c r="K8" s="207"/>
      <c r="L8" s="206"/>
      <c r="M8" s="206"/>
      <c r="N8" s="206"/>
      <c r="O8" s="206"/>
      <c r="P8" s="206"/>
      <c r="Q8" s="206"/>
      <c r="R8" s="206"/>
      <c r="S8" s="207"/>
      <c r="T8" s="206"/>
      <c r="U8" s="206"/>
      <c r="V8" s="206"/>
      <c r="W8" s="206"/>
      <c r="X8" s="206"/>
      <c r="Y8" s="206"/>
      <c r="Z8" s="206"/>
      <c r="AA8" s="207"/>
      <c r="AB8" s="206"/>
      <c r="AC8" s="206"/>
      <c r="AD8" s="206"/>
      <c r="AE8" s="206"/>
      <c r="AF8" s="302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7 AF4:AF7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7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49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31"/>
      <c r="C1" s="131"/>
      <c r="D1" s="509" t="s">
        <v>84</v>
      </c>
      <c r="E1" s="509"/>
      <c r="F1" s="509"/>
      <c r="G1" s="509"/>
      <c r="H1" s="69"/>
      <c r="I1" s="69"/>
      <c r="J1" s="69"/>
      <c r="K1" s="69"/>
    </row>
    <row r="2" spans="1:11" ht="13.5" customHeight="1">
      <c r="A2" s="132"/>
      <c r="B2" s="132"/>
      <c r="C2" s="132"/>
      <c r="D2" s="132"/>
      <c r="E2" s="132"/>
      <c r="F2" s="132"/>
      <c r="G2" s="132"/>
      <c r="H2" s="132"/>
      <c r="I2" s="132"/>
      <c r="J2" s="132"/>
      <c r="K2" s="132"/>
    </row>
    <row r="3" spans="1:11" ht="21" customHeight="1">
      <c r="A3" s="133"/>
      <c r="B3" s="134" t="s">
        <v>282</v>
      </c>
      <c r="C3" s="135" t="s">
        <v>283</v>
      </c>
      <c r="D3" s="136"/>
      <c r="E3" s="137"/>
      <c r="F3" s="138"/>
      <c r="G3" s="138"/>
      <c r="H3" s="138"/>
      <c r="I3" s="138"/>
      <c r="J3" s="139"/>
      <c r="K3" s="133"/>
    </row>
    <row r="4" spans="1:11" ht="12.75" customHeight="1" thickBot="1">
      <c r="A4" s="69"/>
      <c r="B4" s="140"/>
      <c r="C4" s="140"/>
      <c r="D4" s="140"/>
      <c r="E4" s="140"/>
      <c r="F4" s="140"/>
      <c r="G4" s="140"/>
      <c r="H4" s="140"/>
      <c r="I4" s="140"/>
      <c r="J4" s="141" t="s">
        <v>284</v>
      </c>
      <c r="K4" s="69"/>
    </row>
    <row r="5" spans="1:11" ht="18" customHeight="1">
      <c r="A5" s="69"/>
      <c r="B5" s="539" t="s">
        <v>285</v>
      </c>
      <c r="C5" s="540"/>
      <c r="D5" s="142" t="s">
        <v>81</v>
      </c>
      <c r="E5" s="142" t="s">
        <v>286</v>
      </c>
      <c r="F5" s="142" t="s">
        <v>287</v>
      </c>
      <c r="G5" s="142" t="s">
        <v>288</v>
      </c>
      <c r="H5" s="143" t="s">
        <v>289</v>
      </c>
      <c r="I5" s="142" t="s">
        <v>290</v>
      </c>
      <c r="J5" s="144" t="s">
        <v>291</v>
      </c>
      <c r="K5" s="69"/>
    </row>
    <row r="6" spans="1:11" ht="10.5" customHeight="1">
      <c r="A6" s="69"/>
      <c r="B6" s="145" t="s">
        <v>292</v>
      </c>
      <c r="C6" s="146"/>
      <c r="D6" s="541" t="s">
        <v>293</v>
      </c>
      <c r="E6" s="543">
        <v>1554.7338999999999</v>
      </c>
      <c r="F6" s="545">
        <v>110</v>
      </c>
      <c r="G6" s="547">
        <v>171020</v>
      </c>
      <c r="H6" s="331"/>
      <c r="I6" s="331"/>
      <c r="J6" s="147"/>
      <c r="K6" s="69" t="s">
        <v>92</v>
      </c>
    </row>
    <row r="7" spans="1:11" ht="10.5" customHeight="1">
      <c r="A7" s="69"/>
      <c r="B7" s="148"/>
      <c r="C7" s="149"/>
      <c r="D7" s="542"/>
      <c r="E7" s="544"/>
      <c r="F7" s="546"/>
      <c r="G7" s="548"/>
      <c r="H7" s="332"/>
      <c r="I7" s="332" t="s">
        <v>294</v>
      </c>
      <c r="J7" s="150"/>
      <c r="K7" s="69" t="s">
        <v>92</v>
      </c>
    </row>
    <row r="8" spans="1:11" ht="10.5" customHeight="1">
      <c r="A8" s="69"/>
      <c r="B8" s="145" t="s">
        <v>295</v>
      </c>
      <c r="C8" s="146"/>
      <c r="D8" s="541" t="s">
        <v>296</v>
      </c>
      <c r="E8" s="543">
        <v>142.18629999999999</v>
      </c>
      <c r="F8" s="545">
        <v>150</v>
      </c>
      <c r="G8" s="547">
        <v>21327</v>
      </c>
      <c r="H8" s="331"/>
      <c r="I8" s="331"/>
      <c r="J8" s="151"/>
      <c r="K8" s="69" t="s">
        <v>92</v>
      </c>
    </row>
    <row r="9" spans="1:11" ht="10.5" customHeight="1">
      <c r="A9" s="69"/>
      <c r="B9" s="148"/>
      <c r="C9" s="149"/>
      <c r="D9" s="542"/>
      <c r="E9" s="544"/>
      <c r="F9" s="546"/>
      <c r="G9" s="548"/>
      <c r="H9" s="332"/>
      <c r="I9" s="332" t="s">
        <v>294</v>
      </c>
      <c r="J9" s="151"/>
      <c r="K9" s="69" t="s">
        <v>92</v>
      </c>
    </row>
    <row r="10" spans="1:11" ht="10.5" customHeight="1">
      <c r="A10" s="69"/>
      <c r="B10" s="145" t="s">
        <v>297</v>
      </c>
      <c r="C10" s="146"/>
      <c r="D10" s="541" t="s">
        <v>298</v>
      </c>
      <c r="E10" s="543">
        <v>1.9658</v>
      </c>
      <c r="F10" s="545">
        <v>5000</v>
      </c>
      <c r="G10" s="547">
        <v>9829</v>
      </c>
      <c r="H10" s="331"/>
      <c r="I10" s="331"/>
      <c r="J10" s="147"/>
      <c r="K10" s="69" t="s">
        <v>92</v>
      </c>
    </row>
    <row r="11" spans="1:11" ht="10.5" customHeight="1">
      <c r="A11" s="69"/>
      <c r="B11" s="148"/>
      <c r="C11" s="149"/>
      <c r="D11" s="542"/>
      <c r="E11" s="544"/>
      <c r="F11" s="546"/>
      <c r="G11" s="548"/>
      <c r="H11" s="332"/>
      <c r="I11" s="332" t="s">
        <v>294</v>
      </c>
      <c r="J11" s="150"/>
      <c r="K11" s="69" t="s">
        <v>92</v>
      </c>
    </row>
    <row r="12" spans="1:11" ht="10.5" customHeight="1">
      <c r="A12" s="69"/>
      <c r="B12" s="145" t="s">
        <v>297</v>
      </c>
      <c r="C12" s="146"/>
      <c r="D12" s="541" t="s">
        <v>298</v>
      </c>
      <c r="E12" s="549">
        <v>0.64190000000000003</v>
      </c>
      <c r="F12" s="545">
        <v>5000</v>
      </c>
      <c r="G12" s="547">
        <v>3209</v>
      </c>
      <c r="H12" s="331"/>
      <c r="I12" s="331"/>
      <c r="J12" s="147"/>
      <c r="K12" s="69" t="s">
        <v>92</v>
      </c>
    </row>
    <row r="13" spans="1:11" ht="10.5" customHeight="1">
      <c r="A13" s="69"/>
      <c r="B13" s="148"/>
      <c r="C13" s="149"/>
      <c r="D13" s="542"/>
      <c r="E13" s="550"/>
      <c r="F13" s="546"/>
      <c r="G13" s="548"/>
      <c r="H13" s="332"/>
      <c r="I13" s="332" t="s">
        <v>294</v>
      </c>
      <c r="J13" s="150"/>
      <c r="K13" s="69" t="s">
        <v>92</v>
      </c>
    </row>
    <row r="14" spans="1:11" ht="10.5" customHeight="1">
      <c r="A14" s="69"/>
      <c r="B14" s="145" t="s">
        <v>299</v>
      </c>
      <c r="C14" s="146"/>
      <c r="D14" s="541" t="s">
        <v>300</v>
      </c>
      <c r="E14" s="549">
        <v>163.1062</v>
      </c>
      <c r="F14" s="545">
        <v>10000</v>
      </c>
      <c r="G14" s="547">
        <v>1631062</v>
      </c>
      <c r="H14" s="331"/>
      <c r="I14" s="331"/>
      <c r="J14" s="147"/>
      <c r="K14" s="69" t="s">
        <v>92</v>
      </c>
    </row>
    <row r="15" spans="1:11" ht="10.5" customHeight="1">
      <c r="A15" s="69"/>
      <c r="B15" s="148" t="s">
        <v>301</v>
      </c>
      <c r="C15" s="149"/>
      <c r="D15" s="542"/>
      <c r="E15" s="550"/>
      <c r="F15" s="546"/>
      <c r="G15" s="548"/>
      <c r="H15" s="332"/>
      <c r="I15" s="332" t="s">
        <v>294</v>
      </c>
      <c r="J15" s="150"/>
      <c r="K15" s="69" t="s">
        <v>92</v>
      </c>
    </row>
    <row r="16" spans="1:11" ht="10.5" customHeight="1">
      <c r="A16" s="69"/>
      <c r="B16" s="145" t="s">
        <v>302</v>
      </c>
      <c r="C16" s="146"/>
      <c r="D16" s="541" t="s">
        <v>303</v>
      </c>
      <c r="E16" s="549">
        <v>1</v>
      </c>
      <c r="F16" s="545">
        <v>20000</v>
      </c>
      <c r="G16" s="547">
        <v>20000</v>
      </c>
      <c r="H16" s="331"/>
      <c r="I16" s="331"/>
      <c r="J16" s="147"/>
      <c r="K16" s="69" t="s">
        <v>92</v>
      </c>
    </row>
    <row r="17" spans="1:11" ht="10.5" customHeight="1">
      <c r="A17" s="69"/>
      <c r="B17" s="148"/>
      <c r="C17" s="149"/>
      <c r="D17" s="542"/>
      <c r="E17" s="550"/>
      <c r="F17" s="546"/>
      <c r="G17" s="548"/>
      <c r="H17" s="332"/>
      <c r="I17" s="332" t="s">
        <v>294</v>
      </c>
      <c r="J17" s="150"/>
      <c r="K17" s="69" t="s">
        <v>92</v>
      </c>
    </row>
    <row r="18" spans="1:11" ht="10.5" customHeight="1">
      <c r="A18" s="69"/>
      <c r="B18" s="145"/>
      <c r="C18" s="146"/>
      <c r="D18" s="541"/>
      <c r="E18" s="549"/>
      <c r="F18" s="545"/>
      <c r="G18" s="547"/>
      <c r="H18" s="331"/>
      <c r="I18" s="331"/>
      <c r="J18" s="147"/>
      <c r="K18" s="69" t="s">
        <v>92</v>
      </c>
    </row>
    <row r="19" spans="1:11" ht="10.5" customHeight="1">
      <c r="A19" s="69"/>
      <c r="B19" s="148"/>
      <c r="C19" s="149"/>
      <c r="D19" s="542"/>
      <c r="E19" s="550"/>
      <c r="F19" s="546"/>
      <c r="G19" s="548"/>
      <c r="H19" s="332"/>
      <c r="I19" s="332"/>
      <c r="J19" s="150"/>
      <c r="K19" s="69" t="s">
        <v>92</v>
      </c>
    </row>
    <row r="20" spans="1:11" ht="10.5" customHeight="1">
      <c r="A20" s="69"/>
      <c r="B20" s="145" t="s">
        <v>304</v>
      </c>
      <c r="C20" s="146"/>
      <c r="D20" s="541"/>
      <c r="E20" s="549"/>
      <c r="F20" s="545"/>
      <c r="G20" s="547">
        <v>1856447</v>
      </c>
      <c r="H20" s="331"/>
      <c r="I20" s="331"/>
      <c r="J20" s="147"/>
      <c r="K20" s="69" t="s">
        <v>92</v>
      </c>
    </row>
    <row r="21" spans="1:11" ht="10.5" customHeight="1">
      <c r="A21" s="69"/>
      <c r="B21" s="148"/>
      <c r="C21" s="149"/>
      <c r="D21" s="542"/>
      <c r="E21" s="550"/>
      <c r="F21" s="546"/>
      <c r="G21" s="548"/>
      <c r="H21" s="332"/>
      <c r="I21" s="332"/>
      <c r="J21" s="150"/>
      <c r="K21" s="69" t="s">
        <v>92</v>
      </c>
    </row>
    <row r="22" spans="1:11" ht="10.5" customHeight="1">
      <c r="A22" s="69"/>
      <c r="B22" s="145"/>
      <c r="C22" s="146"/>
      <c r="D22" s="541"/>
      <c r="E22" s="549"/>
      <c r="F22" s="545"/>
      <c r="G22" s="547"/>
      <c r="H22" s="331"/>
      <c r="I22" s="331"/>
      <c r="J22" s="147"/>
      <c r="K22" s="69" t="s">
        <v>92</v>
      </c>
    </row>
    <row r="23" spans="1:11" ht="10.5" customHeight="1">
      <c r="A23" s="69"/>
      <c r="B23" s="148"/>
      <c r="C23" s="149"/>
      <c r="D23" s="542"/>
      <c r="E23" s="550"/>
      <c r="F23" s="546"/>
      <c r="G23" s="548"/>
      <c r="H23" s="332"/>
      <c r="I23" s="332"/>
      <c r="J23" s="150"/>
      <c r="K23" s="69" t="s">
        <v>92</v>
      </c>
    </row>
    <row r="24" spans="1:11" ht="10.5" customHeight="1">
      <c r="A24" s="69"/>
      <c r="B24" s="145"/>
      <c r="C24" s="146"/>
      <c r="D24" s="541"/>
      <c r="E24" s="543"/>
      <c r="F24" s="545"/>
      <c r="G24" s="547"/>
      <c r="H24" s="331"/>
      <c r="I24" s="331"/>
      <c r="J24" s="147"/>
      <c r="K24" s="69" t="s">
        <v>92</v>
      </c>
    </row>
    <row r="25" spans="1:11" ht="10.5" customHeight="1">
      <c r="A25" s="69"/>
      <c r="B25" s="148"/>
      <c r="C25" s="149"/>
      <c r="D25" s="542"/>
      <c r="E25" s="544"/>
      <c r="F25" s="546"/>
      <c r="G25" s="548"/>
      <c r="H25" s="332"/>
      <c r="I25" s="332"/>
      <c r="J25" s="150"/>
      <c r="K25" s="69" t="s">
        <v>92</v>
      </c>
    </row>
    <row r="26" spans="1:11" ht="10.5" customHeight="1">
      <c r="A26" s="69"/>
      <c r="B26" s="145"/>
      <c r="C26" s="146"/>
      <c r="D26" s="541"/>
      <c r="E26" s="549"/>
      <c r="F26" s="545"/>
      <c r="G26" s="547"/>
      <c r="H26" s="331"/>
      <c r="I26" s="331"/>
      <c r="J26" s="147"/>
      <c r="K26" s="69" t="s">
        <v>92</v>
      </c>
    </row>
    <row r="27" spans="1:11" ht="10.5" customHeight="1">
      <c r="A27" s="69"/>
      <c r="B27" s="148"/>
      <c r="C27" s="149"/>
      <c r="D27" s="542"/>
      <c r="E27" s="550"/>
      <c r="F27" s="546"/>
      <c r="G27" s="548"/>
      <c r="H27" s="332"/>
      <c r="I27" s="332"/>
      <c r="J27" s="150"/>
      <c r="K27" s="69" t="s">
        <v>92</v>
      </c>
    </row>
    <row r="28" spans="1:11" ht="10.5" customHeight="1">
      <c r="A28" s="69"/>
      <c r="B28" s="145"/>
      <c r="C28" s="146"/>
      <c r="D28" s="541"/>
      <c r="E28" s="549"/>
      <c r="F28" s="545"/>
      <c r="G28" s="547"/>
      <c r="H28" s="331"/>
      <c r="I28" s="331"/>
      <c r="J28" s="147"/>
      <c r="K28" s="69" t="s">
        <v>92</v>
      </c>
    </row>
    <row r="29" spans="1:11" ht="10.5" customHeight="1">
      <c r="A29" s="69"/>
      <c r="B29" s="148"/>
      <c r="C29" s="149"/>
      <c r="D29" s="542"/>
      <c r="E29" s="550"/>
      <c r="F29" s="546"/>
      <c r="G29" s="548"/>
      <c r="H29" s="332"/>
      <c r="I29" s="332"/>
      <c r="J29" s="150"/>
      <c r="K29" s="69" t="s">
        <v>92</v>
      </c>
    </row>
    <row r="30" spans="1:11" ht="10.5" customHeight="1">
      <c r="A30" s="69"/>
      <c r="B30" s="145"/>
      <c r="C30" s="146"/>
      <c r="D30" s="541"/>
      <c r="E30" s="549"/>
      <c r="F30" s="545"/>
      <c r="G30" s="547"/>
      <c r="H30" s="331"/>
      <c r="I30" s="331"/>
      <c r="J30" s="147"/>
      <c r="K30" s="69" t="s">
        <v>92</v>
      </c>
    </row>
    <row r="31" spans="1:11" ht="10.5" customHeight="1">
      <c r="A31" s="69"/>
      <c r="B31" s="148"/>
      <c r="C31" s="149"/>
      <c r="D31" s="542"/>
      <c r="E31" s="550"/>
      <c r="F31" s="546"/>
      <c r="G31" s="548"/>
      <c r="H31" s="332"/>
      <c r="I31" s="332"/>
      <c r="J31" s="150"/>
      <c r="K31" s="69" t="s">
        <v>92</v>
      </c>
    </row>
    <row r="32" spans="1:11" ht="10.5" customHeight="1">
      <c r="A32" s="69"/>
      <c r="B32" s="145"/>
      <c r="C32" s="146"/>
      <c r="D32" s="541"/>
      <c r="E32" s="549"/>
      <c r="F32" s="545"/>
      <c r="G32" s="547"/>
      <c r="H32" s="331"/>
      <c r="I32" s="331"/>
      <c r="J32" s="147"/>
      <c r="K32" s="69" t="s">
        <v>92</v>
      </c>
    </row>
    <row r="33" spans="1:11" ht="10.5" customHeight="1">
      <c r="A33" s="69"/>
      <c r="B33" s="148"/>
      <c r="C33" s="149"/>
      <c r="D33" s="542"/>
      <c r="E33" s="550"/>
      <c r="F33" s="546"/>
      <c r="G33" s="548"/>
      <c r="H33" s="332"/>
      <c r="I33" s="332"/>
      <c r="J33" s="150"/>
      <c r="K33" s="69" t="s">
        <v>92</v>
      </c>
    </row>
    <row r="34" spans="1:11" ht="10.5" customHeight="1">
      <c r="A34" s="69"/>
      <c r="B34" s="145"/>
      <c r="C34" s="146"/>
      <c r="D34" s="541"/>
      <c r="E34" s="549"/>
      <c r="F34" s="545"/>
      <c r="G34" s="547"/>
      <c r="H34" s="331"/>
      <c r="I34" s="331"/>
      <c r="J34" s="147"/>
      <c r="K34" s="69" t="s">
        <v>92</v>
      </c>
    </row>
    <row r="35" spans="1:11" ht="10.5" customHeight="1">
      <c r="A35" s="69"/>
      <c r="B35" s="148"/>
      <c r="C35" s="149"/>
      <c r="D35" s="542"/>
      <c r="E35" s="550"/>
      <c r="F35" s="546"/>
      <c r="G35" s="548"/>
      <c r="H35" s="332"/>
      <c r="I35" s="332"/>
      <c r="J35" s="150"/>
      <c r="K35" s="69" t="s">
        <v>92</v>
      </c>
    </row>
    <row r="36" spans="1:11" ht="10.5" customHeight="1">
      <c r="A36" s="69"/>
      <c r="B36" s="145"/>
      <c r="C36" s="146"/>
      <c r="D36" s="541"/>
      <c r="E36" s="549"/>
      <c r="F36" s="545"/>
      <c r="G36" s="547"/>
      <c r="H36" s="331"/>
      <c r="I36" s="331"/>
      <c r="J36" s="147"/>
      <c r="K36" s="69" t="s">
        <v>92</v>
      </c>
    </row>
    <row r="37" spans="1:11" ht="10.5" customHeight="1">
      <c r="A37" s="69"/>
      <c r="B37" s="148"/>
      <c r="C37" s="149"/>
      <c r="D37" s="542"/>
      <c r="E37" s="550"/>
      <c r="F37" s="546"/>
      <c r="G37" s="548"/>
      <c r="H37" s="332"/>
      <c r="I37" s="332"/>
      <c r="J37" s="150"/>
      <c r="K37" s="69" t="s">
        <v>92</v>
      </c>
    </row>
    <row r="38" spans="1:11" ht="10.5" customHeight="1">
      <c r="A38" s="69"/>
      <c r="B38" s="145"/>
      <c r="C38" s="146"/>
      <c r="D38" s="541"/>
      <c r="E38" s="549"/>
      <c r="F38" s="545"/>
      <c r="G38" s="547"/>
      <c r="H38" s="331"/>
      <c r="I38" s="331"/>
      <c r="J38" s="147"/>
      <c r="K38" s="69" t="s">
        <v>92</v>
      </c>
    </row>
    <row r="39" spans="1:11" ht="10.5" customHeight="1">
      <c r="A39" s="69"/>
      <c r="B39" s="148"/>
      <c r="C39" s="149"/>
      <c r="D39" s="542"/>
      <c r="E39" s="550"/>
      <c r="F39" s="546"/>
      <c r="G39" s="548"/>
      <c r="H39" s="332"/>
      <c r="I39" s="332"/>
      <c r="J39" s="150"/>
      <c r="K39" s="69" t="s">
        <v>92</v>
      </c>
    </row>
    <row r="40" spans="1:11" ht="10.5" customHeight="1">
      <c r="A40" s="69"/>
      <c r="B40" s="145"/>
      <c r="C40" s="146"/>
      <c r="D40" s="541"/>
      <c r="E40" s="549"/>
      <c r="F40" s="545"/>
      <c r="G40" s="547"/>
      <c r="H40" s="331"/>
      <c r="I40" s="331"/>
      <c r="J40" s="147"/>
      <c r="K40" s="69" t="s">
        <v>92</v>
      </c>
    </row>
    <row r="41" spans="1:11" ht="10.5" customHeight="1">
      <c r="A41" s="69"/>
      <c r="B41" s="148"/>
      <c r="C41" s="149"/>
      <c r="D41" s="542"/>
      <c r="E41" s="550"/>
      <c r="F41" s="546"/>
      <c r="G41" s="548"/>
      <c r="H41" s="332"/>
      <c r="I41" s="332"/>
      <c r="J41" s="150"/>
      <c r="K41" s="69" t="s">
        <v>92</v>
      </c>
    </row>
    <row r="42" spans="1:11" ht="10.5" customHeight="1">
      <c r="A42" s="69"/>
      <c r="B42" s="145"/>
      <c r="C42" s="146"/>
      <c r="D42" s="541"/>
      <c r="E42" s="549"/>
      <c r="F42" s="545"/>
      <c r="G42" s="547"/>
      <c r="H42" s="331"/>
      <c r="I42" s="331"/>
      <c r="J42" s="147"/>
      <c r="K42" s="69" t="s">
        <v>92</v>
      </c>
    </row>
    <row r="43" spans="1:11" ht="10.5" customHeight="1">
      <c r="A43" s="69"/>
      <c r="B43" s="148"/>
      <c r="C43" s="149"/>
      <c r="D43" s="542"/>
      <c r="E43" s="550"/>
      <c r="F43" s="546"/>
      <c r="G43" s="548"/>
      <c r="H43" s="332"/>
      <c r="I43" s="332"/>
      <c r="J43" s="150"/>
      <c r="K43" s="69" t="s">
        <v>92</v>
      </c>
    </row>
    <row r="44" spans="1:11" ht="10.5" customHeight="1">
      <c r="A44" s="69"/>
      <c r="B44" s="145"/>
      <c r="C44" s="146"/>
      <c r="D44" s="541"/>
      <c r="E44" s="549"/>
      <c r="F44" s="545"/>
      <c r="G44" s="547"/>
      <c r="H44" s="331"/>
      <c r="I44" s="331"/>
      <c r="J44" s="147"/>
      <c r="K44" s="69" t="s">
        <v>92</v>
      </c>
    </row>
    <row r="45" spans="1:11" ht="10.5" customHeight="1">
      <c r="A45" s="69"/>
      <c r="B45" s="148"/>
      <c r="C45" s="149"/>
      <c r="D45" s="542"/>
      <c r="E45" s="550"/>
      <c r="F45" s="546"/>
      <c r="G45" s="548"/>
      <c r="H45" s="332"/>
      <c r="I45" s="332"/>
      <c r="J45" s="150"/>
      <c r="K45" s="69" t="s">
        <v>92</v>
      </c>
    </row>
    <row r="46" spans="1:11" ht="10.5" customHeight="1">
      <c r="A46" s="69"/>
      <c r="B46" s="145"/>
      <c r="C46" s="146"/>
      <c r="D46" s="551"/>
      <c r="E46" s="553"/>
      <c r="F46" s="555"/>
      <c r="G46" s="557"/>
      <c r="H46" s="331"/>
      <c r="I46" s="331"/>
      <c r="J46" s="151"/>
      <c r="K46" s="69" t="s">
        <v>92</v>
      </c>
    </row>
    <row r="47" spans="1:11" ht="10.5" customHeight="1" thickBot="1">
      <c r="A47" s="69"/>
      <c r="B47" s="152"/>
      <c r="C47" s="153"/>
      <c r="D47" s="552"/>
      <c r="E47" s="554"/>
      <c r="F47" s="556"/>
      <c r="G47" s="558"/>
      <c r="H47" s="333"/>
      <c r="I47" s="333"/>
      <c r="J47" s="154"/>
      <c r="K47" s="69" t="s">
        <v>92</v>
      </c>
    </row>
    <row r="48" spans="1:11" s="102" customFormat="1" ht="18" customHeight="1">
      <c r="A48" s="101"/>
      <c r="B48" s="155"/>
      <c r="C48" s="101"/>
      <c r="D48" s="101"/>
      <c r="E48" s="101"/>
      <c r="F48" s="101"/>
      <c r="G48" s="101"/>
      <c r="H48" s="101"/>
      <c r="I48" s="114"/>
      <c r="J48" s="114"/>
      <c r="K48" s="101"/>
    </row>
    <row r="49" spans="1:11" s="102" customFormat="1" ht="13.5" customHeight="1">
      <c r="A49" s="101"/>
      <c r="B49" s="155"/>
      <c r="C49" s="101"/>
      <c r="D49" s="101"/>
      <c r="E49" s="101"/>
      <c r="F49" s="101"/>
      <c r="G49" s="101"/>
      <c r="H49" s="101"/>
      <c r="I49" s="114"/>
      <c r="J49" s="114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31"/>
      <c r="C1" s="131"/>
      <c r="D1" s="509" t="s">
        <v>102</v>
      </c>
      <c r="E1" s="509"/>
      <c r="F1" s="509"/>
      <c r="G1" s="509"/>
      <c r="H1" s="69"/>
      <c r="I1" s="69"/>
      <c r="J1" s="69"/>
      <c r="K1" s="69"/>
    </row>
    <row r="2" spans="1:11" ht="13.5" customHeight="1">
      <c r="A2" s="132"/>
      <c r="B2" s="132"/>
      <c r="C2" s="132"/>
      <c r="D2" s="132"/>
      <c r="E2" s="132"/>
      <c r="F2" s="132"/>
      <c r="G2" s="132"/>
      <c r="H2" s="132"/>
      <c r="I2" s="132"/>
      <c r="J2" s="132"/>
      <c r="K2" s="132"/>
    </row>
    <row r="3" spans="1:11" ht="21" customHeight="1">
      <c r="A3" s="133"/>
      <c r="B3" s="134" t="s">
        <v>282</v>
      </c>
      <c r="C3" s="135" t="s">
        <v>283</v>
      </c>
      <c r="D3" s="136"/>
      <c r="E3" s="137"/>
      <c r="F3" s="138"/>
      <c r="G3" s="138"/>
      <c r="H3" s="138"/>
      <c r="I3" s="138"/>
      <c r="J3" s="139"/>
      <c r="K3" s="133"/>
    </row>
    <row r="4" spans="1:11" ht="12.75" customHeight="1" thickBot="1">
      <c r="A4" s="69"/>
      <c r="B4" s="140"/>
      <c r="C4" s="140"/>
      <c r="D4" s="140"/>
      <c r="E4" s="140"/>
      <c r="F4" s="140"/>
      <c r="G4" s="140"/>
      <c r="H4" s="140"/>
      <c r="I4" s="140"/>
      <c r="J4" s="141" t="s">
        <v>284</v>
      </c>
      <c r="K4" s="69"/>
    </row>
    <row r="5" spans="1:11" ht="18" customHeight="1">
      <c r="A5" s="69"/>
      <c r="B5" s="539" t="s">
        <v>285</v>
      </c>
      <c r="C5" s="540"/>
      <c r="D5" s="142" t="s">
        <v>81</v>
      </c>
      <c r="E5" s="142" t="s">
        <v>286</v>
      </c>
      <c r="F5" s="142" t="s">
        <v>287</v>
      </c>
      <c r="G5" s="142" t="s">
        <v>288</v>
      </c>
      <c r="H5" s="143" t="s">
        <v>289</v>
      </c>
      <c r="I5" s="142" t="s">
        <v>290</v>
      </c>
      <c r="J5" s="144" t="s">
        <v>291</v>
      </c>
      <c r="K5" s="69"/>
    </row>
    <row r="6" spans="1:11" ht="10.5" customHeight="1">
      <c r="A6" s="69"/>
      <c r="B6" s="145" t="s">
        <v>305</v>
      </c>
      <c r="C6" s="146"/>
      <c r="D6" s="541" t="s">
        <v>306</v>
      </c>
      <c r="E6" s="543">
        <v>28.114899999999999</v>
      </c>
      <c r="F6" s="545">
        <v>23000</v>
      </c>
      <c r="G6" s="547">
        <v>646643</v>
      </c>
      <c r="H6" s="331"/>
      <c r="I6" s="331"/>
      <c r="J6" s="147"/>
      <c r="K6" s="69" t="s">
        <v>92</v>
      </c>
    </row>
    <row r="7" spans="1:11" ht="10.5" customHeight="1">
      <c r="A7" s="69"/>
      <c r="B7" s="148" t="s">
        <v>307</v>
      </c>
      <c r="C7" s="149"/>
      <c r="D7" s="542"/>
      <c r="E7" s="544"/>
      <c r="F7" s="546"/>
      <c r="G7" s="548"/>
      <c r="H7" s="332"/>
      <c r="I7" s="332" t="s">
        <v>308</v>
      </c>
      <c r="J7" s="150"/>
      <c r="K7" s="69" t="s">
        <v>92</v>
      </c>
    </row>
    <row r="8" spans="1:11" ht="10.5" customHeight="1">
      <c r="A8" s="69"/>
      <c r="B8" s="145"/>
      <c r="C8" s="146"/>
      <c r="D8" s="541"/>
      <c r="E8" s="543"/>
      <c r="F8" s="545"/>
      <c r="G8" s="547"/>
      <c r="H8" s="331"/>
      <c r="I8" s="331"/>
      <c r="J8" s="151"/>
      <c r="K8" s="69" t="s">
        <v>92</v>
      </c>
    </row>
    <row r="9" spans="1:11" ht="10.5" customHeight="1">
      <c r="A9" s="69"/>
      <c r="B9" s="148"/>
      <c r="C9" s="149"/>
      <c r="D9" s="542"/>
      <c r="E9" s="544"/>
      <c r="F9" s="546"/>
      <c r="G9" s="548"/>
      <c r="H9" s="332"/>
      <c r="I9" s="332"/>
      <c r="J9" s="151"/>
      <c r="K9" s="69" t="s">
        <v>92</v>
      </c>
    </row>
    <row r="10" spans="1:11" ht="10.5" customHeight="1">
      <c r="A10" s="69"/>
      <c r="B10" s="145" t="s">
        <v>304</v>
      </c>
      <c r="C10" s="146"/>
      <c r="D10" s="541"/>
      <c r="E10" s="543"/>
      <c r="F10" s="545"/>
      <c r="G10" s="547">
        <v>646643</v>
      </c>
      <c r="H10" s="331"/>
      <c r="I10" s="331"/>
      <c r="J10" s="147"/>
      <c r="K10" s="69" t="s">
        <v>92</v>
      </c>
    </row>
    <row r="11" spans="1:11" ht="10.5" customHeight="1">
      <c r="A11" s="69"/>
      <c r="B11" s="148"/>
      <c r="C11" s="149"/>
      <c r="D11" s="542"/>
      <c r="E11" s="544"/>
      <c r="F11" s="546"/>
      <c r="G11" s="548"/>
      <c r="H11" s="332"/>
      <c r="I11" s="332"/>
      <c r="J11" s="150"/>
      <c r="K11" s="69" t="s">
        <v>92</v>
      </c>
    </row>
    <row r="12" spans="1:11" ht="10.5" customHeight="1">
      <c r="A12" s="69"/>
      <c r="B12" s="145"/>
      <c r="C12" s="146"/>
      <c r="D12" s="541"/>
      <c r="E12" s="549"/>
      <c r="F12" s="545"/>
      <c r="G12" s="547"/>
      <c r="H12" s="331"/>
      <c r="I12" s="331"/>
      <c r="J12" s="147"/>
      <c r="K12" s="69" t="s">
        <v>92</v>
      </c>
    </row>
    <row r="13" spans="1:11" ht="10.5" customHeight="1">
      <c r="A13" s="69"/>
      <c r="B13" s="148"/>
      <c r="C13" s="149"/>
      <c r="D13" s="542"/>
      <c r="E13" s="550"/>
      <c r="F13" s="546"/>
      <c r="G13" s="548"/>
      <c r="H13" s="332"/>
      <c r="I13" s="332"/>
      <c r="J13" s="150"/>
      <c r="K13" s="69" t="s">
        <v>92</v>
      </c>
    </row>
    <row r="14" spans="1:11" ht="10.5" customHeight="1">
      <c r="A14" s="69"/>
      <c r="B14" s="145"/>
      <c r="C14" s="146"/>
      <c r="D14" s="541"/>
      <c r="E14" s="549"/>
      <c r="F14" s="545"/>
      <c r="G14" s="547"/>
      <c r="H14" s="331"/>
      <c r="I14" s="331"/>
      <c r="J14" s="147"/>
      <c r="K14" s="69" t="s">
        <v>92</v>
      </c>
    </row>
    <row r="15" spans="1:11" ht="10.5" customHeight="1">
      <c r="A15" s="69"/>
      <c r="B15" s="148"/>
      <c r="C15" s="149"/>
      <c r="D15" s="542"/>
      <c r="E15" s="550"/>
      <c r="F15" s="546"/>
      <c r="G15" s="548"/>
      <c r="H15" s="332"/>
      <c r="I15" s="332"/>
      <c r="J15" s="150"/>
      <c r="K15" s="69" t="s">
        <v>92</v>
      </c>
    </row>
    <row r="16" spans="1:11" ht="10.5" customHeight="1">
      <c r="A16" s="69"/>
      <c r="B16" s="145"/>
      <c r="C16" s="146"/>
      <c r="D16" s="541"/>
      <c r="E16" s="549"/>
      <c r="F16" s="545"/>
      <c r="G16" s="547"/>
      <c r="H16" s="331"/>
      <c r="I16" s="331"/>
      <c r="J16" s="147"/>
      <c r="K16" s="69" t="s">
        <v>92</v>
      </c>
    </row>
    <row r="17" spans="1:11" ht="10.5" customHeight="1">
      <c r="A17" s="69"/>
      <c r="B17" s="148"/>
      <c r="C17" s="149"/>
      <c r="D17" s="542"/>
      <c r="E17" s="550"/>
      <c r="F17" s="546"/>
      <c r="G17" s="548"/>
      <c r="H17" s="332"/>
      <c r="I17" s="332"/>
      <c r="J17" s="150"/>
      <c r="K17" s="69" t="s">
        <v>92</v>
      </c>
    </row>
    <row r="18" spans="1:11" ht="10.5" customHeight="1">
      <c r="A18" s="69"/>
      <c r="B18" s="145"/>
      <c r="C18" s="146"/>
      <c r="D18" s="541"/>
      <c r="E18" s="549"/>
      <c r="F18" s="545"/>
      <c r="G18" s="547"/>
      <c r="H18" s="331"/>
      <c r="I18" s="331"/>
      <c r="J18" s="147"/>
      <c r="K18" s="69" t="s">
        <v>92</v>
      </c>
    </row>
    <row r="19" spans="1:11" ht="10.5" customHeight="1">
      <c r="A19" s="69"/>
      <c r="B19" s="148"/>
      <c r="C19" s="149"/>
      <c r="D19" s="542"/>
      <c r="E19" s="550"/>
      <c r="F19" s="546"/>
      <c r="G19" s="548"/>
      <c r="H19" s="332"/>
      <c r="I19" s="332"/>
      <c r="J19" s="150"/>
      <c r="K19" s="69" t="s">
        <v>92</v>
      </c>
    </row>
    <row r="20" spans="1:11" ht="10.5" customHeight="1">
      <c r="A20" s="69"/>
      <c r="B20" s="145"/>
      <c r="C20" s="146"/>
      <c r="D20" s="541"/>
      <c r="E20" s="549"/>
      <c r="F20" s="545"/>
      <c r="G20" s="547"/>
      <c r="H20" s="331"/>
      <c r="I20" s="331"/>
      <c r="J20" s="147"/>
      <c r="K20" s="69" t="s">
        <v>92</v>
      </c>
    </row>
    <row r="21" spans="1:11" ht="10.5" customHeight="1">
      <c r="A21" s="69"/>
      <c r="B21" s="148"/>
      <c r="C21" s="149"/>
      <c r="D21" s="542"/>
      <c r="E21" s="550"/>
      <c r="F21" s="546"/>
      <c r="G21" s="548"/>
      <c r="H21" s="332"/>
      <c r="I21" s="332"/>
      <c r="J21" s="150"/>
      <c r="K21" s="69" t="s">
        <v>92</v>
      </c>
    </row>
    <row r="22" spans="1:11" ht="10.5" customHeight="1">
      <c r="A22" s="69"/>
      <c r="B22" s="145"/>
      <c r="C22" s="146"/>
      <c r="D22" s="541"/>
      <c r="E22" s="549"/>
      <c r="F22" s="545"/>
      <c r="G22" s="547"/>
      <c r="H22" s="331"/>
      <c r="I22" s="331"/>
      <c r="J22" s="147"/>
      <c r="K22" s="69" t="s">
        <v>92</v>
      </c>
    </row>
    <row r="23" spans="1:11" ht="10.5" customHeight="1">
      <c r="A23" s="69"/>
      <c r="B23" s="148"/>
      <c r="C23" s="149"/>
      <c r="D23" s="542"/>
      <c r="E23" s="550"/>
      <c r="F23" s="546"/>
      <c r="G23" s="548"/>
      <c r="H23" s="332"/>
      <c r="I23" s="332"/>
      <c r="J23" s="150"/>
      <c r="K23" s="69" t="s">
        <v>92</v>
      </c>
    </row>
    <row r="24" spans="1:11" ht="10.5" customHeight="1">
      <c r="A24" s="69"/>
      <c r="B24" s="145"/>
      <c r="C24" s="146"/>
      <c r="D24" s="541"/>
      <c r="E24" s="543"/>
      <c r="F24" s="545"/>
      <c r="G24" s="547"/>
      <c r="H24" s="331"/>
      <c r="I24" s="331"/>
      <c r="J24" s="147"/>
      <c r="K24" s="69" t="s">
        <v>92</v>
      </c>
    </row>
    <row r="25" spans="1:11" ht="10.5" customHeight="1">
      <c r="A25" s="69"/>
      <c r="B25" s="148"/>
      <c r="C25" s="149"/>
      <c r="D25" s="542"/>
      <c r="E25" s="544"/>
      <c r="F25" s="546"/>
      <c r="G25" s="548"/>
      <c r="H25" s="332"/>
      <c r="I25" s="332"/>
      <c r="J25" s="150"/>
      <c r="K25" s="69" t="s">
        <v>92</v>
      </c>
    </row>
    <row r="26" spans="1:11" ht="10.5" customHeight="1">
      <c r="A26" s="69"/>
      <c r="B26" s="145"/>
      <c r="C26" s="146"/>
      <c r="D26" s="541"/>
      <c r="E26" s="549"/>
      <c r="F26" s="545"/>
      <c r="G26" s="547"/>
      <c r="H26" s="331"/>
      <c r="I26" s="331"/>
      <c r="J26" s="147"/>
      <c r="K26" s="69" t="s">
        <v>92</v>
      </c>
    </row>
    <row r="27" spans="1:11" ht="10.5" customHeight="1">
      <c r="A27" s="69"/>
      <c r="B27" s="148"/>
      <c r="C27" s="149"/>
      <c r="D27" s="542"/>
      <c r="E27" s="550"/>
      <c r="F27" s="546"/>
      <c r="G27" s="548"/>
      <c r="H27" s="332"/>
      <c r="I27" s="332"/>
      <c r="J27" s="150"/>
      <c r="K27" s="69" t="s">
        <v>92</v>
      </c>
    </row>
    <row r="28" spans="1:11" ht="10.5" customHeight="1">
      <c r="A28" s="69"/>
      <c r="B28" s="145"/>
      <c r="C28" s="146"/>
      <c r="D28" s="541"/>
      <c r="E28" s="549"/>
      <c r="F28" s="545"/>
      <c r="G28" s="547"/>
      <c r="H28" s="331"/>
      <c r="I28" s="331"/>
      <c r="J28" s="147"/>
      <c r="K28" s="69" t="s">
        <v>92</v>
      </c>
    </row>
    <row r="29" spans="1:11" ht="10.5" customHeight="1">
      <c r="A29" s="69"/>
      <c r="B29" s="148"/>
      <c r="C29" s="149"/>
      <c r="D29" s="542"/>
      <c r="E29" s="550"/>
      <c r="F29" s="546"/>
      <c r="G29" s="548"/>
      <c r="H29" s="332"/>
      <c r="I29" s="332"/>
      <c r="J29" s="150"/>
      <c r="K29" s="69" t="s">
        <v>92</v>
      </c>
    </row>
    <row r="30" spans="1:11" ht="10.5" customHeight="1">
      <c r="A30" s="69"/>
      <c r="B30" s="145"/>
      <c r="C30" s="146"/>
      <c r="D30" s="541"/>
      <c r="E30" s="549"/>
      <c r="F30" s="545"/>
      <c r="G30" s="547"/>
      <c r="H30" s="331"/>
      <c r="I30" s="331"/>
      <c r="J30" s="147"/>
      <c r="K30" s="69" t="s">
        <v>92</v>
      </c>
    </row>
    <row r="31" spans="1:11" ht="10.5" customHeight="1">
      <c r="A31" s="69"/>
      <c r="B31" s="148"/>
      <c r="C31" s="149"/>
      <c r="D31" s="542"/>
      <c r="E31" s="550"/>
      <c r="F31" s="546"/>
      <c r="G31" s="548"/>
      <c r="H31" s="332"/>
      <c r="I31" s="332"/>
      <c r="J31" s="150"/>
      <c r="K31" s="69" t="s">
        <v>92</v>
      </c>
    </row>
    <row r="32" spans="1:11" ht="10.5" customHeight="1">
      <c r="A32" s="69"/>
      <c r="B32" s="145"/>
      <c r="C32" s="146"/>
      <c r="D32" s="541"/>
      <c r="E32" s="549"/>
      <c r="F32" s="545"/>
      <c r="G32" s="547"/>
      <c r="H32" s="331"/>
      <c r="I32" s="331"/>
      <c r="J32" s="147"/>
      <c r="K32" s="69" t="s">
        <v>92</v>
      </c>
    </row>
    <row r="33" spans="1:11" ht="10.5" customHeight="1">
      <c r="A33" s="69"/>
      <c r="B33" s="148"/>
      <c r="C33" s="149"/>
      <c r="D33" s="542"/>
      <c r="E33" s="550"/>
      <c r="F33" s="546"/>
      <c r="G33" s="548"/>
      <c r="H33" s="332"/>
      <c r="I33" s="332"/>
      <c r="J33" s="150"/>
      <c r="K33" s="69" t="s">
        <v>92</v>
      </c>
    </row>
    <row r="34" spans="1:11" ht="10.5" customHeight="1">
      <c r="A34" s="69"/>
      <c r="B34" s="145"/>
      <c r="C34" s="146"/>
      <c r="D34" s="541"/>
      <c r="E34" s="549"/>
      <c r="F34" s="545"/>
      <c r="G34" s="547"/>
      <c r="H34" s="331"/>
      <c r="I34" s="331"/>
      <c r="J34" s="147"/>
      <c r="K34" s="69" t="s">
        <v>92</v>
      </c>
    </row>
    <row r="35" spans="1:11" ht="10.5" customHeight="1">
      <c r="A35" s="69"/>
      <c r="B35" s="148"/>
      <c r="C35" s="149"/>
      <c r="D35" s="542"/>
      <c r="E35" s="550"/>
      <c r="F35" s="546"/>
      <c r="G35" s="548"/>
      <c r="H35" s="332"/>
      <c r="I35" s="332"/>
      <c r="J35" s="150"/>
      <c r="K35" s="69" t="s">
        <v>92</v>
      </c>
    </row>
    <row r="36" spans="1:11" ht="10.5" customHeight="1">
      <c r="A36" s="69"/>
      <c r="B36" s="145"/>
      <c r="C36" s="146"/>
      <c r="D36" s="541"/>
      <c r="E36" s="549"/>
      <c r="F36" s="545"/>
      <c r="G36" s="547"/>
      <c r="H36" s="331"/>
      <c r="I36" s="331"/>
      <c r="J36" s="147"/>
      <c r="K36" s="69" t="s">
        <v>92</v>
      </c>
    </row>
    <row r="37" spans="1:11" ht="10.5" customHeight="1">
      <c r="A37" s="69"/>
      <c r="B37" s="148"/>
      <c r="C37" s="149"/>
      <c r="D37" s="542"/>
      <c r="E37" s="550"/>
      <c r="F37" s="546"/>
      <c r="G37" s="548"/>
      <c r="H37" s="332"/>
      <c r="I37" s="332"/>
      <c r="J37" s="150"/>
      <c r="K37" s="69" t="s">
        <v>92</v>
      </c>
    </row>
    <row r="38" spans="1:11" ht="10.5" customHeight="1">
      <c r="A38" s="69"/>
      <c r="B38" s="145"/>
      <c r="C38" s="146"/>
      <c r="D38" s="541"/>
      <c r="E38" s="549"/>
      <c r="F38" s="545"/>
      <c r="G38" s="547"/>
      <c r="H38" s="331"/>
      <c r="I38" s="331"/>
      <c r="J38" s="147"/>
      <c r="K38" s="69" t="s">
        <v>92</v>
      </c>
    </row>
    <row r="39" spans="1:11" ht="10.5" customHeight="1">
      <c r="A39" s="69"/>
      <c r="B39" s="148"/>
      <c r="C39" s="149"/>
      <c r="D39" s="542"/>
      <c r="E39" s="550"/>
      <c r="F39" s="546"/>
      <c r="G39" s="548"/>
      <c r="H39" s="332"/>
      <c r="I39" s="332"/>
      <c r="J39" s="150"/>
      <c r="K39" s="69" t="s">
        <v>92</v>
      </c>
    </row>
    <row r="40" spans="1:11" ht="10.5" customHeight="1">
      <c r="A40" s="69"/>
      <c r="B40" s="145"/>
      <c r="C40" s="146"/>
      <c r="D40" s="541"/>
      <c r="E40" s="549"/>
      <c r="F40" s="545"/>
      <c r="G40" s="547"/>
      <c r="H40" s="331"/>
      <c r="I40" s="331"/>
      <c r="J40" s="147"/>
      <c r="K40" s="69" t="s">
        <v>92</v>
      </c>
    </row>
    <row r="41" spans="1:11" ht="10.5" customHeight="1">
      <c r="A41" s="69"/>
      <c r="B41" s="148"/>
      <c r="C41" s="149"/>
      <c r="D41" s="542"/>
      <c r="E41" s="550"/>
      <c r="F41" s="546"/>
      <c r="G41" s="548"/>
      <c r="H41" s="332"/>
      <c r="I41" s="332"/>
      <c r="J41" s="150"/>
      <c r="K41" s="69" t="s">
        <v>92</v>
      </c>
    </row>
    <row r="42" spans="1:11" ht="10.5" customHeight="1">
      <c r="A42" s="69"/>
      <c r="B42" s="145"/>
      <c r="C42" s="146"/>
      <c r="D42" s="541"/>
      <c r="E42" s="549"/>
      <c r="F42" s="545"/>
      <c r="G42" s="547"/>
      <c r="H42" s="331"/>
      <c r="I42" s="331"/>
      <c r="J42" s="147"/>
      <c r="K42" s="69" t="s">
        <v>92</v>
      </c>
    </row>
    <row r="43" spans="1:11" ht="10.5" customHeight="1">
      <c r="A43" s="69"/>
      <c r="B43" s="148"/>
      <c r="C43" s="149"/>
      <c r="D43" s="542"/>
      <c r="E43" s="550"/>
      <c r="F43" s="546"/>
      <c r="G43" s="548"/>
      <c r="H43" s="332"/>
      <c r="I43" s="332"/>
      <c r="J43" s="150"/>
      <c r="K43" s="69" t="s">
        <v>92</v>
      </c>
    </row>
    <row r="44" spans="1:11" ht="10.5" customHeight="1">
      <c r="A44" s="69"/>
      <c r="B44" s="145"/>
      <c r="C44" s="146"/>
      <c r="D44" s="541"/>
      <c r="E44" s="549"/>
      <c r="F44" s="545"/>
      <c r="G44" s="547"/>
      <c r="H44" s="331"/>
      <c r="I44" s="331"/>
      <c r="J44" s="147"/>
      <c r="K44" s="69" t="s">
        <v>92</v>
      </c>
    </row>
    <row r="45" spans="1:11" ht="10.5" customHeight="1">
      <c r="A45" s="69"/>
      <c r="B45" s="148"/>
      <c r="C45" s="149"/>
      <c r="D45" s="542"/>
      <c r="E45" s="550"/>
      <c r="F45" s="546"/>
      <c r="G45" s="548"/>
      <c r="H45" s="332"/>
      <c r="I45" s="332"/>
      <c r="J45" s="150"/>
      <c r="K45" s="69" t="s">
        <v>92</v>
      </c>
    </row>
    <row r="46" spans="1:11" ht="10.5" customHeight="1">
      <c r="A46" s="69"/>
      <c r="B46" s="145"/>
      <c r="C46" s="146"/>
      <c r="D46" s="551"/>
      <c r="E46" s="553"/>
      <c r="F46" s="555"/>
      <c r="G46" s="557"/>
      <c r="H46" s="331"/>
      <c r="I46" s="331"/>
      <c r="J46" s="151"/>
      <c r="K46" s="69" t="s">
        <v>92</v>
      </c>
    </row>
    <row r="47" spans="1:11" ht="10.5" customHeight="1" thickBot="1">
      <c r="A47" s="69"/>
      <c r="B47" s="152"/>
      <c r="C47" s="153"/>
      <c r="D47" s="552"/>
      <c r="E47" s="554"/>
      <c r="F47" s="556"/>
      <c r="G47" s="558"/>
      <c r="H47" s="333"/>
      <c r="I47" s="333"/>
      <c r="J47" s="154"/>
      <c r="K47" s="69" t="s">
        <v>92</v>
      </c>
    </row>
    <row r="48" spans="1:11" s="102" customFormat="1" ht="18" customHeight="1">
      <c r="A48" s="101"/>
      <c r="B48" s="155"/>
      <c r="C48" s="101"/>
      <c r="D48" s="101"/>
      <c r="E48" s="101"/>
      <c r="F48" s="101"/>
      <c r="G48" s="101"/>
      <c r="H48" s="101"/>
      <c r="I48" s="114"/>
      <c r="J48" s="114"/>
      <c r="K48" s="101"/>
    </row>
    <row r="49" spans="1:11" s="102" customFormat="1" ht="13.5" customHeight="1">
      <c r="A49" s="101"/>
      <c r="B49" s="155"/>
      <c r="C49" s="101"/>
      <c r="D49" s="101"/>
      <c r="E49" s="101"/>
      <c r="F49" s="101"/>
      <c r="G49" s="101"/>
      <c r="H49" s="101"/>
      <c r="I49" s="114"/>
      <c r="J49" s="114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31"/>
      <c r="C1" s="131"/>
      <c r="D1" s="509" t="s">
        <v>103</v>
      </c>
      <c r="E1" s="509"/>
      <c r="F1" s="509"/>
      <c r="G1" s="509"/>
      <c r="H1" s="69"/>
      <c r="I1" s="69"/>
      <c r="J1" s="69"/>
      <c r="K1" s="69"/>
    </row>
    <row r="2" spans="1:11" ht="13.5" customHeight="1">
      <c r="A2" s="132"/>
      <c r="B2" s="132"/>
      <c r="C2" s="132"/>
      <c r="D2" s="132"/>
      <c r="E2" s="132"/>
      <c r="F2" s="132"/>
      <c r="G2" s="132"/>
      <c r="H2" s="132"/>
      <c r="I2" s="132"/>
      <c r="J2" s="132"/>
      <c r="K2" s="132"/>
    </row>
    <row r="3" spans="1:11" ht="21" customHeight="1">
      <c r="A3" s="133"/>
      <c r="B3" s="134" t="s">
        <v>282</v>
      </c>
      <c r="C3" s="135" t="s">
        <v>283</v>
      </c>
      <c r="D3" s="136"/>
      <c r="E3" s="137"/>
      <c r="F3" s="138"/>
      <c r="G3" s="138"/>
      <c r="H3" s="138"/>
      <c r="I3" s="138"/>
      <c r="J3" s="139"/>
      <c r="K3" s="133"/>
    </row>
    <row r="4" spans="1:11" ht="12.75" customHeight="1" thickBot="1">
      <c r="A4" s="69"/>
      <c r="B4" s="140"/>
      <c r="C4" s="140"/>
      <c r="D4" s="140"/>
      <c r="E4" s="140"/>
      <c r="F4" s="140"/>
      <c r="G4" s="140"/>
      <c r="H4" s="140"/>
      <c r="I4" s="140"/>
      <c r="J4" s="141" t="s">
        <v>284</v>
      </c>
      <c r="K4" s="69"/>
    </row>
    <row r="5" spans="1:11" ht="18" customHeight="1">
      <c r="A5" s="69"/>
      <c r="B5" s="539" t="s">
        <v>285</v>
      </c>
      <c r="C5" s="540"/>
      <c r="D5" s="142" t="s">
        <v>81</v>
      </c>
      <c r="E5" s="142" t="s">
        <v>286</v>
      </c>
      <c r="F5" s="142" t="s">
        <v>287</v>
      </c>
      <c r="G5" s="142" t="s">
        <v>288</v>
      </c>
      <c r="H5" s="143" t="s">
        <v>289</v>
      </c>
      <c r="I5" s="142" t="s">
        <v>290</v>
      </c>
      <c r="J5" s="144" t="s">
        <v>291</v>
      </c>
      <c r="K5" s="69"/>
    </row>
    <row r="6" spans="1:11" ht="10.5" customHeight="1">
      <c r="A6" s="69"/>
      <c r="B6" s="145" t="s">
        <v>309</v>
      </c>
      <c r="C6" s="146"/>
      <c r="D6" s="541" t="s">
        <v>303</v>
      </c>
      <c r="E6" s="543">
        <v>1</v>
      </c>
      <c r="F6" s="545">
        <v>60000</v>
      </c>
      <c r="G6" s="547">
        <v>60000</v>
      </c>
      <c r="H6" s="331"/>
      <c r="I6" s="331"/>
      <c r="J6" s="147"/>
      <c r="K6" s="69" t="s">
        <v>92</v>
      </c>
    </row>
    <row r="7" spans="1:11" ht="10.5" customHeight="1">
      <c r="A7" s="69"/>
      <c r="B7" s="148" t="s">
        <v>310</v>
      </c>
      <c r="C7" s="149"/>
      <c r="D7" s="542"/>
      <c r="E7" s="544"/>
      <c r="F7" s="546"/>
      <c r="G7" s="548"/>
      <c r="H7" s="332"/>
      <c r="I7" s="332" t="s">
        <v>311</v>
      </c>
      <c r="J7" s="150"/>
      <c r="K7" s="69" t="s">
        <v>92</v>
      </c>
    </row>
    <row r="8" spans="1:11" ht="10.5" customHeight="1">
      <c r="A8" s="69"/>
      <c r="B8" s="145" t="s">
        <v>309</v>
      </c>
      <c r="C8" s="146"/>
      <c r="D8" s="541" t="s">
        <v>303</v>
      </c>
      <c r="E8" s="543">
        <v>1</v>
      </c>
      <c r="F8" s="545">
        <v>60000</v>
      </c>
      <c r="G8" s="547">
        <v>60000</v>
      </c>
      <c r="H8" s="331"/>
      <c r="I8" s="331"/>
      <c r="J8" s="151"/>
      <c r="K8" s="69" t="s">
        <v>92</v>
      </c>
    </row>
    <row r="9" spans="1:11" ht="10.5" customHeight="1">
      <c r="A9" s="69"/>
      <c r="B9" s="148" t="s">
        <v>312</v>
      </c>
      <c r="C9" s="149"/>
      <c r="D9" s="542"/>
      <c r="E9" s="544"/>
      <c r="F9" s="546"/>
      <c r="G9" s="548"/>
      <c r="H9" s="332"/>
      <c r="I9" s="332" t="s">
        <v>311</v>
      </c>
      <c r="J9" s="151"/>
      <c r="K9" s="69" t="s">
        <v>92</v>
      </c>
    </row>
    <row r="10" spans="1:11" ht="10.5" customHeight="1">
      <c r="A10" s="69"/>
      <c r="B10" s="145"/>
      <c r="C10" s="146"/>
      <c r="D10" s="541"/>
      <c r="E10" s="543"/>
      <c r="F10" s="545"/>
      <c r="G10" s="547"/>
      <c r="H10" s="331"/>
      <c r="I10" s="331"/>
      <c r="J10" s="147"/>
      <c r="K10" s="69" t="s">
        <v>92</v>
      </c>
    </row>
    <row r="11" spans="1:11" ht="10.5" customHeight="1">
      <c r="A11" s="69"/>
      <c r="B11" s="148"/>
      <c r="C11" s="149"/>
      <c r="D11" s="542"/>
      <c r="E11" s="544"/>
      <c r="F11" s="546"/>
      <c r="G11" s="548"/>
      <c r="H11" s="332"/>
      <c r="I11" s="332"/>
      <c r="J11" s="150"/>
      <c r="K11" s="69" t="s">
        <v>92</v>
      </c>
    </row>
    <row r="12" spans="1:11" ht="10.5" customHeight="1">
      <c r="A12" s="69"/>
      <c r="B12" s="145" t="s">
        <v>304</v>
      </c>
      <c r="C12" s="146"/>
      <c r="D12" s="541"/>
      <c r="E12" s="549"/>
      <c r="F12" s="545"/>
      <c r="G12" s="547">
        <v>120000</v>
      </c>
      <c r="H12" s="331"/>
      <c r="I12" s="331"/>
      <c r="J12" s="147"/>
      <c r="K12" s="69" t="s">
        <v>92</v>
      </c>
    </row>
    <row r="13" spans="1:11" ht="10.5" customHeight="1">
      <c r="A13" s="69"/>
      <c r="B13" s="148"/>
      <c r="C13" s="149"/>
      <c r="D13" s="542"/>
      <c r="E13" s="550"/>
      <c r="F13" s="546"/>
      <c r="G13" s="548"/>
      <c r="H13" s="332"/>
      <c r="I13" s="332"/>
      <c r="J13" s="150"/>
      <c r="K13" s="69" t="s">
        <v>92</v>
      </c>
    </row>
    <row r="14" spans="1:11" ht="10.5" customHeight="1">
      <c r="A14" s="69"/>
      <c r="B14" s="145"/>
      <c r="C14" s="146"/>
      <c r="D14" s="541"/>
      <c r="E14" s="549"/>
      <c r="F14" s="545"/>
      <c r="G14" s="547"/>
      <c r="H14" s="331"/>
      <c r="I14" s="331"/>
      <c r="J14" s="147"/>
      <c r="K14" s="69" t="s">
        <v>92</v>
      </c>
    </row>
    <row r="15" spans="1:11" ht="10.5" customHeight="1">
      <c r="A15" s="69"/>
      <c r="B15" s="148"/>
      <c r="C15" s="149"/>
      <c r="D15" s="542"/>
      <c r="E15" s="550"/>
      <c r="F15" s="546"/>
      <c r="G15" s="548"/>
      <c r="H15" s="332"/>
      <c r="I15" s="332"/>
      <c r="J15" s="150"/>
      <c r="K15" s="69" t="s">
        <v>92</v>
      </c>
    </row>
    <row r="16" spans="1:11" ht="10.5" customHeight="1">
      <c r="A16" s="69"/>
      <c r="B16" s="145"/>
      <c r="C16" s="146"/>
      <c r="D16" s="541"/>
      <c r="E16" s="549"/>
      <c r="F16" s="545"/>
      <c r="G16" s="547"/>
      <c r="H16" s="331"/>
      <c r="I16" s="331"/>
      <c r="J16" s="147"/>
      <c r="K16" s="69" t="s">
        <v>92</v>
      </c>
    </row>
    <row r="17" spans="1:11" ht="10.5" customHeight="1">
      <c r="A17" s="69"/>
      <c r="B17" s="148"/>
      <c r="C17" s="149"/>
      <c r="D17" s="542"/>
      <c r="E17" s="550"/>
      <c r="F17" s="546"/>
      <c r="G17" s="548"/>
      <c r="H17" s="332"/>
      <c r="I17" s="332"/>
      <c r="J17" s="150"/>
      <c r="K17" s="69" t="s">
        <v>92</v>
      </c>
    </row>
    <row r="18" spans="1:11" ht="10.5" customHeight="1">
      <c r="A18" s="69"/>
      <c r="B18" s="145"/>
      <c r="C18" s="146"/>
      <c r="D18" s="541"/>
      <c r="E18" s="549"/>
      <c r="F18" s="545"/>
      <c r="G18" s="547"/>
      <c r="H18" s="331"/>
      <c r="I18" s="331"/>
      <c r="J18" s="147"/>
      <c r="K18" s="69" t="s">
        <v>92</v>
      </c>
    </row>
    <row r="19" spans="1:11" ht="10.5" customHeight="1">
      <c r="A19" s="69"/>
      <c r="B19" s="148"/>
      <c r="C19" s="149"/>
      <c r="D19" s="542"/>
      <c r="E19" s="550"/>
      <c r="F19" s="546"/>
      <c r="G19" s="548"/>
      <c r="H19" s="332"/>
      <c r="I19" s="332"/>
      <c r="J19" s="150"/>
      <c r="K19" s="69" t="s">
        <v>92</v>
      </c>
    </row>
    <row r="20" spans="1:11" ht="10.5" customHeight="1">
      <c r="A20" s="69"/>
      <c r="B20" s="145"/>
      <c r="C20" s="146"/>
      <c r="D20" s="541"/>
      <c r="E20" s="549"/>
      <c r="F20" s="545"/>
      <c r="G20" s="547"/>
      <c r="H20" s="331"/>
      <c r="I20" s="331"/>
      <c r="J20" s="147"/>
      <c r="K20" s="69" t="s">
        <v>92</v>
      </c>
    </row>
    <row r="21" spans="1:11" ht="10.5" customHeight="1">
      <c r="A21" s="69"/>
      <c r="B21" s="148"/>
      <c r="C21" s="149"/>
      <c r="D21" s="542"/>
      <c r="E21" s="550"/>
      <c r="F21" s="546"/>
      <c r="G21" s="548"/>
      <c r="H21" s="332"/>
      <c r="I21" s="332"/>
      <c r="J21" s="150"/>
      <c r="K21" s="69" t="s">
        <v>92</v>
      </c>
    </row>
    <row r="22" spans="1:11" ht="10.5" customHeight="1">
      <c r="A22" s="69"/>
      <c r="B22" s="145"/>
      <c r="C22" s="146"/>
      <c r="D22" s="541"/>
      <c r="E22" s="549"/>
      <c r="F22" s="545"/>
      <c r="G22" s="547"/>
      <c r="H22" s="331"/>
      <c r="I22" s="331"/>
      <c r="J22" s="147"/>
      <c r="K22" s="69" t="s">
        <v>92</v>
      </c>
    </row>
    <row r="23" spans="1:11" ht="10.5" customHeight="1">
      <c r="A23" s="69"/>
      <c r="B23" s="148"/>
      <c r="C23" s="149"/>
      <c r="D23" s="542"/>
      <c r="E23" s="550"/>
      <c r="F23" s="546"/>
      <c r="G23" s="548"/>
      <c r="H23" s="332"/>
      <c r="I23" s="332"/>
      <c r="J23" s="150"/>
      <c r="K23" s="69" t="s">
        <v>92</v>
      </c>
    </row>
    <row r="24" spans="1:11" ht="10.5" customHeight="1">
      <c r="A24" s="69"/>
      <c r="B24" s="145"/>
      <c r="C24" s="146"/>
      <c r="D24" s="541"/>
      <c r="E24" s="543"/>
      <c r="F24" s="545"/>
      <c r="G24" s="547"/>
      <c r="H24" s="331"/>
      <c r="I24" s="331"/>
      <c r="J24" s="147"/>
      <c r="K24" s="69" t="s">
        <v>92</v>
      </c>
    </row>
    <row r="25" spans="1:11" ht="10.5" customHeight="1">
      <c r="A25" s="69"/>
      <c r="B25" s="148"/>
      <c r="C25" s="149"/>
      <c r="D25" s="542"/>
      <c r="E25" s="544"/>
      <c r="F25" s="546"/>
      <c r="G25" s="548"/>
      <c r="H25" s="332"/>
      <c r="I25" s="332"/>
      <c r="J25" s="150"/>
      <c r="K25" s="69" t="s">
        <v>92</v>
      </c>
    </row>
    <row r="26" spans="1:11" ht="10.5" customHeight="1">
      <c r="A26" s="69"/>
      <c r="B26" s="145"/>
      <c r="C26" s="146"/>
      <c r="D26" s="541"/>
      <c r="E26" s="549"/>
      <c r="F26" s="545"/>
      <c r="G26" s="547"/>
      <c r="H26" s="331"/>
      <c r="I26" s="331"/>
      <c r="J26" s="147"/>
      <c r="K26" s="69" t="s">
        <v>92</v>
      </c>
    </row>
    <row r="27" spans="1:11" ht="10.5" customHeight="1">
      <c r="A27" s="69"/>
      <c r="B27" s="148"/>
      <c r="C27" s="149"/>
      <c r="D27" s="542"/>
      <c r="E27" s="550"/>
      <c r="F27" s="546"/>
      <c r="G27" s="548"/>
      <c r="H27" s="332"/>
      <c r="I27" s="332"/>
      <c r="J27" s="150"/>
      <c r="K27" s="69" t="s">
        <v>92</v>
      </c>
    </row>
    <row r="28" spans="1:11" ht="10.5" customHeight="1">
      <c r="A28" s="69"/>
      <c r="B28" s="145"/>
      <c r="C28" s="146"/>
      <c r="D28" s="541"/>
      <c r="E28" s="549"/>
      <c r="F28" s="545"/>
      <c r="G28" s="547"/>
      <c r="H28" s="331"/>
      <c r="I28" s="331"/>
      <c r="J28" s="147"/>
      <c r="K28" s="69" t="s">
        <v>92</v>
      </c>
    </row>
    <row r="29" spans="1:11" ht="10.5" customHeight="1">
      <c r="A29" s="69"/>
      <c r="B29" s="148"/>
      <c r="C29" s="149"/>
      <c r="D29" s="542"/>
      <c r="E29" s="550"/>
      <c r="F29" s="546"/>
      <c r="G29" s="548"/>
      <c r="H29" s="332"/>
      <c r="I29" s="332"/>
      <c r="J29" s="150"/>
      <c r="K29" s="69" t="s">
        <v>92</v>
      </c>
    </row>
    <row r="30" spans="1:11" ht="10.5" customHeight="1">
      <c r="A30" s="69"/>
      <c r="B30" s="145"/>
      <c r="C30" s="146"/>
      <c r="D30" s="541"/>
      <c r="E30" s="549"/>
      <c r="F30" s="545"/>
      <c r="G30" s="547"/>
      <c r="H30" s="331"/>
      <c r="I30" s="331"/>
      <c r="J30" s="147"/>
      <c r="K30" s="69" t="s">
        <v>92</v>
      </c>
    </row>
    <row r="31" spans="1:11" ht="10.5" customHeight="1">
      <c r="A31" s="69"/>
      <c r="B31" s="148"/>
      <c r="C31" s="149"/>
      <c r="D31" s="542"/>
      <c r="E31" s="550"/>
      <c r="F31" s="546"/>
      <c r="G31" s="548"/>
      <c r="H31" s="332"/>
      <c r="I31" s="332"/>
      <c r="J31" s="150"/>
      <c r="K31" s="69" t="s">
        <v>92</v>
      </c>
    </row>
    <row r="32" spans="1:11" ht="10.5" customHeight="1">
      <c r="A32" s="69"/>
      <c r="B32" s="145"/>
      <c r="C32" s="146"/>
      <c r="D32" s="541"/>
      <c r="E32" s="549"/>
      <c r="F32" s="545"/>
      <c r="G32" s="547"/>
      <c r="H32" s="331"/>
      <c r="I32" s="331"/>
      <c r="J32" s="147"/>
      <c r="K32" s="69" t="s">
        <v>92</v>
      </c>
    </row>
    <row r="33" spans="1:11" ht="10.5" customHeight="1">
      <c r="A33" s="69"/>
      <c r="B33" s="148"/>
      <c r="C33" s="149"/>
      <c r="D33" s="542"/>
      <c r="E33" s="550"/>
      <c r="F33" s="546"/>
      <c r="G33" s="548"/>
      <c r="H33" s="332"/>
      <c r="I33" s="332"/>
      <c r="J33" s="150"/>
      <c r="K33" s="69" t="s">
        <v>92</v>
      </c>
    </row>
    <row r="34" spans="1:11" ht="10.5" customHeight="1">
      <c r="A34" s="69"/>
      <c r="B34" s="145"/>
      <c r="C34" s="146"/>
      <c r="D34" s="541"/>
      <c r="E34" s="549"/>
      <c r="F34" s="545"/>
      <c r="G34" s="547"/>
      <c r="H34" s="331"/>
      <c r="I34" s="331"/>
      <c r="J34" s="147"/>
      <c r="K34" s="69" t="s">
        <v>92</v>
      </c>
    </row>
    <row r="35" spans="1:11" ht="10.5" customHeight="1">
      <c r="A35" s="69"/>
      <c r="B35" s="148"/>
      <c r="C35" s="149"/>
      <c r="D35" s="542"/>
      <c r="E35" s="550"/>
      <c r="F35" s="546"/>
      <c r="G35" s="548"/>
      <c r="H35" s="332"/>
      <c r="I35" s="332"/>
      <c r="J35" s="150"/>
      <c r="K35" s="69" t="s">
        <v>92</v>
      </c>
    </row>
    <row r="36" spans="1:11" ht="10.5" customHeight="1">
      <c r="A36" s="69"/>
      <c r="B36" s="145"/>
      <c r="C36" s="146"/>
      <c r="D36" s="541"/>
      <c r="E36" s="549"/>
      <c r="F36" s="545"/>
      <c r="G36" s="547"/>
      <c r="H36" s="331"/>
      <c r="I36" s="331"/>
      <c r="J36" s="147"/>
      <c r="K36" s="69" t="s">
        <v>92</v>
      </c>
    </row>
    <row r="37" spans="1:11" ht="10.5" customHeight="1">
      <c r="A37" s="69"/>
      <c r="B37" s="148"/>
      <c r="C37" s="149"/>
      <c r="D37" s="542"/>
      <c r="E37" s="550"/>
      <c r="F37" s="546"/>
      <c r="G37" s="548"/>
      <c r="H37" s="332"/>
      <c r="I37" s="332"/>
      <c r="J37" s="150"/>
      <c r="K37" s="69" t="s">
        <v>92</v>
      </c>
    </row>
    <row r="38" spans="1:11" ht="10.5" customHeight="1">
      <c r="A38" s="69"/>
      <c r="B38" s="145"/>
      <c r="C38" s="146"/>
      <c r="D38" s="541"/>
      <c r="E38" s="549"/>
      <c r="F38" s="545"/>
      <c r="G38" s="547"/>
      <c r="H38" s="331"/>
      <c r="I38" s="331"/>
      <c r="J38" s="147"/>
      <c r="K38" s="69" t="s">
        <v>92</v>
      </c>
    </row>
    <row r="39" spans="1:11" ht="10.5" customHeight="1">
      <c r="A39" s="69"/>
      <c r="B39" s="148"/>
      <c r="C39" s="149"/>
      <c r="D39" s="542"/>
      <c r="E39" s="550"/>
      <c r="F39" s="546"/>
      <c r="G39" s="548"/>
      <c r="H39" s="332"/>
      <c r="I39" s="332"/>
      <c r="J39" s="150"/>
      <c r="K39" s="69" t="s">
        <v>92</v>
      </c>
    </row>
    <row r="40" spans="1:11" ht="10.5" customHeight="1">
      <c r="A40" s="69"/>
      <c r="B40" s="145"/>
      <c r="C40" s="146"/>
      <c r="D40" s="541"/>
      <c r="E40" s="549"/>
      <c r="F40" s="545"/>
      <c r="G40" s="547"/>
      <c r="H40" s="331"/>
      <c r="I40" s="331"/>
      <c r="J40" s="147"/>
      <c r="K40" s="69" t="s">
        <v>92</v>
      </c>
    </row>
    <row r="41" spans="1:11" ht="10.5" customHeight="1">
      <c r="A41" s="69"/>
      <c r="B41" s="148"/>
      <c r="C41" s="149"/>
      <c r="D41" s="542"/>
      <c r="E41" s="550"/>
      <c r="F41" s="546"/>
      <c r="G41" s="548"/>
      <c r="H41" s="332"/>
      <c r="I41" s="332"/>
      <c r="J41" s="150"/>
      <c r="K41" s="69" t="s">
        <v>92</v>
      </c>
    </row>
    <row r="42" spans="1:11" ht="10.5" customHeight="1">
      <c r="A42" s="69"/>
      <c r="B42" s="145"/>
      <c r="C42" s="146"/>
      <c r="D42" s="541"/>
      <c r="E42" s="549"/>
      <c r="F42" s="545"/>
      <c r="G42" s="547"/>
      <c r="H42" s="331"/>
      <c r="I42" s="331"/>
      <c r="J42" s="147"/>
      <c r="K42" s="69" t="s">
        <v>92</v>
      </c>
    </row>
    <row r="43" spans="1:11" ht="10.5" customHeight="1">
      <c r="A43" s="69"/>
      <c r="B43" s="148"/>
      <c r="C43" s="149"/>
      <c r="D43" s="542"/>
      <c r="E43" s="550"/>
      <c r="F43" s="546"/>
      <c r="G43" s="548"/>
      <c r="H43" s="332"/>
      <c r="I43" s="332"/>
      <c r="J43" s="150"/>
      <c r="K43" s="69" t="s">
        <v>92</v>
      </c>
    </row>
    <row r="44" spans="1:11" ht="10.5" customHeight="1">
      <c r="A44" s="69"/>
      <c r="B44" s="145"/>
      <c r="C44" s="146"/>
      <c r="D44" s="541"/>
      <c r="E44" s="549"/>
      <c r="F44" s="545"/>
      <c r="G44" s="547"/>
      <c r="H44" s="331"/>
      <c r="I44" s="331"/>
      <c r="J44" s="147"/>
      <c r="K44" s="69" t="s">
        <v>92</v>
      </c>
    </row>
    <row r="45" spans="1:11" ht="10.5" customHeight="1">
      <c r="A45" s="69"/>
      <c r="B45" s="148"/>
      <c r="C45" s="149"/>
      <c r="D45" s="542"/>
      <c r="E45" s="550"/>
      <c r="F45" s="546"/>
      <c r="G45" s="548"/>
      <c r="H45" s="332"/>
      <c r="I45" s="332"/>
      <c r="J45" s="150"/>
      <c r="K45" s="69" t="s">
        <v>92</v>
      </c>
    </row>
    <row r="46" spans="1:11" ht="10.5" customHeight="1">
      <c r="A46" s="69"/>
      <c r="B46" s="145"/>
      <c r="C46" s="146"/>
      <c r="D46" s="551"/>
      <c r="E46" s="553"/>
      <c r="F46" s="555"/>
      <c r="G46" s="557"/>
      <c r="H46" s="331"/>
      <c r="I46" s="331"/>
      <c r="J46" s="151"/>
      <c r="K46" s="69" t="s">
        <v>92</v>
      </c>
    </row>
    <row r="47" spans="1:11" ht="10.5" customHeight="1" thickBot="1">
      <c r="A47" s="69"/>
      <c r="B47" s="152"/>
      <c r="C47" s="153"/>
      <c r="D47" s="552"/>
      <c r="E47" s="554"/>
      <c r="F47" s="556"/>
      <c r="G47" s="558"/>
      <c r="H47" s="333"/>
      <c r="I47" s="333"/>
      <c r="J47" s="154"/>
      <c r="K47" s="69" t="s">
        <v>92</v>
      </c>
    </row>
    <row r="48" spans="1:11" s="102" customFormat="1" ht="18" customHeight="1">
      <c r="A48" s="101"/>
      <c r="B48" s="155"/>
      <c r="C48" s="101"/>
      <c r="D48" s="101"/>
      <c r="E48" s="101"/>
      <c r="F48" s="101"/>
      <c r="G48" s="101"/>
      <c r="H48" s="101"/>
      <c r="I48" s="114"/>
      <c r="J48" s="114"/>
      <c r="K48" s="101"/>
    </row>
    <row r="49" spans="1:11" s="102" customFormat="1" ht="13.5" customHeight="1">
      <c r="A49" s="101"/>
      <c r="B49" s="155"/>
      <c r="C49" s="101"/>
      <c r="D49" s="101"/>
      <c r="E49" s="101"/>
      <c r="F49" s="101"/>
      <c r="G49" s="101"/>
      <c r="H49" s="101"/>
      <c r="I49" s="114"/>
      <c r="J49" s="114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31"/>
      <c r="C1" s="131"/>
      <c r="D1" s="509" t="s">
        <v>104</v>
      </c>
      <c r="E1" s="509"/>
      <c r="F1" s="509"/>
      <c r="G1" s="509"/>
      <c r="H1" s="69"/>
      <c r="I1" s="69"/>
      <c r="J1" s="69"/>
      <c r="K1" s="69"/>
    </row>
    <row r="2" spans="1:11" ht="13.5" customHeight="1">
      <c r="A2" s="132"/>
      <c r="B2" s="132"/>
      <c r="C2" s="132"/>
      <c r="D2" s="132"/>
      <c r="E2" s="132"/>
      <c r="F2" s="132"/>
      <c r="G2" s="132"/>
      <c r="H2" s="132"/>
      <c r="I2" s="132"/>
      <c r="J2" s="132"/>
      <c r="K2" s="132"/>
    </row>
    <row r="3" spans="1:11" ht="21" customHeight="1">
      <c r="A3" s="133"/>
      <c r="B3" s="134" t="s">
        <v>282</v>
      </c>
      <c r="C3" s="135" t="s">
        <v>283</v>
      </c>
      <c r="D3" s="136"/>
      <c r="E3" s="137"/>
      <c r="F3" s="138"/>
      <c r="G3" s="138"/>
      <c r="H3" s="138"/>
      <c r="I3" s="138"/>
      <c r="J3" s="139"/>
      <c r="K3" s="133"/>
    </row>
    <row r="4" spans="1:11" ht="12.75" customHeight="1" thickBot="1">
      <c r="A4" s="69"/>
      <c r="B4" s="140"/>
      <c r="C4" s="140"/>
      <c r="D4" s="140"/>
      <c r="E4" s="140"/>
      <c r="F4" s="140"/>
      <c r="G4" s="140"/>
      <c r="H4" s="140"/>
      <c r="I4" s="140"/>
      <c r="J4" s="141" t="s">
        <v>284</v>
      </c>
      <c r="K4" s="69"/>
    </row>
    <row r="5" spans="1:11" ht="18" customHeight="1">
      <c r="A5" s="69"/>
      <c r="B5" s="539" t="s">
        <v>285</v>
      </c>
      <c r="C5" s="540"/>
      <c r="D5" s="142" t="s">
        <v>81</v>
      </c>
      <c r="E5" s="142" t="s">
        <v>286</v>
      </c>
      <c r="F5" s="142" t="s">
        <v>287</v>
      </c>
      <c r="G5" s="142" t="s">
        <v>288</v>
      </c>
      <c r="H5" s="143" t="s">
        <v>289</v>
      </c>
      <c r="I5" s="142" t="s">
        <v>290</v>
      </c>
      <c r="J5" s="144" t="s">
        <v>291</v>
      </c>
      <c r="K5" s="69"/>
    </row>
    <row r="6" spans="1:11" ht="10.5" customHeight="1">
      <c r="A6" s="69"/>
      <c r="B6" s="145" t="s">
        <v>313</v>
      </c>
      <c r="C6" s="146"/>
      <c r="D6" s="541" t="s">
        <v>314</v>
      </c>
      <c r="E6" s="543">
        <v>2.2667999999999999</v>
      </c>
      <c r="F6" s="545">
        <v>35000</v>
      </c>
      <c r="G6" s="547">
        <v>79338</v>
      </c>
      <c r="H6" s="331"/>
      <c r="I6" s="331"/>
      <c r="J6" s="147"/>
      <c r="K6" s="69" t="s">
        <v>92</v>
      </c>
    </row>
    <row r="7" spans="1:11" ht="10.5" customHeight="1">
      <c r="A7" s="69"/>
      <c r="B7" s="148" t="s">
        <v>315</v>
      </c>
      <c r="C7" s="149"/>
      <c r="D7" s="542"/>
      <c r="E7" s="544"/>
      <c r="F7" s="546"/>
      <c r="G7" s="548"/>
      <c r="H7" s="332"/>
      <c r="I7" s="332" t="s">
        <v>316</v>
      </c>
      <c r="J7" s="150"/>
      <c r="K7" s="69" t="s">
        <v>92</v>
      </c>
    </row>
    <row r="8" spans="1:11" ht="10.5" customHeight="1">
      <c r="A8" s="69"/>
      <c r="B8" s="145" t="s">
        <v>317</v>
      </c>
      <c r="C8" s="146"/>
      <c r="D8" s="541" t="s">
        <v>303</v>
      </c>
      <c r="E8" s="543">
        <v>1</v>
      </c>
      <c r="F8" s="545">
        <v>15000</v>
      </c>
      <c r="G8" s="547">
        <v>15000</v>
      </c>
      <c r="H8" s="331"/>
      <c r="I8" s="331"/>
      <c r="J8" s="151"/>
      <c r="K8" s="69" t="s">
        <v>92</v>
      </c>
    </row>
    <row r="9" spans="1:11" ht="10.5" customHeight="1">
      <c r="A9" s="69"/>
      <c r="B9" s="148"/>
      <c r="C9" s="149"/>
      <c r="D9" s="542"/>
      <c r="E9" s="544"/>
      <c r="F9" s="546"/>
      <c r="G9" s="548"/>
      <c r="H9" s="332"/>
      <c r="I9" s="332" t="s">
        <v>316</v>
      </c>
      <c r="J9" s="151"/>
      <c r="K9" s="69" t="s">
        <v>92</v>
      </c>
    </row>
    <row r="10" spans="1:11" ht="10.5" customHeight="1">
      <c r="A10" s="69"/>
      <c r="B10" s="145" t="s">
        <v>318</v>
      </c>
      <c r="C10" s="146"/>
      <c r="D10" s="541" t="s">
        <v>314</v>
      </c>
      <c r="E10" s="543">
        <v>3.2282999999999999</v>
      </c>
      <c r="F10" s="545">
        <v>6000</v>
      </c>
      <c r="G10" s="547">
        <v>19370</v>
      </c>
      <c r="H10" s="331"/>
      <c r="I10" s="331"/>
      <c r="J10" s="147"/>
      <c r="K10" s="69" t="s">
        <v>92</v>
      </c>
    </row>
    <row r="11" spans="1:11" ht="10.5" customHeight="1">
      <c r="A11" s="69"/>
      <c r="B11" s="148" t="s">
        <v>319</v>
      </c>
      <c r="C11" s="149"/>
      <c r="D11" s="542"/>
      <c r="E11" s="544"/>
      <c r="F11" s="546"/>
      <c r="G11" s="548"/>
      <c r="H11" s="332"/>
      <c r="I11" s="332" t="s">
        <v>316</v>
      </c>
      <c r="J11" s="150"/>
      <c r="K11" s="69" t="s">
        <v>92</v>
      </c>
    </row>
    <row r="12" spans="1:11" ht="10.5" customHeight="1">
      <c r="A12" s="69"/>
      <c r="B12" s="145" t="s">
        <v>320</v>
      </c>
      <c r="C12" s="146"/>
      <c r="D12" s="541" t="s">
        <v>314</v>
      </c>
      <c r="E12" s="549">
        <v>3.2282999999999999</v>
      </c>
      <c r="F12" s="545">
        <v>7000</v>
      </c>
      <c r="G12" s="547">
        <v>22598</v>
      </c>
      <c r="H12" s="331"/>
      <c r="I12" s="331"/>
      <c r="J12" s="147"/>
      <c r="K12" s="69" t="s">
        <v>92</v>
      </c>
    </row>
    <row r="13" spans="1:11" ht="10.5" customHeight="1">
      <c r="A13" s="69"/>
      <c r="B13" s="148" t="s">
        <v>321</v>
      </c>
      <c r="C13" s="149"/>
      <c r="D13" s="542"/>
      <c r="E13" s="550"/>
      <c r="F13" s="546"/>
      <c r="G13" s="548"/>
      <c r="H13" s="332"/>
      <c r="I13" s="332" t="s">
        <v>316</v>
      </c>
      <c r="J13" s="150"/>
      <c r="K13" s="69" t="s">
        <v>92</v>
      </c>
    </row>
    <row r="14" spans="1:11" ht="10.5" customHeight="1">
      <c r="A14" s="69"/>
      <c r="B14" s="145" t="s">
        <v>322</v>
      </c>
      <c r="C14" s="146"/>
      <c r="D14" s="541" t="s">
        <v>323</v>
      </c>
      <c r="E14" s="549">
        <v>2.2667999999999999</v>
      </c>
      <c r="F14" s="545">
        <v>50000</v>
      </c>
      <c r="G14" s="547">
        <v>113340</v>
      </c>
      <c r="H14" s="331"/>
      <c r="I14" s="331"/>
      <c r="J14" s="147"/>
      <c r="K14" s="69" t="s">
        <v>92</v>
      </c>
    </row>
    <row r="15" spans="1:11" ht="10.5" customHeight="1">
      <c r="A15" s="69"/>
      <c r="B15" s="148"/>
      <c r="C15" s="149"/>
      <c r="D15" s="542"/>
      <c r="E15" s="550"/>
      <c r="F15" s="546"/>
      <c r="G15" s="548"/>
      <c r="H15" s="332"/>
      <c r="I15" s="332" t="s">
        <v>316</v>
      </c>
      <c r="J15" s="150"/>
      <c r="K15" s="69" t="s">
        <v>92</v>
      </c>
    </row>
    <row r="16" spans="1:11" ht="10.5" customHeight="1">
      <c r="A16" s="69"/>
      <c r="B16" s="145" t="s">
        <v>324</v>
      </c>
      <c r="C16" s="146"/>
      <c r="D16" s="541" t="s">
        <v>314</v>
      </c>
      <c r="E16" s="549">
        <v>3.2282999999999999</v>
      </c>
      <c r="F16" s="545">
        <v>7000</v>
      </c>
      <c r="G16" s="547">
        <v>22598</v>
      </c>
      <c r="H16" s="331"/>
      <c r="I16" s="331"/>
      <c r="J16" s="147"/>
      <c r="K16" s="69" t="s">
        <v>92</v>
      </c>
    </row>
    <row r="17" spans="1:11" ht="10.5" customHeight="1">
      <c r="A17" s="69"/>
      <c r="B17" s="148" t="s">
        <v>325</v>
      </c>
      <c r="C17" s="149"/>
      <c r="D17" s="542"/>
      <c r="E17" s="550"/>
      <c r="F17" s="546"/>
      <c r="G17" s="548"/>
      <c r="H17" s="332"/>
      <c r="I17" s="332" t="s">
        <v>316</v>
      </c>
      <c r="J17" s="150"/>
      <c r="K17" s="69" t="s">
        <v>92</v>
      </c>
    </row>
    <row r="18" spans="1:11" ht="10.5" customHeight="1">
      <c r="A18" s="69"/>
      <c r="B18" s="145" t="s">
        <v>326</v>
      </c>
      <c r="C18" s="146"/>
      <c r="D18" s="541" t="s">
        <v>314</v>
      </c>
      <c r="E18" s="549">
        <v>3.2282999999999999</v>
      </c>
      <c r="F18" s="545">
        <v>3000</v>
      </c>
      <c r="G18" s="547">
        <v>9685</v>
      </c>
      <c r="H18" s="331"/>
      <c r="I18" s="331"/>
      <c r="J18" s="147"/>
      <c r="K18" s="69" t="s">
        <v>92</v>
      </c>
    </row>
    <row r="19" spans="1:11" ht="10.5" customHeight="1">
      <c r="A19" s="69"/>
      <c r="B19" s="148"/>
      <c r="C19" s="149"/>
      <c r="D19" s="542"/>
      <c r="E19" s="550"/>
      <c r="F19" s="546"/>
      <c r="G19" s="548"/>
      <c r="H19" s="332"/>
      <c r="I19" s="332" t="s">
        <v>316</v>
      </c>
      <c r="J19" s="150"/>
      <c r="K19" s="69" t="s">
        <v>92</v>
      </c>
    </row>
    <row r="20" spans="1:11" ht="10.5" customHeight="1">
      <c r="A20" s="69"/>
      <c r="B20" s="145" t="s">
        <v>327</v>
      </c>
      <c r="C20" s="146"/>
      <c r="D20" s="541" t="s">
        <v>303</v>
      </c>
      <c r="E20" s="549">
        <v>2.2667999999999999</v>
      </c>
      <c r="F20" s="545">
        <v>10000</v>
      </c>
      <c r="G20" s="547">
        <v>22668</v>
      </c>
      <c r="H20" s="331"/>
      <c r="I20" s="331"/>
      <c r="J20" s="147"/>
      <c r="K20" s="69" t="s">
        <v>92</v>
      </c>
    </row>
    <row r="21" spans="1:11" ht="10.5" customHeight="1">
      <c r="A21" s="69"/>
      <c r="B21" s="148"/>
      <c r="C21" s="149"/>
      <c r="D21" s="542"/>
      <c r="E21" s="550"/>
      <c r="F21" s="546"/>
      <c r="G21" s="548"/>
      <c r="H21" s="332"/>
      <c r="I21" s="332" t="s">
        <v>316</v>
      </c>
      <c r="J21" s="150"/>
      <c r="K21" s="69" t="s">
        <v>92</v>
      </c>
    </row>
    <row r="22" spans="1:11" ht="10.5" customHeight="1">
      <c r="A22" s="69"/>
      <c r="B22" s="145"/>
      <c r="C22" s="146"/>
      <c r="D22" s="541"/>
      <c r="E22" s="549"/>
      <c r="F22" s="545"/>
      <c r="G22" s="547"/>
      <c r="H22" s="331"/>
      <c r="I22" s="331"/>
      <c r="J22" s="147"/>
      <c r="K22" s="69" t="s">
        <v>92</v>
      </c>
    </row>
    <row r="23" spans="1:11" ht="10.5" customHeight="1">
      <c r="A23" s="69"/>
      <c r="B23" s="148"/>
      <c r="C23" s="149"/>
      <c r="D23" s="542"/>
      <c r="E23" s="550"/>
      <c r="F23" s="546"/>
      <c r="G23" s="548"/>
      <c r="H23" s="332"/>
      <c r="I23" s="332"/>
      <c r="J23" s="150"/>
      <c r="K23" s="69" t="s">
        <v>92</v>
      </c>
    </row>
    <row r="24" spans="1:11" ht="10.5" customHeight="1">
      <c r="A24" s="69"/>
      <c r="B24" s="145" t="s">
        <v>304</v>
      </c>
      <c r="C24" s="146"/>
      <c r="D24" s="541"/>
      <c r="E24" s="543"/>
      <c r="F24" s="545"/>
      <c r="G24" s="547">
        <v>304597</v>
      </c>
      <c r="H24" s="331"/>
      <c r="I24" s="331"/>
      <c r="J24" s="147"/>
      <c r="K24" s="69" t="s">
        <v>92</v>
      </c>
    </row>
    <row r="25" spans="1:11" ht="10.5" customHeight="1">
      <c r="A25" s="69"/>
      <c r="B25" s="148"/>
      <c r="C25" s="149"/>
      <c r="D25" s="542"/>
      <c r="E25" s="544"/>
      <c r="F25" s="546"/>
      <c r="G25" s="548"/>
      <c r="H25" s="332"/>
      <c r="I25" s="332"/>
      <c r="J25" s="150"/>
      <c r="K25" s="69" t="s">
        <v>92</v>
      </c>
    </row>
    <row r="26" spans="1:11" ht="10.5" customHeight="1">
      <c r="A26" s="69"/>
      <c r="B26" s="145"/>
      <c r="C26" s="146"/>
      <c r="D26" s="541"/>
      <c r="E26" s="549"/>
      <c r="F26" s="545"/>
      <c r="G26" s="547"/>
      <c r="H26" s="331"/>
      <c r="I26" s="331"/>
      <c r="J26" s="147"/>
      <c r="K26" s="69" t="s">
        <v>92</v>
      </c>
    </row>
    <row r="27" spans="1:11" ht="10.5" customHeight="1">
      <c r="A27" s="69"/>
      <c r="B27" s="148"/>
      <c r="C27" s="149"/>
      <c r="D27" s="542"/>
      <c r="E27" s="550"/>
      <c r="F27" s="546"/>
      <c r="G27" s="548"/>
      <c r="H27" s="332"/>
      <c r="I27" s="332"/>
      <c r="J27" s="150"/>
      <c r="K27" s="69" t="s">
        <v>92</v>
      </c>
    </row>
    <row r="28" spans="1:11" ht="10.5" customHeight="1">
      <c r="A28" s="69"/>
      <c r="B28" s="145"/>
      <c r="C28" s="146"/>
      <c r="D28" s="541"/>
      <c r="E28" s="549"/>
      <c r="F28" s="545"/>
      <c r="G28" s="547"/>
      <c r="H28" s="331"/>
      <c r="I28" s="331"/>
      <c r="J28" s="147"/>
      <c r="K28" s="69" t="s">
        <v>92</v>
      </c>
    </row>
    <row r="29" spans="1:11" ht="10.5" customHeight="1">
      <c r="A29" s="69"/>
      <c r="B29" s="148"/>
      <c r="C29" s="149"/>
      <c r="D29" s="542"/>
      <c r="E29" s="550"/>
      <c r="F29" s="546"/>
      <c r="G29" s="548"/>
      <c r="H29" s="332"/>
      <c r="I29" s="332"/>
      <c r="J29" s="150"/>
      <c r="K29" s="69" t="s">
        <v>92</v>
      </c>
    </row>
    <row r="30" spans="1:11" ht="10.5" customHeight="1">
      <c r="A30" s="69"/>
      <c r="B30" s="145"/>
      <c r="C30" s="146"/>
      <c r="D30" s="541"/>
      <c r="E30" s="549"/>
      <c r="F30" s="545"/>
      <c r="G30" s="547"/>
      <c r="H30" s="331"/>
      <c r="I30" s="331"/>
      <c r="J30" s="147"/>
      <c r="K30" s="69" t="s">
        <v>92</v>
      </c>
    </row>
    <row r="31" spans="1:11" ht="10.5" customHeight="1">
      <c r="A31" s="69"/>
      <c r="B31" s="148"/>
      <c r="C31" s="149"/>
      <c r="D31" s="542"/>
      <c r="E31" s="550"/>
      <c r="F31" s="546"/>
      <c r="G31" s="548"/>
      <c r="H31" s="332"/>
      <c r="I31" s="332"/>
      <c r="J31" s="150"/>
      <c r="K31" s="69" t="s">
        <v>92</v>
      </c>
    </row>
    <row r="32" spans="1:11" ht="10.5" customHeight="1">
      <c r="A32" s="69"/>
      <c r="B32" s="145"/>
      <c r="C32" s="146"/>
      <c r="D32" s="541"/>
      <c r="E32" s="549"/>
      <c r="F32" s="545"/>
      <c r="G32" s="547"/>
      <c r="H32" s="331"/>
      <c r="I32" s="331"/>
      <c r="J32" s="147"/>
      <c r="K32" s="69" t="s">
        <v>92</v>
      </c>
    </row>
    <row r="33" spans="1:11" ht="10.5" customHeight="1">
      <c r="A33" s="69"/>
      <c r="B33" s="148"/>
      <c r="C33" s="149"/>
      <c r="D33" s="542"/>
      <c r="E33" s="550"/>
      <c r="F33" s="546"/>
      <c r="G33" s="548"/>
      <c r="H33" s="332"/>
      <c r="I33" s="332"/>
      <c r="J33" s="150"/>
      <c r="K33" s="69" t="s">
        <v>92</v>
      </c>
    </row>
    <row r="34" spans="1:11" ht="10.5" customHeight="1">
      <c r="A34" s="69"/>
      <c r="B34" s="145"/>
      <c r="C34" s="146"/>
      <c r="D34" s="541"/>
      <c r="E34" s="549"/>
      <c r="F34" s="545"/>
      <c r="G34" s="547"/>
      <c r="H34" s="331"/>
      <c r="I34" s="331"/>
      <c r="J34" s="147"/>
      <c r="K34" s="69" t="s">
        <v>92</v>
      </c>
    </row>
    <row r="35" spans="1:11" ht="10.5" customHeight="1">
      <c r="A35" s="69"/>
      <c r="B35" s="148"/>
      <c r="C35" s="149"/>
      <c r="D35" s="542"/>
      <c r="E35" s="550"/>
      <c r="F35" s="546"/>
      <c r="G35" s="548"/>
      <c r="H35" s="332"/>
      <c r="I35" s="332"/>
      <c r="J35" s="150"/>
      <c r="K35" s="69" t="s">
        <v>92</v>
      </c>
    </row>
    <row r="36" spans="1:11" ht="10.5" customHeight="1">
      <c r="A36" s="69"/>
      <c r="B36" s="145"/>
      <c r="C36" s="146"/>
      <c r="D36" s="541"/>
      <c r="E36" s="549"/>
      <c r="F36" s="545"/>
      <c r="G36" s="547"/>
      <c r="H36" s="331"/>
      <c r="I36" s="331"/>
      <c r="J36" s="147"/>
      <c r="K36" s="69" t="s">
        <v>92</v>
      </c>
    </row>
    <row r="37" spans="1:11" ht="10.5" customHeight="1">
      <c r="A37" s="69"/>
      <c r="B37" s="148"/>
      <c r="C37" s="149"/>
      <c r="D37" s="542"/>
      <c r="E37" s="550"/>
      <c r="F37" s="546"/>
      <c r="G37" s="548"/>
      <c r="H37" s="332"/>
      <c r="I37" s="332"/>
      <c r="J37" s="150"/>
      <c r="K37" s="69" t="s">
        <v>92</v>
      </c>
    </row>
    <row r="38" spans="1:11" ht="10.5" customHeight="1">
      <c r="A38" s="69"/>
      <c r="B38" s="145"/>
      <c r="C38" s="146"/>
      <c r="D38" s="541"/>
      <c r="E38" s="549"/>
      <c r="F38" s="545"/>
      <c r="G38" s="547"/>
      <c r="H38" s="331"/>
      <c r="I38" s="331"/>
      <c r="J38" s="147"/>
      <c r="K38" s="69" t="s">
        <v>92</v>
      </c>
    </row>
    <row r="39" spans="1:11" ht="10.5" customHeight="1">
      <c r="A39" s="69"/>
      <c r="B39" s="148"/>
      <c r="C39" s="149"/>
      <c r="D39" s="542"/>
      <c r="E39" s="550"/>
      <c r="F39" s="546"/>
      <c r="G39" s="548"/>
      <c r="H39" s="332"/>
      <c r="I39" s="332"/>
      <c r="J39" s="150"/>
      <c r="K39" s="69" t="s">
        <v>92</v>
      </c>
    </row>
    <row r="40" spans="1:11" ht="10.5" customHeight="1">
      <c r="A40" s="69"/>
      <c r="B40" s="145"/>
      <c r="C40" s="146"/>
      <c r="D40" s="541"/>
      <c r="E40" s="549"/>
      <c r="F40" s="545"/>
      <c r="G40" s="547"/>
      <c r="H40" s="331"/>
      <c r="I40" s="331"/>
      <c r="J40" s="147"/>
      <c r="K40" s="69" t="s">
        <v>92</v>
      </c>
    </row>
    <row r="41" spans="1:11" ht="10.5" customHeight="1">
      <c r="A41" s="69"/>
      <c r="B41" s="148"/>
      <c r="C41" s="149"/>
      <c r="D41" s="542"/>
      <c r="E41" s="550"/>
      <c r="F41" s="546"/>
      <c r="G41" s="548"/>
      <c r="H41" s="332"/>
      <c r="I41" s="332"/>
      <c r="J41" s="150"/>
      <c r="K41" s="69" t="s">
        <v>92</v>
      </c>
    </row>
    <row r="42" spans="1:11" ht="10.5" customHeight="1">
      <c r="A42" s="69"/>
      <c r="B42" s="145"/>
      <c r="C42" s="146"/>
      <c r="D42" s="541"/>
      <c r="E42" s="549"/>
      <c r="F42" s="545"/>
      <c r="G42" s="547"/>
      <c r="H42" s="331"/>
      <c r="I42" s="331"/>
      <c r="J42" s="147"/>
      <c r="K42" s="69" t="s">
        <v>92</v>
      </c>
    </row>
    <row r="43" spans="1:11" ht="10.5" customHeight="1">
      <c r="A43" s="69"/>
      <c r="B43" s="148"/>
      <c r="C43" s="149"/>
      <c r="D43" s="542"/>
      <c r="E43" s="550"/>
      <c r="F43" s="546"/>
      <c r="G43" s="548"/>
      <c r="H43" s="332"/>
      <c r="I43" s="332"/>
      <c r="J43" s="150"/>
      <c r="K43" s="69" t="s">
        <v>92</v>
      </c>
    </row>
    <row r="44" spans="1:11" ht="10.5" customHeight="1">
      <c r="A44" s="69"/>
      <c r="B44" s="145"/>
      <c r="C44" s="146"/>
      <c r="D44" s="541"/>
      <c r="E44" s="549"/>
      <c r="F44" s="545"/>
      <c r="G44" s="547"/>
      <c r="H44" s="331"/>
      <c r="I44" s="331"/>
      <c r="J44" s="147"/>
      <c r="K44" s="69" t="s">
        <v>92</v>
      </c>
    </row>
    <row r="45" spans="1:11" ht="10.5" customHeight="1">
      <c r="A45" s="69"/>
      <c r="B45" s="148"/>
      <c r="C45" s="149"/>
      <c r="D45" s="542"/>
      <c r="E45" s="550"/>
      <c r="F45" s="546"/>
      <c r="G45" s="548"/>
      <c r="H45" s="332"/>
      <c r="I45" s="332"/>
      <c r="J45" s="150"/>
      <c r="K45" s="69" t="s">
        <v>92</v>
      </c>
    </row>
    <row r="46" spans="1:11" ht="10.5" customHeight="1">
      <c r="A46" s="69"/>
      <c r="B46" s="145"/>
      <c r="C46" s="146"/>
      <c r="D46" s="551"/>
      <c r="E46" s="553"/>
      <c r="F46" s="555"/>
      <c r="G46" s="557"/>
      <c r="H46" s="331"/>
      <c r="I46" s="331"/>
      <c r="J46" s="151"/>
      <c r="K46" s="69" t="s">
        <v>92</v>
      </c>
    </row>
    <row r="47" spans="1:11" ht="10.5" customHeight="1" thickBot="1">
      <c r="A47" s="69"/>
      <c r="B47" s="152"/>
      <c r="C47" s="153"/>
      <c r="D47" s="552"/>
      <c r="E47" s="554"/>
      <c r="F47" s="556"/>
      <c r="G47" s="558"/>
      <c r="H47" s="333"/>
      <c r="I47" s="333"/>
      <c r="J47" s="154"/>
      <c r="K47" s="69" t="s">
        <v>92</v>
      </c>
    </row>
    <row r="48" spans="1:11" s="102" customFormat="1" ht="18" customHeight="1">
      <c r="A48" s="101"/>
      <c r="B48" s="155"/>
      <c r="C48" s="101"/>
      <c r="D48" s="101"/>
      <c r="E48" s="101"/>
      <c r="F48" s="101"/>
      <c r="G48" s="101"/>
      <c r="H48" s="101"/>
      <c r="I48" s="114"/>
      <c r="J48" s="114"/>
      <c r="K48" s="101"/>
    </row>
    <row r="49" spans="1:11" s="102" customFormat="1" ht="13.5" customHeight="1">
      <c r="A49" s="101"/>
      <c r="B49" s="155"/>
      <c r="C49" s="101"/>
      <c r="D49" s="101"/>
      <c r="E49" s="101"/>
      <c r="F49" s="101"/>
      <c r="G49" s="101"/>
      <c r="H49" s="101"/>
      <c r="I49" s="114"/>
      <c r="J49" s="114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31"/>
      <c r="C1" s="131"/>
      <c r="D1" s="509" t="s">
        <v>105</v>
      </c>
      <c r="E1" s="509"/>
      <c r="F1" s="509"/>
      <c r="G1" s="509"/>
      <c r="H1" s="69"/>
      <c r="I1" s="69"/>
      <c r="J1" s="69"/>
      <c r="K1" s="69"/>
    </row>
    <row r="2" spans="1:11" ht="13.5" customHeight="1">
      <c r="A2" s="132"/>
      <c r="B2" s="132"/>
      <c r="C2" s="132"/>
      <c r="D2" s="132"/>
      <c r="E2" s="132"/>
      <c r="F2" s="132"/>
      <c r="G2" s="132"/>
      <c r="H2" s="132"/>
      <c r="I2" s="132"/>
      <c r="J2" s="132"/>
      <c r="K2" s="132"/>
    </row>
    <row r="3" spans="1:11" ht="21" customHeight="1">
      <c r="A3" s="133"/>
      <c r="B3" s="134" t="s">
        <v>282</v>
      </c>
      <c r="C3" s="135" t="s">
        <v>283</v>
      </c>
      <c r="D3" s="136"/>
      <c r="E3" s="137"/>
      <c r="F3" s="138"/>
      <c r="G3" s="138"/>
      <c r="H3" s="138"/>
      <c r="I3" s="138"/>
      <c r="J3" s="139"/>
      <c r="K3" s="133"/>
    </row>
    <row r="4" spans="1:11" ht="12.75" customHeight="1" thickBot="1">
      <c r="A4" s="69"/>
      <c r="B4" s="140"/>
      <c r="C4" s="140"/>
      <c r="D4" s="140"/>
      <c r="E4" s="140"/>
      <c r="F4" s="140"/>
      <c r="G4" s="140"/>
      <c r="H4" s="140"/>
      <c r="I4" s="140"/>
      <c r="J4" s="141" t="s">
        <v>284</v>
      </c>
      <c r="K4" s="69"/>
    </row>
    <row r="5" spans="1:11" ht="18" customHeight="1">
      <c r="A5" s="69"/>
      <c r="B5" s="539" t="s">
        <v>285</v>
      </c>
      <c r="C5" s="540"/>
      <c r="D5" s="142" t="s">
        <v>81</v>
      </c>
      <c r="E5" s="142" t="s">
        <v>286</v>
      </c>
      <c r="F5" s="142" t="s">
        <v>287</v>
      </c>
      <c r="G5" s="142" t="s">
        <v>288</v>
      </c>
      <c r="H5" s="143" t="s">
        <v>289</v>
      </c>
      <c r="I5" s="142" t="s">
        <v>290</v>
      </c>
      <c r="J5" s="144" t="s">
        <v>291</v>
      </c>
      <c r="K5" s="69"/>
    </row>
    <row r="6" spans="1:11" ht="10.5" customHeight="1">
      <c r="A6" s="69"/>
      <c r="B6" s="145" t="s">
        <v>328</v>
      </c>
      <c r="C6" s="146"/>
      <c r="D6" s="541" t="s">
        <v>329</v>
      </c>
      <c r="E6" s="543">
        <v>4</v>
      </c>
      <c r="F6" s="545">
        <v>25000</v>
      </c>
      <c r="G6" s="547">
        <v>100000</v>
      </c>
      <c r="H6" s="331"/>
      <c r="I6" s="331"/>
      <c r="J6" s="147"/>
      <c r="K6" s="69" t="s">
        <v>92</v>
      </c>
    </row>
    <row r="7" spans="1:11" ht="10.5" customHeight="1">
      <c r="A7" s="69"/>
      <c r="B7" s="148" t="s">
        <v>330</v>
      </c>
      <c r="C7" s="149"/>
      <c r="D7" s="542"/>
      <c r="E7" s="544"/>
      <c r="F7" s="546"/>
      <c r="G7" s="548"/>
      <c r="H7" s="332"/>
      <c r="I7" s="332" t="s">
        <v>331</v>
      </c>
      <c r="J7" s="150"/>
      <c r="K7" s="69" t="s">
        <v>92</v>
      </c>
    </row>
    <row r="8" spans="1:11" ht="10.5" customHeight="1">
      <c r="A8" s="69"/>
      <c r="B8" s="145" t="s">
        <v>332</v>
      </c>
      <c r="C8" s="146"/>
      <c r="D8" s="541" t="s">
        <v>314</v>
      </c>
      <c r="E8" s="543">
        <v>6.4565999999999999</v>
      </c>
      <c r="F8" s="545">
        <v>7000</v>
      </c>
      <c r="G8" s="547">
        <v>45196</v>
      </c>
      <c r="H8" s="331"/>
      <c r="I8" s="331"/>
      <c r="J8" s="151"/>
      <c r="K8" s="69" t="s">
        <v>92</v>
      </c>
    </row>
    <row r="9" spans="1:11" ht="10.5" customHeight="1">
      <c r="A9" s="69"/>
      <c r="B9" s="148"/>
      <c r="C9" s="149"/>
      <c r="D9" s="542"/>
      <c r="E9" s="544"/>
      <c r="F9" s="546"/>
      <c r="G9" s="548"/>
      <c r="H9" s="332"/>
      <c r="I9" s="332" t="s">
        <v>331</v>
      </c>
      <c r="J9" s="151"/>
      <c r="K9" s="69" t="s">
        <v>92</v>
      </c>
    </row>
    <row r="10" spans="1:11" ht="10.5" customHeight="1">
      <c r="A10" s="69"/>
      <c r="B10" s="145" t="s">
        <v>332</v>
      </c>
      <c r="C10" s="146"/>
      <c r="D10" s="541" t="s">
        <v>329</v>
      </c>
      <c r="E10" s="543">
        <v>4</v>
      </c>
      <c r="F10" s="545">
        <v>10000</v>
      </c>
      <c r="G10" s="547">
        <v>40000</v>
      </c>
      <c r="H10" s="331"/>
      <c r="I10" s="331"/>
      <c r="J10" s="147"/>
      <c r="K10" s="69" t="s">
        <v>92</v>
      </c>
    </row>
    <row r="11" spans="1:11" ht="10.5" customHeight="1">
      <c r="A11" s="69"/>
      <c r="B11" s="148" t="s">
        <v>333</v>
      </c>
      <c r="C11" s="149"/>
      <c r="D11" s="542"/>
      <c r="E11" s="544"/>
      <c r="F11" s="546"/>
      <c r="G11" s="548"/>
      <c r="H11" s="332"/>
      <c r="I11" s="332" t="s">
        <v>331</v>
      </c>
      <c r="J11" s="150"/>
      <c r="K11" s="69" t="s">
        <v>92</v>
      </c>
    </row>
    <row r="12" spans="1:11" ht="10.5" customHeight="1">
      <c r="A12" s="69"/>
      <c r="B12" s="145" t="s">
        <v>332</v>
      </c>
      <c r="C12" s="146"/>
      <c r="D12" s="541" t="s">
        <v>329</v>
      </c>
      <c r="E12" s="549">
        <v>4</v>
      </c>
      <c r="F12" s="545">
        <v>10000</v>
      </c>
      <c r="G12" s="547">
        <v>40000</v>
      </c>
      <c r="H12" s="331"/>
      <c r="I12" s="331"/>
      <c r="J12" s="147"/>
      <c r="K12" s="69" t="s">
        <v>92</v>
      </c>
    </row>
    <row r="13" spans="1:11" ht="10.5" customHeight="1">
      <c r="A13" s="69"/>
      <c r="B13" s="148" t="s">
        <v>334</v>
      </c>
      <c r="C13" s="149"/>
      <c r="D13" s="542"/>
      <c r="E13" s="550"/>
      <c r="F13" s="546"/>
      <c r="G13" s="548"/>
      <c r="H13" s="332"/>
      <c r="I13" s="332" t="s">
        <v>331</v>
      </c>
      <c r="J13" s="150"/>
      <c r="K13" s="69" t="s">
        <v>92</v>
      </c>
    </row>
    <row r="14" spans="1:11" ht="10.5" customHeight="1">
      <c r="A14" s="69"/>
      <c r="B14" s="145" t="s">
        <v>335</v>
      </c>
      <c r="C14" s="146"/>
      <c r="D14" s="541" t="s">
        <v>314</v>
      </c>
      <c r="E14" s="549">
        <v>3.2282999999999999</v>
      </c>
      <c r="F14" s="545">
        <v>6000</v>
      </c>
      <c r="G14" s="547">
        <v>19370</v>
      </c>
      <c r="H14" s="331"/>
      <c r="I14" s="331"/>
      <c r="J14" s="147"/>
      <c r="K14" s="69" t="s">
        <v>92</v>
      </c>
    </row>
    <row r="15" spans="1:11" ht="10.5" customHeight="1">
      <c r="A15" s="69"/>
      <c r="B15" s="148" t="s">
        <v>336</v>
      </c>
      <c r="C15" s="149"/>
      <c r="D15" s="542"/>
      <c r="E15" s="550"/>
      <c r="F15" s="546"/>
      <c r="G15" s="548"/>
      <c r="H15" s="332"/>
      <c r="I15" s="332" t="s">
        <v>331</v>
      </c>
      <c r="J15" s="150"/>
      <c r="K15" s="69" t="s">
        <v>92</v>
      </c>
    </row>
    <row r="16" spans="1:11" ht="10.5" customHeight="1">
      <c r="A16" s="69"/>
      <c r="B16" s="145"/>
      <c r="C16" s="146"/>
      <c r="D16" s="541"/>
      <c r="E16" s="549"/>
      <c r="F16" s="545"/>
      <c r="G16" s="547"/>
      <c r="H16" s="331"/>
      <c r="I16" s="331"/>
      <c r="J16" s="147"/>
      <c r="K16" s="69" t="s">
        <v>92</v>
      </c>
    </row>
    <row r="17" spans="1:11" ht="10.5" customHeight="1">
      <c r="A17" s="69"/>
      <c r="B17" s="148"/>
      <c r="C17" s="149"/>
      <c r="D17" s="542"/>
      <c r="E17" s="550"/>
      <c r="F17" s="546"/>
      <c r="G17" s="548"/>
      <c r="H17" s="332"/>
      <c r="I17" s="332"/>
      <c r="J17" s="150"/>
      <c r="K17" s="69" t="s">
        <v>92</v>
      </c>
    </row>
    <row r="18" spans="1:11" ht="10.5" customHeight="1">
      <c r="A18" s="69"/>
      <c r="B18" s="145" t="s">
        <v>304</v>
      </c>
      <c r="C18" s="146"/>
      <c r="D18" s="541"/>
      <c r="E18" s="549"/>
      <c r="F18" s="545"/>
      <c r="G18" s="547">
        <v>244566</v>
      </c>
      <c r="H18" s="331"/>
      <c r="I18" s="331"/>
      <c r="J18" s="147"/>
      <c r="K18" s="69" t="s">
        <v>92</v>
      </c>
    </row>
    <row r="19" spans="1:11" ht="10.5" customHeight="1">
      <c r="A19" s="69"/>
      <c r="B19" s="148"/>
      <c r="C19" s="149"/>
      <c r="D19" s="542"/>
      <c r="E19" s="550"/>
      <c r="F19" s="546"/>
      <c r="G19" s="548"/>
      <c r="H19" s="332"/>
      <c r="I19" s="332"/>
      <c r="J19" s="150"/>
      <c r="K19" s="69" t="s">
        <v>92</v>
      </c>
    </row>
    <row r="20" spans="1:11" ht="10.5" customHeight="1">
      <c r="A20" s="69"/>
      <c r="B20" s="145"/>
      <c r="C20" s="146"/>
      <c r="D20" s="541"/>
      <c r="E20" s="549"/>
      <c r="F20" s="545"/>
      <c r="G20" s="547"/>
      <c r="H20" s="331"/>
      <c r="I20" s="331"/>
      <c r="J20" s="147"/>
      <c r="K20" s="69" t="s">
        <v>92</v>
      </c>
    </row>
    <row r="21" spans="1:11" ht="10.5" customHeight="1">
      <c r="A21" s="69"/>
      <c r="B21" s="148"/>
      <c r="C21" s="149"/>
      <c r="D21" s="542"/>
      <c r="E21" s="550"/>
      <c r="F21" s="546"/>
      <c r="G21" s="548"/>
      <c r="H21" s="332"/>
      <c r="I21" s="332"/>
      <c r="J21" s="150"/>
      <c r="K21" s="69" t="s">
        <v>92</v>
      </c>
    </row>
    <row r="22" spans="1:11" ht="10.5" customHeight="1">
      <c r="A22" s="69"/>
      <c r="B22" s="145"/>
      <c r="C22" s="146"/>
      <c r="D22" s="541"/>
      <c r="E22" s="549"/>
      <c r="F22" s="545"/>
      <c r="G22" s="547"/>
      <c r="H22" s="331"/>
      <c r="I22" s="331"/>
      <c r="J22" s="147"/>
      <c r="K22" s="69" t="s">
        <v>92</v>
      </c>
    </row>
    <row r="23" spans="1:11" ht="10.5" customHeight="1">
      <c r="A23" s="69"/>
      <c r="B23" s="148"/>
      <c r="C23" s="149"/>
      <c r="D23" s="542"/>
      <c r="E23" s="550"/>
      <c r="F23" s="546"/>
      <c r="G23" s="548"/>
      <c r="H23" s="332"/>
      <c r="I23" s="332"/>
      <c r="J23" s="150"/>
      <c r="K23" s="69" t="s">
        <v>92</v>
      </c>
    </row>
    <row r="24" spans="1:11" ht="10.5" customHeight="1">
      <c r="A24" s="69"/>
      <c r="B24" s="145"/>
      <c r="C24" s="146"/>
      <c r="D24" s="541"/>
      <c r="E24" s="543"/>
      <c r="F24" s="545"/>
      <c r="G24" s="547"/>
      <c r="H24" s="331"/>
      <c r="I24" s="331"/>
      <c r="J24" s="147"/>
      <c r="K24" s="69" t="s">
        <v>92</v>
      </c>
    </row>
    <row r="25" spans="1:11" ht="10.5" customHeight="1">
      <c r="A25" s="69"/>
      <c r="B25" s="148"/>
      <c r="C25" s="149"/>
      <c r="D25" s="542"/>
      <c r="E25" s="544"/>
      <c r="F25" s="546"/>
      <c r="G25" s="548"/>
      <c r="H25" s="332"/>
      <c r="I25" s="332"/>
      <c r="J25" s="150"/>
      <c r="K25" s="69" t="s">
        <v>92</v>
      </c>
    </row>
    <row r="26" spans="1:11" ht="10.5" customHeight="1">
      <c r="A26" s="69"/>
      <c r="B26" s="145"/>
      <c r="C26" s="146"/>
      <c r="D26" s="541"/>
      <c r="E26" s="549"/>
      <c r="F26" s="545"/>
      <c r="G26" s="547"/>
      <c r="H26" s="331"/>
      <c r="I26" s="331"/>
      <c r="J26" s="147"/>
      <c r="K26" s="69" t="s">
        <v>92</v>
      </c>
    </row>
    <row r="27" spans="1:11" ht="10.5" customHeight="1">
      <c r="A27" s="69"/>
      <c r="B27" s="148"/>
      <c r="C27" s="149"/>
      <c r="D27" s="542"/>
      <c r="E27" s="550"/>
      <c r="F27" s="546"/>
      <c r="G27" s="548"/>
      <c r="H27" s="332"/>
      <c r="I27" s="332"/>
      <c r="J27" s="150"/>
      <c r="K27" s="69" t="s">
        <v>92</v>
      </c>
    </row>
    <row r="28" spans="1:11" ht="10.5" customHeight="1">
      <c r="A28" s="69"/>
      <c r="B28" s="145"/>
      <c r="C28" s="146"/>
      <c r="D28" s="541"/>
      <c r="E28" s="549"/>
      <c r="F28" s="545"/>
      <c r="G28" s="547"/>
      <c r="H28" s="331"/>
      <c r="I28" s="331"/>
      <c r="J28" s="147"/>
      <c r="K28" s="69" t="s">
        <v>92</v>
      </c>
    </row>
    <row r="29" spans="1:11" ht="10.5" customHeight="1">
      <c r="A29" s="69"/>
      <c r="B29" s="148"/>
      <c r="C29" s="149"/>
      <c r="D29" s="542"/>
      <c r="E29" s="550"/>
      <c r="F29" s="546"/>
      <c r="G29" s="548"/>
      <c r="H29" s="332"/>
      <c r="I29" s="332"/>
      <c r="J29" s="150"/>
      <c r="K29" s="69" t="s">
        <v>92</v>
      </c>
    </row>
    <row r="30" spans="1:11" ht="10.5" customHeight="1">
      <c r="A30" s="69"/>
      <c r="B30" s="145"/>
      <c r="C30" s="146"/>
      <c r="D30" s="541"/>
      <c r="E30" s="549"/>
      <c r="F30" s="545"/>
      <c r="G30" s="547"/>
      <c r="H30" s="331"/>
      <c r="I30" s="331"/>
      <c r="J30" s="147"/>
      <c r="K30" s="69" t="s">
        <v>92</v>
      </c>
    </row>
    <row r="31" spans="1:11" ht="10.5" customHeight="1">
      <c r="A31" s="69"/>
      <c r="B31" s="148"/>
      <c r="C31" s="149"/>
      <c r="D31" s="542"/>
      <c r="E31" s="550"/>
      <c r="F31" s="546"/>
      <c r="G31" s="548"/>
      <c r="H31" s="332"/>
      <c r="I31" s="332"/>
      <c r="J31" s="150"/>
      <c r="K31" s="69" t="s">
        <v>92</v>
      </c>
    </row>
    <row r="32" spans="1:11" ht="10.5" customHeight="1">
      <c r="A32" s="69"/>
      <c r="B32" s="145"/>
      <c r="C32" s="146"/>
      <c r="D32" s="541"/>
      <c r="E32" s="549"/>
      <c r="F32" s="545"/>
      <c r="G32" s="547"/>
      <c r="H32" s="331"/>
      <c r="I32" s="331"/>
      <c r="J32" s="147"/>
      <c r="K32" s="69" t="s">
        <v>92</v>
      </c>
    </row>
    <row r="33" spans="1:11" ht="10.5" customHeight="1">
      <c r="A33" s="69"/>
      <c r="B33" s="148"/>
      <c r="C33" s="149"/>
      <c r="D33" s="542"/>
      <c r="E33" s="550"/>
      <c r="F33" s="546"/>
      <c r="G33" s="548"/>
      <c r="H33" s="332"/>
      <c r="I33" s="332"/>
      <c r="J33" s="150"/>
      <c r="K33" s="69" t="s">
        <v>92</v>
      </c>
    </row>
    <row r="34" spans="1:11" ht="10.5" customHeight="1">
      <c r="A34" s="69"/>
      <c r="B34" s="145"/>
      <c r="C34" s="146"/>
      <c r="D34" s="541"/>
      <c r="E34" s="549"/>
      <c r="F34" s="545"/>
      <c r="G34" s="547"/>
      <c r="H34" s="331"/>
      <c r="I34" s="331"/>
      <c r="J34" s="147"/>
      <c r="K34" s="69" t="s">
        <v>92</v>
      </c>
    </row>
    <row r="35" spans="1:11" ht="10.5" customHeight="1">
      <c r="A35" s="69"/>
      <c r="B35" s="148"/>
      <c r="C35" s="149"/>
      <c r="D35" s="542"/>
      <c r="E35" s="550"/>
      <c r="F35" s="546"/>
      <c r="G35" s="548"/>
      <c r="H35" s="332"/>
      <c r="I35" s="332"/>
      <c r="J35" s="150"/>
      <c r="K35" s="69" t="s">
        <v>92</v>
      </c>
    </row>
    <row r="36" spans="1:11" ht="10.5" customHeight="1">
      <c r="A36" s="69"/>
      <c r="B36" s="145"/>
      <c r="C36" s="146"/>
      <c r="D36" s="541"/>
      <c r="E36" s="549"/>
      <c r="F36" s="545"/>
      <c r="G36" s="547"/>
      <c r="H36" s="331"/>
      <c r="I36" s="331"/>
      <c r="J36" s="147"/>
      <c r="K36" s="69" t="s">
        <v>92</v>
      </c>
    </row>
    <row r="37" spans="1:11" ht="10.5" customHeight="1">
      <c r="A37" s="69"/>
      <c r="B37" s="148"/>
      <c r="C37" s="149"/>
      <c r="D37" s="542"/>
      <c r="E37" s="550"/>
      <c r="F37" s="546"/>
      <c r="G37" s="548"/>
      <c r="H37" s="332"/>
      <c r="I37" s="332"/>
      <c r="J37" s="150"/>
      <c r="K37" s="69" t="s">
        <v>92</v>
      </c>
    </row>
    <row r="38" spans="1:11" ht="10.5" customHeight="1">
      <c r="A38" s="69"/>
      <c r="B38" s="145"/>
      <c r="C38" s="146"/>
      <c r="D38" s="541"/>
      <c r="E38" s="549"/>
      <c r="F38" s="545"/>
      <c r="G38" s="547"/>
      <c r="H38" s="331"/>
      <c r="I38" s="331"/>
      <c r="J38" s="147"/>
      <c r="K38" s="69" t="s">
        <v>92</v>
      </c>
    </row>
    <row r="39" spans="1:11" ht="10.5" customHeight="1">
      <c r="A39" s="69"/>
      <c r="B39" s="148"/>
      <c r="C39" s="149"/>
      <c r="D39" s="542"/>
      <c r="E39" s="550"/>
      <c r="F39" s="546"/>
      <c r="G39" s="548"/>
      <c r="H39" s="332"/>
      <c r="I39" s="332"/>
      <c r="J39" s="150"/>
      <c r="K39" s="69" t="s">
        <v>92</v>
      </c>
    </row>
    <row r="40" spans="1:11" ht="10.5" customHeight="1">
      <c r="A40" s="69"/>
      <c r="B40" s="145"/>
      <c r="C40" s="146"/>
      <c r="D40" s="541"/>
      <c r="E40" s="549"/>
      <c r="F40" s="545"/>
      <c r="G40" s="547"/>
      <c r="H40" s="331"/>
      <c r="I40" s="331"/>
      <c r="J40" s="147"/>
      <c r="K40" s="69" t="s">
        <v>92</v>
      </c>
    </row>
    <row r="41" spans="1:11" ht="10.5" customHeight="1">
      <c r="A41" s="69"/>
      <c r="B41" s="148"/>
      <c r="C41" s="149"/>
      <c r="D41" s="542"/>
      <c r="E41" s="550"/>
      <c r="F41" s="546"/>
      <c r="G41" s="548"/>
      <c r="H41" s="332"/>
      <c r="I41" s="332"/>
      <c r="J41" s="150"/>
      <c r="K41" s="69" t="s">
        <v>92</v>
      </c>
    </row>
    <row r="42" spans="1:11" ht="10.5" customHeight="1">
      <c r="A42" s="69"/>
      <c r="B42" s="145"/>
      <c r="C42" s="146"/>
      <c r="D42" s="541"/>
      <c r="E42" s="549"/>
      <c r="F42" s="545"/>
      <c r="G42" s="547"/>
      <c r="H42" s="331"/>
      <c r="I42" s="331"/>
      <c r="J42" s="147"/>
      <c r="K42" s="69" t="s">
        <v>92</v>
      </c>
    </row>
    <row r="43" spans="1:11" ht="10.5" customHeight="1">
      <c r="A43" s="69"/>
      <c r="B43" s="148"/>
      <c r="C43" s="149"/>
      <c r="D43" s="542"/>
      <c r="E43" s="550"/>
      <c r="F43" s="546"/>
      <c r="G43" s="548"/>
      <c r="H43" s="332"/>
      <c r="I43" s="332"/>
      <c r="J43" s="150"/>
      <c r="K43" s="69" t="s">
        <v>92</v>
      </c>
    </row>
    <row r="44" spans="1:11" ht="10.5" customHeight="1">
      <c r="A44" s="69"/>
      <c r="B44" s="145"/>
      <c r="C44" s="146"/>
      <c r="D44" s="541"/>
      <c r="E44" s="549"/>
      <c r="F44" s="545"/>
      <c r="G44" s="547"/>
      <c r="H44" s="331"/>
      <c r="I44" s="331"/>
      <c r="J44" s="147"/>
      <c r="K44" s="69" t="s">
        <v>92</v>
      </c>
    </row>
    <row r="45" spans="1:11" ht="10.5" customHeight="1">
      <c r="A45" s="69"/>
      <c r="B45" s="148"/>
      <c r="C45" s="149"/>
      <c r="D45" s="542"/>
      <c r="E45" s="550"/>
      <c r="F45" s="546"/>
      <c r="G45" s="548"/>
      <c r="H45" s="332"/>
      <c r="I45" s="332"/>
      <c r="J45" s="150"/>
      <c r="K45" s="69" t="s">
        <v>92</v>
      </c>
    </row>
    <row r="46" spans="1:11" ht="10.5" customHeight="1">
      <c r="A46" s="69"/>
      <c r="B46" s="145"/>
      <c r="C46" s="146"/>
      <c r="D46" s="551"/>
      <c r="E46" s="553"/>
      <c r="F46" s="555"/>
      <c r="G46" s="557"/>
      <c r="H46" s="331"/>
      <c r="I46" s="331"/>
      <c r="J46" s="151"/>
      <c r="K46" s="69" t="s">
        <v>92</v>
      </c>
    </row>
    <row r="47" spans="1:11" ht="10.5" customHeight="1" thickBot="1">
      <c r="A47" s="69"/>
      <c r="B47" s="152"/>
      <c r="C47" s="153"/>
      <c r="D47" s="552"/>
      <c r="E47" s="554"/>
      <c r="F47" s="556"/>
      <c r="G47" s="558"/>
      <c r="H47" s="333"/>
      <c r="I47" s="333"/>
      <c r="J47" s="154"/>
      <c r="K47" s="69" t="s">
        <v>92</v>
      </c>
    </row>
    <row r="48" spans="1:11" s="102" customFormat="1" ht="18" customHeight="1">
      <c r="A48" s="101"/>
      <c r="B48" s="155"/>
      <c r="C48" s="101"/>
      <c r="D48" s="101"/>
      <c r="E48" s="101"/>
      <c r="F48" s="101"/>
      <c r="G48" s="101"/>
      <c r="H48" s="101"/>
      <c r="I48" s="114"/>
      <c r="J48" s="114"/>
      <c r="K48" s="101"/>
    </row>
    <row r="49" spans="1:11" s="102" customFormat="1" ht="13.5" customHeight="1">
      <c r="A49" s="101"/>
      <c r="B49" s="155"/>
      <c r="C49" s="101"/>
      <c r="D49" s="101"/>
      <c r="E49" s="101"/>
      <c r="F49" s="101"/>
      <c r="G49" s="101"/>
      <c r="H49" s="101"/>
      <c r="I49" s="114"/>
      <c r="J49" s="114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7</vt:i4>
      </vt:variant>
    </vt:vector>
  </HeadingPairs>
  <TitlesOfParts>
    <vt:vector size="22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現場経費総括表</vt:lpstr>
      <vt:lpstr>工事費一覧表(現場経費)</vt:lpstr>
      <vt:lpstr>調書(材料費)</vt:lpstr>
      <vt:lpstr>調書(労務費)</vt:lpstr>
      <vt:lpstr>調書(外注費)</vt:lpstr>
      <vt:lpstr>調書(機械費)</vt:lpstr>
      <vt:lpstr>調書(運搬費)</vt:lpstr>
      <vt:lpstr>工事概要!Print_Area</vt:lpstr>
      <vt:lpstr>工事総括表!Print_Area</vt:lpstr>
      <vt:lpstr>'工事費一覧表(現場経費)'!Print_Area</vt:lpstr>
      <vt:lpstr>'工事費一覧表(直接工事費)'!Print_Area</vt:lpstr>
      <vt:lpstr>実行予算書鑑!Print_Area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2026-02-03T04:37:23Z</dcterms:modified>
  <cp:category/>
  <cp:contentStatus/>
</cp:coreProperties>
</file>