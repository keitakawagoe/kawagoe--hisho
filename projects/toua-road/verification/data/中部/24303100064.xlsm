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7" codeName="{00000000-0000-0000-0000-000000000000}"/>
  <workbookPr filterPrivacy="1" showInkAnnotation="0" updateLinks="never" codeName="ThisWorkbook" defaultThemeVersion="166925"/>
  <xr:revisionPtr revIDLastSave="0" documentId="8_{1B130FEC-BEEE-49D8-B34A-C2CCD585DAF8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'工事費一覧表(共通仮設費)'!$A$1:$AF$7</definedName>
    <definedName name="_xlnm.Print_Area" localSheetId="11">'工事費一覧表(現場経費)'!$A$1:$AF$10</definedName>
    <definedName name="_xlnm.Print_Area" localSheetId="6">'工事費一覧表(直接工事費)'!$A$1:$AF$98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4" i="32"/>
  <c r="L4" i="32"/>
  <c r="K5" i="32"/>
  <c r="L5" i="32"/>
  <c r="K6" i="32"/>
  <c r="L6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<sst xmlns="http://schemas.openxmlformats.org/spreadsheetml/2006/main" count="1319" uniqueCount="370">
  <si>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</si>
  <si>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</si>
  <si>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</si>
  <si>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24303100064 F</t>
  </si>
  <si>
    <t>（第2回変更予算）</t>
  </si>
  <si>
    <t>現場代理人</t>
    <rPh sb="0" eb="2">
      <t>ゲンバ</t>
    </rPh>
    <rPh sb="2" eb="5">
      <t>ダイリニン</t>
    </rPh>
    <phoneticPr fontId="4"/>
  </si>
  <si>
    <t>日高敬吾</t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</si>
  <si>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</si>
  <si>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</si>
  <si>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</si>
  <si>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</si>
  <si>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</si>
  <si>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</si>
  <si>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</si>
  <si>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</si>
  <si>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</si>
  <si>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</si>
  <si>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</si>
  <si>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</si>
  <si>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伊勢自動車道津管内舗装補修工事（2023年度）</t>
  </si>
  <si>
    <t>発注者</t>
    <rPh sb="0" eb="1">
      <t>ハツ</t>
    </rPh>
    <rPh sb="1" eb="2">
      <t>チュウ</t>
    </rPh>
    <rPh sb="2" eb="3">
      <t>シャ</t>
    </rPh>
    <phoneticPr fontId="6"/>
  </si>
  <si>
    <t>大有建設㈱</t>
  </si>
  <si>
    <t>工事価格</t>
    <rPh sb="0" eb="2">
      <t>コウジ</t>
    </rPh>
    <rPh sb="2" eb="4">
      <t>カカク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</si>
  <si>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</si>
  <si>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</si>
  <si>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</si>
  <si>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</si>
  <si>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</si>
  <si>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</si>
  <si>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中京支店</t>
  </si>
  <si>
    <t>施工場所</t>
    <rPh sb="0" eb="2">
      <t>セコウ</t>
    </rPh>
    <rPh sb="2" eb="4">
      <t>バショ</t>
    </rPh>
    <phoneticPr fontId="6"/>
  </si>
  <si>
    <t>伊勢自動車道（伊勢関IC)地内</t>
  </si>
  <si>
    <t>契約工期</t>
    <rPh sb="0" eb="2">
      <t>ケイヤク</t>
    </rPh>
    <rPh sb="2" eb="4">
      <t>コウキ</t>
    </rPh>
    <phoneticPr fontId="6"/>
  </si>
  <si>
    <t>2024年6月10日</t>
  </si>
  <si>
    <t>～</t>
    <phoneticPr fontId="36"/>
  </si>
  <si>
    <t>2024年12月13日</t>
  </si>
  <si>
    <t>実施工期</t>
    <rPh sb="0" eb="2">
      <t>ジッシ</t>
    </rPh>
    <rPh sb="2" eb="4">
      <t>コウキ</t>
    </rPh>
    <phoneticPr fontId="6"/>
  </si>
  <si>
    <t>2024年6月24日</t>
  </si>
  <si>
    <t>2024年6月30日</t>
  </si>
  <si>
    <t>ISO品質目標</t>
    <rPh sb="3" eb="5">
      <t>ヒンシツ</t>
    </rPh>
    <rPh sb="5" eb="7">
      <t>モクヒョウ</t>
    </rPh>
    <phoneticPr fontId="6"/>
  </si>
  <si>
    <t>東亜道路工業株式会社</t>
    <phoneticPr fontId="4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</si>
  <si>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</si>
  <si>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</si>
  <si>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</si>
  <si>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</si>
  <si>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</si>
  <si>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～</t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</si>
  <si>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</si>
  <si>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</si>
  <si>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</si>
  <si>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</si>
  <si>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</si>
  <si>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切削オーバーレイ工</t>
  </si>
  <si>
    <t>諸経費</t>
  </si>
  <si>
    <t>法定福利費</t>
  </si>
  <si>
    <t>仮設費</t>
  </si>
  <si>
    <t>材料費他</t>
  </si>
  <si>
    <t>社員給料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</si>
  <si>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</si>
  <si>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</si>
  <si>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</si>
  <si>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</si>
  <si>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</si>
  <si>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</si>
  <si>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</si>
  <si>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</si>
  <si>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</si>
  <si>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</si>
  <si>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</si>
  <si>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</si>
  <si>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</si>
  <si>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</si>
  <si>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</si>
  <si>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</si>
  <si>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</si>
  <si>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</si>
  <si>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</si>
  <si>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</si>
  <si>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 xml:space="preserve">切削オーバーレイ工　1541㎡_x000D_
注意喚起溝工　355ｍ_x000D_
</t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</si>
  <si>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</si>
  <si>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</si>
  <si>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</si>
  <si>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</si>
  <si>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>m2</t>
  </si>
  <si>
    <t>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</si>
  <si>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</si>
  <si>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</si>
  <si>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</si>
  <si>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</si>
  <si>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</si>
  <si>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</si>
  <si>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津管内舗装補修工事（2023年度）</t>
  </si>
  <si>
    <t>支社</t>
    <rPh sb="0" eb="2">
      <t>シシャ</t>
    </rPh>
    <phoneticPr fontId="6"/>
  </si>
  <si>
    <t>中部支社</t>
  </si>
  <si>
    <t>拠点</t>
    <rPh sb="0" eb="2">
      <t>キョテン</t>
    </rPh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</si>
  <si>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</si>
  <si>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三重出張所</t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</si>
  <si>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</si>
  <si>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</si>
  <si>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</si>
  <si>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</si>
  <si>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</si>
  <si>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</si>
  <si>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</si>
  <si>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</si>
  <si>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</si>
  <si>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</si>
  <si>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</si>
  <si>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</si>
  <si>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</si>
  <si>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中日本高速道路株式会社</t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</si>
  <si>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</si>
  <si>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</si>
  <si>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</si>
  <si>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</si>
  <si>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</si>
  <si>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</si>
  <si>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</si>
  <si>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単独</t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</si>
  <si>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</si>
  <si>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</si>
  <si>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F</t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</si>
  <si>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</si>
  <si>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契約年月日</t>
    <rPh sb="0" eb="2">
      <t>ケイヤク</t>
    </rPh>
    <rPh sb="2" eb="5">
      <t>ネンガッピ</t>
    </rPh>
    <phoneticPr fontId="6"/>
  </si>
  <si>
    <t>2024年5月15日</t>
  </si>
  <si>
    <t>工事拠点経費</t>
    <rPh sb="0" eb="2">
      <t>コウジ</t>
    </rPh>
    <rPh sb="4" eb="6">
      <t>ケイヒ</t>
    </rPh>
    <phoneticPr fontId="6"/>
  </si>
  <si>
    <t>2024年6月10日 ～ 2024年12月13日</t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</si>
  <si>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</si>
  <si>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実施工期</t>
    <phoneticPr fontId="6"/>
  </si>
  <si>
    <t>2024年6月24日 ～ 2024年6月30日</t>
  </si>
  <si>
    <t>拠点利益</t>
    <rPh sb="2" eb="4">
      <t>リエキ</t>
    </rPh>
    <phoneticPr fontId="6"/>
  </si>
  <si>
    <t>工事概要</t>
    <rPh sb="0" eb="2">
      <t>コウジ</t>
    </rPh>
    <rPh sb="2" eb="4">
      <t>ガイヨウ</t>
    </rPh>
    <phoneticPr fontId="6"/>
  </si>
  <si>
    <t xml:space="preserve">切削オーバーレイ工　1541㎡_x000D_
注意喚起溝工　355ｍ_x000D_
</t>
    <phoneticPr fontId="4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</si>
  <si>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</si>
  <si>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</si>
  <si>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特記事項</t>
    <rPh sb="0" eb="2">
      <t>トッキ</t>
    </rPh>
    <rPh sb="2" eb="4">
      <t>ジコウ</t>
    </rPh>
    <phoneticPr fontId="6"/>
  </si>
  <si>
    <t>工事総括表2</t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</si>
  <si>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</si>
  <si>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</si>
  <si>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単位</t>
    <rPh sb="0" eb="2">
      <t>タンイ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</si>
  <si>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</si>
  <si>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</si>
  <si>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金額</t>
    <rPh sb="0" eb="2">
      <t>キンガク</t>
    </rPh>
    <phoneticPr fontId="6"/>
  </si>
  <si>
    <t>摘要</t>
    <rPh sb="0" eb="2">
      <t>テキヨウ</t>
    </rPh>
    <phoneticPr fontId="6"/>
  </si>
  <si>
    <t>備考</t>
    <rPh sb="0" eb="2">
      <t>ビコウ</t>
    </rPh>
    <phoneticPr fontId="6"/>
  </si>
  <si>
    <t>直接工事費</t>
  </si>
  <si>
    <t xml:space="preserve"> </t>
    <phoneticPr fontId="6"/>
  </si>
  <si>
    <t xml:space="preserve">  費目行</t>
  </si>
  <si>
    <t xml:space="preserve">  </t>
  </si>
  <si>
    <t>費目行</t>
  </si>
  <si>
    <t xml:space="preserve">    切削オーバーレイ工</t>
  </si>
  <si>
    <t>16号</t>
  </si>
  <si>
    <t xml:space="preserve">    </t>
  </si>
  <si>
    <t>内訳書</t>
  </si>
  <si>
    <t xml:space="preserve">    諸経費</t>
  </si>
  <si>
    <t>23号</t>
  </si>
  <si>
    <t xml:space="preserve">    法定福利費</t>
  </si>
  <si>
    <t>25号</t>
  </si>
  <si>
    <t xml:space="preserve">    仮設費</t>
  </si>
  <si>
    <t>27号</t>
  </si>
  <si>
    <t xml:space="preserve">    材料費他</t>
  </si>
  <si>
    <t>28号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</si>
  <si>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</si>
  <si>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</si>
  <si>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</si>
  <si>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</si>
  <si>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</si>
  <si>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</si>
  <si>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</si>
  <si>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工事価格</t>
  </si>
  <si>
    <t>伊勢自動車道津管内舗装補修工事（2023年度）</t>
    <phoneticPr fontId="4"/>
  </si>
  <si>
    <t>業者／要素</t>
    <rPh sb="0" eb="2">
      <t>ギョウシャ</t>
    </rPh>
    <rPh sb="3" eb="5">
      <t>ヨウソ</t>
    </rPh>
    <phoneticPr fontId="6"/>
  </si>
  <si>
    <t xml:space="preserve">  切削オーバーレイ工</t>
  </si>
  <si>
    <t xml:space="preserve">  諸経費</t>
  </si>
  <si>
    <t xml:space="preserve">  法定福利費</t>
  </si>
  <si>
    <t xml:space="preserve">  仮設費</t>
  </si>
  <si>
    <t xml:space="preserve">  材料費他</t>
  </si>
  <si>
    <t>計</t>
  </si>
  <si>
    <t>工事価格</t>
    <rPh sb="0" eb="4">
      <t>コウジカカク</t>
    </rPh>
    <phoneticPr fontId="6"/>
  </si>
  <si>
    <t>階層</t>
    <rPh sb="0" eb="2">
      <t>カイソウ</t>
    </rPh>
    <phoneticPr fontId="6"/>
  </si>
  <si>
    <t>原価工種コード</t>
    <rPh sb="0" eb="4">
      <t>ゲンカコウシュ</t>
    </rPh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</si>
  <si>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</si>
  <si>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</si>
  <si>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規格</t>
    <rPh sb="0" eb="2">
      <t>キカク</t>
    </rPh>
    <phoneticPr fontId="6"/>
  </si>
  <si>
    <t>予算2</t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</si>
  <si>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</si>
  <si>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</si>
  <si>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ユーザー
コード</t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</si>
  <si>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</si>
  <si>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</si>
  <si>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</si>
  <si>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総括</t>
  </si>
  <si>
    <t>集計行</t>
  </si>
  <si>
    <t>｜直接工事費</t>
  </si>
  <si>
    <t>｜｜費目行</t>
  </si>
  <si>
    <t>｜｜｜切削オーバーレイ工</t>
  </si>
  <si>
    <t>16号内訳書</t>
  </si>
  <si>
    <t>内訳代価</t>
  </si>
  <si>
    <t>｜｜｜｜15工区</t>
  </si>
  <si>
    <t>17号内訳書</t>
  </si>
  <si>
    <t>｜｜｜｜｜ワールド　夜間</t>
  </si>
  <si>
    <t>人</t>
  </si>
  <si>
    <t>｜｜｜｜｜ワールド　夜間　残業</t>
  </si>
  <si>
    <t>h</t>
  </si>
  <si>
    <t>｜｜｜｜｜切削機 ｽｲｰﾊﾟｰ込み</t>
  </si>
  <si>
    <t>台</t>
  </si>
  <si>
    <t>｜｜｜｜｜給水車</t>
  </si>
  <si>
    <t>｜｜｜｜｜ﾀｲﾔｼｮﾍﾞﾙ</t>
  </si>
  <si>
    <t>｜｜｜｜｜舗装カッター</t>
  </si>
  <si>
    <t>｜｜｜｜｜ブレーカー</t>
  </si>
  <si>
    <t xml:space="preserve">｜｜｜｜｜3ｔダンプ </t>
  </si>
  <si>
    <t>｜｜｜｜｜WP　　</t>
  </si>
  <si>
    <t>｜｜｜｜｜軽油</t>
  </si>
  <si>
    <t>リットル</t>
  </si>
  <si>
    <t>｜｜｜｜｜舗装道具</t>
  </si>
  <si>
    <t>日</t>
  </si>
  <si>
    <t>｜｜｜｜｜6.0AF</t>
  </si>
  <si>
    <t>｜｜｜｜｜ﾀｲﾔﾛｰﾗ</t>
  </si>
  <si>
    <t>｜｜｜｜｜ﾏｶﾀﾞﾑﾛｰﾗ</t>
  </si>
  <si>
    <t>注意喚起用</t>
  </si>
  <si>
    <t>｜｜｜｜｜小物機械</t>
  </si>
  <si>
    <t>｜｜｜｜｜雑材</t>
  </si>
  <si>
    <t>｜｜｜｜14-1工区</t>
  </si>
  <si>
    <t>18号内訳書</t>
  </si>
  <si>
    <t>｜｜｜｜14-2工区</t>
  </si>
  <si>
    <t>19号内訳書</t>
  </si>
  <si>
    <t>｜｜｜諸経費</t>
  </si>
  <si>
    <t>23号内訳書</t>
  </si>
  <si>
    <t>｜｜｜｜外注経費</t>
  </si>
  <si>
    <t>24号内訳書</t>
  </si>
  <si>
    <t>｜｜｜｜｜諸雑費</t>
  </si>
  <si>
    <t>調整金</t>
  </si>
  <si>
    <t>｜｜｜法定福利費</t>
  </si>
  <si>
    <t>25号内訳書</t>
  </si>
  <si>
    <t>｜｜｜｜法定福利費</t>
  </si>
  <si>
    <t>26号内訳書</t>
  </si>
  <si>
    <t>｜｜｜｜｜法定福利費</t>
  </si>
  <si>
    <t>｜｜｜仮設費</t>
  </si>
  <si>
    <t>27号内訳書</t>
  </si>
  <si>
    <t>｜｜｜｜2ｔＰＧ</t>
  </si>
  <si>
    <t>｜｜｜｜小物機械</t>
  </si>
  <si>
    <t>夜間照明　場内用</t>
  </si>
  <si>
    <t>夜間照明　重機用</t>
  </si>
  <si>
    <t>｜｜｜｜ガソリン</t>
  </si>
  <si>
    <t>｜｜｜｜養生シート</t>
  </si>
  <si>
    <t>養生テープ他</t>
  </si>
  <si>
    <t>｜｜｜｜高速代</t>
  </si>
  <si>
    <t>｜｜｜材料費他</t>
  </si>
  <si>
    <t>28号内訳書</t>
  </si>
  <si>
    <t>29号内訳書</t>
  </si>
  <si>
    <t>｜｜｜｜｜Ａｓ塊処理費</t>
  </si>
  <si>
    <t>三重中</t>
  </si>
  <si>
    <t>ｔ</t>
  </si>
  <si>
    <t xml:space="preserve">570*0.1*2.4 </t>
  </si>
  <si>
    <t>｜｜｜｜｜10ｔダンプ　　夜間</t>
  </si>
  <si>
    <t>オペ燃料付き</t>
  </si>
  <si>
    <t>｜｜｜｜｜改質Ⅱ型粗粒</t>
  </si>
  <si>
    <t>現着</t>
  </si>
  <si>
    <t>t</t>
  </si>
  <si>
    <t xml:space="preserve">535*0.06*2.4*1.06 </t>
  </si>
  <si>
    <t>｜｜｜｜｜高機能Ⅱ型</t>
  </si>
  <si>
    <t xml:space="preserve">570*0.04*2.4*1.06 </t>
  </si>
  <si>
    <t>｜｜｜｜｜ｱｽﾌｧﾙﾄ乳剤</t>
  </si>
  <si>
    <t>ﾀｯｸﾌｧｲﾝ</t>
  </si>
  <si>
    <t xml:space="preserve">1105*0.4 </t>
  </si>
  <si>
    <t>｜｜｜｜｜ﾃﾞｨｽﾄﾘﾋﾞｭｰﾀ</t>
  </si>
  <si>
    <t>夜間</t>
  </si>
  <si>
    <t>30号内訳書</t>
  </si>
  <si>
    <t xml:space="preserve">438*0.1*2.4 </t>
  </si>
  <si>
    <t xml:space="preserve">420*0.06*2.4*1.06 </t>
  </si>
  <si>
    <t xml:space="preserve">438*0.04*2.4*1.06 </t>
  </si>
  <si>
    <t xml:space="preserve">858*0.4 </t>
  </si>
  <si>
    <t>31号内訳書</t>
  </si>
  <si>
    <t xml:space="preserve">533*0.1*2.4 </t>
  </si>
  <si>
    <t xml:space="preserve">497*0.06*2.4*1.06 </t>
  </si>
  <si>
    <t xml:space="preserve">533*0.04*2.4*1.06 </t>
  </si>
  <si>
    <t xml:space="preserve">1030*0.4 </t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</si>
  <si>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</si>
  <si>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</si>
  <si>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</si>
  <si>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</si>
  <si>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</si>
  <si>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</si>
  <si>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</si>
  <si>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</si>
  <si>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</si>
  <si>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原価工種コード</t>
    <rPh sb="0" eb="4">
      <t>ゲンカコウシュ</t>
    </rPh>
    <phoneticPr fontId="4"/>
  </si>
  <si>
    <t/>
  </si>
  <si>
    <t>｜共通仮設費</t>
  </si>
  <si>
    <t>｜｜</t>
  </si>
  <si>
    <t>1号内訳書</t>
  </si>
  <si>
    <t>現 場 経 費 総 括 表</t>
    <phoneticPr fontId="6"/>
  </si>
  <si>
    <t>名称</t>
    <rPh sb="0" eb="2">
      <t>メイショウ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</si>
  <si>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</si>
  <si>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</si>
  <si>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</si>
  <si>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7号</t>
  </si>
  <si>
    <t>原価工種コード</t>
    <phoneticPr fontId="6"/>
  </si>
  <si>
    <t>｜現場経費</t>
  </si>
  <si>
    <t>｜｜社員給料</t>
  </si>
  <si>
    <t>7号内訳書</t>
  </si>
  <si>
    <t>｜｜｜費目行</t>
  </si>
  <si>
    <t>｜｜｜｜社員給料　準備他</t>
  </si>
  <si>
    <t>｜｜｜｜社員給料　　本番4名*3日</t>
  </si>
  <si>
    <t>材料調書</t>
    <rPh sb="0" eb="2">
      <t>ザイリョウ</t>
    </rPh>
    <rPh sb="2" eb="4">
      <t>チョウショ</t>
    </rPh>
    <phoneticPr fontId="6"/>
  </si>
  <si>
    <t>工事名称</t>
    <phoneticPr fontId="6"/>
  </si>
  <si>
    <t>伊勢自動車道津管内舗装補修工事（2023年度）</t>
    <phoneticPr fontId="6"/>
  </si>
  <si>
    <t>24303100064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</si>
  <si>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</si>
  <si>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</si>
  <si>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</si>
  <si>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</si>
  <si>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</si>
  <si>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</si>
  <si>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</si>
  <si>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Ａｓ塊処理費</t>
    <phoneticPr fontId="6"/>
  </si>
  <si>
    <t>ｔ</t>
    <phoneticPr fontId="6"/>
  </si>
  <si>
    <t>三重中</t>
    <phoneticPr fontId="6"/>
  </si>
  <si>
    <t>材料費</t>
    <phoneticPr fontId="6"/>
  </si>
  <si>
    <t>ｱｽﾌｧﾙﾄ乳剤</t>
    <phoneticPr fontId="6"/>
  </si>
  <si>
    <t>t</t>
    <phoneticPr fontId="6"/>
  </si>
  <si>
    <t>ﾀｯｸﾌｧｲﾝ</t>
    <phoneticPr fontId="6"/>
  </si>
  <si>
    <t>ガソリン</t>
    <phoneticPr fontId="6"/>
  </si>
  <si>
    <t>リットル</t>
    <phoneticPr fontId="6"/>
  </si>
  <si>
    <t>改質Ⅱ型粗粒</t>
    <phoneticPr fontId="6"/>
  </si>
  <si>
    <t>現着</t>
    <phoneticPr fontId="6"/>
  </si>
  <si>
    <t>軽油</t>
    <phoneticPr fontId="6"/>
  </si>
  <si>
    <t>高機能Ⅱ型</t>
    <phoneticPr fontId="6"/>
  </si>
  <si>
    <t>雑材</t>
    <phoneticPr fontId="6"/>
  </si>
  <si>
    <t>日</t>
    <phoneticPr fontId="6"/>
  </si>
  <si>
    <t>舗装道具</t>
    <phoneticPr fontId="6"/>
  </si>
  <si>
    <t>養生シート</t>
    <phoneticPr fontId="6"/>
  </si>
  <si>
    <t>式</t>
    <phoneticPr fontId="6"/>
  </si>
  <si>
    <t>養生テープ他</t>
    <phoneticPr fontId="6"/>
  </si>
  <si>
    <t>計</t>
    <phoneticPr fontId="6"/>
  </si>
  <si>
    <t>労務調書</t>
    <rPh sb="2" eb="4">
      <t>チョウショ</t>
    </rPh>
    <phoneticPr fontId="6"/>
  </si>
  <si>
    <t>ワールド　夜間</t>
    <phoneticPr fontId="6"/>
  </si>
  <si>
    <t>人</t>
    <phoneticPr fontId="6"/>
  </si>
  <si>
    <t>労務費</t>
    <phoneticPr fontId="6"/>
  </si>
  <si>
    <t>ワールド　夜間　残業</t>
    <phoneticPr fontId="6"/>
  </si>
  <si>
    <t>h</t>
    <phoneticPr fontId="6"/>
  </si>
  <si>
    <t>法定福利費</t>
    <phoneticPr fontId="6"/>
  </si>
  <si>
    <t>外注調書</t>
    <rPh sb="2" eb="4">
      <t>チョウショ</t>
    </rPh>
    <phoneticPr fontId="6"/>
  </si>
  <si>
    <t>諸雑費</t>
    <phoneticPr fontId="6"/>
  </si>
  <si>
    <t>外注費</t>
    <phoneticPr fontId="6"/>
  </si>
  <si>
    <t>機械調書</t>
    <rPh sb="2" eb="4">
      <t>チョウショ</t>
    </rPh>
    <phoneticPr fontId="6"/>
  </si>
  <si>
    <t>6.0AF</t>
    <phoneticPr fontId="6"/>
  </si>
  <si>
    <t>台</t>
    <phoneticPr fontId="6"/>
  </si>
  <si>
    <t>機械費</t>
    <phoneticPr fontId="6"/>
  </si>
  <si>
    <t>ﾀｲﾔｼｮﾍﾞﾙ</t>
    <phoneticPr fontId="6"/>
  </si>
  <si>
    <t>ﾀｲﾔﾛｰﾗ</t>
    <phoneticPr fontId="6"/>
  </si>
  <si>
    <t>ﾃﾞｨｽﾄﾘﾋﾞｭｰﾀ</t>
    <phoneticPr fontId="6"/>
  </si>
  <si>
    <t>夜間</t>
    <phoneticPr fontId="6"/>
  </si>
  <si>
    <t>ブレーカー</t>
    <phoneticPr fontId="6"/>
  </si>
  <si>
    <t>ﾏｶﾀﾞﾑﾛｰﾗ</t>
    <phoneticPr fontId="6"/>
  </si>
  <si>
    <t>注意喚起用</t>
    <phoneticPr fontId="6"/>
  </si>
  <si>
    <t>給水車</t>
    <phoneticPr fontId="6"/>
  </si>
  <si>
    <t>小物機械</t>
    <phoneticPr fontId="6"/>
  </si>
  <si>
    <t>夜間照明　重機用</t>
    <phoneticPr fontId="6"/>
  </si>
  <si>
    <t>夜間照明　場内用</t>
    <phoneticPr fontId="6"/>
  </si>
  <si>
    <t>切削機 ｽｲｰﾊﾟｰ込み</t>
    <phoneticPr fontId="6"/>
  </si>
  <si>
    <t>舗装カッター</t>
    <phoneticPr fontId="6"/>
  </si>
  <si>
    <t>運搬調書</t>
    <rPh sb="2" eb="4">
      <t>チョウショ</t>
    </rPh>
    <phoneticPr fontId="6"/>
  </si>
  <si>
    <t>10ｔダンプ　　夜間</t>
    <phoneticPr fontId="6"/>
  </si>
  <si>
    <t>オペ燃料付き</t>
    <phoneticPr fontId="6"/>
  </si>
  <si>
    <t>運搬費</t>
    <phoneticPr fontId="6"/>
  </si>
  <si>
    <t>2ｔＰＧ</t>
    <phoneticPr fontId="6"/>
  </si>
  <si>
    <t xml:space="preserve">3ｔダンプ </t>
    <phoneticPr fontId="6"/>
  </si>
  <si>
    <t>WP　　</t>
    <phoneticPr fontId="6"/>
  </si>
  <si>
    <t>高速代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</si>
</sst>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2" xfId="1" applyNumberFormat="1" applyFont="1" applyBorder="1" applyAlignment="1">
      <alignment horizontal="center"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distributed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185" fontId="8" fillId="0" borderId="5" xfId="0" applyNumberFormat="1" applyFont="1" applyBorder="1" applyAlignment="1">
      <alignment horizontal="right" vertical="center" shrinkToFit="1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128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0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3" fillId="0" borderId="99" xfId="3" applyNumberFormat="1" applyFont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center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0" borderId="0" xfId="0" applyFont="1" applyAlignment="1">
      <alignment vertical="center"/>
    </xf>
    <xf numFmtId="49" fontId="3" fillId="0" borderId="37" xfId="3" applyNumberFormat="1" applyFont="1" applyBorder="1" applyAlignment="1"/>
    <xf numFmtId="49" fontId="3" fillId="0" borderId="76" xfId="3" applyNumberFormat="1" applyFont="1" applyBorder="1" applyAlignment="1"/>
    <xf numFmtId="49" fontId="3" fillId="0" borderId="4" xfId="3" applyNumberFormat="1" applyFont="1" applyBorder="1" applyAlignment="1"/>
    <xf numFmtId="49" fontId="3" fillId="0" borderId="0" xfId="3" applyNumberFormat="1" applyFont="1" applyAlignment="1"/>
    <xf numFmtId="49" fontId="3" fillId="0" borderId="79" xfId="3" applyNumberFormat="1" applyFont="1" applyBorder="1" applyAlignment="1"/>
    <xf numFmtId="49" fontId="3" fillId="0" borderId="85" xfId="3" applyNumberFormat="1" applyFont="1" applyBorder="1" applyAlignment="1"/>
    <xf numFmtId="49" fontId="3" fillId="0" borderId="86" xfId="3" applyNumberFormat="1" applyFont="1" applyBorder="1" applyAlignment="1"/>
    <xf numFmtId="49" fontId="3" fillId="0" borderId="87" xfId="3" applyNumberFormat="1" applyFont="1" applyBorder="1" applyAlignment="1"/>
    <xf numFmtId="0" fontId="3" fillId="6" borderId="40" xfId="3" applyFont="1" applyFill="1" applyBorder="1" applyAlignment="1"/>
    <xf numFmtId="0" fontId="14" fillId="0" borderId="99" xfId="3" applyBorder="1" applyAlignment="1"/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387" t="s">
        <v>0</v>
      </c>
      <c r="AD1" s="582"/>
      <c r="AE1" s="582"/>
      <c r="AF1" s="582"/>
      <c r="AG1" s="388"/>
      <c r="AH1" s="389"/>
      <c r="AI1" s="389"/>
      <c r="AJ1" s="389"/>
      <c r="AK1" s="389"/>
      <c r="AL1" s="389"/>
      <c r="AM1" s="3"/>
      <c r="AP1" s="4"/>
    </row>
    <row r="2" spans="1:42" ht="22.5" customHeight="1" thickBot="1">
      <c r="A2" s="5"/>
      <c r="B2" s="257"/>
      <c r="L2" s="257"/>
      <c r="M2" s="390" t="s">
        <v>1</v>
      </c>
      <c r="N2" s="583"/>
      <c r="O2" s="583"/>
      <c r="P2" s="583"/>
      <c r="Q2" s="583"/>
      <c r="R2" s="583"/>
      <c r="S2" s="583"/>
      <c r="T2" s="583"/>
      <c r="U2" s="583"/>
      <c r="V2" s="583"/>
      <c r="W2" s="583"/>
      <c r="X2" s="583"/>
      <c r="Y2" s="583"/>
      <c r="Z2" s="583"/>
      <c r="AA2" s="583"/>
      <c r="AB2" s="583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391" t="s">
        <v>2</v>
      </c>
      <c r="D3" s="392"/>
      <c r="E3" s="392"/>
      <c r="F3" s="392"/>
      <c r="G3" s="393" t="s">
        <v>3</v>
      </c>
      <c r="H3" s="394"/>
      <c r="I3" s="394"/>
      <c r="J3" s="394"/>
      <c r="K3" s="395"/>
      <c r="L3" s="257"/>
      <c r="M3" s="257"/>
      <c r="N3" s="257"/>
      <c r="O3" s="396" t="s">
        <v>4</v>
      </c>
      <c r="P3" s="396"/>
      <c r="Q3" s="396"/>
      <c r="R3" s="396"/>
      <c r="S3" s="396"/>
      <c r="T3" s="396"/>
      <c r="U3" s="396"/>
      <c r="V3" s="396"/>
      <c r="W3" s="396"/>
      <c r="X3" s="396"/>
      <c r="Y3" s="396"/>
      <c r="Z3" s="396"/>
      <c r="AA3" s="257"/>
      <c r="AB3" s="257"/>
      <c r="AC3" s="257"/>
      <c r="AD3" s="172" t="s">
        <v>5</v>
      </c>
      <c r="AE3" s="233"/>
      <c r="AF3" s="233"/>
      <c r="AG3" s="233"/>
      <c r="AH3" s="242" t="s">
        <v>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7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397" t="s">
        <v>8</v>
      </c>
      <c r="H6" s="398"/>
      <c r="I6" s="398"/>
      <c r="J6" s="398"/>
      <c r="K6" s="398"/>
      <c r="L6" s="398"/>
      <c r="M6" s="398"/>
      <c r="N6" s="398"/>
      <c r="O6" s="398"/>
      <c r="P6" s="398"/>
      <c r="Q6" s="399" t="s">
        <v>9</v>
      </c>
      <c r="R6" s="400"/>
      <c r="S6" s="400"/>
      <c r="T6" s="400"/>
      <c r="U6" s="400"/>
      <c r="V6" s="400"/>
      <c r="W6" s="400"/>
      <c r="X6" s="400"/>
      <c r="Y6" s="400"/>
      <c r="Z6" s="400"/>
      <c r="AA6" s="399" t="s">
        <v>10</v>
      </c>
      <c r="AB6" s="398"/>
      <c r="AC6" s="398"/>
      <c r="AD6" s="398"/>
      <c r="AE6" s="398"/>
      <c r="AF6" s="398"/>
      <c r="AG6" s="398"/>
      <c r="AH6" s="398"/>
      <c r="AI6" s="398"/>
      <c r="AJ6" s="398"/>
      <c r="AK6" s="398"/>
      <c r="AL6" s="257"/>
      <c r="AM6" s="6"/>
    </row>
    <row r="7" spans="1:42">
      <c r="A7" s="5"/>
      <c r="B7" s="257"/>
      <c r="C7" s="257"/>
      <c r="D7" s="257"/>
      <c r="E7" s="257"/>
      <c r="F7" s="257"/>
      <c r="G7" s="397" t="s">
        <v>11</v>
      </c>
      <c r="H7" s="401"/>
      <c r="I7" s="401"/>
      <c r="J7" s="397" t="s">
        <v>12</v>
      </c>
      <c r="K7" s="401"/>
      <c r="L7" s="401"/>
      <c r="M7" s="401"/>
      <c r="N7" s="401"/>
      <c r="O7" s="401"/>
      <c r="P7" s="401"/>
      <c r="Q7" s="402" t="s">
        <v>13</v>
      </c>
      <c r="R7" s="402"/>
      <c r="S7" s="402"/>
      <c r="T7" s="399" t="s">
        <v>14</v>
      </c>
      <c r="U7" s="401"/>
      <c r="V7" s="401"/>
      <c r="W7" s="401"/>
      <c r="X7" s="401"/>
      <c r="Y7" s="401"/>
      <c r="Z7" s="401"/>
      <c r="AA7" s="399" t="s">
        <v>15</v>
      </c>
      <c r="AB7" s="401"/>
      <c r="AC7" s="401"/>
      <c r="AD7" s="399" t="s">
        <v>16</v>
      </c>
      <c r="AE7" s="401"/>
      <c r="AF7" s="401"/>
      <c r="AG7" s="401"/>
      <c r="AH7" s="401"/>
      <c r="AI7" s="399" t="s">
        <v>17</v>
      </c>
      <c r="AJ7" s="401"/>
      <c r="AK7" s="40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03" t="s">
        <v>18</v>
      </c>
      <c r="F10" s="403"/>
      <c r="G10" s="403"/>
      <c r="H10" s="403"/>
      <c r="I10" s="404" t="s">
        <v>19</v>
      </c>
      <c r="J10" s="404"/>
      <c r="K10" s="404"/>
      <c r="L10" s="404"/>
      <c r="M10" s="404"/>
      <c r="N10" s="404"/>
      <c r="O10" s="404"/>
      <c r="P10" s="404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404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03" t="s">
        <v>20</v>
      </c>
      <c r="F12" s="403"/>
      <c r="G12" s="403"/>
      <c r="H12" s="403"/>
      <c r="I12" s="405" t="s">
        <v>21</v>
      </c>
      <c r="J12" s="405"/>
      <c r="K12" s="405"/>
      <c r="L12" s="405"/>
      <c r="M12" s="405"/>
      <c r="N12" s="405"/>
      <c r="O12" s="405"/>
      <c r="P12" s="405"/>
      <c r="Q12" s="405"/>
      <c r="R12" s="405"/>
      <c r="S12" s="405"/>
      <c r="T12" s="405"/>
      <c r="U12" s="405"/>
      <c r="V12" s="405"/>
      <c r="W12" s="405"/>
      <c r="X12" s="405"/>
      <c r="Y12" s="405"/>
      <c r="Z12" s="405"/>
      <c r="AA12" s="405"/>
      <c r="AB12" s="405"/>
      <c r="AC12" s="405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06" t="s">
        <v>22</v>
      </c>
      <c r="F14" s="407"/>
      <c r="G14" s="407"/>
      <c r="H14" s="407"/>
      <c r="I14" s="408">
        <v>15600000</v>
      </c>
      <c r="J14" s="409"/>
      <c r="K14" s="409"/>
      <c r="L14" s="409"/>
      <c r="M14" s="409"/>
      <c r="N14" s="409"/>
      <c r="O14" s="409"/>
      <c r="P14" s="409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03" t="s">
        <v>23</v>
      </c>
      <c r="F16" s="411"/>
      <c r="G16" s="411"/>
      <c r="H16" s="411"/>
      <c r="I16" s="412">
        <v>13520418</v>
      </c>
      <c r="J16" s="413"/>
      <c r="K16" s="413"/>
      <c r="L16" s="413"/>
      <c r="M16" s="413"/>
      <c r="N16" s="413"/>
      <c r="O16" s="413"/>
      <c r="P16" s="413"/>
      <c r="Q16" s="410">
        <v>0.86670000000000003</v>
      </c>
      <c r="R16" s="410"/>
      <c r="S16" s="410"/>
      <c r="U16" s="403" t="s">
        <v>24</v>
      </c>
      <c r="V16" s="411"/>
      <c r="W16" s="411"/>
      <c r="X16" s="411"/>
      <c r="Y16" s="412">
        <v>2079582</v>
      </c>
      <c r="Z16" s="413"/>
      <c r="AA16" s="413"/>
      <c r="AB16" s="413"/>
      <c r="AC16" s="413"/>
      <c r="AD16" s="413"/>
      <c r="AE16" s="413"/>
      <c r="AF16" s="413"/>
      <c r="AG16" s="410">
        <v>0.1333</v>
      </c>
      <c r="AH16" s="410"/>
      <c r="AI16" s="410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03" t="s">
        <v>25</v>
      </c>
      <c r="F18" s="411"/>
      <c r="G18" s="411"/>
      <c r="H18" s="411"/>
      <c r="I18" s="412"/>
      <c r="J18" s="413"/>
      <c r="K18" s="413"/>
      <c r="L18" s="413"/>
      <c r="M18" s="413"/>
      <c r="N18" s="413"/>
      <c r="O18" s="413"/>
      <c r="P18" s="413"/>
      <c r="Q18" s="410"/>
      <c r="R18" s="410"/>
      <c r="S18" s="410"/>
      <c r="U18" s="403" t="s">
        <v>26</v>
      </c>
      <c r="V18" s="411"/>
      <c r="W18" s="411"/>
      <c r="X18" s="411"/>
      <c r="Y18" s="412"/>
      <c r="Z18" s="413"/>
      <c r="AA18" s="413"/>
      <c r="AB18" s="413"/>
      <c r="AC18" s="413"/>
      <c r="AD18" s="413"/>
      <c r="AE18" s="413"/>
      <c r="AF18" s="413"/>
      <c r="AG18" s="410"/>
      <c r="AH18" s="410"/>
      <c r="AI18" s="410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27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28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421" t="s">
        <v>29</v>
      </c>
      <c r="B26" s="422"/>
      <c r="C26" s="422"/>
      <c r="D26" s="422"/>
      <c r="E26" s="422"/>
      <c r="F26" s="422"/>
      <c r="G26" s="422"/>
      <c r="H26" s="422"/>
      <c r="I26" s="422"/>
      <c r="J26" s="422"/>
      <c r="K26" s="422"/>
      <c r="L26" s="422"/>
      <c r="M26" s="422"/>
      <c r="N26" s="422"/>
      <c r="O26" s="422"/>
      <c r="P26" s="422"/>
      <c r="Q26" s="422"/>
      <c r="R26" s="422"/>
      <c r="S26" s="422"/>
      <c r="T26" s="423"/>
      <c r="U26" s="424"/>
      <c r="V26" s="424"/>
      <c r="W26" s="424"/>
      <c r="X26" s="424"/>
      <c r="Y26" s="424"/>
      <c r="Z26" s="424"/>
      <c r="AA26" s="424"/>
      <c r="AB26" s="424"/>
      <c r="AC26" s="424"/>
      <c r="AD26" s="424"/>
      <c r="AE26" s="424"/>
      <c r="AF26" s="424"/>
      <c r="AG26" s="424"/>
      <c r="AH26" s="424"/>
      <c r="AI26" s="424"/>
      <c r="AJ26" s="424"/>
      <c r="AK26" s="424"/>
      <c r="AL26" s="424"/>
      <c r="AM26" s="425"/>
    </row>
    <row r="27" spans="1:39">
      <c r="A27" s="426" t="s">
        <v>30</v>
      </c>
      <c r="B27" s="427"/>
      <c r="C27" s="427"/>
      <c r="D27" s="427"/>
      <c r="E27" s="428"/>
      <c r="F27" s="429" t="s">
        <v>31</v>
      </c>
      <c r="G27" s="430"/>
      <c r="H27" s="430"/>
      <c r="I27" s="430"/>
      <c r="J27" s="430"/>
      <c r="K27" s="430"/>
      <c r="L27" s="430"/>
      <c r="M27" s="430"/>
      <c r="N27" s="430"/>
      <c r="O27" s="430"/>
      <c r="P27" s="430"/>
      <c r="Q27" s="430"/>
      <c r="R27" s="430"/>
      <c r="S27" s="430"/>
      <c r="T27" s="430"/>
      <c r="U27" s="430"/>
      <c r="V27" s="430"/>
      <c r="W27" s="430"/>
      <c r="X27" s="430"/>
      <c r="Y27" s="430"/>
      <c r="Z27" s="430"/>
      <c r="AA27" s="430"/>
      <c r="AB27" s="430"/>
      <c r="AC27" s="430"/>
      <c r="AD27" s="430"/>
      <c r="AE27" s="430"/>
      <c r="AF27" s="430"/>
      <c r="AG27" s="430"/>
      <c r="AH27" s="430"/>
      <c r="AI27" s="430"/>
      <c r="AJ27" s="430"/>
      <c r="AK27" s="430"/>
      <c r="AL27" s="430"/>
      <c r="AM27" s="431"/>
    </row>
    <row r="28" spans="1:39">
      <c r="A28" s="417" t="s">
        <v>32</v>
      </c>
      <c r="B28" s="418"/>
      <c r="C28" s="418"/>
      <c r="D28" s="418"/>
      <c r="E28" s="432"/>
      <c r="F28" s="433" t="s">
        <v>33</v>
      </c>
      <c r="G28" s="434"/>
      <c r="H28" s="434"/>
      <c r="I28" s="434"/>
      <c r="J28" s="434"/>
      <c r="K28" s="434"/>
      <c r="L28" s="414" t="s">
        <v>34</v>
      </c>
      <c r="M28" s="414"/>
      <c r="N28" s="415" t="s">
        <v>35</v>
      </c>
      <c r="O28" s="415"/>
      <c r="P28" s="415"/>
      <c r="Q28" s="415"/>
      <c r="R28" s="415"/>
      <c r="S28" s="435"/>
      <c r="T28" s="436" t="s">
        <v>36</v>
      </c>
      <c r="U28" s="418"/>
      <c r="V28" s="418"/>
      <c r="W28" s="418"/>
      <c r="X28" s="432"/>
      <c r="Y28" s="433" t="s">
        <v>37</v>
      </c>
      <c r="Z28" s="434"/>
      <c r="AA28" s="434"/>
      <c r="AB28" s="434"/>
      <c r="AC28" s="434"/>
      <c r="AD28" s="434"/>
      <c r="AE28" s="414" t="s">
        <v>34</v>
      </c>
      <c r="AF28" s="414"/>
      <c r="AG28" s="415" t="s">
        <v>38</v>
      </c>
      <c r="AH28" s="415"/>
      <c r="AI28" s="415"/>
      <c r="AJ28" s="415"/>
      <c r="AK28" s="415"/>
      <c r="AL28" s="415"/>
      <c r="AM28" s="416"/>
    </row>
    <row r="29" spans="1:39">
      <c r="A29" s="417" t="s">
        <v>39</v>
      </c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  <c r="Q29" s="418"/>
      <c r="R29" s="418"/>
      <c r="S29" s="418"/>
      <c r="T29" s="418"/>
      <c r="U29" s="418"/>
      <c r="V29" s="418"/>
      <c r="W29" s="418"/>
      <c r="X29" s="418"/>
      <c r="Y29" s="418"/>
      <c r="Z29" s="418"/>
      <c r="AA29" s="418"/>
      <c r="AB29" s="418"/>
      <c r="AC29" s="418"/>
      <c r="AD29" s="418"/>
      <c r="AE29" s="418"/>
      <c r="AF29" s="418"/>
      <c r="AG29" s="418"/>
      <c r="AH29" s="418"/>
      <c r="AI29" s="418"/>
      <c r="AJ29" s="418"/>
      <c r="AK29" s="418"/>
      <c r="AL29" s="418"/>
      <c r="AM29" s="419"/>
    </row>
    <row r="30" spans="1:39" ht="18" customHeight="1">
      <c r="A30" s="437"/>
      <c r="B30" s="438"/>
      <c r="C30" s="438"/>
      <c r="D30" s="438"/>
      <c r="E30" s="438"/>
      <c r="F30" s="438"/>
      <c r="G30" s="438"/>
      <c r="H30" s="438"/>
      <c r="I30" s="438"/>
      <c r="J30" s="438"/>
      <c r="K30" s="438"/>
      <c r="L30" s="438"/>
      <c r="M30" s="438"/>
      <c r="N30" s="438"/>
      <c r="O30" s="438"/>
      <c r="P30" s="438"/>
      <c r="Q30" s="438"/>
      <c r="R30" s="438"/>
      <c r="S30" s="438"/>
      <c r="T30" s="438"/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  <c r="AG30" s="438"/>
      <c r="AH30" s="438"/>
      <c r="AI30" s="438"/>
      <c r="AJ30" s="438"/>
      <c r="AK30" s="438"/>
      <c r="AL30" s="438"/>
      <c r="AM30" s="439"/>
    </row>
    <row r="31" spans="1:39" ht="18" customHeight="1" thickBot="1">
      <c r="A31" s="440"/>
      <c r="B31" s="441"/>
      <c r="C31" s="441"/>
      <c r="D31" s="441"/>
      <c r="E31" s="441"/>
      <c r="F31" s="441"/>
      <c r="G31" s="441"/>
      <c r="H31" s="441"/>
      <c r="I31" s="441"/>
      <c r="J31" s="441"/>
      <c r="K31" s="441"/>
      <c r="L31" s="441"/>
      <c r="M31" s="441"/>
      <c r="N31" s="441"/>
      <c r="O31" s="441"/>
      <c r="P31" s="441"/>
      <c r="Q31" s="441"/>
      <c r="R31" s="441"/>
      <c r="S31" s="441"/>
      <c r="T31" s="441"/>
      <c r="U31" s="441"/>
      <c r="V31" s="441"/>
      <c r="W31" s="441"/>
      <c r="X31" s="441"/>
      <c r="Y31" s="441"/>
      <c r="Z31" s="441"/>
      <c r="AA31" s="441"/>
      <c r="AB31" s="441"/>
      <c r="AC31" s="441"/>
      <c r="AD31" s="441"/>
      <c r="AE31" s="441"/>
      <c r="AF31" s="441"/>
      <c r="AG31" s="441"/>
      <c r="AH31" s="441"/>
      <c r="AI31" s="441"/>
      <c r="AJ31" s="441"/>
      <c r="AK31" s="441"/>
      <c r="AL31" s="441"/>
      <c r="AM31" s="442"/>
    </row>
    <row r="32" spans="1:39">
      <c r="A32" s="420" t="s">
        <v>40</v>
      </c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  <c r="S32" s="420"/>
      <c r="T32" s="420"/>
      <c r="U32" s="420"/>
      <c r="V32" s="420"/>
      <c r="W32" s="420"/>
      <c r="X32" s="420"/>
      <c r="Y32" s="420"/>
      <c r="Z32" s="420"/>
      <c r="AA32" s="420"/>
      <c r="AB32" s="420"/>
      <c r="AC32" s="420"/>
      <c r="AD32" s="420"/>
      <c r="AE32" s="420"/>
      <c r="AF32" s="420"/>
      <c r="AG32" s="420"/>
      <c r="AH32" s="420"/>
      <c r="AI32" s="420"/>
      <c r="AJ32" s="420"/>
      <c r="AK32" s="420"/>
      <c r="AL32" s="420"/>
      <c r="AM32" s="420"/>
    </row>
  </sheetData>
  <mergeCells count="49"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E10:H10"/>
    <mergeCell ref="I10:AC10"/>
    <mergeCell ref="E12:H12"/>
    <mergeCell ref="I12:AC12"/>
    <mergeCell ref="E14:H14"/>
    <mergeCell ref="I14:P14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AC1:AF1"/>
    <mergeCell ref="AG1:AL1"/>
    <mergeCell ref="M2:AB2"/>
    <mergeCell ref="C3:F3"/>
    <mergeCell ref="G3:K3"/>
    <mergeCell ref="O3:Z3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41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42</v>
      </c>
      <c r="C2" s="266" t="s">
        <v>19</v>
      </c>
      <c r="D2" s="267"/>
      <c r="E2" s="268"/>
      <c r="F2" s="269"/>
      <c r="G2" s="269"/>
      <c r="H2" s="269"/>
      <c r="I2" s="270"/>
      <c r="J2" s="271"/>
      <c r="K2" s="450" t="s">
        <v>43</v>
      </c>
      <c r="L2" s="451"/>
      <c r="M2" s="452"/>
      <c r="N2" s="471" t="s">
        <v>3</v>
      </c>
      <c r="O2" s="472"/>
      <c r="P2" s="472"/>
      <c r="Q2" s="472"/>
      <c r="R2" s="473"/>
      <c r="S2" s="38" t="s">
        <v>44</v>
      </c>
      <c r="T2" s="359"/>
    </row>
    <row r="3" spans="1:20" ht="24.75" customHeight="1">
      <c r="A3" s="33"/>
      <c r="B3" s="39" t="s">
        <v>45</v>
      </c>
      <c r="C3" s="453">
        <v>45453</v>
      </c>
      <c r="D3" s="454"/>
      <c r="E3" s="272" t="s">
        <v>46</v>
      </c>
      <c r="F3" s="455">
        <v>45639</v>
      </c>
      <c r="G3" s="455"/>
      <c r="H3" s="455"/>
      <c r="I3" s="273"/>
      <c r="J3" s="273"/>
      <c r="K3" s="456" t="s">
        <v>47</v>
      </c>
      <c r="L3" s="457"/>
      <c r="M3" s="458"/>
      <c r="N3" s="443">
        <v>15600000</v>
      </c>
      <c r="O3" s="444"/>
      <c r="P3" s="445"/>
      <c r="Q3" s="274"/>
      <c r="R3" s="275"/>
      <c r="S3" s="40" t="s">
        <v>48</v>
      </c>
      <c r="T3" s="359"/>
    </row>
    <row r="4" spans="1:20" ht="24.75" customHeight="1" thickBot="1">
      <c r="A4" s="33"/>
      <c r="B4" s="41" t="s">
        <v>49</v>
      </c>
      <c r="C4" s="42" t="s">
        <v>50</v>
      </c>
      <c r="D4" s="43" t="s">
        <v>51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52</v>
      </c>
      <c r="C5" s="276">
        <v>3136273</v>
      </c>
      <c r="D5" s="335">
        <f>IF(C5&lt;&gt;"",C5/$C$20,"")</f>
        <v>0.23196568330949532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53</v>
      </c>
      <c r="C6" s="277">
        <v>450000</v>
      </c>
      <c r="D6" s="336">
        <f t="shared" ref="D6:D17" si="0">IF(C6&lt;&gt;"",C6/$C$20,"")</f>
        <v>3.3282994652975968E-2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54</v>
      </c>
      <c r="C7" s="277">
        <v>300000</v>
      </c>
      <c r="D7" s="336">
        <f t="shared" si="0"/>
        <v>2.2188663101983978E-2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55</v>
      </c>
      <c r="C8" s="277">
        <v>541000</v>
      </c>
      <c r="D8" s="336">
        <f t="shared" si="0"/>
        <v>4.0013555793911103E-2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56</v>
      </c>
      <c r="C9" s="277">
        <v>7693145</v>
      </c>
      <c r="D9" s="336">
        <f t="shared" si="0"/>
        <v>0.56900200866570838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57</v>
      </c>
      <c r="C10" s="277">
        <v>1400000</v>
      </c>
      <c r="D10" s="336">
        <f t="shared" si="0"/>
        <v>0.10354709447592522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/>
      <c r="C11" s="277"/>
      <c r="D11" s="336" t="str">
        <f t="shared" si="0"/>
        <v/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/>
      <c r="C12" s="277"/>
      <c r="D12" s="336" t="str">
        <f t="shared" si="0"/>
        <v/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/>
      <c r="C13" s="277"/>
      <c r="D13" s="336" t="str">
        <f t="shared" si="0"/>
        <v/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/>
      <c r="C14" s="277"/>
      <c r="D14" s="336" t="str">
        <f t="shared" si="0"/>
        <v/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/>
      <c r="C15" s="277"/>
      <c r="D15" s="336" t="str">
        <f t="shared" si="0"/>
        <v/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/>
      <c r="C16" s="277"/>
      <c r="D16" s="336" t="str">
        <f t="shared" si="0"/>
        <v/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/>
      <c r="C17" s="278"/>
      <c r="D17" s="336" t="str">
        <f t="shared" si="0"/>
        <v/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/>
      <c r="C18" s="278"/>
      <c r="D18" s="336" t="str">
        <f>IF(C18&lt;&gt;"",C18/$C$20,"")</f>
        <v/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58</v>
      </c>
      <c r="C20" s="279">
        <f>SUM(C5:C19)</f>
        <v>13520418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46" t="s">
        <v>59</v>
      </c>
      <c r="C21" s="61"/>
      <c r="D21" s="62" t="s">
        <v>60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47"/>
      <c r="C22" s="64" t="s">
        <v>61</v>
      </c>
      <c r="D22" s="65" t="s">
        <v>62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59" t="s">
        <v>63</v>
      </c>
      <c r="D25" s="460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1"/>
      <c r="D26" s="462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3" t="s">
        <v>64</v>
      </c>
      <c r="D27" s="464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5"/>
      <c r="D28" s="466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67"/>
      <c r="D30" s="468"/>
      <c r="E30" s="177" t="s">
        <v>65</v>
      </c>
      <c r="F30" s="178" t="s">
        <v>66</v>
      </c>
      <c r="G30" s="177" t="s">
        <v>67</v>
      </c>
      <c r="H30" s="178" t="s">
        <v>68</v>
      </c>
      <c r="I30" s="177" t="s">
        <v>69</v>
      </c>
      <c r="J30" s="178" t="s">
        <v>70</v>
      </c>
      <c r="K30" s="177" t="s">
        <v>71</v>
      </c>
      <c r="L30" s="178" t="s">
        <v>72</v>
      </c>
      <c r="M30" s="177" t="s">
        <v>73</v>
      </c>
      <c r="N30" s="179" t="s">
        <v>74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69"/>
      <c r="D31" s="470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8"/>
      <c r="D32" s="449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8"/>
      <c r="D33" s="449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8"/>
      <c r="D34" s="449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8"/>
      <c r="D35" s="449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8"/>
      <c r="D36" s="449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8"/>
      <c r="D37" s="449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8"/>
      <c r="D38" s="449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8"/>
      <c r="D39" s="449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8"/>
      <c r="D40" s="449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8"/>
      <c r="D41" s="449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8"/>
      <c r="D42" s="449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8"/>
      <c r="D43" s="449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8"/>
      <c r="D44" s="449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74"/>
      <c r="D45" s="475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75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6"/>
      <c r="M2" s="476"/>
      <c r="N2" s="69"/>
      <c r="O2" s="69"/>
    </row>
    <row r="3" spans="1:18" ht="24.95" customHeight="1">
      <c r="A3" s="69"/>
      <c r="B3" s="74" t="s">
        <v>76</v>
      </c>
      <c r="C3" s="75"/>
      <c r="D3" s="75"/>
      <c r="E3" s="75"/>
      <c r="F3" s="75"/>
      <c r="G3" s="75"/>
      <c r="H3" s="75"/>
      <c r="I3" s="76"/>
      <c r="J3" s="77" t="s">
        <v>77</v>
      </c>
      <c r="K3" s="75"/>
      <c r="L3" s="75"/>
      <c r="M3" s="78"/>
      <c r="N3" s="69"/>
      <c r="O3" s="69"/>
    </row>
    <row r="4" spans="1:18" ht="24.75" customHeight="1">
      <c r="A4" s="69"/>
      <c r="B4" s="477" t="s">
        <v>78</v>
      </c>
      <c r="C4" s="584"/>
      <c r="D4" s="584"/>
      <c r="E4" s="584"/>
      <c r="F4" s="584"/>
      <c r="G4" s="584"/>
      <c r="H4" s="584"/>
      <c r="I4" s="585"/>
      <c r="J4" s="79" t="s">
        <v>79</v>
      </c>
      <c r="K4" s="80" t="s">
        <v>80</v>
      </c>
      <c r="L4" s="80" t="s">
        <v>81</v>
      </c>
      <c r="M4" s="81" t="s">
        <v>82</v>
      </c>
      <c r="N4" s="69"/>
      <c r="O4" s="69"/>
    </row>
    <row r="5" spans="1:18" ht="27" customHeight="1">
      <c r="A5" s="69"/>
      <c r="B5" s="586"/>
      <c r="C5" s="587"/>
      <c r="D5" s="587"/>
      <c r="E5" s="587"/>
      <c r="F5" s="587"/>
      <c r="G5" s="587"/>
      <c r="H5" s="587"/>
      <c r="I5" s="588"/>
      <c r="J5" s="82" t="s">
        <v>52</v>
      </c>
      <c r="K5" s="282"/>
      <c r="L5" s="283" t="s">
        <v>83</v>
      </c>
      <c r="M5" s="284">
        <v>1541</v>
      </c>
      <c r="N5" s="69"/>
      <c r="O5" s="285"/>
      <c r="P5" s="286"/>
      <c r="Q5" s="287"/>
      <c r="R5" s="288"/>
    </row>
    <row r="6" spans="1:18" ht="24.95" customHeight="1">
      <c r="A6" s="69"/>
      <c r="B6" s="586"/>
      <c r="C6" s="587"/>
      <c r="D6" s="587"/>
      <c r="E6" s="587"/>
      <c r="F6" s="587"/>
      <c r="G6" s="587"/>
      <c r="H6" s="587"/>
      <c r="I6" s="588"/>
      <c r="J6" s="85" t="s">
        <v>53</v>
      </c>
      <c r="K6" s="289"/>
      <c r="L6" s="290" t="s">
        <v>84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586"/>
      <c r="C7" s="587"/>
      <c r="D7" s="587"/>
      <c r="E7" s="587"/>
      <c r="F7" s="587"/>
      <c r="G7" s="587"/>
      <c r="H7" s="587"/>
      <c r="I7" s="588"/>
      <c r="J7" s="85" t="s">
        <v>54</v>
      </c>
      <c r="K7" s="289"/>
      <c r="L7" s="290" t="s">
        <v>84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586"/>
      <c r="C8" s="587"/>
      <c r="D8" s="587"/>
      <c r="E8" s="587"/>
      <c r="F8" s="587"/>
      <c r="G8" s="587"/>
      <c r="H8" s="587"/>
      <c r="I8" s="588"/>
      <c r="J8" s="85" t="s">
        <v>55</v>
      </c>
      <c r="K8" s="289"/>
      <c r="L8" s="290" t="s">
        <v>84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586"/>
      <c r="C9" s="587"/>
      <c r="D9" s="587"/>
      <c r="E9" s="587"/>
      <c r="F9" s="587"/>
      <c r="G9" s="587"/>
      <c r="H9" s="587"/>
      <c r="I9" s="588"/>
      <c r="J9" s="85" t="s">
        <v>56</v>
      </c>
      <c r="K9" s="289"/>
      <c r="L9" s="290" t="s">
        <v>84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586"/>
      <c r="C10" s="587"/>
      <c r="D10" s="587"/>
      <c r="E10" s="587"/>
      <c r="F10" s="587"/>
      <c r="G10" s="587"/>
      <c r="H10" s="587"/>
      <c r="I10" s="588"/>
      <c r="J10" s="85" t="s">
        <v>57</v>
      </c>
      <c r="K10" s="289"/>
      <c r="L10" s="290" t="s">
        <v>84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586"/>
      <c r="C11" s="587"/>
      <c r="D11" s="587"/>
      <c r="E11" s="587"/>
      <c r="F11" s="587"/>
      <c r="G11" s="587"/>
      <c r="H11" s="587"/>
      <c r="I11" s="588"/>
      <c r="J11" s="88"/>
      <c r="K11" s="289"/>
      <c r="L11" s="290"/>
      <c r="M11" s="291"/>
      <c r="N11" s="69"/>
      <c r="O11" s="285"/>
      <c r="P11" s="286"/>
      <c r="Q11" s="287"/>
      <c r="R11" s="288"/>
    </row>
    <row r="12" spans="1:18" ht="24.95" customHeight="1">
      <c r="A12" s="69"/>
      <c r="B12" s="586"/>
      <c r="C12" s="587"/>
      <c r="D12" s="587"/>
      <c r="E12" s="587"/>
      <c r="F12" s="587"/>
      <c r="G12" s="587"/>
      <c r="H12" s="587"/>
      <c r="I12" s="588"/>
      <c r="J12" s="88"/>
      <c r="K12" s="289"/>
      <c r="L12" s="290"/>
      <c r="M12" s="291"/>
      <c r="N12" s="69"/>
      <c r="O12" s="285"/>
      <c r="P12" s="286"/>
      <c r="Q12" s="287"/>
      <c r="R12" s="288"/>
    </row>
    <row r="13" spans="1:18" ht="24.95" customHeight="1">
      <c r="A13" s="69"/>
      <c r="B13" s="586"/>
      <c r="C13" s="587"/>
      <c r="D13" s="587"/>
      <c r="E13" s="587"/>
      <c r="F13" s="587"/>
      <c r="G13" s="587"/>
      <c r="H13" s="587"/>
      <c r="I13" s="588"/>
      <c r="J13" s="88"/>
      <c r="K13" s="289"/>
      <c r="L13" s="290"/>
      <c r="M13" s="291"/>
      <c r="N13" s="69"/>
      <c r="O13" s="285"/>
      <c r="P13" s="286"/>
      <c r="Q13" s="287"/>
      <c r="R13" s="288"/>
    </row>
    <row r="14" spans="1:18" ht="24.95" customHeight="1" thickBot="1">
      <c r="A14" s="69"/>
      <c r="B14" s="589"/>
      <c r="C14" s="590"/>
      <c r="D14" s="590"/>
      <c r="E14" s="590"/>
      <c r="F14" s="590"/>
      <c r="G14" s="590"/>
      <c r="H14" s="590"/>
      <c r="I14" s="591"/>
      <c r="J14" s="88"/>
      <c r="K14" s="289"/>
      <c r="L14" s="290"/>
      <c r="M14" s="291"/>
      <c r="N14" s="69"/>
      <c r="O14" s="69"/>
    </row>
    <row r="15" spans="1:18" ht="24.95" customHeight="1" thickTop="1">
      <c r="A15" s="69"/>
      <c r="B15" s="89" t="s">
        <v>85</v>
      </c>
      <c r="C15" s="90"/>
      <c r="D15" s="90"/>
      <c r="E15" s="90"/>
      <c r="F15" s="90"/>
      <c r="G15" s="90"/>
      <c r="H15" s="90"/>
      <c r="I15" s="91"/>
      <c r="J15" s="88"/>
      <c r="K15" s="289"/>
      <c r="L15" s="290"/>
      <c r="M15" s="291"/>
      <c r="N15" s="69"/>
      <c r="O15" s="69"/>
    </row>
    <row r="16" spans="1:18" ht="24.95" customHeight="1">
      <c r="A16" s="69"/>
      <c r="B16" s="92" t="s">
        <v>86</v>
      </c>
      <c r="C16" s="80" t="s">
        <v>87</v>
      </c>
      <c r="D16" s="80" t="s">
        <v>81</v>
      </c>
      <c r="E16" s="93" t="s">
        <v>82</v>
      </c>
      <c r="F16" s="79" t="s">
        <v>86</v>
      </c>
      <c r="G16" s="80" t="s">
        <v>87</v>
      </c>
      <c r="H16" s="80" t="s">
        <v>81</v>
      </c>
      <c r="I16" s="93" t="s">
        <v>82</v>
      </c>
      <c r="J16" s="88"/>
      <c r="K16" s="289"/>
      <c r="L16" s="290"/>
      <c r="M16" s="291"/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/>
      <c r="K17" s="289"/>
      <c r="L17" s="290"/>
      <c r="M17" s="291"/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/>
      <c r="K18" s="289"/>
      <c r="L18" s="290"/>
      <c r="M18" s="291"/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478" t="s">
        <v>88</v>
      </c>
      <c r="B2" s="479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80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481"/>
      <c r="N3" s="481"/>
      <c r="O3" s="476"/>
      <c r="P3" s="69"/>
    </row>
    <row r="4" spans="1:17" ht="30" customHeight="1">
      <c r="A4" s="69"/>
      <c r="B4" s="104" t="s">
        <v>89</v>
      </c>
      <c r="C4" s="482" t="s">
        <v>19</v>
      </c>
      <c r="D4" s="483"/>
      <c r="E4" s="483"/>
      <c r="F4" s="483"/>
      <c r="G4" s="483"/>
      <c r="H4" s="483"/>
      <c r="I4" s="483"/>
      <c r="J4" s="483"/>
      <c r="K4" s="483"/>
      <c r="L4" s="483"/>
      <c r="M4" s="483"/>
      <c r="N4" s="483"/>
      <c r="O4" s="484"/>
      <c r="P4" s="69"/>
    </row>
    <row r="5" spans="1:17" ht="30" customHeight="1">
      <c r="A5" s="69"/>
      <c r="B5" s="105" t="s">
        <v>90</v>
      </c>
      <c r="C5" s="485" t="s">
        <v>91</v>
      </c>
      <c r="D5" s="486"/>
      <c r="E5" s="246" t="s">
        <v>92</v>
      </c>
      <c r="F5" s="487" t="s">
        <v>93</v>
      </c>
      <c r="G5" s="488"/>
      <c r="H5" s="246" t="s">
        <v>94</v>
      </c>
      <c r="I5" s="485" t="s">
        <v>29</v>
      </c>
      <c r="J5" s="489"/>
      <c r="K5" s="490"/>
      <c r="L5" s="106" t="s">
        <v>95</v>
      </c>
      <c r="M5" s="485" t="s">
        <v>96</v>
      </c>
      <c r="N5" s="489"/>
      <c r="O5" s="491"/>
      <c r="P5" s="69"/>
    </row>
    <row r="6" spans="1:17" ht="30" customHeight="1">
      <c r="A6" s="69"/>
      <c r="B6" s="107" t="s">
        <v>97</v>
      </c>
      <c r="C6" s="485" t="s">
        <v>3</v>
      </c>
      <c r="D6" s="490"/>
      <c r="E6" s="106"/>
      <c r="F6" s="108" t="s">
        <v>98</v>
      </c>
      <c r="G6" s="108" t="s">
        <v>99</v>
      </c>
      <c r="H6" s="109" t="s">
        <v>100</v>
      </c>
      <c r="I6" s="110" t="s">
        <v>101</v>
      </c>
      <c r="J6" s="110" t="s">
        <v>102</v>
      </c>
      <c r="K6" s="110" t="s">
        <v>103</v>
      </c>
      <c r="L6" s="110" t="s">
        <v>104</v>
      </c>
      <c r="M6" s="111" t="s">
        <v>105</v>
      </c>
      <c r="N6" s="110" t="s">
        <v>106</v>
      </c>
      <c r="O6" s="112" t="s">
        <v>54</v>
      </c>
      <c r="P6" s="247"/>
      <c r="Q6" s="248"/>
    </row>
    <row r="7" spans="1:17" ht="30" customHeight="1">
      <c r="A7" s="69"/>
      <c r="B7" s="107" t="s">
        <v>107</v>
      </c>
      <c r="C7" s="485" t="s">
        <v>21</v>
      </c>
      <c r="D7" s="490"/>
      <c r="E7" s="113" t="s">
        <v>108</v>
      </c>
      <c r="F7" s="249">
        <v>15600000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109</v>
      </c>
      <c r="C8" s="485" t="s">
        <v>110</v>
      </c>
      <c r="D8" s="501"/>
      <c r="E8" s="113" t="s">
        <v>111</v>
      </c>
      <c r="F8" s="249">
        <v>13520418</v>
      </c>
      <c r="G8" s="334">
        <v>0.86670000000000003</v>
      </c>
      <c r="H8" s="250">
        <v>6472998</v>
      </c>
      <c r="I8" s="251">
        <v>1785000</v>
      </c>
      <c r="J8" s="251">
        <v>450000</v>
      </c>
      <c r="K8" s="251">
        <v>1832999</v>
      </c>
      <c r="L8" s="252">
        <v>1580000</v>
      </c>
      <c r="M8" s="252"/>
      <c r="N8" s="253">
        <v>1400000</v>
      </c>
      <c r="O8" s="254"/>
      <c r="P8" s="255"/>
      <c r="Q8" s="235"/>
    </row>
    <row r="9" spans="1:17" ht="30" customHeight="1">
      <c r="A9" s="69"/>
      <c r="B9" s="107" t="s">
        <v>30</v>
      </c>
      <c r="C9" s="485" t="s">
        <v>31</v>
      </c>
      <c r="D9" s="490"/>
      <c r="E9" s="114" t="s">
        <v>112</v>
      </c>
      <c r="F9" s="249">
        <v>12120418</v>
      </c>
      <c r="G9" s="334">
        <v>0.77690000000000003</v>
      </c>
      <c r="H9" s="250">
        <v>6472998</v>
      </c>
      <c r="I9" s="251">
        <v>1785000</v>
      </c>
      <c r="J9" s="251">
        <v>450000</v>
      </c>
      <c r="K9" s="251">
        <v>1832999</v>
      </c>
      <c r="L9" s="252">
        <v>1580000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113</v>
      </c>
      <c r="C10" s="485" t="s">
        <v>6</v>
      </c>
      <c r="D10" s="490"/>
      <c r="E10" s="114" t="s">
        <v>114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115</v>
      </c>
      <c r="C11" s="485"/>
      <c r="D11" s="490"/>
      <c r="E11" s="114" t="s">
        <v>116</v>
      </c>
      <c r="F11" s="249">
        <v>1400000</v>
      </c>
      <c r="G11" s="334">
        <v>8.9700000000000002E-2</v>
      </c>
      <c r="H11" s="250"/>
      <c r="I11" s="253"/>
      <c r="J11" s="253"/>
      <c r="K11" s="253"/>
      <c r="L11" s="251"/>
      <c r="M11" s="252"/>
      <c r="N11" s="253">
        <v>1400000</v>
      </c>
      <c r="O11" s="254"/>
      <c r="P11" s="365"/>
      <c r="Q11" s="256"/>
    </row>
    <row r="12" spans="1:17" ht="30" customHeight="1">
      <c r="A12" s="69"/>
      <c r="B12" s="107" t="s">
        <v>117</v>
      </c>
      <c r="C12" s="485" t="s">
        <v>118</v>
      </c>
      <c r="D12" s="501"/>
      <c r="E12" s="113" t="s">
        <v>119</v>
      </c>
      <c r="F12" s="249">
        <v>2079582</v>
      </c>
      <c r="G12" s="334">
        <v>0.1333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120</v>
      </c>
      <c r="C13" s="485" t="s">
        <v>121</v>
      </c>
      <c r="D13" s="501"/>
      <c r="E13" s="169" t="s">
        <v>122</v>
      </c>
      <c r="F13" s="249">
        <v>904800</v>
      </c>
      <c r="G13" s="334">
        <v>5.8000000000000003E-2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123</v>
      </c>
      <c r="C14" s="485" t="s">
        <v>124</v>
      </c>
      <c r="D14" s="490"/>
      <c r="E14" s="114" t="s">
        <v>125</v>
      </c>
      <c r="F14" s="249">
        <v>592800</v>
      </c>
      <c r="G14" s="334">
        <v>3.7999999999999999E-2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32</v>
      </c>
      <c r="C15" s="505" t="s">
        <v>126</v>
      </c>
      <c r="D15" s="506"/>
      <c r="E15" s="114" t="s">
        <v>127</v>
      </c>
      <c r="F15" s="249">
        <v>312000</v>
      </c>
      <c r="G15" s="334">
        <v>0.02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128</v>
      </c>
      <c r="C16" s="485" t="s">
        <v>129</v>
      </c>
      <c r="D16" s="490"/>
      <c r="E16" s="113" t="s">
        <v>130</v>
      </c>
      <c r="F16" s="249">
        <v>1174782</v>
      </c>
      <c r="G16" s="334">
        <v>7.5300000000000006E-2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2" t="s">
        <v>131</v>
      </c>
      <c r="C17" s="495" t="s">
        <v>132</v>
      </c>
      <c r="D17" s="496"/>
      <c r="E17" s="113" t="s">
        <v>133</v>
      </c>
      <c r="F17" s="249">
        <v>265200</v>
      </c>
      <c r="G17" s="334">
        <v>1.7000000000000001E-2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3"/>
      <c r="C18" s="497"/>
      <c r="D18" s="498"/>
      <c r="E18" s="168" t="s">
        <v>134</v>
      </c>
      <c r="F18" s="249">
        <v>909582</v>
      </c>
      <c r="G18" s="334">
        <v>5.8299999999999998E-2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4"/>
      <c r="C19" s="499"/>
      <c r="D19" s="500"/>
      <c r="E19" s="173" t="s">
        <v>135</v>
      </c>
      <c r="F19" s="502"/>
      <c r="G19" s="503"/>
      <c r="H19" s="503"/>
      <c r="I19" s="503"/>
      <c r="J19" s="503"/>
      <c r="K19" s="503"/>
      <c r="L19" s="503"/>
      <c r="M19" s="503"/>
      <c r="N19" s="503"/>
      <c r="O19" s="504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F19:O19"/>
    <mergeCell ref="C12:D12"/>
    <mergeCell ref="C13:D13"/>
    <mergeCell ref="C14:D14"/>
    <mergeCell ref="C15:D15"/>
    <mergeCell ref="C16:D16"/>
    <mergeCell ref="B17:B19"/>
    <mergeCell ref="C17:D19"/>
    <mergeCell ref="C6:D6"/>
    <mergeCell ref="C7:D7"/>
    <mergeCell ref="C8:D8"/>
    <mergeCell ref="C9:D9"/>
    <mergeCell ref="C10:D10"/>
    <mergeCell ref="C11:D11"/>
    <mergeCell ref="A2:P2"/>
    <mergeCell ref="M3:O3"/>
    <mergeCell ref="C4:O4"/>
    <mergeCell ref="C5:D5"/>
    <mergeCell ref="F5:G5"/>
    <mergeCell ref="I5:K5"/>
    <mergeCell ref="M5:O5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23" t="s">
        <v>136</v>
      </c>
      <c r="E1" s="523"/>
      <c r="F1" s="523"/>
      <c r="G1" s="52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137</v>
      </c>
      <c r="C3" s="219" t="s">
        <v>19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24" t="s">
        <v>138</v>
      </c>
      <c r="C5" s="525"/>
      <c r="D5" s="220" t="s">
        <v>139</v>
      </c>
      <c r="E5" s="220" t="s">
        <v>140</v>
      </c>
      <c r="F5" s="220" t="s">
        <v>141</v>
      </c>
      <c r="G5" s="220" t="s">
        <v>142</v>
      </c>
      <c r="H5" s="221" t="s">
        <v>143</v>
      </c>
      <c r="I5" s="220" t="s">
        <v>99</v>
      </c>
      <c r="J5" s="117" t="s">
        <v>144</v>
      </c>
      <c r="K5" s="69"/>
    </row>
    <row r="6" spans="1:11" ht="15.6" customHeight="1">
      <c r="A6" s="69"/>
      <c r="B6" s="222" t="s">
        <v>145</v>
      </c>
      <c r="C6" s="166"/>
      <c r="D6" s="507"/>
      <c r="E6" s="509"/>
      <c r="F6" s="511"/>
      <c r="G6" s="513"/>
      <c r="H6" s="351"/>
      <c r="I6" s="515"/>
      <c r="J6" s="223"/>
      <c r="K6" s="69" t="s">
        <v>146</v>
      </c>
    </row>
    <row r="7" spans="1:11" ht="15.6" customHeight="1">
      <c r="A7" s="69"/>
      <c r="B7" s="224"/>
      <c r="C7" s="225"/>
      <c r="D7" s="517"/>
      <c r="E7" s="518"/>
      <c r="F7" s="519"/>
      <c r="G7" s="520"/>
      <c r="H7" s="352"/>
      <c r="I7" s="521"/>
      <c r="J7" s="226"/>
      <c r="K7" s="69" t="s">
        <v>146</v>
      </c>
    </row>
    <row r="8" spans="1:11" ht="15.6" customHeight="1">
      <c r="A8" s="69"/>
      <c r="B8" s="222" t="s">
        <v>147</v>
      </c>
      <c r="C8" s="166"/>
      <c r="D8" s="507" t="s">
        <v>84</v>
      </c>
      <c r="E8" s="509">
        <v>1</v>
      </c>
      <c r="F8" s="511">
        <v>12120418</v>
      </c>
      <c r="G8" s="513">
        <v>12120418</v>
      </c>
      <c r="H8" s="351"/>
      <c r="I8" s="515">
        <v>0.77690000000000003</v>
      </c>
      <c r="J8" s="227"/>
      <c r="K8" s="69" t="s">
        <v>146</v>
      </c>
    </row>
    <row r="9" spans="1:11" ht="15.6" customHeight="1">
      <c r="A9" s="69"/>
      <c r="B9" s="224" t="s">
        <v>148</v>
      </c>
      <c r="C9" s="225"/>
      <c r="D9" s="517"/>
      <c r="E9" s="518"/>
      <c r="F9" s="519"/>
      <c r="G9" s="520"/>
      <c r="H9" s="352" t="s">
        <v>149</v>
      </c>
      <c r="I9" s="521"/>
      <c r="J9" s="227"/>
      <c r="K9" s="69" t="s">
        <v>146</v>
      </c>
    </row>
    <row r="10" spans="1:11" ht="15.6" customHeight="1">
      <c r="A10" s="69"/>
      <c r="B10" s="222" t="s">
        <v>150</v>
      </c>
      <c r="C10" s="166"/>
      <c r="D10" s="507" t="s">
        <v>83</v>
      </c>
      <c r="E10" s="509">
        <v>1541</v>
      </c>
      <c r="F10" s="511">
        <v>2035.21</v>
      </c>
      <c r="G10" s="513">
        <v>3136273</v>
      </c>
      <c r="H10" s="351" t="s">
        <v>151</v>
      </c>
      <c r="I10" s="515">
        <v>0.20100000000000001</v>
      </c>
      <c r="J10" s="223"/>
      <c r="K10" s="69" t="s">
        <v>146</v>
      </c>
    </row>
    <row r="11" spans="1:11" ht="15.6" customHeight="1">
      <c r="A11" s="69"/>
      <c r="B11" s="224" t="s">
        <v>152</v>
      </c>
      <c r="C11" s="225"/>
      <c r="D11" s="517"/>
      <c r="E11" s="518"/>
      <c r="F11" s="519"/>
      <c r="G11" s="520"/>
      <c r="H11" s="352" t="s">
        <v>153</v>
      </c>
      <c r="I11" s="521"/>
      <c r="J11" s="226"/>
      <c r="K11" s="69" t="s">
        <v>146</v>
      </c>
    </row>
    <row r="12" spans="1:11" ht="15.6" customHeight="1">
      <c r="A12" s="69"/>
      <c r="B12" s="222" t="s">
        <v>154</v>
      </c>
      <c r="C12" s="166"/>
      <c r="D12" s="507" t="s">
        <v>84</v>
      </c>
      <c r="E12" s="509">
        <v>1</v>
      </c>
      <c r="F12" s="511">
        <v>450000</v>
      </c>
      <c r="G12" s="513">
        <v>450000</v>
      </c>
      <c r="H12" s="351" t="s">
        <v>155</v>
      </c>
      <c r="I12" s="515">
        <v>2.8799999999999999E-2</v>
      </c>
      <c r="J12" s="223"/>
      <c r="K12" s="69" t="s">
        <v>146</v>
      </c>
    </row>
    <row r="13" spans="1:11" ht="15.6" customHeight="1">
      <c r="A13" s="69"/>
      <c r="B13" s="224" t="s">
        <v>152</v>
      </c>
      <c r="C13" s="225"/>
      <c r="D13" s="517"/>
      <c r="E13" s="518"/>
      <c r="F13" s="519"/>
      <c r="G13" s="520"/>
      <c r="H13" s="352" t="s">
        <v>153</v>
      </c>
      <c r="I13" s="521"/>
      <c r="J13" s="226"/>
      <c r="K13" s="69" t="s">
        <v>146</v>
      </c>
    </row>
    <row r="14" spans="1:11" ht="15.6" customHeight="1">
      <c r="A14" s="69"/>
      <c r="B14" s="222" t="s">
        <v>156</v>
      </c>
      <c r="C14" s="166"/>
      <c r="D14" s="507" t="s">
        <v>84</v>
      </c>
      <c r="E14" s="509">
        <v>1</v>
      </c>
      <c r="F14" s="511">
        <v>300000</v>
      </c>
      <c r="G14" s="513">
        <v>300000</v>
      </c>
      <c r="H14" s="351" t="s">
        <v>157</v>
      </c>
      <c r="I14" s="515">
        <v>1.9199999999999998E-2</v>
      </c>
      <c r="J14" s="223"/>
      <c r="K14" s="69" t="s">
        <v>146</v>
      </c>
    </row>
    <row r="15" spans="1:11" ht="15.6" customHeight="1">
      <c r="A15" s="69"/>
      <c r="B15" s="224" t="s">
        <v>152</v>
      </c>
      <c r="C15" s="225"/>
      <c r="D15" s="517"/>
      <c r="E15" s="518"/>
      <c r="F15" s="519"/>
      <c r="G15" s="520"/>
      <c r="H15" s="352" t="s">
        <v>153</v>
      </c>
      <c r="I15" s="521"/>
      <c r="J15" s="226"/>
      <c r="K15" s="69" t="s">
        <v>146</v>
      </c>
    </row>
    <row r="16" spans="1:11" ht="15.6" customHeight="1">
      <c r="A16" s="69"/>
      <c r="B16" s="222" t="s">
        <v>158</v>
      </c>
      <c r="C16" s="166"/>
      <c r="D16" s="507" t="s">
        <v>84</v>
      </c>
      <c r="E16" s="509">
        <v>1</v>
      </c>
      <c r="F16" s="511">
        <v>541000</v>
      </c>
      <c r="G16" s="513">
        <v>541000</v>
      </c>
      <c r="H16" s="351" t="s">
        <v>159</v>
      </c>
      <c r="I16" s="515">
        <v>3.4599999999999999E-2</v>
      </c>
      <c r="J16" s="223"/>
      <c r="K16" s="69" t="s">
        <v>146</v>
      </c>
    </row>
    <row r="17" spans="1:11" ht="15.6" customHeight="1">
      <c r="A17" s="69"/>
      <c r="B17" s="224" t="s">
        <v>152</v>
      </c>
      <c r="C17" s="225"/>
      <c r="D17" s="517"/>
      <c r="E17" s="518"/>
      <c r="F17" s="519"/>
      <c r="G17" s="520"/>
      <c r="H17" s="352" t="s">
        <v>153</v>
      </c>
      <c r="I17" s="521"/>
      <c r="J17" s="226"/>
      <c r="K17" s="69" t="s">
        <v>146</v>
      </c>
    </row>
    <row r="18" spans="1:11" ht="15.6" customHeight="1">
      <c r="A18" s="69"/>
      <c r="B18" s="222" t="s">
        <v>160</v>
      </c>
      <c r="C18" s="166"/>
      <c r="D18" s="507" t="s">
        <v>84</v>
      </c>
      <c r="E18" s="509">
        <v>1</v>
      </c>
      <c r="F18" s="511">
        <v>7693145</v>
      </c>
      <c r="G18" s="513">
        <v>7693145</v>
      </c>
      <c r="H18" s="351" t="s">
        <v>161</v>
      </c>
      <c r="I18" s="515">
        <v>0.49309999999999998</v>
      </c>
      <c r="J18" s="223"/>
      <c r="K18" s="69" t="s">
        <v>146</v>
      </c>
    </row>
    <row r="19" spans="1:11" ht="15.6" customHeight="1">
      <c r="A19" s="69"/>
      <c r="B19" s="224" t="s">
        <v>152</v>
      </c>
      <c r="C19" s="225"/>
      <c r="D19" s="517"/>
      <c r="E19" s="518"/>
      <c r="F19" s="519"/>
      <c r="G19" s="520"/>
      <c r="H19" s="352" t="s">
        <v>153</v>
      </c>
      <c r="I19" s="521"/>
      <c r="J19" s="226"/>
      <c r="K19" s="69" t="s">
        <v>146</v>
      </c>
    </row>
    <row r="20" spans="1:11" ht="15.6" customHeight="1">
      <c r="A20" s="69"/>
      <c r="B20" s="222" t="s">
        <v>162</v>
      </c>
      <c r="C20" s="166"/>
      <c r="D20" s="507"/>
      <c r="E20" s="509"/>
      <c r="F20" s="511"/>
      <c r="G20" s="513">
        <v>12120418</v>
      </c>
      <c r="H20" s="351"/>
      <c r="I20" s="515">
        <v>0.77690000000000003</v>
      </c>
      <c r="J20" s="223"/>
      <c r="K20" s="69" t="s">
        <v>146</v>
      </c>
    </row>
    <row r="21" spans="1:11" ht="15.6" customHeight="1">
      <c r="A21" s="69"/>
      <c r="B21" s="224"/>
      <c r="C21" s="225"/>
      <c r="D21" s="517"/>
      <c r="E21" s="518"/>
      <c r="F21" s="519"/>
      <c r="G21" s="520"/>
      <c r="H21" s="352"/>
      <c r="I21" s="521"/>
      <c r="J21" s="226"/>
      <c r="K21" s="69" t="s">
        <v>146</v>
      </c>
    </row>
    <row r="22" spans="1:11" ht="15.6" customHeight="1">
      <c r="A22" s="69"/>
      <c r="B22" s="222"/>
      <c r="C22" s="166"/>
      <c r="D22" s="507"/>
      <c r="E22" s="509"/>
      <c r="F22" s="511"/>
      <c r="G22" s="513"/>
      <c r="H22" s="351"/>
      <c r="I22" s="515"/>
      <c r="J22" s="223"/>
      <c r="K22" s="69" t="s">
        <v>146</v>
      </c>
    </row>
    <row r="23" spans="1:11" ht="15.6" customHeight="1">
      <c r="A23" s="69"/>
      <c r="B23" s="224"/>
      <c r="C23" s="225"/>
      <c r="D23" s="517"/>
      <c r="E23" s="518"/>
      <c r="F23" s="519"/>
      <c r="G23" s="520"/>
      <c r="H23" s="352"/>
      <c r="I23" s="521"/>
      <c r="J23" s="226"/>
      <c r="K23" s="69" t="s">
        <v>146</v>
      </c>
    </row>
    <row r="24" spans="1:11" ht="15.6" customHeight="1">
      <c r="A24" s="69"/>
      <c r="B24" s="222" t="s">
        <v>163</v>
      </c>
      <c r="C24" s="166"/>
      <c r="D24" s="507"/>
      <c r="E24" s="509"/>
      <c r="F24" s="511"/>
      <c r="G24" s="513"/>
      <c r="H24" s="351"/>
      <c r="I24" s="515"/>
      <c r="J24" s="223"/>
      <c r="K24" s="69" t="s">
        <v>146</v>
      </c>
    </row>
    <row r="25" spans="1:11" ht="15.6" customHeight="1">
      <c r="A25" s="69"/>
      <c r="B25" s="224"/>
      <c r="C25" s="225"/>
      <c r="D25" s="517"/>
      <c r="E25" s="518"/>
      <c r="F25" s="519"/>
      <c r="G25" s="520"/>
      <c r="H25" s="352"/>
      <c r="I25" s="521"/>
      <c r="J25" s="226"/>
      <c r="K25" s="69" t="s">
        <v>146</v>
      </c>
    </row>
    <row r="26" spans="1:11" ht="15.6" customHeight="1">
      <c r="A26" s="69"/>
      <c r="B26" s="222" t="s">
        <v>164</v>
      </c>
      <c r="C26" s="166"/>
      <c r="D26" s="507"/>
      <c r="E26" s="509"/>
      <c r="F26" s="511"/>
      <c r="G26" s="513"/>
      <c r="H26" s="351"/>
      <c r="I26" s="515"/>
      <c r="J26" s="223"/>
      <c r="K26" s="69" t="s">
        <v>146</v>
      </c>
    </row>
    <row r="27" spans="1:11" ht="15.6" customHeight="1">
      <c r="A27" s="69"/>
      <c r="B27" s="224" t="s">
        <v>148</v>
      </c>
      <c r="C27" s="225"/>
      <c r="D27" s="517"/>
      <c r="E27" s="518"/>
      <c r="F27" s="519"/>
      <c r="G27" s="520"/>
      <c r="H27" s="352"/>
      <c r="I27" s="521"/>
      <c r="J27" s="226"/>
      <c r="K27" s="69" t="s">
        <v>146</v>
      </c>
    </row>
    <row r="28" spans="1:11" ht="15.6" customHeight="1">
      <c r="A28" s="69"/>
      <c r="B28" s="222" t="s">
        <v>165</v>
      </c>
      <c r="C28" s="166"/>
      <c r="D28" s="507" t="s">
        <v>84</v>
      </c>
      <c r="E28" s="509">
        <v>1</v>
      </c>
      <c r="F28" s="511">
        <v>1400000</v>
      </c>
      <c r="G28" s="513">
        <v>1400000</v>
      </c>
      <c r="H28" s="351"/>
      <c r="I28" s="515">
        <v>8.9700000000000002E-2</v>
      </c>
      <c r="J28" s="223"/>
      <c r="K28" s="69" t="s">
        <v>146</v>
      </c>
    </row>
    <row r="29" spans="1:11" ht="15.6" customHeight="1">
      <c r="A29" s="69"/>
      <c r="B29" s="224" t="s">
        <v>148</v>
      </c>
      <c r="C29" s="225"/>
      <c r="D29" s="517"/>
      <c r="E29" s="518"/>
      <c r="F29" s="519"/>
      <c r="G29" s="520"/>
      <c r="H29" s="352"/>
      <c r="I29" s="521"/>
      <c r="J29" s="226"/>
      <c r="K29" s="69" t="s">
        <v>146</v>
      </c>
    </row>
    <row r="30" spans="1:11" ht="15.6" customHeight="1">
      <c r="A30" s="69"/>
      <c r="B30" s="222" t="s">
        <v>166</v>
      </c>
      <c r="C30" s="166"/>
      <c r="D30" s="507"/>
      <c r="E30" s="509"/>
      <c r="F30" s="511"/>
      <c r="G30" s="513">
        <v>1400000</v>
      </c>
      <c r="H30" s="351"/>
      <c r="I30" s="515">
        <v>8.9700000000000002E-2</v>
      </c>
      <c r="J30" s="223"/>
      <c r="K30" s="69" t="s">
        <v>146</v>
      </c>
    </row>
    <row r="31" spans="1:11" ht="15.6" customHeight="1">
      <c r="A31" s="69"/>
      <c r="B31" s="224"/>
      <c r="C31" s="225"/>
      <c r="D31" s="517"/>
      <c r="E31" s="518"/>
      <c r="F31" s="519"/>
      <c r="G31" s="520"/>
      <c r="H31" s="352"/>
      <c r="I31" s="521"/>
      <c r="J31" s="226"/>
      <c r="K31" s="69" t="s">
        <v>146</v>
      </c>
    </row>
    <row r="32" spans="1:11" ht="15.6" customHeight="1">
      <c r="A32" s="69"/>
      <c r="B32" s="222"/>
      <c r="C32" s="166"/>
      <c r="D32" s="522"/>
      <c r="E32" s="509"/>
      <c r="F32" s="511"/>
      <c r="G32" s="513"/>
      <c r="H32" s="351"/>
      <c r="I32" s="515"/>
      <c r="J32" s="223"/>
      <c r="K32" s="69" t="s">
        <v>146</v>
      </c>
    </row>
    <row r="33" spans="1:11" ht="15.6" customHeight="1">
      <c r="A33" s="69"/>
      <c r="B33" s="224"/>
      <c r="C33" s="225"/>
      <c r="D33" s="522"/>
      <c r="E33" s="518"/>
      <c r="F33" s="519"/>
      <c r="G33" s="520"/>
      <c r="H33" s="354"/>
      <c r="I33" s="521"/>
      <c r="J33" s="226"/>
      <c r="K33" s="69" t="s">
        <v>146</v>
      </c>
    </row>
    <row r="34" spans="1:11" ht="15.6" customHeight="1">
      <c r="A34" s="69"/>
      <c r="B34" s="222" t="s">
        <v>167</v>
      </c>
      <c r="C34" s="166"/>
      <c r="D34" s="507"/>
      <c r="E34" s="509"/>
      <c r="F34" s="511"/>
      <c r="G34" s="513">
        <v>13520418</v>
      </c>
      <c r="H34" s="351"/>
      <c r="I34" s="515">
        <v>0.86670000000000003</v>
      </c>
      <c r="J34" s="223"/>
      <c r="K34" s="69" t="s">
        <v>146</v>
      </c>
    </row>
    <row r="35" spans="1:11" ht="15.6" customHeight="1">
      <c r="A35" s="69"/>
      <c r="B35" s="224"/>
      <c r="C35" s="225"/>
      <c r="D35" s="517"/>
      <c r="E35" s="518"/>
      <c r="F35" s="519"/>
      <c r="G35" s="520"/>
      <c r="H35" s="352"/>
      <c r="I35" s="521"/>
      <c r="J35" s="226"/>
      <c r="K35" s="69" t="s">
        <v>146</v>
      </c>
    </row>
    <row r="36" spans="1:11" ht="15.6" customHeight="1">
      <c r="A36" s="69"/>
      <c r="B36" s="301"/>
      <c r="C36" s="302"/>
      <c r="D36" s="507"/>
      <c r="E36" s="509"/>
      <c r="F36" s="511"/>
      <c r="G36" s="513"/>
      <c r="H36" s="351"/>
      <c r="I36" s="515"/>
      <c r="J36" s="223"/>
      <c r="K36" s="69" t="s">
        <v>146</v>
      </c>
    </row>
    <row r="37" spans="1:11" ht="15.6" customHeight="1" thickBot="1">
      <c r="A37" s="69"/>
      <c r="B37" s="228"/>
      <c r="C37" s="229"/>
      <c r="D37" s="508"/>
      <c r="E37" s="510"/>
      <c r="F37" s="512"/>
      <c r="G37" s="514"/>
      <c r="H37" s="353"/>
      <c r="I37" s="516"/>
      <c r="J37" s="230"/>
      <c r="K37" s="69" t="s">
        <v>146</v>
      </c>
    </row>
    <row r="38" spans="1:11" ht="30" customHeight="1" thickBot="1">
      <c r="A38" s="69"/>
      <c r="B38" s="142"/>
      <c r="C38" s="142"/>
      <c r="D38" s="523" t="s">
        <v>136</v>
      </c>
      <c r="E38" s="523"/>
      <c r="F38" s="523"/>
      <c r="G38" s="52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137</v>
      </c>
      <c r="C40" s="219" t="s">
        <v>19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24" t="s">
        <v>138</v>
      </c>
      <c r="C42" s="525"/>
      <c r="D42" s="220" t="s">
        <v>139</v>
      </c>
      <c r="E42" s="220" t="s">
        <v>140</v>
      </c>
      <c r="F42" s="220" t="s">
        <v>141</v>
      </c>
      <c r="G42" s="220" t="s">
        <v>142</v>
      </c>
      <c r="H42" s="221" t="s">
        <v>143</v>
      </c>
      <c r="I42" s="220" t="s">
        <v>99</v>
      </c>
      <c r="J42" s="117" t="s">
        <v>144</v>
      </c>
      <c r="K42" s="69"/>
    </row>
    <row r="43" spans="1:11" ht="15.6" customHeight="1">
      <c r="A43" s="69"/>
      <c r="B43" s="222" t="s">
        <v>168</v>
      </c>
      <c r="C43" s="166"/>
      <c r="D43" s="507"/>
      <c r="E43" s="509"/>
      <c r="F43" s="511"/>
      <c r="G43" s="513">
        <v>2079582</v>
      </c>
      <c r="H43" s="351"/>
      <c r="I43" s="515">
        <v>0.1333</v>
      </c>
      <c r="J43" s="223"/>
      <c r="K43" s="69" t="s">
        <v>146</v>
      </c>
    </row>
    <row r="44" spans="1:11" ht="15.6" customHeight="1">
      <c r="A44" s="69"/>
      <c r="B44" s="224"/>
      <c r="C44" s="225"/>
      <c r="D44" s="517"/>
      <c r="E44" s="518"/>
      <c r="F44" s="519"/>
      <c r="G44" s="520"/>
      <c r="H44" s="352"/>
      <c r="I44" s="521"/>
      <c r="J44" s="226"/>
      <c r="K44" s="69" t="s">
        <v>146</v>
      </c>
    </row>
    <row r="45" spans="1:11" ht="15.6" customHeight="1">
      <c r="A45" s="69"/>
      <c r="B45" s="222"/>
      <c r="C45" s="166"/>
      <c r="D45" s="507"/>
      <c r="E45" s="509"/>
      <c r="F45" s="511"/>
      <c r="G45" s="513"/>
      <c r="H45" s="351"/>
      <c r="I45" s="515"/>
      <c r="J45" s="227"/>
      <c r="K45" s="69" t="s">
        <v>146</v>
      </c>
    </row>
    <row r="46" spans="1:11" ht="15.6" customHeight="1">
      <c r="A46" s="69"/>
      <c r="B46" s="224"/>
      <c r="C46" s="225"/>
      <c r="D46" s="517"/>
      <c r="E46" s="518"/>
      <c r="F46" s="519"/>
      <c r="G46" s="520"/>
      <c r="H46" s="352"/>
      <c r="I46" s="521"/>
      <c r="J46" s="227"/>
      <c r="K46" s="69" t="s">
        <v>146</v>
      </c>
    </row>
    <row r="47" spans="1:11" ht="15.6" customHeight="1">
      <c r="A47" s="69"/>
      <c r="B47" s="222" t="s">
        <v>169</v>
      </c>
      <c r="C47" s="166"/>
      <c r="D47" s="507"/>
      <c r="E47" s="509"/>
      <c r="F47" s="511"/>
      <c r="G47" s="513">
        <v>15600000</v>
      </c>
      <c r="H47" s="351"/>
      <c r="I47" s="515">
        <v>1</v>
      </c>
      <c r="J47" s="223"/>
      <c r="K47" s="69" t="s">
        <v>146</v>
      </c>
    </row>
    <row r="48" spans="1:11" ht="15.6" customHeight="1">
      <c r="A48" s="69"/>
      <c r="B48" s="224"/>
      <c r="C48" s="225"/>
      <c r="D48" s="517"/>
      <c r="E48" s="518"/>
      <c r="F48" s="519"/>
      <c r="G48" s="520"/>
      <c r="H48" s="352"/>
      <c r="I48" s="521"/>
      <c r="J48" s="226"/>
      <c r="K48" s="69" t="s">
        <v>146</v>
      </c>
    </row>
    <row r="49" spans="1:11" ht="15.6" customHeight="1">
      <c r="A49" s="69"/>
      <c r="B49" s="222"/>
      <c r="C49" s="166"/>
      <c r="D49" s="507"/>
      <c r="E49" s="509"/>
      <c r="F49" s="511"/>
      <c r="G49" s="513"/>
      <c r="H49" s="351"/>
      <c r="I49" s="515"/>
      <c r="J49" s="223"/>
      <c r="K49" s="69" t="s">
        <v>146</v>
      </c>
    </row>
    <row r="50" spans="1:11" ht="15.6" customHeight="1">
      <c r="A50" s="69"/>
      <c r="B50" s="224"/>
      <c r="C50" s="225"/>
      <c r="D50" s="517"/>
      <c r="E50" s="518"/>
      <c r="F50" s="519"/>
      <c r="G50" s="520"/>
      <c r="H50" s="352"/>
      <c r="I50" s="521"/>
      <c r="J50" s="226"/>
      <c r="K50" s="69" t="s">
        <v>146</v>
      </c>
    </row>
    <row r="51" spans="1:11" ht="15.6" customHeight="1">
      <c r="A51" s="69"/>
      <c r="B51" s="222"/>
      <c r="C51" s="166"/>
      <c r="D51" s="507"/>
      <c r="E51" s="509"/>
      <c r="F51" s="511"/>
      <c r="G51" s="513"/>
      <c r="H51" s="351"/>
      <c r="I51" s="515"/>
      <c r="J51" s="223"/>
      <c r="K51" s="69" t="s">
        <v>146</v>
      </c>
    </row>
    <row r="52" spans="1:11" ht="15.6" customHeight="1">
      <c r="A52" s="69"/>
      <c r="B52" s="224"/>
      <c r="C52" s="225"/>
      <c r="D52" s="517"/>
      <c r="E52" s="518"/>
      <c r="F52" s="519"/>
      <c r="G52" s="520"/>
      <c r="H52" s="352"/>
      <c r="I52" s="521"/>
      <c r="J52" s="226"/>
      <c r="K52" s="69" t="s">
        <v>146</v>
      </c>
    </row>
    <row r="53" spans="1:11" ht="15.6" customHeight="1">
      <c r="A53" s="69"/>
      <c r="B53" s="222"/>
      <c r="C53" s="166"/>
      <c r="D53" s="507"/>
      <c r="E53" s="509"/>
      <c r="F53" s="511"/>
      <c r="G53" s="513"/>
      <c r="H53" s="351"/>
      <c r="I53" s="515"/>
      <c r="J53" s="223"/>
      <c r="K53" s="69" t="s">
        <v>146</v>
      </c>
    </row>
    <row r="54" spans="1:11" ht="15.6" customHeight="1">
      <c r="A54" s="69"/>
      <c r="B54" s="224"/>
      <c r="C54" s="225"/>
      <c r="D54" s="517"/>
      <c r="E54" s="518"/>
      <c r="F54" s="519"/>
      <c r="G54" s="520"/>
      <c r="H54" s="352"/>
      <c r="I54" s="521"/>
      <c r="J54" s="226"/>
      <c r="K54" s="69" t="s">
        <v>146</v>
      </c>
    </row>
    <row r="55" spans="1:11" ht="15.6" customHeight="1">
      <c r="A55" s="69"/>
      <c r="B55" s="222"/>
      <c r="C55" s="166"/>
      <c r="D55" s="507"/>
      <c r="E55" s="509"/>
      <c r="F55" s="511"/>
      <c r="G55" s="513"/>
      <c r="H55" s="351"/>
      <c r="I55" s="515"/>
      <c r="J55" s="223"/>
      <c r="K55" s="69" t="s">
        <v>146</v>
      </c>
    </row>
    <row r="56" spans="1:11" ht="15.6" customHeight="1">
      <c r="A56" s="69"/>
      <c r="B56" s="224"/>
      <c r="C56" s="225"/>
      <c r="D56" s="517"/>
      <c r="E56" s="518"/>
      <c r="F56" s="519"/>
      <c r="G56" s="520"/>
      <c r="H56" s="352"/>
      <c r="I56" s="521"/>
      <c r="J56" s="226"/>
      <c r="K56" s="69" t="s">
        <v>146</v>
      </c>
    </row>
    <row r="57" spans="1:11" ht="15.6" customHeight="1">
      <c r="A57" s="69"/>
      <c r="B57" s="222"/>
      <c r="C57" s="166"/>
      <c r="D57" s="507"/>
      <c r="E57" s="509"/>
      <c r="F57" s="511"/>
      <c r="G57" s="513"/>
      <c r="H57" s="351"/>
      <c r="I57" s="515"/>
      <c r="J57" s="223"/>
      <c r="K57" s="69" t="s">
        <v>146</v>
      </c>
    </row>
    <row r="58" spans="1:11" ht="15.6" customHeight="1">
      <c r="A58" s="69"/>
      <c r="B58" s="224"/>
      <c r="C58" s="225"/>
      <c r="D58" s="517"/>
      <c r="E58" s="518"/>
      <c r="F58" s="519"/>
      <c r="G58" s="520"/>
      <c r="H58" s="352"/>
      <c r="I58" s="521"/>
      <c r="J58" s="226"/>
      <c r="K58" s="69" t="s">
        <v>146</v>
      </c>
    </row>
    <row r="59" spans="1:11" ht="15.6" customHeight="1">
      <c r="A59" s="69"/>
      <c r="B59" s="222"/>
      <c r="C59" s="166"/>
      <c r="D59" s="507"/>
      <c r="E59" s="509"/>
      <c r="F59" s="511"/>
      <c r="G59" s="513"/>
      <c r="H59" s="351"/>
      <c r="I59" s="515"/>
      <c r="J59" s="223"/>
      <c r="K59" s="69" t="s">
        <v>146</v>
      </c>
    </row>
    <row r="60" spans="1:11" ht="15.6" customHeight="1">
      <c r="A60" s="69"/>
      <c r="B60" s="224"/>
      <c r="C60" s="225"/>
      <c r="D60" s="517"/>
      <c r="E60" s="518"/>
      <c r="F60" s="519"/>
      <c r="G60" s="520"/>
      <c r="H60" s="352"/>
      <c r="I60" s="521"/>
      <c r="J60" s="226"/>
      <c r="K60" s="69" t="s">
        <v>146</v>
      </c>
    </row>
    <row r="61" spans="1:11" ht="15.6" customHeight="1">
      <c r="A61" s="69"/>
      <c r="B61" s="222"/>
      <c r="C61" s="166"/>
      <c r="D61" s="507"/>
      <c r="E61" s="509"/>
      <c r="F61" s="511"/>
      <c r="G61" s="513"/>
      <c r="H61" s="351"/>
      <c r="I61" s="515"/>
      <c r="J61" s="223"/>
      <c r="K61" s="69" t="s">
        <v>146</v>
      </c>
    </row>
    <row r="62" spans="1:11" ht="15.6" customHeight="1">
      <c r="A62" s="69"/>
      <c r="B62" s="224"/>
      <c r="C62" s="225"/>
      <c r="D62" s="517"/>
      <c r="E62" s="518"/>
      <c r="F62" s="519"/>
      <c r="G62" s="520"/>
      <c r="H62" s="352"/>
      <c r="I62" s="521"/>
      <c r="J62" s="226"/>
      <c r="K62" s="69" t="s">
        <v>146</v>
      </c>
    </row>
    <row r="63" spans="1:11" ht="15.6" customHeight="1">
      <c r="A63" s="69"/>
      <c r="B63" s="222"/>
      <c r="C63" s="166"/>
      <c r="D63" s="507"/>
      <c r="E63" s="509"/>
      <c r="F63" s="511"/>
      <c r="G63" s="513"/>
      <c r="H63" s="351"/>
      <c r="I63" s="515"/>
      <c r="J63" s="223"/>
      <c r="K63" s="69" t="s">
        <v>146</v>
      </c>
    </row>
    <row r="64" spans="1:11" ht="15.6" customHeight="1">
      <c r="A64" s="69"/>
      <c r="B64" s="224"/>
      <c r="C64" s="225"/>
      <c r="D64" s="517"/>
      <c r="E64" s="518"/>
      <c r="F64" s="519"/>
      <c r="G64" s="520"/>
      <c r="H64" s="352"/>
      <c r="I64" s="521"/>
      <c r="J64" s="226"/>
      <c r="K64" s="69" t="s">
        <v>146</v>
      </c>
    </row>
    <row r="65" spans="1:11" ht="15.6" customHeight="1">
      <c r="A65" s="69"/>
      <c r="B65" s="222"/>
      <c r="C65" s="166"/>
      <c r="D65" s="507"/>
      <c r="E65" s="509"/>
      <c r="F65" s="511"/>
      <c r="G65" s="513"/>
      <c r="H65" s="351"/>
      <c r="I65" s="515"/>
      <c r="J65" s="223"/>
      <c r="K65" s="69" t="s">
        <v>146</v>
      </c>
    </row>
    <row r="66" spans="1:11" ht="15.6" customHeight="1">
      <c r="A66" s="69"/>
      <c r="B66" s="224"/>
      <c r="C66" s="225"/>
      <c r="D66" s="517"/>
      <c r="E66" s="518"/>
      <c r="F66" s="519"/>
      <c r="G66" s="520"/>
      <c r="H66" s="352"/>
      <c r="I66" s="521"/>
      <c r="J66" s="226"/>
      <c r="K66" s="69" t="s">
        <v>146</v>
      </c>
    </row>
    <row r="67" spans="1:11" ht="15.6" customHeight="1">
      <c r="A67" s="69"/>
      <c r="B67" s="222"/>
      <c r="C67" s="166"/>
      <c r="D67" s="507"/>
      <c r="E67" s="509"/>
      <c r="F67" s="511"/>
      <c r="G67" s="513"/>
      <c r="H67" s="351"/>
      <c r="I67" s="515"/>
      <c r="J67" s="223"/>
      <c r="K67" s="69" t="s">
        <v>146</v>
      </c>
    </row>
    <row r="68" spans="1:11" ht="15.6" customHeight="1">
      <c r="A68" s="69"/>
      <c r="B68" s="224"/>
      <c r="C68" s="225"/>
      <c r="D68" s="517"/>
      <c r="E68" s="518"/>
      <c r="F68" s="519"/>
      <c r="G68" s="520"/>
      <c r="H68" s="352"/>
      <c r="I68" s="521"/>
      <c r="J68" s="226"/>
      <c r="K68" s="69" t="s">
        <v>146</v>
      </c>
    </row>
    <row r="69" spans="1:11" ht="15.6" customHeight="1">
      <c r="A69" s="69"/>
      <c r="B69" s="222"/>
      <c r="C69" s="166"/>
      <c r="D69" s="522"/>
      <c r="E69" s="509"/>
      <c r="F69" s="511"/>
      <c r="G69" s="513"/>
      <c r="H69" s="351"/>
      <c r="I69" s="515"/>
      <c r="J69" s="223"/>
      <c r="K69" s="69" t="s">
        <v>146</v>
      </c>
    </row>
    <row r="70" spans="1:11" ht="15.6" customHeight="1">
      <c r="A70" s="69"/>
      <c r="B70" s="224"/>
      <c r="C70" s="225"/>
      <c r="D70" s="522"/>
      <c r="E70" s="518"/>
      <c r="F70" s="519"/>
      <c r="G70" s="520"/>
      <c r="H70" s="354"/>
      <c r="I70" s="521"/>
      <c r="J70" s="226"/>
      <c r="K70" s="69" t="s">
        <v>146</v>
      </c>
    </row>
    <row r="71" spans="1:11" ht="15.6" customHeight="1">
      <c r="A71" s="69"/>
      <c r="B71" s="222"/>
      <c r="C71" s="166"/>
      <c r="D71" s="507"/>
      <c r="E71" s="509"/>
      <c r="F71" s="511"/>
      <c r="G71" s="513"/>
      <c r="H71" s="351"/>
      <c r="I71" s="515"/>
      <c r="J71" s="223"/>
      <c r="K71" s="69" t="s">
        <v>146</v>
      </c>
    </row>
    <row r="72" spans="1:11" ht="15.6" customHeight="1">
      <c r="A72" s="69"/>
      <c r="B72" s="224"/>
      <c r="C72" s="225"/>
      <c r="D72" s="517"/>
      <c r="E72" s="518"/>
      <c r="F72" s="519"/>
      <c r="G72" s="520"/>
      <c r="H72" s="352"/>
      <c r="I72" s="521"/>
      <c r="J72" s="226"/>
      <c r="K72" s="69" t="s">
        <v>146</v>
      </c>
    </row>
    <row r="73" spans="1:11" ht="15.6" customHeight="1">
      <c r="A73" s="69"/>
      <c r="B73" s="301"/>
      <c r="C73" s="302"/>
      <c r="D73" s="507"/>
      <c r="E73" s="509"/>
      <c r="F73" s="511"/>
      <c r="G73" s="513"/>
      <c r="H73" s="351"/>
      <c r="I73" s="515"/>
      <c r="J73" s="223"/>
      <c r="K73" s="69" t="s">
        <v>146</v>
      </c>
    </row>
    <row r="74" spans="1:11" ht="15.6" customHeight="1" thickBot="1">
      <c r="A74" s="69"/>
      <c r="B74" s="228"/>
      <c r="C74" s="229"/>
      <c r="D74" s="508"/>
      <c r="E74" s="510"/>
      <c r="F74" s="512"/>
      <c r="G74" s="514"/>
      <c r="H74" s="353"/>
      <c r="I74" s="516"/>
      <c r="J74" s="230"/>
      <c r="K74" s="69" t="s">
        <v>146</v>
      </c>
    </row>
  </sheetData>
  <mergeCells count="164"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6F7D2-250C-46F9-A334-A16D0A8E4424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23" t="s">
        <v>112</v>
      </c>
      <c r="E1" s="523"/>
      <c r="F1" s="523"/>
      <c r="G1" s="52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137</v>
      </c>
      <c r="C3" s="219" t="s">
        <v>170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24" t="s">
        <v>138</v>
      </c>
      <c r="C5" s="525"/>
      <c r="D5" s="220" t="s">
        <v>139</v>
      </c>
      <c r="E5" s="220" t="s">
        <v>140</v>
      </c>
      <c r="F5" s="220" t="s">
        <v>141</v>
      </c>
      <c r="G5" s="220" t="s">
        <v>142</v>
      </c>
      <c r="H5" s="221" t="s">
        <v>143</v>
      </c>
      <c r="I5" s="220" t="s">
        <v>171</v>
      </c>
      <c r="J5" s="117" t="s">
        <v>144</v>
      </c>
      <c r="K5" s="69"/>
    </row>
    <row r="6" spans="1:11" ht="15.6" customHeight="1">
      <c r="A6" s="69"/>
      <c r="B6" s="222" t="s">
        <v>149</v>
      </c>
      <c r="C6" s="166"/>
      <c r="D6" s="507" t="s">
        <v>84</v>
      </c>
      <c r="E6" s="509">
        <v>1</v>
      </c>
      <c r="F6" s="511">
        <v>12120418</v>
      </c>
      <c r="G6" s="513">
        <v>12120418</v>
      </c>
      <c r="H6" s="351"/>
      <c r="I6" s="351"/>
      <c r="J6" s="223"/>
      <c r="K6" s="69" t="s">
        <v>146</v>
      </c>
    </row>
    <row r="7" spans="1:11" ht="15.6" customHeight="1">
      <c r="A7" s="69"/>
      <c r="B7" s="224"/>
      <c r="C7" s="225"/>
      <c r="D7" s="517"/>
      <c r="E7" s="518"/>
      <c r="F7" s="519"/>
      <c r="G7" s="520"/>
      <c r="H7" s="352" t="s">
        <v>149</v>
      </c>
      <c r="I7" s="352"/>
      <c r="J7" s="226"/>
      <c r="K7" s="69" t="s">
        <v>146</v>
      </c>
    </row>
    <row r="8" spans="1:11" ht="15.6" customHeight="1">
      <c r="A8" s="69"/>
      <c r="B8" s="222" t="s">
        <v>172</v>
      </c>
      <c r="C8" s="166"/>
      <c r="D8" s="507" t="s">
        <v>83</v>
      </c>
      <c r="E8" s="509">
        <v>1541</v>
      </c>
      <c r="F8" s="511">
        <v>2035.21</v>
      </c>
      <c r="G8" s="513">
        <v>3136273</v>
      </c>
      <c r="H8" s="351" t="s">
        <v>151</v>
      </c>
      <c r="I8" s="351"/>
      <c r="J8" s="227"/>
      <c r="K8" s="69" t="s">
        <v>146</v>
      </c>
    </row>
    <row r="9" spans="1:11" ht="15.6" customHeight="1">
      <c r="A9" s="69"/>
      <c r="B9" s="224" t="s">
        <v>148</v>
      </c>
      <c r="C9" s="225"/>
      <c r="D9" s="517"/>
      <c r="E9" s="518"/>
      <c r="F9" s="519"/>
      <c r="G9" s="520"/>
      <c r="H9" s="352" t="s">
        <v>153</v>
      </c>
      <c r="I9" s="352"/>
      <c r="J9" s="227"/>
      <c r="K9" s="69" t="s">
        <v>146</v>
      </c>
    </row>
    <row r="10" spans="1:11" ht="15.6" customHeight="1">
      <c r="A10" s="69"/>
      <c r="B10" s="222" t="s">
        <v>173</v>
      </c>
      <c r="C10" s="166"/>
      <c r="D10" s="507" t="s">
        <v>84</v>
      </c>
      <c r="E10" s="509">
        <v>1</v>
      </c>
      <c r="F10" s="511">
        <v>450000</v>
      </c>
      <c r="G10" s="513">
        <v>450000</v>
      </c>
      <c r="H10" s="351" t="s">
        <v>155</v>
      </c>
      <c r="I10" s="351"/>
      <c r="J10" s="223"/>
      <c r="K10" s="69" t="s">
        <v>146</v>
      </c>
    </row>
    <row r="11" spans="1:11" ht="15.6" customHeight="1">
      <c r="A11" s="69"/>
      <c r="B11" s="224" t="s">
        <v>148</v>
      </c>
      <c r="C11" s="225"/>
      <c r="D11" s="517"/>
      <c r="E11" s="518"/>
      <c r="F11" s="519"/>
      <c r="G11" s="520"/>
      <c r="H11" s="352" t="s">
        <v>153</v>
      </c>
      <c r="I11" s="352"/>
      <c r="J11" s="226"/>
      <c r="K11" s="69" t="s">
        <v>146</v>
      </c>
    </row>
    <row r="12" spans="1:11" ht="15.6" customHeight="1">
      <c r="A12" s="69"/>
      <c r="B12" s="222" t="s">
        <v>174</v>
      </c>
      <c r="C12" s="166"/>
      <c r="D12" s="507" t="s">
        <v>84</v>
      </c>
      <c r="E12" s="509">
        <v>1</v>
      </c>
      <c r="F12" s="511">
        <v>300000</v>
      </c>
      <c r="G12" s="513">
        <v>300000</v>
      </c>
      <c r="H12" s="351" t="s">
        <v>157</v>
      </c>
      <c r="I12" s="351"/>
      <c r="J12" s="223"/>
      <c r="K12" s="69" t="s">
        <v>146</v>
      </c>
    </row>
    <row r="13" spans="1:11" ht="15.6" customHeight="1">
      <c r="A13" s="69"/>
      <c r="B13" s="224" t="s">
        <v>148</v>
      </c>
      <c r="C13" s="225"/>
      <c r="D13" s="517"/>
      <c r="E13" s="518"/>
      <c r="F13" s="519"/>
      <c r="G13" s="520"/>
      <c r="H13" s="352" t="s">
        <v>153</v>
      </c>
      <c r="I13" s="352"/>
      <c r="J13" s="226"/>
      <c r="K13" s="69" t="s">
        <v>146</v>
      </c>
    </row>
    <row r="14" spans="1:11" ht="15.6" customHeight="1">
      <c r="A14" s="69"/>
      <c r="B14" s="222" t="s">
        <v>175</v>
      </c>
      <c r="C14" s="166"/>
      <c r="D14" s="507" t="s">
        <v>84</v>
      </c>
      <c r="E14" s="509">
        <v>1</v>
      </c>
      <c r="F14" s="511">
        <v>541000</v>
      </c>
      <c r="G14" s="513">
        <v>541000</v>
      </c>
      <c r="H14" s="351" t="s">
        <v>159</v>
      </c>
      <c r="I14" s="351"/>
      <c r="J14" s="223"/>
      <c r="K14" s="69" t="s">
        <v>146</v>
      </c>
    </row>
    <row r="15" spans="1:11" ht="15.6" customHeight="1">
      <c r="A15" s="69"/>
      <c r="B15" s="224" t="s">
        <v>148</v>
      </c>
      <c r="C15" s="225"/>
      <c r="D15" s="517"/>
      <c r="E15" s="518"/>
      <c r="F15" s="519"/>
      <c r="G15" s="520"/>
      <c r="H15" s="352" t="s">
        <v>153</v>
      </c>
      <c r="I15" s="352"/>
      <c r="J15" s="226"/>
      <c r="K15" s="69" t="s">
        <v>146</v>
      </c>
    </row>
    <row r="16" spans="1:11" ht="15.6" customHeight="1">
      <c r="A16" s="69"/>
      <c r="B16" s="222" t="s">
        <v>176</v>
      </c>
      <c r="C16" s="166"/>
      <c r="D16" s="507" t="s">
        <v>84</v>
      </c>
      <c r="E16" s="509">
        <v>1</v>
      </c>
      <c r="F16" s="511">
        <v>7693145</v>
      </c>
      <c r="G16" s="513">
        <v>7693145</v>
      </c>
      <c r="H16" s="351" t="s">
        <v>161</v>
      </c>
      <c r="I16" s="351"/>
      <c r="J16" s="223"/>
      <c r="K16" s="69" t="s">
        <v>146</v>
      </c>
    </row>
    <row r="17" spans="1:11" ht="15.6" customHeight="1">
      <c r="A17" s="69"/>
      <c r="B17" s="224" t="s">
        <v>148</v>
      </c>
      <c r="C17" s="225"/>
      <c r="D17" s="517"/>
      <c r="E17" s="518"/>
      <c r="F17" s="519"/>
      <c r="G17" s="520"/>
      <c r="H17" s="352" t="s">
        <v>153</v>
      </c>
      <c r="I17" s="352"/>
      <c r="J17" s="226"/>
      <c r="K17" s="69" t="s">
        <v>146</v>
      </c>
    </row>
    <row r="18" spans="1:11" ht="15.6" customHeight="1">
      <c r="A18" s="69"/>
      <c r="B18" s="222"/>
      <c r="C18" s="166"/>
      <c r="D18" s="507"/>
      <c r="E18" s="509"/>
      <c r="F18" s="511"/>
      <c r="G18" s="513"/>
      <c r="H18" s="351"/>
      <c r="I18" s="351"/>
      <c r="J18" s="223"/>
      <c r="K18" s="69" t="s">
        <v>146</v>
      </c>
    </row>
    <row r="19" spans="1:11" ht="15.6" customHeight="1">
      <c r="A19" s="69"/>
      <c r="B19" s="224"/>
      <c r="C19" s="225"/>
      <c r="D19" s="517"/>
      <c r="E19" s="518"/>
      <c r="F19" s="519"/>
      <c r="G19" s="520"/>
      <c r="H19" s="352"/>
      <c r="I19" s="352"/>
      <c r="J19" s="226"/>
      <c r="K19" s="69" t="s">
        <v>146</v>
      </c>
    </row>
    <row r="20" spans="1:11" ht="15.6" customHeight="1">
      <c r="A20" s="69"/>
      <c r="B20" s="222" t="s">
        <v>177</v>
      </c>
      <c r="C20" s="166"/>
      <c r="D20" s="507"/>
      <c r="E20" s="509"/>
      <c r="F20" s="511"/>
      <c r="G20" s="513">
        <v>12120418</v>
      </c>
      <c r="H20" s="351"/>
      <c r="I20" s="351"/>
      <c r="J20" s="223"/>
      <c r="K20" s="69" t="s">
        <v>146</v>
      </c>
    </row>
    <row r="21" spans="1:11" ht="15.6" customHeight="1">
      <c r="A21" s="69"/>
      <c r="B21" s="224"/>
      <c r="C21" s="225"/>
      <c r="D21" s="517"/>
      <c r="E21" s="518"/>
      <c r="F21" s="519"/>
      <c r="G21" s="520"/>
      <c r="H21" s="352"/>
      <c r="I21" s="352"/>
      <c r="J21" s="226"/>
      <c r="K21" s="69" t="s">
        <v>146</v>
      </c>
    </row>
    <row r="22" spans="1:11" ht="15.6" customHeight="1">
      <c r="A22" s="69"/>
      <c r="B22" s="222"/>
      <c r="C22" s="166"/>
      <c r="D22" s="507"/>
      <c r="E22" s="509"/>
      <c r="F22" s="511"/>
      <c r="G22" s="513"/>
      <c r="H22" s="351"/>
      <c r="I22" s="351"/>
      <c r="J22" s="223"/>
      <c r="K22" s="69" t="s">
        <v>146</v>
      </c>
    </row>
    <row r="23" spans="1:11" ht="15.6" customHeight="1">
      <c r="A23" s="69"/>
      <c r="B23" s="224"/>
      <c r="C23" s="225"/>
      <c r="D23" s="517"/>
      <c r="E23" s="518"/>
      <c r="F23" s="519"/>
      <c r="G23" s="520"/>
      <c r="H23" s="352"/>
      <c r="I23" s="352"/>
      <c r="J23" s="226"/>
      <c r="K23" s="69" t="s">
        <v>146</v>
      </c>
    </row>
    <row r="24" spans="1:11" ht="15.6" customHeight="1">
      <c r="A24" s="69"/>
      <c r="B24" s="222"/>
      <c r="C24" s="166"/>
      <c r="D24" s="507"/>
      <c r="E24" s="509"/>
      <c r="F24" s="511"/>
      <c r="G24" s="513"/>
      <c r="H24" s="351"/>
      <c r="I24" s="351"/>
      <c r="J24" s="223"/>
      <c r="K24" s="69" t="s">
        <v>146</v>
      </c>
    </row>
    <row r="25" spans="1:11" ht="15.6" customHeight="1">
      <c r="A25" s="69"/>
      <c r="B25" s="224"/>
      <c r="C25" s="225"/>
      <c r="D25" s="517"/>
      <c r="E25" s="518"/>
      <c r="F25" s="519"/>
      <c r="G25" s="520"/>
      <c r="H25" s="352"/>
      <c r="I25" s="352"/>
      <c r="J25" s="226"/>
      <c r="K25" s="69" t="s">
        <v>146</v>
      </c>
    </row>
    <row r="26" spans="1:11" ht="15.6" customHeight="1">
      <c r="A26" s="69"/>
      <c r="B26" s="222"/>
      <c r="C26" s="166"/>
      <c r="D26" s="507"/>
      <c r="E26" s="509"/>
      <c r="F26" s="511"/>
      <c r="G26" s="513"/>
      <c r="H26" s="351"/>
      <c r="I26" s="351"/>
      <c r="J26" s="223"/>
      <c r="K26" s="69" t="s">
        <v>146</v>
      </c>
    </row>
    <row r="27" spans="1:11" ht="15.6" customHeight="1">
      <c r="A27" s="69"/>
      <c r="B27" s="224"/>
      <c r="C27" s="225"/>
      <c r="D27" s="517"/>
      <c r="E27" s="518"/>
      <c r="F27" s="519"/>
      <c r="G27" s="520"/>
      <c r="H27" s="352"/>
      <c r="I27" s="352"/>
      <c r="J27" s="226"/>
      <c r="K27" s="69" t="s">
        <v>146</v>
      </c>
    </row>
    <row r="28" spans="1:11" ht="15.6" customHeight="1">
      <c r="A28" s="69"/>
      <c r="B28" s="222"/>
      <c r="C28" s="166"/>
      <c r="D28" s="507"/>
      <c r="E28" s="509"/>
      <c r="F28" s="511"/>
      <c r="G28" s="513"/>
      <c r="H28" s="351"/>
      <c r="I28" s="351"/>
      <c r="J28" s="223"/>
      <c r="K28" s="69" t="s">
        <v>146</v>
      </c>
    </row>
    <row r="29" spans="1:11" ht="15.6" customHeight="1">
      <c r="A29" s="69"/>
      <c r="B29" s="224"/>
      <c r="C29" s="225"/>
      <c r="D29" s="517"/>
      <c r="E29" s="518"/>
      <c r="F29" s="519"/>
      <c r="G29" s="520"/>
      <c r="H29" s="352"/>
      <c r="I29" s="352"/>
      <c r="J29" s="226"/>
      <c r="K29" s="69" t="s">
        <v>146</v>
      </c>
    </row>
    <row r="30" spans="1:11" ht="15.6" customHeight="1">
      <c r="A30" s="69"/>
      <c r="B30" s="222"/>
      <c r="C30" s="166"/>
      <c r="D30" s="507"/>
      <c r="E30" s="509"/>
      <c r="F30" s="511"/>
      <c r="G30" s="513"/>
      <c r="H30" s="351"/>
      <c r="I30" s="351"/>
      <c r="J30" s="223"/>
      <c r="K30" s="69" t="s">
        <v>146</v>
      </c>
    </row>
    <row r="31" spans="1:11" ht="15.6" customHeight="1">
      <c r="A31" s="69"/>
      <c r="B31" s="224"/>
      <c r="C31" s="225"/>
      <c r="D31" s="517"/>
      <c r="E31" s="518"/>
      <c r="F31" s="519"/>
      <c r="G31" s="520"/>
      <c r="H31" s="352"/>
      <c r="I31" s="352"/>
      <c r="J31" s="226"/>
      <c r="K31" s="69" t="s">
        <v>146</v>
      </c>
    </row>
    <row r="32" spans="1:11" ht="15.6" customHeight="1">
      <c r="A32" s="69"/>
      <c r="B32" s="222"/>
      <c r="C32" s="166"/>
      <c r="D32" s="522"/>
      <c r="E32" s="509"/>
      <c r="F32" s="511"/>
      <c r="G32" s="513"/>
      <c r="H32" s="351"/>
      <c r="I32" s="351"/>
      <c r="J32" s="223"/>
      <c r="K32" s="69" t="s">
        <v>146</v>
      </c>
    </row>
    <row r="33" spans="1:11" ht="15.6" customHeight="1">
      <c r="A33" s="69"/>
      <c r="B33" s="224"/>
      <c r="C33" s="225"/>
      <c r="D33" s="522"/>
      <c r="E33" s="518"/>
      <c r="F33" s="519"/>
      <c r="G33" s="520"/>
      <c r="H33" s="354"/>
      <c r="I33" s="352"/>
      <c r="J33" s="226"/>
      <c r="K33" s="69" t="s">
        <v>146</v>
      </c>
    </row>
    <row r="34" spans="1:11" ht="15.6" customHeight="1">
      <c r="A34" s="69"/>
      <c r="B34" s="222"/>
      <c r="C34" s="166"/>
      <c r="D34" s="507"/>
      <c r="E34" s="509"/>
      <c r="F34" s="511"/>
      <c r="G34" s="513"/>
      <c r="H34" s="351"/>
      <c r="I34" s="351"/>
      <c r="J34" s="223"/>
      <c r="K34" s="69" t="s">
        <v>146</v>
      </c>
    </row>
    <row r="35" spans="1:11" ht="15.6" customHeight="1">
      <c r="A35" s="69"/>
      <c r="B35" s="224"/>
      <c r="C35" s="225"/>
      <c r="D35" s="517"/>
      <c r="E35" s="518"/>
      <c r="F35" s="519"/>
      <c r="G35" s="520"/>
      <c r="H35" s="352"/>
      <c r="I35" s="352"/>
      <c r="J35" s="226"/>
      <c r="K35" s="69" t="s">
        <v>146</v>
      </c>
    </row>
    <row r="36" spans="1:11" ht="15.6" customHeight="1">
      <c r="A36" s="69"/>
      <c r="B36" s="301"/>
      <c r="C36" s="302"/>
      <c r="D36" s="507"/>
      <c r="E36" s="509"/>
      <c r="F36" s="511"/>
      <c r="G36" s="513"/>
      <c r="H36" s="351"/>
      <c r="I36" s="351"/>
      <c r="J36" s="223"/>
      <c r="K36" s="69" t="s">
        <v>146</v>
      </c>
    </row>
    <row r="37" spans="1:11" ht="15.6" customHeight="1" thickBot="1">
      <c r="A37" s="69"/>
      <c r="B37" s="228"/>
      <c r="C37" s="229"/>
      <c r="D37" s="508"/>
      <c r="E37" s="510"/>
      <c r="F37" s="512"/>
      <c r="G37" s="514"/>
      <c r="H37" s="353"/>
      <c r="I37" s="353"/>
      <c r="J37" s="230"/>
      <c r="K37" s="69" t="s">
        <v>146</v>
      </c>
    </row>
  </sheetData>
  <mergeCells count="6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98"/>
  <sheetViews>
    <sheetView zoomScaleNormal="100" zoomScaleSheetLayoutView="85" workbookViewId="0">
      <pane xSplit="4" ySplit="4" topLeftCell="E68" activePane="bottomRight" state="frozen"/>
      <selection pane="bottomRight"/>
      <selection pane="bottomLeft"/>
      <selection pane="top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伊勢自動車道津管内舗装補修工事（2023年度）</v>
      </c>
      <c r="G1" s="306"/>
      <c r="H1" s="190" t="s">
        <v>178</v>
      </c>
      <c r="I1" s="333">
        <v>15600000</v>
      </c>
      <c r="J1" s="339">
        <f>I4/I$1</f>
        <v>0.8666934615384615</v>
      </c>
      <c r="K1" s="193"/>
      <c r="L1" s="194">
        <v>3</v>
      </c>
      <c r="M1" s="195"/>
      <c r="N1" s="195"/>
      <c r="O1" s="306"/>
      <c r="P1" s="190" t="s">
        <v>108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108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179</v>
      </c>
      <c r="B2" s="198" t="s">
        <v>180</v>
      </c>
      <c r="C2" s="200" t="s">
        <v>181</v>
      </c>
      <c r="D2" s="200" t="s">
        <v>182</v>
      </c>
      <c r="E2" s="200" t="s">
        <v>183</v>
      </c>
      <c r="F2" s="200" t="s">
        <v>139</v>
      </c>
      <c r="G2" s="526" t="s">
        <v>184</v>
      </c>
      <c r="H2" s="527"/>
      <c r="I2" s="527"/>
      <c r="J2" s="527"/>
      <c r="K2" s="527"/>
      <c r="L2" s="527"/>
      <c r="M2" s="527"/>
      <c r="N2" s="528"/>
      <c r="O2" s="526" t="s">
        <v>185</v>
      </c>
      <c r="P2" s="527"/>
      <c r="Q2" s="527"/>
      <c r="R2" s="527"/>
      <c r="S2" s="527"/>
      <c r="T2" s="527"/>
      <c r="U2" s="527"/>
      <c r="V2" s="528"/>
      <c r="W2" s="526" t="s">
        <v>186</v>
      </c>
      <c r="X2" s="527"/>
      <c r="Y2" s="527"/>
      <c r="Z2" s="527"/>
      <c r="AA2" s="527"/>
      <c r="AB2" s="527"/>
      <c r="AC2" s="527"/>
      <c r="AD2" s="528"/>
      <c r="AE2" s="199" t="s">
        <v>187</v>
      </c>
      <c r="AF2" s="529" t="s">
        <v>144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140</v>
      </c>
      <c r="H3" s="205" t="s">
        <v>141</v>
      </c>
      <c r="I3" s="205" t="s">
        <v>142</v>
      </c>
      <c r="J3" s="206" t="s">
        <v>188</v>
      </c>
      <c r="K3" s="207"/>
      <c r="L3" s="208" t="s">
        <v>189</v>
      </c>
      <c r="M3" s="208" t="s">
        <v>190</v>
      </c>
      <c r="N3" s="209" t="s">
        <v>143</v>
      </c>
      <c r="O3" s="204" t="s">
        <v>140</v>
      </c>
      <c r="P3" s="205" t="s">
        <v>141</v>
      </c>
      <c r="Q3" s="205" t="s">
        <v>142</v>
      </c>
      <c r="R3" s="206" t="s">
        <v>188</v>
      </c>
      <c r="S3" s="210"/>
      <c r="T3" s="208" t="s">
        <v>189</v>
      </c>
      <c r="U3" s="208" t="s">
        <v>190</v>
      </c>
      <c r="V3" s="209" t="s">
        <v>143</v>
      </c>
      <c r="W3" s="204" t="s">
        <v>140</v>
      </c>
      <c r="X3" s="205" t="s">
        <v>141</v>
      </c>
      <c r="Y3" s="205" t="s">
        <v>142</v>
      </c>
      <c r="Z3" s="206" t="s">
        <v>188</v>
      </c>
      <c r="AA3" s="207"/>
      <c r="AB3" s="208" t="s">
        <v>189</v>
      </c>
      <c r="AC3" s="208" t="s">
        <v>190</v>
      </c>
      <c r="AD3" s="209" t="s">
        <v>143</v>
      </c>
      <c r="AE3" s="202"/>
      <c r="AF3" s="530"/>
    </row>
    <row r="4" spans="1:32">
      <c r="A4" s="307">
        <v>0</v>
      </c>
      <c r="B4" s="342"/>
      <c r="C4" s="342" t="s">
        <v>191</v>
      </c>
      <c r="D4" s="340" t="s">
        <v>91</v>
      </c>
      <c r="E4" s="342"/>
      <c r="F4" s="345" t="s">
        <v>84</v>
      </c>
      <c r="G4" s="308">
        <v>1</v>
      </c>
      <c r="H4" s="309">
        <v>13520418</v>
      </c>
      <c r="I4" s="309">
        <v>13520418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192</v>
      </c>
      <c r="D5" s="340" t="s">
        <v>193</v>
      </c>
      <c r="E5" s="342"/>
      <c r="F5" s="345" t="s">
        <v>84</v>
      </c>
      <c r="G5" s="308">
        <v>1</v>
      </c>
      <c r="H5" s="309">
        <v>12120418</v>
      </c>
      <c r="I5" s="309">
        <v>12120418</v>
      </c>
      <c r="J5" s="211"/>
      <c r="K5" s="212" t="str">
        <f>IF(OR(J5="",G5=J5),"","*")</f>
        <v/>
      </c>
      <c r="L5" s="338">
        <f>IF($A5&lt;=L$1,I5/I$4,"")</f>
        <v>0.89645290552407475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192</v>
      </c>
      <c r="D6" s="340" t="s">
        <v>194</v>
      </c>
      <c r="E6" s="342"/>
      <c r="F6" s="345" t="s">
        <v>84</v>
      </c>
      <c r="G6" s="308">
        <v>1</v>
      </c>
      <c r="H6" s="309">
        <v>12120418</v>
      </c>
      <c r="I6" s="309">
        <v>12120418</v>
      </c>
      <c r="J6" s="211"/>
      <c r="K6" s="212" t="str">
        <f>IF(OR(J6="",G6=J6),"","*")</f>
        <v/>
      </c>
      <c r="L6" s="338">
        <f>IF($A6&lt;=L$1,I6/I$4,"")</f>
        <v>0.89645290552407475</v>
      </c>
      <c r="M6" s="343"/>
      <c r="N6" s="344" t="s">
        <v>149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153</v>
      </c>
      <c r="D7" s="340" t="s">
        <v>195</v>
      </c>
      <c r="E7" s="342"/>
      <c r="F7" s="345" t="s">
        <v>83</v>
      </c>
      <c r="G7" s="308">
        <v>1541</v>
      </c>
      <c r="H7" s="309">
        <v>2035.21</v>
      </c>
      <c r="I7" s="309">
        <v>3136273</v>
      </c>
      <c r="J7" s="211">
        <v>1541</v>
      </c>
      <c r="K7" s="212" t="str">
        <f>IF(OR(J7="",G7=J7),"","*")</f>
        <v/>
      </c>
      <c r="L7" s="338">
        <f>IF($A7&lt;=L$1,I7/I$4,"")</f>
        <v>0.23196568330949532</v>
      </c>
      <c r="M7" s="343"/>
      <c r="N7" s="344" t="s">
        <v>196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197</v>
      </c>
      <c r="D8" s="340" t="s">
        <v>198</v>
      </c>
      <c r="E8" s="342"/>
      <c r="F8" s="345" t="s">
        <v>83</v>
      </c>
      <c r="G8" s="308">
        <v>570</v>
      </c>
      <c r="H8" s="309">
        <v>1833</v>
      </c>
      <c r="I8" s="309">
        <v>1044810</v>
      </c>
      <c r="J8" s="211">
        <v>570</v>
      </c>
      <c r="K8" s="212" t="str">
        <f>IF(OR(J8="",G8=J8),"","*")</f>
        <v/>
      </c>
      <c r="L8" s="338" t="str">
        <f>IF($A8&lt;=L$1,I8/I$4,"")</f>
        <v/>
      </c>
      <c r="M8" s="343"/>
      <c r="N8" s="344" t="s">
        <v>199</v>
      </c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5</v>
      </c>
      <c r="B9" s="342"/>
      <c r="C9" s="342" t="s">
        <v>101</v>
      </c>
      <c r="D9" s="340" t="s">
        <v>200</v>
      </c>
      <c r="E9" s="342"/>
      <c r="F9" s="345" t="s">
        <v>201</v>
      </c>
      <c r="G9" s="308">
        <v>10</v>
      </c>
      <c r="H9" s="309">
        <v>34500</v>
      </c>
      <c r="I9" s="309">
        <v>345000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5</v>
      </c>
      <c r="B10" s="342"/>
      <c r="C10" s="342" t="s">
        <v>101</v>
      </c>
      <c r="D10" s="340" t="s">
        <v>202</v>
      </c>
      <c r="E10" s="342"/>
      <c r="F10" s="345" t="s">
        <v>203</v>
      </c>
      <c r="G10" s="308">
        <v>30</v>
      </c>
      <c r="H10" s="309">
        <v>5000</v>
      </c>
      <c r="I10" s="309">
        <v>150000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5</v>
      </c>
      <c r="B11" s="342"/>
      <c r="C11" s="342" t="s">
        <v>103</v>
      </c>
      <c r="D11" s="340" t="s">
        <v>204</v>
      </c>
      <c r="E11" s="342"/>
      <c r="F11" s="345" t="s">
        <v>205</v>
      </c>
      <c r="G11" s="308">
        <v>1</v>
      </c>
      <c r="H11" s="309">
        <v>320000</v>
      </c>
      <c r="I11" s="309">
        <v>320000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5</v>
      </c>
      <c r="B12" s="342"/>
      <c r="C12" s="342" t="s">
        <v>103</v>
      </c>
      <c r="D12" s="340" t="s">
        <v>206</v>
      </c>
      <c r="E12" s="342"/>
      <c r="F12" s="345" t="s">
        <v>205</v>
      </c>
      <c r="G12" s="308">
        <v>1</v>
      </c>
      <c r="H12" s="309">
        <v>15000</v>
      </c>
      <c r="I12" s="309">
        <v>15000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5</v>
      </c>
      <c r="B13" s="342"/>
      <c r="C13" s="342" t="s">
        <v>103</v>
      </c>
      <c r="D13" s="340" t="s">
        <v>207</v>
      </c>
      <c r="E13" s="342"/>
      <c r="F13" s="345" t="s">
        <v>205</v>
      </c>
      <c r="G13" s="308">
        <v>1</v>
      </c>
      <c r="H13" s="309">
        <v>8000</v>
      </c>
      <c r="I13" s="309">
        <v>8000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5</v>
      </c>
      <c r="B14" s="342"/>
      <c r="C14" s="342" t="s">
        <v>103</v>
      </c>
      <c r="D14" s="340" t="s">
        <v>208</v>
      </c>
      <c r="E14" s="342"/>
      <c r="F14" s="345" t="s">
        <v>205</v>
      </c>
      <c r="G14" s="308">
        <v>1</v>
      </c>
      <c r="H14" s="309">
        <v>5000</v>
      </c>
      <c r="I14" s="309">
        <v>5000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5</v>
      </c>
      <c r="B15" s="342"/>
      <c r="C15" s="342" t="s">
        <v>103</v>
      </c>
      <c r="D15" s="340" t="s">
        <v>209</v>
      </c>
      <c r="E15" s="342"/>
      <c r="F15" s="345" t="s">
        <v>205</v>
      </c>
      <c r="G15" s="308">
        <v>1</v>
      </c>
      <c r="H15" s="309">
        <v>8000</v>
      </c>
      <c r="I15" s="309">
        <v>8000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5</v>
      </c>
      <c r="B16" s="342"/>
      <c r="C16" s="342" t="s">
        <v>104</v>
      </c>
      <c r="D16" s="340" t="s">
        <v>210</v>
      </c>
      <c r="E16" s="342"/>
      <c r="F16" s="345" t="s">
        <v>205</v>
      </c>
      <c r="G16" s="308">
        <v>2</v>
      </c>
      <c r="H16" s="309">
        <v>8000</v>
      </c>
      <c r="I16" s="309">
        <v>16000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/>
    </row>
    <row r="17" spans="1:32">
      <c r="A17" s="307">
        <v>5</v>
      </c>
      <c r="B17" s="342"/>
      <c r="C17" s="342" t="s">
        <v>104</v>
      </c>
      <c r="D17" s="340" t="s">
        <v>211</v>
      </c>
      <c r="E17" s="342"/>
      <c r="F17" s="345" t="s">
        <v>205</v>
      </c>
      <c r="G17" s="308">
        <v>2</v>
      </c>
      <c r="H17" s="309">
        <v>5000</v>
      </c>
      <c r="I17" s="309">
        <v>10000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5</v>
      </c>
      <c r="B18" s="342"/>
      <c r="C18" s="342" t="s">
        <v>100</v>
      </c>
      <c r="D18" s="340" t="s">
        <v>212</v>
      </c>
      <c r="E18" s="342"/>
      <c r="F18" s="345" t="s">
        <v>213</v>
      </c>
      <c r="G18" s="308">
        <v>300</v>
      </c>
      <c r="H18" s="309">
        <v>160</v>
      </c>
      <c r="I18" s="309">
        <v>48000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5</v>
      </c>
      <c r="B19" s="342"/>
      <c r="C19" s="342" t="s">
        <v>100</v>
      </c>
      <c r="D19" s="340" t="s">
        <v>214</v>
      </c>
      <c r="E19" s="342"/>
      <c r="F19" s="345" t="s">
        <v>215</v>
      </c>
      <c r="G19" s="308">
        <v>1</v>
      </c>
      <c r="H19" s="309">
        <v>10000</v>
      </c>
      <c r="I19" s="309">
        <v>10000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5</v>
      </c>
      <c r="B20" s="342"/>
      <c r="C20" s="342" t="s">
        <v>103</v>
      </c>
      <c r="D20" s="340" t="s">
        <v>216</v>
      </c>
      <c r="E20" s="342"/>
      <c r="F20" s="345" t="s">
        <v>205</v>
      </c>
      <c r="G20" s="308">
        <v>1</v>
      </c>
      <c r="H20" s="309">
        <v>65000</v>
      </c>
      <c r="I20" s="309">
        <v>65000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5</v>
      </c>
      <c r="B21" s="342"/>
      <c r="C21" s="342" t="s">
        <v>103</v>
      </c>
      <c r="D21" s="340" t="s">
        <v>217</v>
      </c>
      <c r="E21" s="342"/>
      <c r="F21" s="345" t="s">
        <v>205</v>
      </c>
      <c r="G21" s="308">
        <v>1</v>
      </c>
      <c r="H21" s="309">
        <v>8500</v>
      </c>
      <c r="I21" s="309">
        <v>8500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5</v>
      </c>
      <c r="B22" s="342"/>
      <c r="C22" s="342" t="s">
        <v>103</v>
      </c>
      <c r="D22" s="340" t="s">
        <v>218</v>
      </c>
      <c r="E22" s="342"/>
      <c r="F22" s="345" t="s">
        <v>205</v>
      </c>
      <c r="G22" s="308">
        <v>1</v>
      </c>
      <c r="H22" s="309">
        <v>8500</v>
      </c>
      <c r="I22" s="309">
        <v>8500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5</v>
      </c>
      <c r="B23" s="342"/>
      <c r="C23" s="342" t="s">
        <v>103</v>
      </c>
      <c r="D23" s="340" t="s">
        <v>218</v>
      </c>
      <c r="E23" s="342" t="s">
        <v>219</v>
      </c>
      <c r="F23" s="345" t="s">
        <v>205</v>
      </c>
      <c r="G23" s="308">
        <v>1</v>
      </c>
      <c r="H23" s="309">
        <v>12000</v>
      </c>
      <c r="I23" s="309">
        <v>12000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5</v>
      </c>
      <c r="B24" s="342"/>
      <c r="C24" s="342" t="s">
        <v>103</v>
      </c>
      <c r="D24" s="340" t="s">
        <v>220</v>
      </c>
      <c r="E24" s="342"/>
      <c r="F24" s="345" t="s">
        <v>205</v>
      </c>
      <c r="G24" s="308">
        <v>2</v>
      </c>
      <c r="H24" s="309">
        <v>5000</v>
      </c>
      <c r="I24" s="309">
        <v>10000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5</v>
      </c>
      <c r="B25" s="342"/>
      <c r="C25" s="342" t="s">
        <v>100</v>
      </c>
      <c r="D25" s="340" t="s">
        <v>221</v>
      </c>
      <c r="E25" s="342"/>
      <c r="F25" s="345" t="s">
        <v>215</v>
      </c>
      <c r="G25" s="308">
        <v>1</v>
      </c>
      <c r="H25" s="309">
        <v>5875</v>
      </c>
      <c r="I25" s="309">
        <v>5875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4</v>
      </c>
      <c r="B26" s="342"/>
      <c r="C26" s="342" t="s">
        <v>197</v>
      </c>
      <c r="D26" s="340" t="s">
        <v>222</v>
      </c>
      <c r="E26" s="342"/>
      <c r="F26" s="345" t="s">
        <v>83</v>
      </c>
      <c r="G26" s="308">
        <v>438</v>
      </c>
      <c r="H26" s="309">
        <v>2396</v>
      </c>
      <c r="I26" s="309">
        <v>1049448</v>
      </c>
      <c r="J26" s="211">
        <v>438</v>
      </c>
      <c r="K26" s="212" t="str">
        <f>IF(OR(J26="",G26=J26),"","*")</f>
        <v/>
      </c>
      <c r="L26" s="338" t="str">
        <f>IF($A26&lt;=L$1,I26/I$4,"")</f>
        <v/>
      </c>
      <c r="M26" s="343"/>
      <c r="N26" s="344" t="s">
        <v>223</v>
      </c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/>
    </row>
    <row r="27" spans="1:32">
      <c r="A27" s="307">
        <v>5</v>
      </c>
      <c r="B27" s="342"/>
      <c r="C27" s="342" t="s">
        <v>101</v>
      </c>
      <c r="D27" s="340" t="s">
        <v>200</v>
      </c>
      <c r="E27" s="342"/>
      <c r="F27" s="345" t="s">
        <v>201</v>
      </c>
      <c r="G27" s="308">
        <v>10</v>
      </c>
      <c r="H27" s="309">
        <v>34500</v>
      </c>
      <c r="I27" s="309">
        <v>345000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5</v>
      </c>
      <c r="B28" s="342"/>
      <c r="C28" s="342" t="s">
        <v>101</v>
      </c>
      <c r="D28" s="340" t="s">
        <v>202</v>
      </c>
      <c r="E28" s="342"/>
      <c r="F28" s="345" t="s">
        <v>203</v>
      </c>
      <c r="G28" s="308">
        <v>30</v>
      </c>
      <c r="H28" s="309">
        <v>5000</v>
      </c>
      <c r="I28" s="309">
        <v>150000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/>
    </row>
    <row r="29" spans="1:32">
      <c r="A29" s="307">
        <v>5</v>
      </c>
      <c r="B29" s="342"/>
      <c r="C29" s="342" t="s">
        <v>103</v>
      </c>
      <c r="D29" s="340" t="s">
        <v>204</v>
      </c>
      <c r="E29" s="342"/>
      <c r="F29" s="345" t="s">
        <v>205</v>
      </c>
      <c r="G29" s="308">
        <v>1</v>
      </c>
      <c r="H29" s="309">
        <v>320000</v>
      </c>
      <c r="I29" s="309">
        <v>320000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5</v>
      </c>
      <c r="B30" s="342"/>
      <c r="C30" s="342" t="s">
        <v>103</v>
      </c>
      <c r="D30" s="340" t="s">
        <v>206</v>
      </c>
      <c r="E30" s="342"/>
      <c r="F30" s="345" t="s">
        <v>205</v>
      </c>
      <c r="G30" s="308">
        <v>1</v>
      </c>
      <c r="H30" s="309">
        <v>15000</v>
      </c>
      <c r="I30" s="309">
        <v>15000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/>
    </row>
    <row r="31" spans="1:32">
      <c r="A31" s="307">
        <v>5</v>
      </c>
      <c r="B31" s="342"/>
      <c r="C31" s="342" t="s">
        <v>103</v>
      </c>
      <c r="D31" s="340" t="s">
        <v>207</v>
      </c>
      <c r="E31" s="342"/>
      <c r="F31" s="345" t="s">
        <v>205</v>
      </c>
      <c r="G31" s="308">
        <v>1</v>
      </c>
      <c r="H31" s="309">
        <v>8000</v>
      </c>
      <c r="I31" s="309">
        <v>8000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/>
    </row>
    <row r="32" spans="1:32">
      <c r="A32" s="307">
        <v>5</v>
      </c>
      <c r="B32" s="342"/>
      <c r="C32" s="342" t="s">
        <v>103</v>
      </c>
      <c r="D32" s="340" t="s">
        <v>208</v>
      </c>
      <c r="E32" s="342"/>
      <c r="F32" s="345" t="s">
        <v>205</v>
      </c>
      <c r="G32" s="308">
        <v>1</v>
      </c>
      <c r="H32" s="309">
        <v>5000</v>
      </c>
      <c r="I32" s="309">
        <v>5000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5</v>
      </c>
      <c r="B33" s="342"/>
      <c r="C33" s="342" t="s">
        <v>103</v>
      </c>
      <c r="D33" s="340" t="s">
        <v>209</v>
      </c>
      <c r="E33" s="342"/>
      <c r="F33" s="345" t="s">
        <v>205</v>
      </c>
      <c r="G33" s="308">
        <v>1</v>
      </c>
      <c r="H33" s="309">
        <v>8000</v>
      </c>
      <c r="I33" s="309">
        <v>8000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5</v>
      </c>
      <c r="B34" s="342"/>
      <c r="C34" s="342" t="s">
        <v>104</v>
      </c>
      <c r="D34" s="340" t="s">
        <v>210</v>
      </c>
      <c r="E34" s="342"/>
      <c r="F34" s="345" t="s">
        <v>205</v>
      </c>
      <c r="G34" s="308">
        <v>2</v>
      </c>
      <c r="H34" s="309">
        <v>8000</v>
      </c>
      <c r="I34" s="309">
        <v>16000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5</v>
      </c>
      <c r="B35" s="342"/>
      <c r="C35" s="342" t="s">
        <v>104</v>
      </c>
      <c r="D35" s="340" t="s">
        <v>211</v>
      </c>
      <c r="E35" s="342"/>
      <c r="F35" s="345" t="s">
        <v>205</v>
      </c>
      <c r="G35" s="308">
        <v>2</v>
      </c>
      <c r="H35" s="309">
        <v>5000</v>
      </c>
      <c r="I35" s="309">
        <v>10000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5</v>
      </c>
      <c r="B36" s="342"/>
      <c r="C36" s="342" t="s">
        <v>100</v>
      </c>
      <c r="D36" s="340" t="s">
        <v>212</v>
      </c>
      <c r="E36" s="342"/>
      <c r="F36" s="345" t="s">
        <v>213</v>
      </c>
      <c r="G36" s="308">
        <v>300</v>
      </c>
      <c r="H36" s="309">
        <v>160</v>
      </c>
      <c r="I36" s="309">
        <v>48000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5</v>
      </c>
      <c r="B37" s="342"/>
      <c r="C37" s="342" t="s">
        <v>100</v>
      </c>
      <c r="D37" s="340" t="s">
        <v>214</v>
      </c>
      <c r="E37" s="342"/>
      <c r="F37" s="345" t="s">
        <v>215</v>
      </c>
      <c r="G37" s="308">
        <v>1</v>
      </c>
      <c r="H37" s="309">
        <v>10000</v>
      </c>
      <c r="I37" s="309">
        <v>10000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5</v>
      </c>
      <c r="B38" s="342"/>
      <c r="C38" s="342" t="s">
        <v>103</v>
      </c>
      <c r="D38" s="340" t="s">
        <v>216</v>
      </c>
      <c r="E38" s="342"/>
      <c r="F38" s="345" t="s">
        <v>205</v>
      </c>
      <c r="G38" s="308">
        <v>1</v>
      </c>
      <c r="H38" s="309">
        <v>65000</v>
      </c>
      <c r="I38" s="309">
        <v>65000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/>
    </row>
    <row r="39" spans="1:32">
      <c r="A39" s="307">
        <v>5</v>
      </c>
      <c r="B39" s="342"/>
      <c r="C39" s="342" t="s">
        <v>103</v>
      </c>
      <c r="D39" s="340" t="s">
        <v>217</v>
      </c>
      <c r="E39" s="342"/>
      <c r="F39" s="345" t="s">
        <v>205</v>
      </c>
      <c r="G39" s="308">
        <v>1</v>
      </c>
      <c r="H39" s="309">
        <v>8500</v>
      </c>
      <c r="I39" s="309">
        <v>8500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/>
    </row>
    <row r="40" spans="1:32">
      <c r="A40" s="307">
        <v>5</v>
      </c>
      <c r="B40" s="342"/>
      <c r="C40" s="342" t="s">
        <v>103</v>
      </c>
      <c r="D40" s="340" t="s">
        <v>218</v>
      </c>
      <c r="E40" s="342"/>
      <c r="F40" s="345" t="s">
        <v>205</v>
      </c>
      <c r="G40" s="308">
        <v>1</v>
      </c>
      <c r="H40" s="309">
        <v>8500</v>
      </c>
      <c r="I40" s="309">
        <v>8500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5</v>
      </c>
      <c r="B41" s="342"/>
      <c r="C41" s="342" t="s">
        <v>103</v>
      </c>
      <c r="D41" s="340" t="s">
        <v>218</v>
      </c>
      <c r="E41" s="342" t="s">
        <v>219</v>
      </c>
      <c r="F41" s="345" t="s">
        <v>205</v>
      </c>
      <c r="G41" s="308">
        <v>1</v>
      </c>
      <c r="H41" s="309">
        <v>12000</v>
      </c>
      <c r="I41" s="309">
        <v>12000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5</v>
      </c>
      <c r="B42" s="342"/>
      <c r="C42" s="342" t="s">
        <v>103</v>
      </c>
      <c r="D42" s="340" t="s">
        <v>220</v>
      </c>
      <c r="E42" s="342"/>
      <c r="F42" s="345" t="s">
        <v>205</v>
      </c>
      <c r="G42" s="308">
        <v>2</v>
      </c>
      <c r="H42" s="309">
        <v>5000</v>
      </c>
      <c r="I42" s="309">
        <v>10000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/>
    </row>
    <row r="43" spans="1:32">
      <c r="A43" s="307">
        <v>5</v>
      </c>
      <c r="B43" s="342"/>
      <c r="C43" s="342" t="s">
        <v>100</v>
      </c>
      <c r="D43" s="340" t="s">
        <v>221</v>
      </c>
      <c r="E43" s="342"/>
      <c r="F43" s="345" t="s">
        <v>215</v>
      </c>
      <c r="G43" s="308">
        <v>1</v>
      </c>
      <c r="H43" s="309">
        <v>5000</v>
      </c>
      <c r="I43" s="309">
        <v>5000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5</v>
      </c>
      <c r="B44" s="342"/>
      <c r="C44" s="342" t="s">
        <v>100</v>
      </c>
      <c r="D44" s="340" t="s">
        <v>221</v>
      </c>
      <c r="E44" s="342"/>
      <c r="F44" s="345" t="s">
        <v>215</v>
      </c>
      <c r="G44" s="308">
        <v>1</v>
      </c>
      <c r="H44" s="309">
        <v>5870</v>
      </c>
      <c r="I44" s="309">
        <v>5870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4</v>
      </c>
      <c r="B45" s="342"/>
      <c r="C45" s="342" t="s">
        <v>197</v>
      </c>
      <c r="D45" s="340" t="s">
        <v>224</v>
      </c>
      <c r="E45" s="342"/>
      <c r="F45" s="345" t="s">
        <v>83</v>
      </c>
      <c r="G45" s="308">
        <v>533</v>
      </c>
      <c r="H45" s="309">
        <v>1955</v>
      </c>
      <c r="I45" s="309">
        <v>1042015</v>
      </c>
      <c r="J45" s="211">
        <v>533</v>
      </c>
      <c r="K45" s="212" t="str">
        <f>IF(OR(J45="",G45=J45),"","*")</f>
        <v/>
      </c>
      <c r="L45" s="338" t="str">
        <f>IF($A45&lt;=L$1,I45/I$4,"")</f>
        <v/>
      </c>
      <c r="M45" s="343"/>
      <c r="N45" s="344" t="s">
        <v>225</v>
      </c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/>
    </row>
    <row r="46" spans="1:32">
      <c r="A46" s="307">
        <v>5</v>
      </c>
      <c r="B46" s="342"/>
      <c r="C46" s="342" t="s">
        <v>101</v>
      </c>
      <c r="D46" s="340" t="s">
        <v>200</v>
      </c>
      <c r="E46" s="342"/>
      <c r="F46" s="345" t="s">
        <v>201</v>
      </c>
      <c r="G46" s="308">
        <v>10</v>
      </c>
      <c r="H46" s="309">
        <v>34500</v>
      </c>
      <c r="I46" s="309">
        <v>345000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/>
    </row>
    <row r="47" spans="1:32">
      <c r="A47" s="307">
        <v>5</v>
      </c>
      <c r="B47" s="342"/>
      <c r="C47" s="342" t="s">
        <v>101</v>
      </c>
      <c r="D47" s="340" t="s">
        <v>202</v>
      </c>
      <c r="E47" s="342"/>
      <c r="F47" s="345" t="s">
        <v>203</v>
      </c>
      <c r="G47" s="308">
        <v>30</v>
      </c>
      <c r="H47" s="309">
        <v>5000</v>
      </c>
      <c r="I47" s="309">
        <v>150000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5</v>
      </c>
      <c r="B48" s="342"/>
      <c r="C48" s="342" t="s">
        <v>103</v>
      </c>
      <c r="D48" s="340" t="s">
        <v>204</v>
      </c>
      <c r="E48" s="342"/>
      <c r="F48" s="345" t="s">
        <v>205</v>
      </c>
      <c r="G48" s="308">
        <v>1</v>
      </c>
      <c r="H48" s="309">
        <v>320000</v>
      </c>
      <c r="I48" s="309">
        <v>320000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5</v>
      </c>
      <c r="B49" s="342"/>
      <c r="C49" s="342" t="s">
        <v>103</v>
      </c>
      <c r="D49" s="340" t="s">
        <v>206</v>
      </c>
      <c r="E49" s="342"/>
      <c r="F49" s="345" t="s">
        <v>205</v>
      </c>
      <c r="G49" s="308">
        <v>1</v>
      </c>
      <c r="H49" s="309">
        <v>15000</v>
      </c>
      <c r="I49" s="309">
        <v>15000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5</v>
      </c>
      <c r="B50" s="342"/>
      <c r="C50" s="342" t="s">
        <v>103</v>
      </c>
      <c r="D50" s="340" t="s">
        <v>207</v>
      </c>
      <c r="E50" s="342"/>
      <c r="F50" s="345" t="s">
        <v>205</v>
      </c>
      <c r="G50" s="308">
        <v>1</v>
      </c>
      <c r="H50" s="309">
        <v>8000</v>
      </c>
      <c r="I50" s="309">
        <v>8000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5</v>
      </c>
      <c r="B51" s="342"/>
      <c r="C51" s="342" t="s">
        <v>103</v>
      </c>
      <c r="D51" s="340" t="s">
        <v>208</v>
      </c>
      <c r="E51" s="342"/>
      <c r="F51" s="345" t="s">
        <v>205</v>
      </c>
      <c r="G51" s="308">
        <v>1</v>
      </c>
      <c r="H51" s="309">
        <v>5000</v>
      </c>
      <c r="I51" s="309">
        <v>5000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5</v>
      </c>
      <c r="B52" s="342"/>
      <c r="C52" s="342" t="s">
        <v>103</v>
      </c>
      <c r="D52" s="340" t="s">
        <v>209</v>
      </c>
      <c r="E52" s="342"/>
      <c r="F52" s="345" t="s">
        <v>205</v>
      </c>
      <c r="G52" s="308">
        <v>1</v>
      </c>
      <c r="H52" s="309">
        <v>8000</v>
      </c>
      <c r="I52" s="309">
        <v>8000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5</v>
      </c>
      <c r="B53" s="342"/>
      <c r="C53" s="342" t="s">
        <v>104</v>
      </c>
      <c r="D53" s="340" t="s">
        <v>210</v>
      </c>
      <c r="E53" s="342"/>
      <c r="F53" s="345" t="s">
        <v>205</v>
      </c>
      <c r="G53" s="308">
        <v>2</v>
      </c>
      <c r="H53" s="309">
        <v>8000</v>
      </c>
      <c r="I53" s="309">
        <v>16000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5</v>
      </c>
      <c r="B54" s="342"/>
      <c r="C54" s="342" t="s">
        <v>104</v>
      </c>
      <c r="D54" s="340" t="s">
        <v>211</v>
      </c>
      <c r="E54" s="342"/>
      <c r="F54" s="345" t="s">
        <v>205</v>
      </c>
      <c r="G54" s="308">
        <v>2</v>
      </c>
      <c r="H54" s="309">
        <v>5000</v>
      </c>
      <c r="I54" s="309">
        <v>10000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5</v>
      </c>
      <c r="B55" s="342"/>
      <c r="C55" s="342" t="s">
        <v>100</v>
      </c>
      <c r="D55" s="340" t="s">
        <v>212</v>
      </c>
      <c r="E55" s="342"/>
      <c r="F55" s="345" t="s">
        <v>213</v>
      </c>
      <c r="G55" s="308">
        <v>300</v>
      </c>
      <c r="H55" s="309">
        <v>160</v>
      </c>
      <c r="I55" s="309">
        <v>48000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5</v>
      </c>
      <c r="B56" s="342"/>
      <c r="C56" s="342" t="s">
        <v>100</v>
      </c>
      <c r="D56" s="340" t="s">
        <v>214</v>
      </c>
      <c r="E56" s="342"/>
      <c r="F56" s="345" t="s">
        <v>215</v>
      </c>
      <c r="G56" s="308">
        <v>1</v>
      </c>
      <c r="H56" s="309">
        <v>10000</v>
      </c>
      <c r="I56" s="309">
        <v>10000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5</v>
      </c>
      <c r="B57" s="342"/>
      <c r="C57" s="342" t="s">
        <v>103</v>
      </c>
      <c r="D57" s="340" t="s">
        <v>216</v>
      </c>
      <c r="E57" s="342"/>
      <c r="F57" s="345" t="s">
        <v>205</v>
      </c>
      <c r="G57" s="308">
        <v>1</v>
      </c>
      <c r="H57" s="309">
        <v>65000</v>
      </c>
      <c r="I57" s="309">
        <v>65000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/>
    </row>
    <row r="58" spans="1:32">
      <c r="A58" s="307">
        <v>5</v>
      </c>
      <c r="B58" s="342"/>
      <c r="C58" s="342" t="s">
        <v>103</v>
      </c>
      <c r="D58" s="340" t="s">
        <v>217</v>
      </c>
      <c r="E58" s="342"/>
      <c r="F58" s="345" t="s">
        <v>205</v>
      </c>
      <c r="G58" s="308">
        <v>1</v>
      </c>
      <c r="H58" s="309">
        <v>8500</v>
      </c>
      <c r="I58" s="309">
        <v>8500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5</v>
      </c>
      <c r="B59" s="342"/>
      <c r="C59" s="342" t="s">
        <v>103</v>
      </c>
      <c r="D59" s="340" t="s">
        <v>218</v>
      </c>
      <c r="E59" s="342"/>
      <c r="F59" s="345" t="s">
        <v>205</v>
      </c>
      <c r="G59" s="308">
        <v>1</v>
      </c>
      <c r="H59" s="309">
        <v>8500</v>
      </c>
      <c r="I59" s="309">
        <v>8500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5</v>
      </c>
      <c r="B60" s="342"/>
      <c r="C60" s="342" t="s">
        <v>103</v>
      </c>
      <c r="D60" s="340" t="s">
        <v>218</v>
      </c>
      <c r="E60" s="342" t="s">
        <v>219</v>
      </c>
      <c r="F60" s="345" t="s">
        <v>205</v>
      </c>
      <c r="G60" s="308">
        <v>1</v>
      </c>
      <c r="H60" s="309">
        <v>12000</v>
      </c>
      <c r="I60" s="309">
        <v>12000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5</v>
      </c>
      <c r="B61" s="342"/>
      <c r="C61" s="342" t="s">
        <v>103</v>
      </c>
      <c r="D61" s="340" t="s">
        <v>220</v>
      </c>
      <c r="E61" s="342"/>
      <c r="F61" s="345" t="s">
        <v>205</v>
      </c>
      <c r="G61" s="308">
        <v>2</v>
      </c>
      <c r="H61" s="309">
        <v>5000</v>
      </c>
      <c r="I61" s="309">
        <v>10000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5</v>
      </c>
      <c r="B62" s="342"/>
      <c r="C62" s="342" t="s">
        <v>100</v>
      </c>
      <c r="D62" s="340" t="s">
        <v>221</v>
      </c>
      <c r="E62" s="342"/>
      <c r="F62" s="345" t="s">
        <v>215</v>
      </c>
      <c r="G62" s="308">
        <v>1</v>
      </c>
      <c r="H62" s="309">
        <v>3110</v>
      </c>
      <c r="I62" s="309">
        <v>3110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3</v>
      </c>
      <c r="B63" s="342"/>
      <c r="C63" s="342" t="s">
        <v>153</v>
      </c>
      <c r="D63" s="340" t="s">
        <v>226</v>
      </c>
      <c r="E63" s="342"/>
      <c r="F63" s="345" t="s">
        <v>84</v>
      </c>
      <c r="G63" s="308">
        <v>1</v>
      </c>
      <c r="H63" s="309">
        <v>450000</v>
      </c>
      <c r="I63" s="309">
        <v>450000</v>
      </c>
      <c r="J63" s="211">
        <v>1</v>
      </c>
      <c r="K63" s="212" t="str">
        <f>IF(OR(J63="",G63=J63),"","*")</f>
        <v/>
      </c>
      <c r="L63" s="338">
        <f>IF($A63&lt;=L$1,I63/I$4,"")</f>
        <v>3.3282994652975968E-2</v>
      </c>
      <c r="M63" s="343"/>
      <c r="N63" s="344" t="s">
        <v>227</v>
      </c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4</v>
      </c>
      <c r="B64" s="342"/>
      <c r="C64" s="342" t="s">
        <v>197</v>
      </c>
      <c r="D64" s="340" t="s">
        <v>228</v>
      </c>
      <c r="E64" s="342"/>
      <c r="F64" s="345" t="s">
        <v>84</v>
      </c>
      <c r="G64" s="308">
        <v>1</v>
      </c>
      <c r="H64" s="309">
        <v>450000</v>
      </c>
      <c r="I64" s="309">
        <v>450000</v>
      </c>
      <c r="J64" s="211">
        <v>1</v>
      </c>
      <c r="K64" s="212" t="str">
        <f>IF(OR(J64="",G64=J64),"","*")</f>
        <v/>
      </c>
      <c r="L64" s="338" t="str">
        <f>IF($A64&lt;=L$1,I64/I$4,"")</f>
        <v/>
      </c>
      <c r="M64" s="343"/>
      <c r="N64" s="344" t="s">
        <v>229</v>
      </c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5</v>
      </c>
      <c r="B65" s="342"/>
      <c r="C65" s="342" t="s">
        <v>102</v>
      </c>
      <c r="D65" s="340" t="s">
        <v>230</v>
      </c>
      <c r="E65" s="342"/>
      <c r="F65" s="345" t="s">
        <v>84</v>
      </c>
      <c r="G65" s="308">
        <v>1</v>
      </c>
      <c r="H65" s="309">
        <v>450000</v>
      </c>
      <c r="I65" s="309">
        <v>450000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 t="s">
        <v>231</v>
      </c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3</v>
      </c>
      <c r="B66" s="342"/>
      <c r="C66" s="342" t="s">
        <v>153</v>
      </c>
      <c r="D66" s="340" t="s">
        <v>232</v>
      </c>
      <c r="E66" s="342"/>
      <c r="F66" s="345" t="s">
        <v>84</v>
      </c>
      <c r="G66" s="308">
        <v>1</v>
      </c>
      <c r="H66" s="309">
        <v>300000</v>
      </c>
      <c r="I66" s="309">
        <v>300000</v>
      </c>
      <c r="J66" s="211">
        <v>1</v>
      </c>
      <c r="K66" s="212" t="str">
        <f>IF(OR(J66="",G66=J66),"","*")</f>
        <v/>
      </c>
      <c r="L66" s="338">
        <f>IF($A66&lt;=L$1,I66/I$4,"")</f>
        <v>2.2188663101983978E-2</v>
      </c>
      <c r="M66" s="343"/>
      <c r="N66" s="344" t="s">
        <v>233</v>
      </c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4</v>
      </c>
      <c r="B67" s="342"/>
      <c r="C67" s="342" t="s">
        <v>197</v>
      </c>
      <c r="D67" s="340" t="s">
        <v>234</v>
      </c>
      <c r="E67" s="342"/>
      <c r="F67" s="345" t="s">
        <v>84</v>
      </c>
      <c r="G67" s="308">
        <v>1</v>
      </c>
      <c r="H67" s="309">
        <v>300000</v>
      </c>
      <c r="I67" s="309">
        <v>300000</v>
      </c>
      <c r="J67" s="211">
        <v>1</v>
      </c>
      <c r="K67" s="212" t="str">
        <f>IF(OR(J67="",G67=J67),"","*")</f>
        <v/>
      </c>
      <c r="L67" s="338" t="str">
        <f>IF($A67&lt;=L$1,I67/I$4,"")</f>
        <v/>
      </c>
      <c r="M67" s="343"/>
      <c r="N67" s="344" t="s">
        <v>235</v>
      </c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/>
    </row>
    <row r="68" spans="1:32">
      <c r="A68" s="307">
        <v>5</v>
      </c>
      <c r="B68" s="342"/>
      <c r="C68" s="342" t="s">
        <v>101</v>
      </c>
      <c r="D68" s="340" t="s">
        <v>236</v>
      </c>
      <c r="E68" s="342"/>
      <c r="F68" s="345" t="s">
        <v>84</v>
      </c>
      <c r="G68" s="308">
        <v>1</v>
      </c>
      <c r="H68" s="309">
        <v>300000</v>
      </c>
      <c r="I68" s="309">
        <v>300000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3</v>
      </c>
      <c r="B69" s="342"/>
      <c r="C69" s="342" t="s">
        <v>153</v>
      </c>
      <c r="D69" s="340" t="s">
        <v>237</v>
      </c>
      <c r="E69" s="342"/>
      <c r="F69" s="345" t="s">
        <v>84</v>
      </c>
      <c r="G69" s="308">
        <v>1</v>
      </c>
      <c r="H69" s="309">
        <v>541000</v>
      </c>
      <c r="I69" s="309">
        <v>541000</v>
      </c>
      <c r="J69" s="211">
        <v>1</v>
      </c>
      <c r="K69" s="212" t="str">
        <f>IF(OR(J69="",G69=J69),"","*")</f>
        <v/>
      </c>
      <c r="L69" s="338">
        <f>IF($A69&lt;=L$1,I69/I$4,"")</f>
        <v>4.0013555793911103E-2</v>
      </c>
      <c r="M69" s="343"/>
      <c r="N69" s="344" t="s">
        <v>238</v>
      </c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4</v>
      </c>
      <c r="B70" s="342"/>
      <c r="C70" s="342" t="s">
        <v>104</v>
      </c>
      <c r="D70" s="340" t="s">
        <v>239</v>
      </c>
      <c r="E70" s="342"/>
      <c r="F70" s="345" t="s">
        <v>205</v>
      </c>
      <c r="G70" s="308">
        <v>3</v>
      </c>
      <c r="H70" s="309">
        <v>30000</v>
      </c>
      <c r="I70" s="309">
        <v>90000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4</v>
      </c>
      <c r="B71" s="342"/>
      <c r="C71" s="342" t="s">
        <v>103</v>
      </c>
      <c r="D71" s="340" t="s">
        <v>240</v>
      </c>
      <c r="E71" s="342" t="s">
        <v>241</v>
      </c>
      <c r="F71" s="345" t="s">
        <v>205</v>
      </c>
      <c r="G71" s="308">
        <v>30</v>
      </c>
      <c r="H71" s="309">
        <v>7000</v>
      </c>
      <c r="I71" s="309">
        <v>210000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4</v>
      </c>
      <c r="B72" s="342"/>
      <c r="C72" s="342" t="s">
        <v>103</v>
      </c>
      <c r="D72" s="340" t="s">
        <v>240</v>
      </c>
      <c r="E72" s="342" t="s">
        <v>242</v>
      </c>
      <c r="F72" s="345" t="s">
        <v>205</v>
      </c>
      <c r="G72" s="308">
        <v>9</v>
      </c>
      <c r="H72" s="309">
        <v>7000</v>
      </c>
      <c r="I72" s="309">
        <v>63000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307">
        <v>4</v>
      </c>
      <c r="B73" s="342"/>
      <c r="C73" s="342" t="s">
        <v>100</v>
      </c>
      <c r="D73" s="340" t="s">
        <v>243</v>
      </c>
      <c r="E73" s="342"/>
      <c r="F73" s="345" t="s">
        <v>213</v>
      </c>
      <c r="G73" s="308">
        <v>100</v>
      </c>
      <c r="H73" s="309">
        <v>180</v>
      </c>
      <c r="I73" s="309">
        <v>18000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/>
      <c r="AF73" s="341"/>
    </row>
    <row r="74" spans="1:32">
      <c r="A74" s="307">
        <v>4</v>
      </c>
      <c r="B74" s="342"/>
      <c r="C74" s="342" t="s">
        <v>100</v>
      </c>
      <c r="D74" s="340" t="s">
        <v>244</v>
      </c>
      <c r="E74" s="342" t="s">
        <v>245</v>
      </c>
      <c r="F74" s="345" t="s">
        <v>84</v>
      </c>
      <c r="G74" s="308">
        <v>1</v>
      </c>
      <c r="H74" s="309">
        <v>100000</v>
      </c>
      <c r="I74" s="309">
        <v>100000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4</v>
      </c>
      <c r="B75" s="342"/>
      <c r="C75" s="342" t="s">
        <v>104</v>
      </c>
      <c r="D75" s="340" t="s">
        <v>246</v>
      </c>
      <c r="E75" s="342"/>
      <c r="F75" s="345" t="s">
        <v>84</v>
      </c>
      <c r="G75" s="308">
        <v>1</v>
      </c>
      <c r="H75" s="309">
        <v>60000</v>
      </c>
      <c r="I75" s="309">
        <v>60000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/>
      <c r="AF75" s="341"/>
    </row>
    <row r="76" spans="1:32">
      <c r="A76" s="307">
        <v>3</v>
      </c>
      <c r="B76" s="342"/>
      <c r="C76" s="342" t="s">
        <v>153</v>
      </c>
      <c r="D76" s="340" t="s">
        <v>247</v>
      </c>
      <c r="E76" s="342"/>
      <c r="F76" s="345" t="s">
        <v>84</v>
      </c>
      <c r="G76" s="308">
        <v>1</v>
      </c>
      <c r="H76" s="309">
        <v>7693145</v>
      </c>
      <c r="I76" s="309">
        <v>7693145</v>
      </c>
      <c r="J76" s="211">
        <v>1</v>
      </c>
      <c r="K76" s="212" t="str">
        <f>IF(OR(J76="",G76=J76),"","*")</f>
        <v/>
      </c>
      <c r="L76" s="338">
        <f>IF($A76&lt;=L$1,I76/I$4,"")</f>
        <v>0.56900200866570838</v>
      </c>
      <c r="M76" s="343"/>
      <c r="N76" s="344" t="s">
        <v>248</v>
      </c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/>
      <c r="AF76" s="341"/>
    </row>
    <row r="77" spans="1:32">
      <c r="A77" s="307">
        <v>4</v>
      </c>
      <c r="B77" s="342"/>
      <c r="C77" s="342" t="s">
        <v>197</v>
      </c>
      <c r="D77" s="340" t="s">
        <v>198</v>
      </c>
      <c r="E77" s="342"/>
      <c r="F77" s="345" t="s">
        <v>84</v>
      </c>
      <c r="G77" s="308">
        <v>1</v>
      </c>
      <c r="H77" s="309">
        <v>2795125</v>
      </c>
      <c r="I77" s="309">
        <v>2795125</v>
      </c>
      <c r="J77" s="211">
        <v>1</v>
      </c>
      <c r="K77" s="212" t="str">
        <f>IF(OR(J77="",G77=J77),"","*")</f>
        <v/>
      </c>
      <c r="L77" s="338" t="str">
        <f>IF($A77&lt;=L$1,I77/I$4,"")</f>
        <v/>
      </c>
      <c r="M77" s="343"/>
      <c r="N77" s="344" t="s">
        <v>249</v>
      </c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5</v>
      </c>
      <c r="B78" s="342"/>
      <c r="C78" s="342" t="s">
        <v>100</v>
      </c>
      <c r="D78" s="340" t="s">
        <v>250</v>
      </c>
      <c r="E78" s="342" t="s">
        <v>251</v>
      </c>
      <c r="F78" s="345" t="s">
        <v>252</v>
      </c>
      <c r="G78" s="308">
        <v>137</v>
      </c>
      <c r="H78" s="309">
        <v>500</v>
      </c>
      <c r="I78" s="309">
        <v>68500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 t="s">
        <v>253</v>
      </c>
    </row>
    <row r="79" spans="1:32">
      <c r="A79" s="307">
        <v>5</v>
      </c>
      <c r="B79" s="342"/>
      <c r="C79" s="342" t="s">
        <v>104</v>
      </c>
      <c r="D79" s="340" t="s">
        <v>254</v>
      </c>
      <c r="E79" s="342" t="s">
        <v>255</v>
      </c>
      <c r="F79" s="345" t="s">
        <v>205</v>
      </c>
      <c r="G79" s="308">
        <v>9</v>
      </c>
      <c r="H79" s="309">
        <v>52000</v>
      </c>
      <c r="I79" s="309">
        <v>468000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/>
    </row>
    <row r="80" spans="1:32">
      <c r="A80" s="307">
        <v>5</v>
      </c>
      <c r="B80" s="342"/>
      <c r="C80" s="342" t="s">
        <v>100</v>
      </c>
      <c r="D80" s="340" t="s">
        <v>256</v>
      </c>
      <c r="E80" s="342" t="s">
        <v>257</v>
      </c>
      <c r="F80" s="345" t="s">
        <v>258</v>
      </c>
      <c r="G80" s="308">
        <v>81</v>
      </c>
      <c r="H80" s="309">
        <v>14900</v>
      </c>
      <c r="I80" s="309">
        <v>1206900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/>
      <c r="AF80" s="341" t="s">
        <v>259</v>
      </c>
    </row>
    <row r="81" spans="1:32">
      <c r="A81" s="307">
        <v>5</v>
      </c>
      <c r="B81" s="342"/>
      <c r="C81" s="342" t="s">
        <v>100</v>
      </c>
      <c r="D81" s="340" t="s">
        <v>260</v>
      </c>
      <c r="E81" s="342" t="s">
        <v>257</v>
      </c>
      <c r="F81" s="345" t="s">
        <v>258</v>
      </c>
      <c r="G81" s="308">
        <v>58</v>
      </c>
      <c r="H81" s="309">
        <v>15900</v>
      </c>
      <c r="I81" s="309">
        <v>922200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 t="s">
        <v>261</v>
      </c>
    </row>
    <row r="82" spans="1:32">
      <c r="A82" s="307">
        <v>5</v>
      </c>
      <c r="B82" s="342"/>
      <c r="C82" s="342" t="s">
        <v>100</v>
      </c>
      <c r="D82" s="340" t="s">
        <v>262</v>
      </c>
      <c r="E82" s="342" t="s">
        <v>263</v>
      </c>
      <c r="F82" s="345" t="s">
        <v>258</v>
      </c>
      <c r="G82" s="308">
        <v>0.45</v>
      </c>
      <c r="H82" s="309">
        <v>154500</v>
      </c>
      <c r="I82" s="309">
        <v>69525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 t="s">
        <v>264</v>
      </c>
    </row>
    <row r="83" spans="1:32">
      <c r="A83" s="307">
        <v>5</v>
      </c>
      <c r="B83" s="342"/>
      <c r="C83" s="342" t="s">
        <v>103</v>
      </c>
      <c r="D83" s="340" t="s">
        <v>265</v>
      </c>
      <c r="E83" s="342" t="s">
        <v>266</v>
      </c>
      <c r="F83" s="345" t="s">
        <v>205</v>
      </c>
      <c r="G83" s="308">
        <v>1</v>
      </c>
      <c r="H83" s="309">
        <v>60000</v>
      </c>
      <c r="I83" s="309">
        <v>60000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/>
    </row>
    <row r="84" spans="1:32">
      <c r="A84" s="307">
        <v>4</v>
      </c>
      <c r="B84" s="342"/>
      <c r="C84" s="342" t="s">
        <v>197</v>
      </c>
      <c r="D84" s="340" t="s">
        <v>222</v>
      </c>
      <c r="E84" s="342"/>
      <c r="F84" s="345" t="s">
        <v>84</v>
      </c>
      <c r="G84" s="308">
        <v>1</v>
      </c>
      <c r="H84" s="309">
        <v>2250130</v>
      </c>
      <c r="I84" s="309">
        <v>2250130</v>
      </c>
      <c r="J84" s="211">
        <v>1</v>
      </c>
      <c r="K84" s="212" t="str">
        <f>IF(OR(J84="",G84=J84),"","*")</f>
        <v/>
      </c>
      <c r="L84" s="338" t="str">
        <f>IF($A84&lt;=L$1,I84/I$4,"")</f>
        <v/>
      </c>
      <c r="M84" s="343"/>
      <c r="N84" s="344" t="s">
        <v>267</v>
      </c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/>
    </row>
    <row r="85" spans="1:32">
      <c r="A85" s="307">
        <v>5</v>
      </c>
      <c r="B85" s="342"/>
      <c r="C85" s="342" t="s">
        <v>100</v>
      </c>
      <c r="D85" s="340" t="s">
        <v>250</v>
      </c>
      <c r="E85" s="342" t="s">
        <v>251</v>
      </c>
      <c r="F85" s="345" t="s">
        <v>252</v>
      </c>
      <c r="G85" s="308">
        <v>105</v>
      </c>
      <c r="H85" s="309">
        <v>500</v>
      </c>
      <c r="I85" s="309">
        <v>52500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 t="s">
        <v>268</v>
      </c>
    </row>
    <row r="86" spans="1:32">
      <c r="A86" s="307">
        <v>5</v>
      </c>
      <c r="B86" s="342"/>
      <c r="C86" s="342" t="s">
        <v>104</v>
      </c>
      <c r="D86" s="340" t="s">
        <v>254</v>
      </c>
      <c r="E86" s="342" t="s">
        <v>255</v>
      </c>
      <c r="F86" s="345" t="s">
        <v>205</v>
      </c>
      <c r="G86" s="308">
        <v>8</v>
      </c>
      <c r="H86" s="309">
        <v>52000</v>
      </c>
      <c r="I86" s="309">
        <v>416000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/>
    </row>
    <row r="87" spans="1:32">
      <c r="A87" s="307">
        <v>5</v>
      </c>
      <c r="B87" s="342"/>
      <c r="C87" s="342" t="s">
        <v>100</v>
      </c>
      <c r="D87" s="340" t="s">
        <v>256</v>
      </c>
      <c r="E87" s="342" t="s">
        <v>257</v>
      </c>
      <c r="F87" s="345" t="s">
        <v>258</v>
      </c>
      <c r="G87" s="308">
        <v>64</v>
      </c>
      <c r="H87" s="309">
        <v>14900</v>
      </c>
      <c r="I87" s="309">
        <v>953600</v>
      </c>
      <c r="J87" s="211"/>
      <c r="K87" s="212" t="str">
        <f>IF(OR(J87="",G87=J87),"","*")</f>
        <v/>
      </c>
      <c r="L87" s="338" t="str">
        <f>IF($A87&lt;=L$1,I87/I$4,"")</f>
        <v/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 t="s">
        <v>269</v>
      </c>
    </row>
    <row r="88" spans="1:32">
      <c r="A88" s="307">
        <v>5</v>
      </c>
      <c r="B88" s="342"/>
      <c r="C88" s="342" t="s">
        <v>100</v>
      </c>
      <c r="D88" s="340" t="s">
        <v>260</v>
      </c>
      <c r="E88" s="342" t="s">
        <v>257</v>
      </c>
      <c r="F88" s="345" t="s">
        <v>258</v>
      </c>
      <c r="G88" s="308">
        <v>45</v>
      </c>
      <c r="H88" s="309">
        <v>15900</v>
      </c>
      <c r="I88" s="309">
        <v>715500</v>
      </c>
      <c r="J88" s="211"/>
      <c r="K88" s="212" t="str">
        <f>IF(OR(J88="",G88=J88),"","*")</f>
        <v/>
      </c>
      <c r="L88" s="338" t="str">
        <f>IF($A88&lt;=L$1,I88/I$4,"")</f>
        <v/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/>
      <c r="AF88" s="341" t="s">
        <v>270</v>
      </c>
    </row>
    <row r="89" spans="1:32">
      <c r="A89" s="307">
        <v>5</v>
      </c>
      <c r="B89" s="342"/>
      <c r="C89" s="342" t="s">
        <v>100</v>
      </c>
      <c r="D89" s="340" t="s">
        <v>262</v>
      </c>
      <c r="E89" s="342" t="s">
        <v>263</v>
      </c>
      <c r="F89" s="345" t="s">
        <v>258</v>
      </c>
      <c r="G89" s="308">
        <v>0.34</v>
      </c>
      <c r="H89" s="309">
        <v>154500</v>
      </c>
      <c r="I89" s="309">
        <v>52530</v>
      </c>
      <c r="J89" s="211"/>
      <c r="K89" s="212" t="str">
        <f>IF(OR(J89="",G89=J89),"","*")</f>
        <v/>
      </c>
      <c r="L89" s="338" t="str">
        <f>IF($A89&lt;=L$1,I89/I$4,"")</f>
        <v/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/>
      <c r="AF89" s="341" t="s">
        <v>271</v>
      </c>
    </row>
    <row r="90" spans="1:32">
      <c r="A90" s="307">
        <v>5</v>
      </c>
      <c r="B90" s="342"/>
      <c r="C90" s="342" t="s">
        <v>103</v>
      </c>
      <c r="D90" s="340" t="s">
        <v>265</v>
      </c>
      <c r="E90" s="342" t="s">
        <v>266</v>
      </c>
      <c r="F90" s="345" t="s">
        <v>205</v>
      </c>
      <c r="G90" s="308">
        <v>1</v>
      </c>
      <c r="H90" s="309">
        <v>60000</v>
      </c>
      <c r="I90" s="309">
        <v>60000</v>
      </c>
      <c r="J90" s="211"/>
      <c r="K90" s="212" t="str">
        <f>IF(OR(J90="",G90=J90),"","*")</f>
        <v/>
      </c>
      <c r="L90" s="338" t="str">
        <f>IF($A90&lt;=L$1,I90/I$4,"")</f>
        <v/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/>
      <c r="AF90" s="341"/>
    </row>
    <row r="91" spans="1:32">
      <c r="A91" s="307">
        <v>4</v>
      </c>
      <c r="B91" s="342"/>
      <c r="C91" s="342" t="s">
        <v>197</v>
      </c>
      <c r="D91" s="340" t="s">
        <v>224</v>
      </c>
      <c r="E91" s="342"/>
      <c r="F91" s="345" t="s">
        <v>84</v>
      </c>
      <c r="G91" s="308">
        <v>1</v>
      </c>
      <c r="H91" s="309">
        <v>2647890</v>
      </c>
      <c r="I91" s="309">
        <v>2647890</v>
      </c>
      <c r="J91" s="211">
        <v>1</v>
      </c>
      <c r="K91" s="212" t="str">
        <f>IF(OR(J91="",G91=J91),"","*")</f>
        <v/>
      </c>
      <c r="L91" s="338" t="str">
        <f>IF($A91&lt;=L$1,I91/I$4,"")</f>
        <v/>
      </c>
      <c r="M91" s="343"/>
      <c r="N91" s="344" t="s">
        <v>272</v>
      </c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/>
    </row>
    <row r="92" spans="1:32">
      <c r="A92" s="307">
        <v>5</v>
      </c>
      <c r="B92" s="342"/>
      <c r="C92" s="342" t="s">
        <v>100</v>
      </c>
      <c r="D92" s="340" t="s">
        <v>250</v>
      </c>
      <c r="E92" s="342" t="s">
        <v>251</v>
      </c>
      <c r="F92" s="345" t="s">
        <v>252</v>
      </c>
      <c r="G92" s="308">
        <v>128</v>
      </c>
      <c r="H92" s="309">
        <v>500</v>
      </c>
      <c r="I92" s="309">
        <v>64000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/>
      <c r="AF92" s="341" t="s">
        <v>273</v>
      </c>
    </row>
    <row r="93" spans="1:32">
      <c r="A93" s="307">
        <v>5</v>
      </c>
      <c r="B93" s="342"/>
      <c r="C93" s="342" t="s">
        <v>104</v>
      </c>
      <c r="D93" s="340" t="s">
        <v>254</v>
      </c>
      <c r="E93" s="342" t="s">
        <v>255</v>
      </c>
      <c r="F93" s="345" t="s">
        <v>205</v>
      </c>
      <c r="G93" s="308">
        <v>9</v>
      </c>
      <c r="H93" s="309">
        <v>52000</v>
      </c>
      <c r="I93" s="309">
        <v>468000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/>
      <c r="AF93" s="341"/>
    </row>
    <row r="94" spans="1:32">
      <c r="A94" s="307">
        <v>5</v>
      </c>
      <c r="B94" s="342"/>
      <c r="C94" s="342" t="s">
        <v>100</v>
      </c>
      <c r="D94" s="340" t="s">
        <v>256</v>
      </c>
      <c r="E94" s="342" t="s">
        <v>257</v>
      </c>
      <c r="F94" s="345" t="s">
        <v>258</v>
      </c>
      <c r="G94" s="308">
        <v>76</v>
      </c>
      <c r="H94" s="309">
        <v>14900</v>
      </c>
      <c r="I94" s="309">
        <v>1132400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/>
      <c r="AF94" s="341" t="s">
        <v>274</v>
      </c>
    </row>
    <row r="95" spans="1:32">
      <c r="A95" s="307">
        <v>5</v>
      </c>
      <c r="B95" s="342"/>
      <c r="C95" s="342" t="s">
        <v>100</v>
      </c>
      <c r="D95" s="340" t="s">
        <v>260</v>
      </c>
      <c r="E95" s="342" t="s">
        <v>257</v>
      </c>
      <c r="F95" s="345" t="s">
        <v>258</v>
      </c>
      <c r="G95" s="308">
        <v>54</v>
      </c>
      <c r="H95" s="309">
        <v>15900</v>
      </c>
      <c r="I95" s="309">
        <v>858600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/>
      <c r="AF95" s="341" t="s">
        <v>275</v>
      </c>
    </row>
    <row r="96" spans="1:32">
      <c r="A96" s="307">
        <v>5</v>
      </c>
      <c r="B96" s="342"/>
      <c r="C96" s="342" t="s">
        <v>100</v>
      </c>
      <c r="D96" s="340" t="s">
        <v>262</v>
      </c>
      <c r="E96" s="342" t="s">
        <v>263</v>
      </c>
      <c r="F96" s="345" t="s">
        <v>258</v>
      </c>
      <c r="G96" s="308">
        <v>0.42</v>
      </c>
      <c r="H96" s="309">
        <v>154500</v>
      </c>
      <c r="I96" s="309">
        <v>64890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/>
      <c r="AF96" s="341" t="s">
        <v>276</v>
      </c>
    </row>
    <row r="97" spans="1:32">
      <c r="A97" s="307">
        <v>5</v>
      </c>
      <c r="B97" s="342"/>
      <c r="C97" s="342" t="s">
        <v>103</v>
      </c>
      <c r="D97" s="340" t="s">
        <v>265</v>
      </c>
      <c r="E97" s="342" t="s">
        <v>266</v>
      </c>
      <c r="F97" s="345" t="s">
        <v>205</v>
      </c>
      <c r="G97" s="308">
        <v>1</v>
      </c>
      <c r="H97" s="309">
        <v>60000</v>
      </c>
      <c r="I97" s="309">
        <v>60000</v>
      </c>
      <c r="J97" s="211"/>
      <c r="K97" s="212" t="str">
        <f>IF(OR(J97="",G97=J97),"","*")</f>
        <v/>
      </c>
      <c r="L97" s="338" t="str">
        <f>IF($A97&lt;=L$1,I97/I$4,"")</f>
        <v/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/>
    </row>
    <row r="98" spans="1:32">
      <c r="A98" s="217"/>
      <c r="B98" s="217"/>
      <c r="C98" s="312"/>
      <c r="D98" s="217"/>
      <c r="E98" s="217"/>
      <c r="F98" s="218"/>
      <c r="G98" s="217"/>
      <c r="H98" s="217"/>
      <c r="I98" s="217"/>
      <c r="J98" s="217"/>
      <c r="K98" s="218"/>
      <c r="L98" s="217"/>
      <c r="M98" s="217"/>
      <c r="N98" s="217"/>
      <c r="O98" s="217"/>
      <c r="P98" s="217"/>
      <c r="Q98" s="217"/>
      <c r="R98" s="217"/>
      <c r="S98" s="218"/>
      <c r="T98" s="217"/>
      <c r="U98" s="217"/>
      <c r="V98" s="217"/>
      <c r="W98" s="217"/>
      <c r="X98" s="217"/>
      <c r="Y98" s="217"/>
      <c r="Z98" s="217"/>
      <c r="AA98" s="218"/>
      <c r="AB98" s="217"/>
      <c r="AC98" s="217"/>
      <c r="AD98" s="217"/>
      <c r="AE98" s="217"/>
      <c r="AF98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97 AF4:AF97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97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31" t="s">
        <v>277</v>
      </c>
      <c r="C1" s="531"/>
      <c r="D1" s="531"/>
      <c r="E1" s="531"/>
      <c r="F1" s="531"/>
      <c r="G1" s="53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24" t="s">
        <v>278</v>
      </c>
      <c r="C3" s="592"/>
      <c r="D3" s="116" t="s">
        <v>142</v>
      </c>
      <c r="E3" s="532" t="s">
        <v>279</v>
      </c>
      <c r="F3" s="533"/>
      <c r="G3" s="117" t="s">
        <v>142</v>
      </c>
      <c r="H3" s="69"/>
    </row>
    <row r="4" spans="1:8" ht="27" customHeight="1">
      <c r="A4" s="69"/>
      <c r="B4" s="118"/>
      <c r="C4" s="119"/>
      <c r="D4" s="315"/>
      <c r="E4" s="120"/>
      <c r="F4" s="119" t="s">
        <v>57</v>
      </c>
      <c r="G4" s="316">
        <v>1400000</v>
      </c>
      <c r="H4" s="69"/>
    </row>
    <row r="5" spans="1:8" ht="27" customHeight="1">
      <c r="A5" s="69"/>
      <c r="B5" s="118"/>
      <c r="C5" s="119"/>
      <c r="D5" s="315"/>
      <c r="E5" s="120"/>
      <c r="F5" s="119"/>
      <c r="G5" s="316"/>
      <c r="H5" s="69"/>
    </row>
    <row r="6" spans="1:8" ht="27" customHeight="1">
      <c r="A6" s="69"/>
      <c r="B6" s="118"/>
      <c r="C6" s="119" t="s">
        <v>177</v>
      </c>
      <c r="D6" s="315"/>
      <c r="E6" s="120"/>
      <c r="F6" s="119" t="s">
        <v>177</v>
      </c>
      <c r="G6" s="316">
        <v>1400000</v>
      </c>
      <c r="H6" s="69"/>
    </row>
    <row r="7" spans="1:8" ht="27" customHeight="1">
      <c r="A7" s="69"/>
      <c r="B7" s="118"/>
      <c r="C7" s="119"/>
      <c r="D7" s="315"/>
      <c r="E7" s="120"/>
      <c r="F7" s="119"/>
      <c r="G7" s="316"/>
      <c r="H7" s="69"/>
    </row>
    <row r="8" spans="1:8" ht="27" customHeight="1">
      <c r="A8" s="69"/>
      <c r="B8" s="118"/>
      <c r="C8" s="119"/>
      <c r="D8" s="315"/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/>
      <c r="G9" s="316"/>
      <c r="H9" s="69"/>
    </row>
    <row r="10" spans="1:8" ht="27" customHeight="1">
      <c r="A10" s="69"/>
      <c r="B10" s="118"/>
      <c r="C10" s="119"/>
      <c r="D10" s="315"/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34" t="s">
        <v>280</v>
      </c>
      <c r="D1" s="534"/>
      <c r="E1" s="534"/>
      <c r="F1" s="534"/>
      <c r="G1" s="534"/>
      <c r="H1" s="534"/>
      <c r="I1" s="126"/>
      <c r="J1" s="126"/>
      <c r="K1" s="126"/>
      <c r="L1" s="126"/>
      <c r="M1" s="481"/>
      <c r="N1" s="481"/>
      <c r="O1" s="255"/>
    </row>
    <row r="2" spans="1:15" ht="18" customHeight="1">
      <c r="A2" s="69"/>
      <c r="B2" s="535" t="s">
        <v>281</v>
      </c>
      <c r="C2" s="536" t="s">
        <v>139</v>
      </c>
      <c r="D2" s="538" t="s">
        <v>282</v>
      </c>
      <c r="E2" s="536" t="s">
        <v>283</v>
      </c>
      <c r="F2" s="540" t="s">
        <v>284</v>
      </c>
      <c r="G2" s="542" t="s">
        <v>285</v>
      </c>
      <c r="H2" s="543"/>
      <c r="I2" s="543"/>
      <c r="J2" s="543"/>
      <c r="K2" s="543"/>
      <c r="L2" s="543"/>
      <c r="M2" s="543"/>
      <c r="N2" s="544"/>
      <c r="O2" s="69"/>
    </row>
    <row r="3" spans="1:15" ht="19.5" customHeight="1">
      <c r="A3" s="69"/>
      <c r="B3" s="593"/>
      <c r="C3" s="537"/>
      <c r="D3" s="539"/>
      <c r="E3" s="537"/>
      <c r="F3" s="541"/>
      <c r="G3" s="127" t="s">
        <v>100</v>
      </c>
      <c r="H3" s="128" t="s">
        <v>101</v>
      </c>
      <c r="I3" s="128" t="s">
        <v>102</v>
      </c>
      <c r="J3" s="128" t="s">
        <v>103</v>
      </c>
      <c r="K3" s="128" t="s">
        <v>104</v>
      </c>
      <c r="L3" s="128" t="s">
        <v>105</v>
      </c>
      <c r="M3" s="128" t="s">
        <v>106</v>
      </c>
      <c r="N3" s="129" t="s">
        <v>54</v>
      </c>
      <c r="O3" s="69"/>
    </row>
    <row r="4" spans="1:15" ht="30" customHeight="1">
      <c r="A4" s="69"/>
      <c r="B4" s="130"/>
      <c r="C4" s="131" t="s">
        <v>84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/>
      <c r="C5" s="131"/>
      <c r="D5" s="326"/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177</v>
      </c>
      <c r="C6" s="131"/>
      <c r="D6" s="326"/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/>
      <c r="C7" s="131"/>
      <c r="D7" s="326"/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/>
      <c r="C8" s="131"/>
      <c r="D8" s="326"/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7"/>
  <sheetViews>
    <sheetView zoomScaleNormal="100" zoomScaleSheetLayoutView="85" workbookViewId="0">
      <pane xSplit="4" ySplit="4" topLeftCell="E5" activePane="bottomRight" state="frozen"/>
      <selection pane="bottomRight"/>
      <selection pane="bottomLeft"/>
      <selection pane="top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伊勢自動車道津管内舗装補修工事（2023年度）</v>
      </c>
      <c r="G1" s="306"/>
      <c r="H1" s="190" t="s">
        <v>169</v>
      </c>
      <c r="I1" s="333">
        <v>15600000</v>
      </c>
      <c r="J1" s="339">
        <f>I4/I$1</f>
        <v>0.8666934615384615</v>
      </c>
      <c r="K1" s="193"/>
      <c r="L1" s="194">
        <v>3</v>
      </c>
      <c r="M1" s="195"/>
      <c r="N1" s="195"/>
      <c r="O1" s="306"/>
      <c r="P1" s="190" t="s">
        <v>108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108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179</v>
      </c>
      <c r="B2" s="198" t="s">
        <v>286</v>
      </c>
      <c r="C2" s="200" t="s">
        <v>181</v>
      </c>
      <c r="D2" s="200" t="s">
        <v>182</v>
      </c>
      <c r="E2" s="200" t="s">
        <v>183</v>
      </c>
      <c r="F2" s="200" t="s">
        <v>139</v>
      </c>
      <c r="G2" s="526" t="s">
        <v>184</v>
      </c>
      <c r="H2" s="527"/>
      <c r="I2" s="527"/>
      <c r="J2" s="527"/>
      <c r="K2" s="527"/>
      <c r="L2" s="527"/>
      <c r="M2" s="527"/>
      <c r="N2" s="528"/>
      <c r="O2" s="526" t="s">
        <v>185</v>
      </c>
      <c r="P2" s="527"/>
      <c r="Q2" s="527"/>
      <c r="R2" s="527"/>
      <c r="S2" s="527"/>
      <c r="T2" s="527"/>
      <c r="U2" s="527"/>
      <c r="V2" s="528"/>
      <c r="W2" s="526" t="s">
        <v>186</v>
      </c>
      <c r="X2" s="527"/>
      <c r="Y2" s="527"/>
      <c r="Z2" s="527"/>
      <c r="AA2" s="527"/>
      <c r="AB2" s="527"/>
      <c r="AC2" s="527"/>
      <c r="AD2" s="528"/>
      <c r="AE2" s="199" t="s">
        <v>187</v>
      </c>
      <c r="AF2" s="529" t="s">
        <v>144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140</v>
      </c>
      <c r="H3" s="205" t="s">
        <v>141</v>
      </c>
      <c r="I3" s="205" t="s">
        <v>142</v>
      </c>
      <c r="J3" s="206" t="s">
        <v>188</v>
      </c>
      <c r="K3" s="207"/>
      <c r="L3" s="208" t="s">
        <v>189</v>
      </c>
      <c r="M3" s="208" t="s">
        <v>190</v>
      </c>
      <c r="N3" s="209" t="s">
        <v>143</v>
      </c>
      <c r="O3" s="204" t="s">
        <v>140</v>
      </c>
      <c r="P3" s="205" t="s">
        <v>141</v>
      </c>
      <c r="Q3" s="205" t="s">
        <v>142</v>
      </c>
      <c r="R3" s="206" t="s">
        <v>188</v>
      </c>
      <c r="S3" s="210"/>
      <c r="T3" s="208" t="s">
        <v>189</v>
      </c>
      <c r="U3" s="208" t="s">
        <v>190</v>
      </c>
      <c r="V3" s="209" t="s">
        <v>143</v>
      </c>
      <c r="W3" s="204" t="s">
        <v>140</v>
      </c>
      <c r="X3" s="205" t="s">
        <v>141</v>
      </c>
      <c r="Y3" s="205" t="s">
        <v>142</v>
      </c>
      <c r="Z3" s="206" t="s">
        <v>188</v>
      </c>
      <c r="AA3" s="207"/>
      <c r="AB3" s="208" t="s">
        <v>189</v>
      </c>
      <c r="AC3" s="208" t="s">
        <v>190</v>
      </c>
      <c r="AD3" s="209" t="s">
        <v>143</v>
      </c>
      <c r="AE3" s="202"/>
      <c r="AF3" s="530"/>
    </row>
    <row r="4" spans="1:32">
      <c r="A4" s="307">
        <v>0</v>
      </c>
      <c r="B4" s="342"/>
      <c r="C4" s="342" t="s">
        <v>191</v>
      </c>
      <c r="D4" s="340" t="s">
        <v>91</v>
      </c>
      <c r="E4" s="342"/>
      <c r="F4" s="345" t="s">
        <v>84</v>
      </c>
      <c r="G4" s="308">
        <v>1</v>
      </c>
      <c r="H4" s="309">
        <v>13520418</v>
      </c>
      <c r="I4" s="309">
        <v>13520418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287</v>
      </c>
      <c r="T4" s="343" t="e">
        <v>#DIV/0!</v>
      </c>
      <c r="U4" s="343" t="s">
        <v>287</v>
      </c>
      <c r="V4" s="344" t="s">
        <v>287</v>
      </c>
      <c r="W4" s="346">
        <v>0</v>
      </c>
      <c r="X4" s="347">
        <v>0</v>
      </c>
      <c r="Y4" s="347">
        <v>0</v>
      </c>
      <c r="Z4" s="348">
        <v>0</v>
      </c>
      <c r="AA4" s="349" t="s">
        <v>287</v>
      </c>
      <c r="AB4" s="343" t="e">
        <v>#DIV/0!</v>
      </c>
      <c r="AC4" s="343" t="s">
        <v>287</v>
      </c>
      <c r="AD4" s="344" t="s">
        <v>287</v>
      </c>
      <c r="AE4" s="342"/>
      <c r="AF4" s="341" t="s">
        <v>287</v>
      </c>
    </row>
    <row r="5" spans="1:32">
      <c r="A5" s="307">
        <v>1</v>
      </c>
      <c r="B5" s="342"/>
      <c r="C5" s="342" t="s">
        <v>192</v>
      </c>
      <c r="D5" s="340" t="s">
        <v>288</v>
      </c>
      <c r="E5" s="342"/>
      <c r="F5" s="345" t="s">
        <v>84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287</v>
      </c>
      <c r="T5" s="343" t="e">
        <v>#DIV/0!</v>
      </c>
      <c r="U5" s="343" t="s">
        <v>287</v>
      </c>
      <c r="V5" s="344" t="s">
        <v>287</v>
      </c>
      <c r="W5" s="346">
        <v>0</v>
      </c>
      <c r="X5" s="347">
        <v>0</v>
      </c>
      <c r="Y5" s="347">
        <v>0</v>
      </c>
      <c r="Z5" s="348">
        <v>0</v>
      </c>
      <c r="AA5" s="349" t="s">
        <v>287</v>
      </c>
      <c r="AB5" s="343" t="e">
        <v>#DIV/0!</v>
      </c>
      <c r="AC5" s="343" t="s">
        <v>287</v>
      </c>
      <c r="AD5" s="344" t="s">
        <v>287</v>
      </c>
      <c r="AE5" s="342"/>
      <c r="AF5" s="341" t="s">
        <v>287</v>
      </c>
    </row>
    <row r="6" spans="1:32">
      <c r="A6" s="307">
        <v>2</v>
      </c>
      <c r="B6" s="342"/>
      <c r="C6" s="342" t="s">
        <v>197</v>
      </c>
      <c r="D6" s="340" t="s">
        <v>289</v>
      </c>
      <c r="E6" s="342"/>
      <c r="F6" s="345" t="s">
        <v>84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290</v>
      </c>
      <c r="O6" s="346">
        <v>0</v>
      </c>
      <c r="P6" s="347">
        <v>0</v>
      </c>
      <c r="Q6" s="347">
        <v>0</v>
      </c>
      <c r="R6" s="348">
        <v>0</v>
      </c>
      <c r="S6" s="349" t="s">
        <v>287</v>
      </c>
      <c r="T6" s="343" t="e">
        <v>#DIV/0!</v>
      </c>
      <c r="U6" s="343" t="s">
        <v>287</v>
      </c>
      <c r="V6" s="344" t="s">
        <v>287</v>
      </c>
      <c r="W6" s="346">
        <v>0</v>
      </c>
      <c r="X6" s="347">
        <v>0</v>
      </c>
      <c r="Y6" s="347">
        <v>0</v>
      </c>
      <c r="Z6" s="348">
        <v>0</v>
      </c>
      <c r="AA6" s="349" t="s">
        <v>287</v>
      </c>
      <c r="AB6" s="343" t="e">
        <v>#DIV/0!</v>
      </c>
      <c r="AC6" s="343" t="s">
        <v>287</v>
      </c>
      <c r="AD6" s="344" t="s">
        <v>287</v>
      </c>
      <c r="AE6" s="342"/>
      <c r="AF6" s="341" t="s">
        <v>287</v>
      </c>
    </row>
    <row r="7" spans="1:32">
      <c r="A7" s="217"/>
      <c r="B7" s="217"/>
      <c r="C7" s="312"/>
      <c r="D7" s="217"/>
      <c r="E7" s="217"/>
      <c r="F7" s="218"/>
      <c r="G7" s="217"/>
      <c r="H7" s="217"/>
      <c r="I7" s="217"/>
      <c r="J7" s="217"/>
      <c r="K7" s="218"/>
      <c r="L7" s="217"/>
      <c r="M7" s="217"/>
      <c r="N7" s="217"/>
      <c r="O7" s="217"/>
      <c r="P7" s="217"/>
      <c r="Q7" s="217"/>
      <c r="R7" s="217"/>
      <c r="S7" s="218"/>
      <c r="T7" s="217"/>
      <c r="U7" s="217"/>
      <c r="V7" s="217"/>
      <c r="W7" s="217"/>
      <c r="X7" s="217"/>
      <c r="Y7" s="217"/>
      <c r="Z7" s="217"/>
      <c r="AA7" s="218"/>
      <c r="AB7" s="217"/>
      <c r="AC7" s="217"/>
      <c r="AD7" s="217"/>
      <c r="AE7" s="217"/>
      <c r="AF7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6 AF4:AF6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6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34" t="s">
        <v>291</v>
      </c>
      <c r="D1" s="534"/>
      <c r="E1" s="534"/>
      <c r="F1" s="534"/>
      <c r="G1" s="136"/>
      <c r="H1" s="368"/>
      <c r="I1" s="234"/>
    </row>
    <row r="2" spans="1:9" ht="19.5" customHeight="1">
      <c r="A2" s="69"/>
      <c r="B2" s="238" t="s">
        <v>292</v>
      </c>
      <c r="C2" s="240" t="s">
        <v>183</v>
      </c>
      <c r="D2" s="240" t="s">
        <v>293</v>
      </c>
      <c r="E2" s="239" t="s">
        <v>294</v>
      </c>
      <c r="F2" s="239" t="s">
        <v>283</v>
      </c>
      <c r="G2" s="241" t="s">
        <v>284</v>
      </c>
      <c r="H2" s="137" t="s">
        <v>295</v>
      </c>
      <c r="I2" s="69"/>
    </row>
    <row r="3" spans="1:9" ht="15.75" customHeight="1">
      <c r="A3" s="69"/>
      <c r="B3" s="547" t="s">
        <v>57</v>
      </c>
      <c r="C3" s="549"/>
      <c r="D3" s="551" t="s">
        <v>84</v>
      </c>
      <c r="E3" s="553">
        <v>1</v>
      </c>
      <c r="F3" s="511">
        <v>1400000</v>
      </c>
      <c r="G3" s="545">
        <v>1400000</v>
      </c>
      <c r="H3" s="138" t="s">
        <v>296</v>
      </c>
      <c r="I3" s="69"/>
    </row>
    <row r="4" spans="1:9" ht="15.75" customHeight="1">
      <c r="A4" s="69"/>
      <c r="B4" s="557"/>
      <c r="C4" s="558"/>
      <c r="D4" s="559"/>
      <c r="E4" s="560"/>
      <c r="F4" s="561"/>
      <c r="G4" s="546"/>
      <c r="H4" s="139" t="s">
        <v>153</v>
      </c>
      <c r="I4" s="69"/>
    </row>
    <row r="5" spans="1:9" ht="15.75" customHeight="1">
      <c r="A5" s="69"/>
      <c r="B5" s="547"/>
      <c r="C5" s="549"/>
      <c r="D5" s="551"/>
      <c r="E5" s="553"/>
      <c r="F5" s="511"/>
      <c r="G5" s="545"/>
      <c r="H5" s="138"/>
      <c r="I5" s="69"/>
    </row>
    <row r="6" spans="1:9" ht="15.75" customHeight="1">
      <c r="A6" s="69"/>
      <c r="B6" s="557"/>
      <c r="C6" s="558"/>
      <c r="D6" s="559"/>
      <c r="E6" s="560"/>
      <c r="F6" s="561"/>
      <c r="G6" s="546"/>
      <c r="H6" s="139"/>
      <c r="I6" s="69"/>
    </row>
    <row r="7" spans="1:9" ht="15.75" customHeight="1">
      <c r="A7" s="69"/>
      <c r="B7" s="547" t="s">
        <v>177</v>
      </c>
      <c r="C7" s="549"/>
      <c r="D7" s="551"/>
      <c r="E7" s="553"/>
      <c r="F7" s="511"/>
      <c r="G7" s="545">
        <v>1400000</v>
      </c>
      <c r="H7" s="138"/>
      <c r="I7" s="69"/>
    </row>
    <row r="8" spans="1:9" ht="15.75" customHeight="1">
      <c r="A8" s="69"/>
      <c r="B8" s="557"/>
      <c r="C8" s="558"/>
      <c r="D8" s="559"/>
      <c r="E8" s="560"/>
      <c r="F8" s="561"/>
      <c r="G8" s="546"/>
      <c r="H8" s="139"/>
      <c r="I8" s="69"/>
    </row>
    <row r="9" spans="1:9" ht="15.75" customHeight="1">
      <c r="A9" s="69"/>
      <c r="B9" s="547"/>
      <c r="C9" s="549"/>
      <c r="D9" s="551"/>
      <c r="E9" s="553"/>
      <c r="F9" s="511"/>
      <c r="G9" s="545"/>
      <c r="H9" s="138"/>
      <c r="I9" s="69"/>
    </row>
    <row r="10" spans="1:9" ht="15.75" customHeight="1">
      <c r="A10" s="69"/>
      <c r="B10" s="557"/>
      <c r="C10" s="558"/>
      <c r="D10" s="559"/>
      <c r="E10" s="560"/>
      <c r="F10" s="561"/>
      <c r="G10" s="546"/>
      <c r="H10" s="139"/>
      <c r="I10" s="69"/>
    </row>
    <row r="11" spans="1:9" ht="15.75" customHeight="1">
      <c r="A11" s="69"/>
      <c r="B11" s="547"/>
      <c r="C11" s="549"/>
      <c r="D11" s="551"/>
      <c r="E11" s="553"/>
      <c r="F11" s="511"/>
      <c r="G11" s="545"/>
      <c r="H11" s="138"/>
      <c r="I11" s="69"/>
    </row>
    <row r="12" spans="1:9" ht="15.75" customHeight="1">
      <c r="A12" s="69"/>
      <c r="B12" s="557"/>
      <c r="C12" s="558"/>
      <c r="D12" s="559"/>
      <c r="E12" s="560"/>
      <c r="F12" s="561"/>
      <c r="G12" s="546"/>
      <c r="H12" s="139"/>
      <c r="I12" s="69"/>
    </row>
    <row r="13" spans="1:9" ht="15.75" customHeight="1">
      <c r="A13" s="69"/>
      <c r="B13" s="547"/>
      <c r="C13" s="549"/>
      <c r="D13" s="551"/>
      <c r="E13" s="553"/>
      <c r="F13" s="511"/>
      <c r="G13" s="545"/>
      <c r="H13" s="138"/>
      <c r="I13" s="69"/>
    </row>
    <row r="14" spans="1:9" ht="15.75" customHeight="1">
      <c r="A14" s="69"/>
      <c r="B14" s="557"/>
      <c r="C14" s="558"/>
      <c r="D14" s="559"/>
      <c r="E14" s="560"/>
      <c r="F14" s="561"/>
      <c r="G14" s="546"/>
      <c r="H14" s="139"/>
      <c r="I14" s="69"/>
    </row>
    <row r="15" spans="1:9" ht="15.75" customHeight="1">
      <c r="A15" s="69"/>
      <c r="B15" s="547"/>
      <c r="C15" s="549"/>
      <c r="D15" s="551"/>
      <c r="E15" s="553"/>
      <c r="F15" s="511"/>
      <c r="G15" s="545"/>
      <c r="H15" s="138"/>
      <c r="I15" s="69"/>
    </row>
    <row r="16" spans="1:9" ht="15.75" customHeight="1">
      <c r="A16" s="69"/>
      <c r="B16" s="557"/>
      <c r="C16" s="558"/>
      <c r="D16" s="559"/>
      <c r="E16" s="560"/>
      <c r="F16" s="561"/>
      <c r="G16" s="546"/>
      <c r="H16" s="139"/>
      <c r="I16" s="69"/>
    </row>
    <row r="17" spans="1:9" ht="15.75" customHeight="1">
      <c r="A17" s="69"/>
      <c r="B17" s="547"/>
      <c r="C17" s="549"/>
      <c r="D17" s="551"/>
      <c r="E17" s="553"/>
      <c r="F17" s="511"/>
      <c r="G17" s="545"/>
      <c r="H17" s="138"/>
      <c r="I17" s="69"/>
    </row>
    <row r="18" spans="1:9" ht="15.75" customHeight="1">
      <c r="A18" s="69"/>
      <c r="B18" s="557"/>
      <c r="C18" s="558"/>
      <c r="D18" s="559"/>
      <c r="E18" s="560"/>
      <c r="F18" s="561"/>
      <c r="G18" s="546"/>
      <c r="H18" s="139"/>
      <c r="I18" s="69"/>
    </row>
    <row r="19" spans="1:9" ht="15.75" customHeight="1">
      <c r="A19" s="69"/>
      <c r="B19" s="547"/>
      <c r="C19" s="549"/>
      <c r="D19" s="551"/>
      <c r="E19" s="553"/>
      <c r="F19" s="511"/>
      <c r="G19" s="545"/>
      <c r="H19" s="138"/>
      <c r="I19" s="69"/>
    </row>
    <row r="20" spans="1:9" ht="15.75" customHeight="1">
      <c r="A20" s="69"/>
      <c r="B20" s="557"/>
      <c r="C20" s="558"/>
      <c r="D20" s="559"/>
      <c r="E20" s="560"/>
      <c r="F20" s="561"/>
      <c r="G20" s="546"/>
      <c r="H20" s="139"/>
      <c r="I20" s="69"/>
    </row>
    <row r="21" spans="1:9" ht="15.75" customHeight="1">
      <c r="A21" s="69"/>
      <c r="B21" s="547"/>
      <c r="C21" s="549"/>
      <c r="D21" s="551"/>
      <c r="E21" s="553"/>
      <c r="F21" s="511"/>
      <c r="G21" s="545"/>
      <c r="H21" s="138"/>
      <c r="I21" s="69"/>
    </row>
    <row r="22" spans="1:9" ht="15.75" customHeight="1">
      <c r="A22" s="69"/>
      <c r="B22" s="557"/>
      <c r="C22" s="558"/>
      <c r="D22" s="559"/>
      <c r="E22" s="560"/>
      <c r="F22" s="561"/>
      <c r="G22" s="546"/>
      <c r="H22" s="139"/>
      <c r="I22" s="69"/>
    </row>
    <row r="23" spans="1:9" ht="15.75" customHeight="1">
      <c r="A23" s="69"/>
      <c r="B23" s="547"/>
      <c r="C23" s="549"/>
      <c r="D23" s="551"/>
      <c r="E23" s="553"/>
      <c r="F23" s="511"/>
      <c r="G23" s="545"/>
      <c r="H23" s="138"/>
      <c r="I23" s="69"/>
    </row>
    <row r="24" spans="1:9" ht="15.75" customHeight="1">
      <c r="A24" s="69"/>
      <c r="B24" s="557"/>
      <c r="C24" s="558"/>
      <c r="D24" s="559"/>
      <c r="E24" s="560"/>
      <c r="F24" s="561"/>
      <c r="G24" s="546"/>
      <c r="H24" s="139"/>
      <c r="I24" s="69"/>
    </row>
    <row r="25" spans="1:9" ht="15.75" customHeight="1">
      <c r="A25" s="69"/>
      <c r="B25" s="547"/>
      <c r="C25" s="549"/>
      <c r="D25" s="551"/>
      <c r="E25" s="553"/>
      <c r="F25" s="511"/>
      <c r="G25" s="545"/>
      <c r="H25" s="138"/>
      <c r="I25" s="69"/>
    </row>
    <row r="26" spans="1:9" ht="15.75" customHeight="1">
      <c r="A26" s="69"/>
      <c r="B26" s="557"/>
      <c r="C26" s="558"/>
      <c r="D26" s="559"/>
      <c r="E26" s="560"/>
      <c r="F26" s="561"/>
      <c r="G26" s="546"/>
      <c r="H26" s="139"/>
      <c r="I26" s="69"/>
    </row>
    <row r="27" spans="1:9" ht="15.75" customHeight="1">
      <c r="A27" s="69"/>
      <c r="B27" s="547"/>
      <c r="C27" s="549"/>
      <c r="D27" s="551"/>
      <c r="E27" s="553"/>
      <c r="F27" s="511"/>
      <c r="G27" s="545"/>
      <c r="H27" s="138"/>
      <c r="I27" s="69"/>
    </row>
    <row r="28" spans="1:9" ht="15.75" customHeight="1">
      <c r="A28" s="69"/>
      <c r="B28" s="557"/>
      <c r="C28" s="558"/>
      <c r="D28" s="559"/>
      <c r="E28" s="560"/>
      <c r="F28" s="561"/>
      <c r="G28" s="546"/>
      <c r="H28" s="139"/>
      <c r="I28" s="69"/>
    </row>
    <row r="29" spans="1:9" ht="15.75" customHeight="1">
      <c r="A29" s="69"/>
      <c r="B29" s="547"/>
      <c r="C29" s="549"/>
      <c r="D29" s="551"/>
      <c r="E29" s="553"/>
      <c r="F29" s="511"/>
      <c r="G29" s="545"/>
      <c r="H29" s="138"/>
      <c r="I29" s="69"/>
    </row>
    <row r="30" spans="1:9" ht="15.75" customHeight="1" thickBot="1">
      <c r="A30" s="69"/>
      <c r="B30" s="548"/>
      <c r="C30" s="550"/>
      <c r="D30" s="552"/>
      <c r="E30" s="554"/>
      <c r="F30" s="555"/>
      <c r="G30" s="556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C1:F1"/>
    <mergeCell ref="B3:B4"/>
    <mergeCell ref="C3:C4"/>
    <mergeCell ref="D3:D4"/>
    <mergeCell ref="E3:E4"/>
    <mergeCell ref="F3:F4"/>
    <mergeCell ref="G3:G4"/>
    <mergeCell ref="B5:B6"/>
    <mergeCell ref="C5:C6"/>
    <mergeCell ref="D5:D6"/>
    <mergeCell ref="E5:E6"/>
    <mergeCell ref="F5:F6"/>
    <mergeCell ref="G5:G6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0"/>
  <sheetViews>
    <sheetView zoomScaleNormal="100" workbookViewId="0">
      <pane xSplit="4" ySplit="4" topLeftCell="E5" activePane="bottomRight" state="frozen"/>
      <selection pane="bottomRight"/>
      <selection pane="bottomLeft"/>
      <selection pane="top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伊勢自動車道津管内舗装補修工事（2023年度）</v>
      </c>
      <c r="G1" s="306"/>
      <c r="H1" s="190" t="s">
        <v>169</v>
      </c>
      <c r="I1" s="333">
        <v>15600000</v>
      </c>
      <c r="J1" s="339">
        <f>I4/I$1</f>
        <v>0.8666934615384615</v>
      </c>
      <c r="K1" s="193"/>
      <c r="L1" s="194">
        <v>3</v>
      </c>
      <c r="M1" s="195"/>
      <c r="N1" s="195"/>
      <c r="O1" s="306"/>
      <c r="P1" s="190" t="s">
        <v>108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108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179</v>
      </c>
      <c r="B2" s="198" t="s">
        <v>297</v>
      </c>
      <c r="C2" s="200" t="s">
        <v>181</v>
      </c>
      <c r="D2" s="200" t="s">
        <v>182</v>
      </c>
      <c r="E2" s="200" t="s">
        <v>183</v>
      </c>
      <c r="F2" s="200" t="s">
        <v>139</v>
      </c>
      <c r="G2" s="526" t="s">
        <v>184</v>
      </c>
      <c r="H2" s="527"/>
      <c r="I2" s="527"/>
      <c r="J2" s="527"/>
      <c r="K2" s="527"/>
      <c r="L2" s="527"/>
      <c r="M2" s="527"/>
      <c r="N2" s="528"/>
      <c r="O2" s="526" t="s">
        <v>185</v>
      </c>
      <c r="P2" s="527"/>
      <c r="Q2" s="527"/>
      <c r="R2" s="527"/>
      <c r="S2" s="527"/>
      <c r="T2" s="527"/>
      <c r="U2" s="527"/>
      <c r="V2" s="528"/>
      <c r="W2" s="526" t="s">
        <v>186</v>
      </c>
      <c r="X2" s="527"/>
      <c r="Y2" s="527"/>
      <c r="Z2" s="527"/>
      <c r="AA2" s="527"/>
      <c r="AB2" s="527"/>
      <c r="AC2" s="527"/>
      <c r="AD2" s="528"/>
      <c r="AE2" s="199" t="s">
        <v>187</v>
      </c>
      <c r="AF2" s="529" t="s">
        <v>144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140</v>
      </c>
      <c r="H3" s="205" t="s">
        <v>141</v>
      </c>
      <c r="I3" s="205" t="s">
        <v>142</v>
      </c>
      <c r="J3" s="206" t="s">
        <v>188</v>
      </c>
      <c r="K3" s="207"/>
      <c r="L3" s="208" t="s">
        <v>189</v>
      </c>
      <c r="M3" s="208" t="s">
        <v>190</v>
      </c>
      <c r="N3" s="209" t="s">
        <v>143</v>
      </c>
      <c r="O3" s="204" t="s">
        <v>140</v>
      </c>
      <c r="P3" s="205" t="s">
        <v>141</v>
      </c>
      <c r="Q3" s="205" t="s">
        <v>142</v>
      </c>
      <c r="R3" s="206" t="s">
        <v>188</v>
      </c>
      <c r="S3" s="210"/>
      <c r="T3" s="208" t="s">
        <v>189</v>
      </c>
      <c r="U3" s="208" t="s">
        <v>190</v>
      </c>
      <c r="V3" s="209" t="s">
        <v>143</v>
      </c>
      <c r="W3" s="204" t="s">
        <v>140</v>
      </c>
      <c r="X3" s="205" t="s">
        <v>141</v>
      </c>
      <c r="Y3" s="205" t="s">
        <v>142</v>
      </c>
      <c r="Z3" s="206" t="s">
        <v>188</v>
      </c>
      <c r="AA3" s="207"/>
      <c r="AB3" s="208" t="s">
        <v>189</v>
      </c>
      <c r="AC3" s="208" t="s">
        <v>190</v>
      </c>
      <c r="AD3" s="209" t="s">
        <v>143</v>
      </c>
      <c r="AE3" s="202"/>
      <c r="AF3" s="530"/>
    </row>
    <row r="4" spans="1:32">
      <c r="A4" s="307">
        <v>0</v>
      </c>
      <c r="B4" s="342"/>
      <c r="C4" s="342" t="s">
        <v>191</v>
      </c>
      <c r="D4" s="340" t="s">
        <v>91</v>
      </c>
      <c r="E4" s="342"/>
      <c r="F4" s="345" t="s">
        <v>84</v>
      </c>
      <c r="G4" s="308">
        <v>1</v>
      </c>
      <c r="H4" s="309">
        <v>13520418</v>
      </c>
      <c r="I4" s="309">
        <v>13520418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287</v>
      </c>
      <c r="T4" s="343" t="e">
        <v>#DIV/0!</v>
      </c>
      <c r="U4" s="343" t="s">
        <v>287</v>
      </c>
      <c r="V4" s="344" t="s">
        <v>287</v>
      </c>
      <c r="W4" s="346">
        <v>0</v>
      </c>
      <c r="X4" s="347">
        <v>0</v>
      </c>
      <c r="Y4" s="347">
        <v>0</v>
      </c>
      <c r="Z4" s="348">
        <v>0</v>
      </c>
      <c r="AA4" s="349" t="s">
        <v>287</v>
      </c>
      <c r="AB4" s="343" t="e">
        <v>#DIV/0!</v>
      </c>
      <c r="AC4" s="343" t="s">
        <v>287</v>
      </c>
      <c r="AD4" s="344" t="s">
        <v>287</v>
      </c>
      <c r="AE4" s="342"/>
      <c r="AF4" s="341" t="s">
        <v>287</v>
      </c>
    </row>
    <row r="5" spans="1:32">
      <c r="A5" s="307">
        <v>1</v>
      </c>
      <c r="B5" s="342"/>
      <c r="C5" s="342" t="s">
        <v>192</v>
      </c>
      <c r="D5" s="340" t="s">
        <v>298</v>
      </c>
      <c r="E5" s="342"/>
      <c r="F5" s="345" t="s">
        <v>84</v>
      </c>
      <c r="G5" s="308">
        <v>1</v>
      </c>
      <c r="H5" s="309">
        <v>1400000</v>
      </c>
      <c r="I5" s="309">
        <v>1400000</v>
      </c>
      <c r="J5" s="211"/>
      <c r="K5" s="212" t="str">
        <f>IF(OR(J5="",G5=J5),"","*")</f>
        <v/>
      </c>
      <c r="L5" s="338">
        <f>IF($A5&lt;=L$1,I5/I$4,"")</f>
        <v>0.10354709447592522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287</v>
      </c>
      <c r="T5" s="343" t="e">
        <v>#DIV/0!</v>
      </c>
      <c r="U5" s="343" t="s">
        <v>287</v>
      </c>
      <c r="V5" s="344" t="s">
        <v>287</v>
      </c>
      <c r="W5" s="346">
        <v>0</v>
      </c>
      <c r="X5" s="347">
        <v>0</v>
      </c>
      <c r="Y5" s="347">
        <v>0</v>
      </c>
      <c r="Z5" s="348">
        <v>0</v>
      </c>
      <c r="AA5" s="349" t="s">
        <v>287</v>
      </c>
      <c r="AB5" s="343" t="e">
        <v>#DIV/0!</v>
      </c>
      <c r="AC5" s="343" t="s">
        <v>287</v>
      </c>
      <c r="AD5" s="344" t="s">
        <v>287</v>
      </c>
      <c r="AE5" s="342"/>
      <c r="AF5" s="341" t="s">
        <v>287</v>
      </c>
    </row>
    <row r="6" spans="1:32">
      <c r="A6" s="307">
        <v>2</v>
      </c>
      <c r="B6" s="342"/>
      <c r="C6" s="342" t="s">
        <v>197</v>
      </c>
      <c r="D6" s="340" t="s">
        <v>299</v>
      </c>
      <c r="E6" s="342"/>
      <c r="F6" s="345" t="s">
        <v>84</v>
      </c>
      <c r="G6" s="308">
        <v>1</v>
      </c>
      <c r="H6" s="309">
        <v>1400000</v>
      </c>
      <c r="I6" s="309">
        <v>1400000</v>
      </c>
      <c r="J6" s="211">
        <v>1</v>
      </c>
      <c r="K6" s="212" t="str">
        <f>IF(OR(J6="",G6=J6),"","*")</f>
        <v/>
      </c>
      <c r="L6" s="338">
        <f>IF($A6&lt;=L$1,I6/I$4,"")</f>
        <v>0.10354709447592522</v>
      </c>
      <c r="M6" s="343"/>
      <c r="N6" s="344" t="s">
        <v>300</v>
      </c>
      <c r="O6" s="346">
        <v>0</v>
      </c>
      <c r="P6" s="347">
        <v>0</v>
      </c>
      <c r="Q6" s="347">
        <v>0</v>
      </c>
      <c r="R6" s="348">
        <v>0</v>
      </c>
      <c r="S6" s="349" t="s">
        <v>287</v>
      </c>
      <c r="T6" s="343" t="e">
        <v>#DIV/0!</v>
      </c>
      <c r="U6" s="343" t="s">
        <v>287</v>
      </c>
      <c r="V6" s="344" t="s">
        <v>287</v>
      </c>
      <c r="W6" s="346">
        <v>0</v>
      </c>
      <c r="X6" s="347">
        <v>0</v>
      </c>
      <c r="Y6" s="347">
        <v>0</v>
      </c>
      <c r="Z6" s="348">
        <v>0</v>
      </c>
      <c r="AA6" s="349" t="s">
        <v>287</v>
      </c>
      <c r="AB6" s="343" t="e">
        <v>#DIV/0!</v>
      </c>
      <c r="AC6" s="343" t="s">
        <v>287</v>
      </c>
      <c r="AD6" s="344" t="s">
        <v>287</v>
      </c>
      <c r="AE6" s="342"/>
      <c r="AF6" s="341" t="s">
        <v>287</v>
      </c>
    </row>
    <row r="7" spans="1:32">
      <c r="A7" s="307">
        <v>3</v>
      </c>
      <c r="B7" s="342"/>
      <c r="C7" s="342" t="s">
        <v>192</v>
      </c>
      <c r="D7" s="340" t="s">
        <v>301</v>
      </c>
      <c r="E7" s="342"/>
      <c r="F7" s="345" t="s">
        <v>84</v>
      </c>
      <c r="G7" s="308">
        <v>1</v>
      </c>
      <c r="H7" s="309">
        <v>1400000</v>
      </c>
      <c r="I7" s="309">
        <v>1400000</v>
      </c>
      <c r="J7" s="211"/>
      <c r="K7" s="212" t="str">
        <f>IF(OR(J7="",G7=J7),"","*")</f>
        <v/>
      </c>
      <c r="L7" s="338">
        <f>IF($A7&lt;=L$1,I7/I$4,"")</f>
        <v>0.10354709447592522</v>
      </c>
      <c r="M7" s="343"/>
      <c r="N7" s="344" t="s">
        <v>149</v>
      </c>
      <c r="O7" s="346">
        <v>0</v>
      </c>
      <c r="P7" s="347">
        <v>0</v>
      </c>
      <c r="Q7" s="347">
        <v>0</v>
      </c>
      <c r="R7" s="348">
        <v>0</v>
      </c>
      <c r="S7" s="349" t="s">
        <v>287</v>
      </c>
      <c r="T7" s="343" t="e">
        <v>#DIV/0!</v>
      </c>
      <c r="U7" s="343" t="s">
        <v>287</v>
      </c>
      <c r="V7" s="344" t="s">
        <v>287</v>
      </c>
      <c r="W7" s="346">
        <v>0</v>
      </c>
      <c r="X7" s="347">
        <v>0</v>
      </c>
      <c r="Y7" s="347">
        <v>0</v>
      </c>
      <c r="Z7" s="348">
        <v>0</v>
      </c>
      <c r="AA7" s="349" t="s">
        <v>287</v>
      </c>
      <c r="AB7" s="343" t="e">
        <v>#DIV/0!</v>
      </c>
      <c r="AC7" s="343" t="s">
        <v>287</v>
      </c>
      <c r="AD7" s="344" t="s">
        <v>287</v>
      </c>
      <c r="AE7" s="342"/>
      <c r="AF7" s="341" t="s">
        <v>287</v>
      </c>
    </row>
    <row r="8" spans="1:32">
      <c r="A8" s="307">
        <v>4</v>
      </c>
      <c r="B8" s="342"/>
      <c r="C8" s="342" t="s">
        <v>106</v>
      </c>
      <c r="D8" s="340" t="s">
        <v>302</v>
      </c>
      <c r="E8" s="342"/>
      <c r="F8" s="345" t="s">
        <v>84</v>
      </c>
      <c r="G8" s="308">
        <v>1</v>
      </c>
      <c r="H8" s="309">
        <v>800000</v>
      </c>
      <c r="I8" s="309">
        <v>800000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46">
        <v>0</v>
      </c>
      <c r="P8" s="347">
        <v>0</v>
      </c>
      <c r="Q8" s="347">
        <v>0</v>
      </c>
      <c r="R8" s="348">
        <v>0</v>
      </c>
      <c r="S8" s="349" t="s">
        <v>287</v>
      </c>
      <c r="T8" s="343" t="e">
        <v>#DIV/0!</v>
      </c>
      <c r="U8" s="343" t="s">
        <v>287</v>
      </c>
      <c r="V8" s="344" t="s">
        <v>287</v>
      </c>
      <c r="W8" s="346">
        <v>0</v>
      </c>
      <c r="X8" s="347">
        <v>0</v>
      </c>
      <c r="Y8" s="347">
        <v>0</v>
      </c>
      <c r="Z8" s="348">
        <v>0</v>
      </c>
      <c r="AA8" s="349" t="s">
        <v>287</v>
      </c>
      <c r="AB8" s="343" t="e">
        <v>#DIV/0!</v>
      </c>
      <c r="AC8" s="343" t="s">
        <v>287</v>
      </c>
      <c r="AD8" s="344" t="s">
        <v>287</v>
      </c>
      <c r="AE8" s="342"/>
      <c r="AF8" s="341" t="s">
        <v>287</v>
      </c>
    </row>
    <row r="9" spans="1:32">
      <c r="A9" s="307">
        <v>4</v>
      </c>
      <c r="B9" s="342"/>
      <c r="C9" s="342" t="s">
        <v>106</v>
      </c>
      <c r="D9" s="340" t="s">
        <v>303</v>
      </c>
      <c r="E9" s="342"/>
      <c r="F9" s="345" t="s">
        <v>84</v>
      </c>
      <c r="G9" s="308">
        <v>1</v>
      </c>
      <c r="H9" s="309">
        <v>600000</v>
      </c>
      <c r="I9" s="309">
        <v>600000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46">
        <v>0</v>
      </c>
      <c r="P9" s="347">
        <v>0</v>
      </c>
      <c r="Q9" s="347">
        <v>0</v>
      </c>
      <c r="R9" s="348">
        <v>0</v>
      </c>
      <c r="S9" s="349" t="s">
        <v>287</v>
      </c>
      <c r="T9" s="343" t="e">
        <v>#DIV/0!</v>
      </c>
      <c r="U9" s="343" t="s">
        <v>287</v>
      </c>
      <c r="V9" s="344" t="s">
        <v>287</v>
      </c>
      <c r="W9" s="346">
        <v>0</v>
      </c>
      <c r="X9" s="347">
        <v>0</v>
      </c>
      <c r="Y9" s="347">
        <v>0</v>
      </c>
      <c r="Z9" s="348">
        <v>0</v>
      </c>
      <c r="AA9" s="349" t="s">
        <v>287</v>
      </c>
      <c r="AB9" s="343" t="e">
        <v>#DIV/0!</v>
      </c>
      <c r="AC9" s="343" t="s">
        <v>287</v>
      </c>
      <c r="AD9" s="344" t="s">
        <v>287</v>
      </c>
      <c r="AE9" s="342"/>
      <c r="AF9" s="341" t="s">
        <v>287</v>
      </c>
    </row>
    <row r="10" spans="1:32">
      <c r="A10" s="217"/>
      <c r="B10" s="217"/>
      <c r="C10" s="312"/>
      <c r="D10" s="217"/>
      <c r="E10" s="217"/>
      <c r="F10" s="218"/>
      <c r="G10" s="217"/>
      <c r="H10" s="217"/>
      <c r="I10" s="217"/>
      <c r="J10" s="217"/>
      <c r="K10" s="218"/>
      <c r="L10" s="217"/>
      <c r="M10" s="217"/>
      <c r="N10" s="217"/>
      <c r="O10" s="217"/>
      <c r="P10" s="217"/>
      <c r="Q10" s="217"/>
      <c r="R10" s="217"/>
      <c r="S10" s="218"/>
      <c r="T10" s="217"/>
      <c r="U10" s="217"/>
      <c r="V10" s="217"/>
      <c r="W10" s="217"/>
      <c r="X10" s="217"/>
      <c r="Y10" s="217"/>
      <c r="Z10" s="217"/>
      <c r="AA10" s="218"/>
      <c r="AB10" s="217"/>
      <c r="AC10" s="217"/>
      <c r="AD10" s="217"/>
      <c r="AE10" s="217"/>
      <c r="AF10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9 AF4:AF9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9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304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305</v>
      </c>
      <c r="C3" s="146" t="s">
        <v>306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307</v>
      </c>
      <c r="K4" s="69"/>
    </row>
    <row r="5" spans="1:11" ht="18" customHeight="1">
      <c r="A5" s="69"/>
      <c r="B5" s="580" t="s">
        <v>308</v>
      </c>
      <c r="C5" s="581"/>
      <c r="D5" s="153" t="s">
        <v>293</v>
      </c>
      <c r="E5" s="153" t="s">
        <v>309</v>
      </c>
      <c r="F5" s="153" t="s">
        <v>310</v>
      </c>
      <c r="G5" s="153" t="s">
        <v>311</v>
      </c>
      <c r="H5" s="154" t="s">
        <v>312</v>
      </c>
      <c r="I5" s="153" t="s">
        <v>313</v>
      </c>
      <c r="J5" s="155" t="s">
        <v>314</v>
      </c>
      <c r="K5" s="69"/>
    </row>
    <row r="6" spans="1:11" ht="10.5" customHeight="1">
      <c r="A6" s="69"/>
      <c r="B6" s="156" t="s">
        <v>315</v>
      </c>
      <c r="C6" s="157"/>
      <c r="D6" s="562" t="s">
        <v>316</v>
      </c>
      <c r="E6" s="578">
        <v>370</v>
      </c>
      <c r="F6" s="566">
        <v>500</v>
      </c>
      <c r="G6" s="568">
        <v>185000</v>
      </c>
      <c r="H6" s="355"/>
      <c r="I6" s="355"/>
      <c r="J6" s="158"/>
      <c r="K6" s="69" t="s">
        <v>146</v>
      </c>
    </row>
    <row r="7" spans="1:11" ht="10.5" customHeight="1">
      <c r="A7" s="69"/>
      <c r="B7" s="159" t="s">
        <v>317</v>
      </c>
      <c r="C7" s="160"/>
      <c r="D7" s="563"/>
      <c r="E7" s="579"/>
      <c r="F7" s="567"/>
      <c r="G7" s="569"/>
      <c r="H7" s="356"/>
      <c r="I7" s="356" t="s">
        <v>318</v>
      </c>
      <c r="J7" s="161"/>
      <c r="K7" s="69" t="s">
        <v>146</v>
      </c>
    </row>
    <row r="8" spans="1:11" ht="10.5" customHeight="1">
      <c r="A8" s="69"/>
      <c r="B8" s="156" t="s">
        <v>319</v>
      </c>
      <c r="C8" s="157"/>
      <c r="D8" s="562" t="s">
        <v>320</v>
      </c>
      <c r="E8" s="578">
        <v>1.21</v>
      </c>
      <c r="F8" s="566">
        <v>154500</v>
      </c>
      <c r="G8" s="568">
        <v>186945</v>
      </c>
      <c r="H8" s="355"/>
      <c r="I8" s="355"/>
      <c r="J8" s="162"/>
      <c r="K8" s="69" t="s">
        <v>146</v>
      </c>
    </row>
    <row r="9" spans="1:11" ht="10.5" customHeight="1">
      <c r="A9" s="69"/>
      <c r="B9" s="159" t="s">
        <v>321</v>
      </c>
      <c r="C9" s="160"/>
      <c r="D9" s="563"/>
      <c r="E9" s="579"/>
      <c r="F9" s="567"/>
      <c r="G9" s="569"/>
      <c r="H9" s="356"/>
      <c r="I9" s="356" t="s">
        <v>318</v>
      </c>
      <c r="J9" s="162"/>
      <c r="K9" s="69" t="s">
        <v>146</v>
      </c>
    </row>
    <row r="10" spans="1:11" ht="10.5" customHeight="1">
      <c r="A10" s="69"/>
      <c r="B10" s="156" t="s">
        <v>322</v>
      </c>
      <c r="C10" s="157"/>
      <c r="D10" s="562" t="s">
        <v>323</v>
      </c>
      <c r="E10" s="578">
        <v>100</v>
      </c>
      <c r="F10" s="566">
        <v>180</v>
      </c>
      <c r="G10" s="568">
        <v>18000</v>
      </c>
      <c r="H10" s="355"/>
      <c r="I10" s="355"/>
      <c r="J10" s="158"/>
      <c r="K10" s="69" t="s">
        <v>146</v>
      </c>
    </row>
    <row r="11" spans="1:11" ht="10.5" customHeight="1">
      <c r="A11" s="69"/>
      <c r="B11" s="159"/>
      <c r="C11" s="160"/>
      <c r="D11" s="563"/>
      <c r="E11" s="579"/>
      <c r="F11" s="567"/>
      <c r="G11" s="569"/>
      <c r="H11" s="356"/>
      <c r="I11" s="356" t="s">
        <v>318</v>
      </c>
      <c r="J11" s="161"/>
      <c r="K11" s="69" t="s">
        <v>146</v>
      </c>
    </row>
    <row r="12" spans="1:11" ht="10.5" customHeight="1">
      <c r="A12" s="69"/>
      <c r="B12" s="156" t="s">
        <v>324</v>
      </c>
      <c r="C12" s="157"/>
      <c r="D12" s="562" t="s">
        <v>320</v>
      </c>
      <c r="E12" s="564">
        <v>221</v>
      </c>
      <c r="F12" s="566">
        <v>14900</v>
      </c>
      <c r="G12" s="568">
        <v>3292900</v>
      </c>
      <c r="H12" s="355"/>
      <c r="I12" s="355"/>
      <c r="J12" s="158"/>
      <c r="K12" s="69" t="s">
        <v>146</v>
      </c>
    </row>
    <row r="13" spans="1:11" ht="10.5" customHeight="1">
      <c r="A13" s="69"/>
      <c r="B13" s="159" t="s">
        <v>325</v>
      </c>
      <c r="C13" s="160"/>
      <c r="D13" s="563"/>
      <c r="E13" s="565"/>
      <c r="F13" s="567"/>
      <c r="G13" s="569"/>
      <c r="H13" s="356"/>
      <c r="I13" s="356" t="s">
        <v>318</v>
      </c>
      <c r="J13" s="161"/>
      <c r="K13" s="69" t="s">
        <v>146</v>
      </c>
    </row>
    <row r="14" spans="1:11" ht="10.5" customHeight="1">
      <c r="A14" s="69"/>
      <c r="B14" s="156" t="s">
        <v>326</v>
      </c>
      <c r="C14" s="157"/>
      <c r="D14" s="562" t="s">
        <v>323</v>
      </c>
      <c r="E14" s="564">
        <v>900</v>
      </c>
      <c r="F14" s="566">
        <v>160</v>
      </c>
      <c r="G14" s="568">
        <v>144000</v>
      </c>
      <c r="H14" s="355"/>
      <c r="I14" s="355"/>
      <c r="J14" s="158"/>
      <c r="K14" s="69" t="s">
        <v>146</v>
      </c>
    </row>
    <row r="15" spans="1:11" ht="10.5" customHeight="1">
      <c r="A15" s="69"/>
      <c r="B15" s="159"/>
      <c r="C15" s="160"/>
      <c r="D15" s="563"/>
      <c r="E15" s="565"/>
      <c r="F15" s="567"/>
      <c r="G15" s="569"/>
      <c r="H15" s="356"/>
      <c r="I15" s="356" t="s">
        <v>318</v>
      </c>
      <c r="J15" s="161"/>
      <c r="K15" s="69" t="s">
        <v>146</v>
      </c>
    </row>
    <row r="16" spans="1:11" ht="10.5" customHeight="1">
      <c r="A16" s="69"/>
      <c r="B16" s="156" t="s">
        <v>327</v>
      </c>
      <c r="C16" s="157"/>
      <c r="D16" s="562" t="s">
        <v>320</v>
      </c>
      <c r="E16" s="564">
        <v>157</v>
      </c>
      <c r="F16" s="566">
        <v>15900</v>
      </c>
      <c r="G16" s="568">
        <v>2496300</v>
      </c>
      <c r="H16" s="355"/>
      <c r="I16" s="355"/>
      <c r="J16" s="158"/>
      <c r="K16" s="69" t="s">
        <v>146</v>
      </c>
    </row>
    <row r="17" spans="1:11" ht="10.5" customHeight="1">
      <c r="A17" s="69"/>
      <c r="B17" s="159" t="s">
        <v>325</v>
      </c>
      <c r="C17" s="160"/>
      <c r="D17" s="563"/>
      <c r="E17" s="565"/>
      <c r="F17" s="567"/>
      <c r="G17" s="569"/>
      <c r="H17" s="356"/>
      <c r="I17" s="356" t="s">
        <v>318</v>
      </c>
      <c r="J17" s="161"/>
      <c r="K17" s="69" t="s">
        <v>146</v>
      </c>
    </row>
    <row r="18" spans="1:11" ht="10.5" customHeight="1">
      <c r="A18" s="69"/>
      <c r="B18" s="156" t="s">
        <v>328</v>
      </c>
      <c r="C18" s="157"/>
      <c r="D18" s="562" t="s">
        <v>329</v>
      </c>
      <c r="E18" s="564">
        <v>1</v>
      </c>
      <c r="F18" s="566">
        <v>5875</v>
      </c>
      <c r="G18" s="568">
        <v>5875</v>
      </c>
      <c r="H18" s="355"/>
      <c r="I18" s="355"/>
      <c r="J18" s="158"/>
      <c r="K18" s="69" t="s">
        <v>146</v>
      </c>
    </row>
    <row r="19" spans="1:11" ht="10.5" customHeight="1">
      <c r="A19" s="69"/>
      <c r="B19" s="159"/>
      <c r="C19" s="160"/>
      <c r="D19" s="563"/>
      <c r="E19" s="565"/>
      <c r="F19" s="567"/>
      <c r="G19" s="569"/>
      <c r="H19" s="356"/>
      <c r="I19" s="356" t="s">
        <v>318</v>
      </c>
      <c r="J19" s="161"/>
      <c r="K19" s="69" t="s">
        <v>146</v>
      </c>
    </row>
    <row r="20" spans="1:11" ht="10.5" customHeight="1">
      <c r="A20" s="69"/>
      <c r="B20" s="156" t="s">
        <v>328</v>
      </c>
      <c r="C20" s="157"/>
      <c r="D20" s="562" t="s">
        <v>329</v>
      </c>
      <c r="E20" s="564">
        <v>1</v>
      </c>
      <c r="F20" s="566">
        <v>5870</v>
      </c>
      <c r="G20" s="568">
        <v>5870</v>
      </c>
      <c r="H20" s="355"/>
      <c r="I20" s="355"/>
      <c r="J20" s="158"/>
      <c r="K20" s="69" t="s">
        <v>146</v>
      </c>
    </row>
    <row r="21" spans="1:11" ht="10.5" customHeight="1">
      <c r="A21" s="69"/>
      <c r="B21" s="159"/>
      <c r="C21" s="160"/>
      <c r="D21" s="563"/>
      <c r="E21" s="565"/>
      <c r="F21" s="567"/>
      <c r="G21" s="569"/>
      <c r="H21" s="356"/>
      <c r="I21" s="356" t="s">
        <v>318</v>
      </c>
      <c r="J21" s="161"/>
      <c r="K21" s="69" t="s">
        <v>146</v>
      </c>
    </row>
    <row r="22" spans="1:11" ht="10.5" customHeight="1">
      <c r="A22" s="69"/>
      <c r="B22" s="156" t="s">
        <v>328</v>
      </c>
      <c r="C22" s="157"/>
      <c r="D22" s="562" t="s">
        <v>329</v>
      </c>
      <c r="E22" s="564">
        <v>1</v>
      </c>
      <c r="F22" s="566">
        <v>5000</v>
      </c>
      <c r="G22" s="568">
        <v>5000</v>
      </c>
      <c r="H22" s="355"/>
      <c r="I22" s="355"/>
      <c r="J22" s="158"/>
      <c r="K22" s="69" t="s">
        <v>146</v>
      </c>
    </row>
    <row r="23" spans="1:11" ht="10.5" customHeight="1">
      <c r="A23" s="69"/>
      <c r="B23" s="159"/>
      <c r="C23" s="160"/>
      <c r="D23" s="563"/>
      <c r="E23" s="565"/>
      <c r="F23" s="567"/>
      <c r="G23" s="569"/>
      <c r="H23" s="356"/>
      <c r="I23" s="356" t="s">
        <v>318</v>
      </c>
      <c r="J23" s="161"/>
      <c r="K23" s="69" t="s">
        <v>146</v>
      </c>
    </row>
    <row r="24" spans="1:11" ht="10.5" customHeight="1">
      <c r="A24" s="69"/>
      <c r="B24" s="156" t="s">
        <v>328</v>
      </c>
      <c r="C24" s="157"/>
      <c r="D24" s="562" t="s">
        <v>329</v>
      </c>
      <c r="E24" s="578">
        <v>1</v>
      </c>
      <c r="F24" s="566">
        <v>3110</v>
      </c>
      <c r="G24" s="568">
        <v>3110</v>
      </c>
      <c r="H24" s="355"/>
      <c r="I24" s="355"/>
      <c r="J24" s="158"/>
      <c r="K24" s="69" t="s">
        <v>146</v>
      </c>
    </row>
    <row r="25" spans="1:11" ht="10.5" customHeight="1">
      <c r="A25" s="69"/>
      <c r="B25" s="159"/>
      <c r="C25" s="160"/>
      <c r="D25" s="563"/>
      <c r="E25" s="579"/>
      <c r="F25" s="567"/>
      <c r="G25" s="569"/>
      <c r="H25" s="356"/>
      <c r="I25" s="356" t="s">
        <v>318</v>
      </c>
      <c r="J25" s="161"/>
      <c r="K25" s="69" t="s">
        <v>146</v>
      </c>
    </row>
    <row r="26" spans="1:11" ht="10.5" customHeight="1">
      <c r="A26" s="69"/>
      <c r="B26" s="156" t="s">
        <v>330</v>
      </c>
      <c r="C26" s="157"/>
      <c r="D26" s="562" t="s">
        <v>329</v>
      </c>
      <c r="E26" s="564">
        <v>3</v>
      </c>
      <c r="F26" s="566">
        <v>10000</v>
      </c>
      <c r="G26" s="568">
        <v>30000</v>
      </c>
      <c r="H26" s="355"/>
      <c r="I26" s="355"/>
      <c r="J26" s="158"/>
      <c r="K26" s="69" t="s">
        <v>146</v>
      </c>
    </row>
    <row r="27" spans="1:11" ht="10.5" customHeight="1">
      <c r="A27" s="69"/>
      <c r="B27" s="159"/>
      <c r="C27" s="160"/>
      <c r="D27" s="563"/>
      <c r="E27" s="565"/>
      <c r="F27" s="567"/>
      <c r="G27" s="569"/>
      <c r="H27" s="356"/>
      <c r="I27" s="356" t="s">
        <v>318</v>
      </c>
      <c r="J27" s="161"/>
      <c r="K27" s="69" t="s">
        <v>146</v>
      </c>
    </row>
    <row r="28" spans="1:11" ht="10.5" customHeight="1">
      <c r="A28" s="69"/>
      <c r="B28" s="156" t="s">
        <v>331</v>
      </c>
      <c r="C28" s="157"/>
      <c r="D28" s="562" t="s">
        <v>332</v>
      </c>
      <c r="E28" s="564">
        <v>1</v>
      </c>
      <c r="F28" s="566">
        <v>100000</v>
      </c>
      <c r="G28" s="568">
        <v>100000</v>
      </c>
      <c r="H28" s="355"/>
      <c r="I28" s="355"/>
      <c r="J28" s="158"/>
      <c r="K28" s="69" t="s">
        <v>146</v>
      </c>
    </row>
    <row r="29" spans="1:11" ht="10.5" customHeight="1">
      <c r="A29" s="69"/>
      <c r="B29" s="159" t="s">
        <v>333</v>
      </c>
      <c r="C29" s="160"/>
      <c r="D29" s="563"/>
      <c r="E29" s="565"/>
      <c r="F29" s="567"/>
      <c r="G29" s="569"/>
      <c r="H29" s="356"/>
      <c r="I29" s="356" t="s">
        <v>318</v>
      </c>
      <c r="J29" s="161"/>
      <c r="K29" s="69" t="s">
        <v>146</v>
      </c>
    </row>
    <row r="30" spans="1:11" ht="10.5" customHeight="1">
      <c r="A30" s="69"/>
      <c r="B30" s="156"/>
      <c r="C30" s="157"/>
      <c r="D30" s="562"/>
      <c r="E30" s="564"/>
      <c r="F30" s="566"/>
      <c r="G30" s="568"/>
      <c r="H30" s="355"/>
      <c r="I30" s="355"/>
      <c r="J30" s="158"/>
      <c r="K30" s="69" t="s">
        <v>146</v>
      </c>
    </row>
    <row r="31" spans="1:11" ht="10.5" customHeight="1">
      <c r="A31" s="69"/>
      <c r="B31" s="159"/>
      <c r="C31" s="160"/>
      <c r="D31" s="563"/>
      <c r="E31" s="565"/>
      <c r="F31" s="567"/>
      <c r="G31" s="569"/>
      <c r="H31" s="356"/>
      <c r="I31" s="356"/>
      <c r="J31" s="161"/>
      <c r="K31" s="69" t="s">
        <v>146</v>
      </c>
    </row>
    <row r="32" spans="1:11" ht="10.5" customHeight="1">
      <c r="A32" s="69"/>
      <c r="B32" s="156" t="s">
        <v>334</v>
      </c>
      <c r="C32" s="157"/>
      <c r="D32" s="562"/>
      <c r="E32" s="564"/>
      <c r="F32" s="566"/>
      <c r="G32" s="568">
        <v>6473000</v>
      </c>
      <c r="H32" s="355"/>
      <c r="I32" s="355"/>
      <c r="J32" s="158"/>
      <c r="K32" s="69" t="s">
        <v>146</v>
      </c>
    </row>
    <row r="33" spans="1:11" ht="10.5" customHeight="1">
      <c r="A33" s="69"/>
      <c r="B33" s="159"/>
      <c r="C33" s="160"/>
      <c r="D33" s="563"/>
      <c r="E33" s="565"/>
      <c r="F33" s="567"/>
      <c r="G33" s="569"/>
      <c r="H33" s="356"/>
      <c r="I33" s="356"/>
      <c r="J33" s="161"/>
      <c r="K33" s="69" t="s">
        <v>146</v>
      </c>
    </row>
    <row r="34" spans="1:11" ht="10.5" customHeight="1">
      <c r="A34" s="69"/>
      <c r="B34" s="156"/>
      <c r="C34" s="157"/>
      <c r="D34" s="562"/>
      <c r="E34" s="564"/>
      <c r="F34" s="566"/>
      <c r="G34" s="568"/>
      <c r="H34" s="355"/>
      <c r="I34" s="355"/>
      <c r="J34" s="158"/>
      <c r="K34" s="69" t="s">
        <v>146</v>
      </c>
    </row>
    <row r="35" spans="1:11" ht="10.5" customHeight="1">
      <c r="A35" s="69"/>
      <c r="B35" s="159"/>
      <c r="C35" s="160"/>
      <c r="D35" s="563"/>
      <c r="E35" s="565"/>
      <c r="F35" s="567"/>
      <c r="G35" s="569"/>
      <c r="H35" s="356"/>
      <c r="I35" s="356"/>
      <c r="J35" s="161"/>
      <c r="K35" s="69" t="s">
        <v>146</v>
      </c>
    </row>
    <row r="36" spans="1:11" ht="10.5" customHeight="1">
      <c r="A36" s="69"/>
      <c r="B36" s="156"/>
      <c r="C36" s="157"/>
      <c r="D36" s="562"/>
      <c r="E36" s="564"/>
      <c r="F36" s="566"/>
      <c r="G36" s="568"/>
      <c r="H36" s="355"/>
      <c r="I36" s="355"/>
      <c r="J36" s="158"/>
      <c r="K36" s="69" t="s">
        <v>146</v>
      </c>
    </row>
    <row r="37" spans="1:11" ht="10.5" customHeight="1">
      <c r="A37" s="69"/>
      <c r="B37" s="159"/>
      <c r="C37" s="160"/>
      <c r="D37" s="563"/>
      <c r="E37" s="565"/>
      <c r="F37" s="567"/>
      <c r="G37" s="569"/>
      <c r="H37" s="356"/>
      <c r="I37" s="356"/>
      <c r="J37" s="161"/>
      <c r="K37" s="69" t="s">
        <v>146</v>
      </c>
    </row>
    <row r="38" spans="1:11" ht="10.5" customHeight="1">
      <c r="A38" s="69"/>
      <c r="B38" s="156"/>
      <c r="C38" s="157"/>
      <c r="D38" s="562"/>
      <c r="E38" s="564"/>
      <c r="F38" s="566"/>
      <c r="G38" s="568"/>
      <c r="H38" s="355"/>
      <c r="I38" s="355"/>
      <c r="J38" s="158"/>
      <c r="K38" s="69" t="s">
        <v>146</v>
      </c>
    </row>
    <row r="39" spans="1:11" ht="10.5" customHeight="1">
      <c r="A39" s="69"/>
      <c r="B39" s="159"/>
      <c r="C39" s="160"/>
      <c r="D39" s="563"/>
      <c r="E39" s="565"/>
      <c r="F39" s="567"/>
      <c r="G39" s="569"/>
      <c r="H39" s="356"/>
      <c r="I39" s="356"/>
      <c r="J39" s="161"/>
      <c r="K39" s="69" t="s">
        <v>146</v>
      </c>
    </row>
    <row r="40" spans="1:11" ht="10.5" customHeight="1">
      <c r="A40" s="69"/>
      <c r="B40" s="156"/>
      <c r="C40" s="157"/>
      <c r="D40" s="562"/>
      <c r="E40" s="564"/>
      <c r="F40" s="566"/>
      <c r="G40" s="568"/>
      <c r="H40" s="355"/>
      <c r="I40" s="355"/>
      <c r="J40" s="158"/>
      <c r="K40" s="69" t="s">
        <v>146</v>
      </c>
    </row>
    <row r="41" spans="1:11" ht="10.5" customHeight="1">
      <c r="A41" s="69"/>
      <c r="B41" s="159"/>
      <c r="C41" s="160"/>
      <c r="D41" s="563"/>
      <c r="E41" s="565"/>
      <c r="F41" s="567"/>
      <c r="G41" s="569"/>
      <c r="H41" s="356"/>
      <c r="I41" s="356"/>
      <c r="J41" s="161"/>
      <c r="K41" s="69" t="s">
        <v>146</v>
      </c>
    </row>
    <row r="42" spans="1:11" ht="10.5" customHeight="1">
      <c r="A42" s="69"/>
      <c r="B42" s="156"/>
      <c r="C42" s="157"/>
      <c r="D42" s="562"/>
      <c r="E42" s="564"/>
      <c r="F42" s="566"/>
      <c r="G42" s="568"/>
      <c r="H42" s="355"/>
      <c r="I42" s="355"/>
      <c r="J42" s="158"/>
      <c r="K42" s="69" t="s">
        <v>146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56"/>
      <c r="I43" s="356"/>
      <c r="J43" s="161"/>
      <c r="K43" s="69" t="s">
        <v>146</v>
      </c>
    </row>
    <row r="44" spans="1:11" ht="10.5" customHeight="1">
      <c r="A44" s="69"/>
      <c r="B44" s="156"/>
      <c r="C44" s="157"/>
      <c r="D44" s="562"/>
      <c r="E44" s="564"/>
      <c r="F44" s="566"/>
      <c r="G44" s="568"/>
      <c r="H44" s="355"/>
      <c r="I44" s="355"/>
      <c r="J44" s="158"/>
      <c r="K44" s="69" t="s">
        <v>146</v>
      </c>
    </row>
    <row r="45" spans="1:11" ht="10.5" customHeight="1">
      <c r="A45" s="69"/>
      <c r="B45" s="159"/>
      <c r="C45" s="160"/>
      <c r="D45" s="563"/>
      <c r="E45" s="565"/>
      <c r="F45" s="567"/>
      <c r="G45" s="569"/>
      <c r="H45" s="356"/>
      <c r="I45" s="356"/>
      <c r="J45" s="161"/>
      <c r="K45" s="69" t="s">
        <v>146</v>
      </c>
    </row>
    <row r="46" spans="1:11" ht="10.5" customHeight="1">
      <c r="A46" s="69"/>
      <c r="B46" s="156"/>
      <c r="C46" s="157"/>
      <c r="D46" s="570"/>
      <c r="E46" s="572"/>
      <c r="F46" s="574"/>
      <c r="G46" s="576"/>
      <c r="H46" s="355"/>
      <c r="I46" s="355"/>
      <c r="J46" s="162"/>
      <c r="K46" s="69" t="s">
        <v>146</v>
      </c>
    </row>
    <row r="47" spans="1:11" ht="10.5" customHeight="1" thickBot="1">
      <c r="A47" s="69"/>
      <c r="B47" s="163"/>
      <c r="C47" s="164"/>
      <c r="D47" s="571"/>
      <c r="E47" s="573"/>
      <c r="F47" s="575"/>
      <c r="G47" s="577"/>
      <c r="H47" s="357"/>
      <c r="I47" s="357"/>
      <c r="J47" s="165"/>
      <c r="K47" s="69" t="s">
        <v>146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335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305</v>
      </c>
      <c r="C3" s="146" t="s">
        <v>306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307</v>
      </c>
      <c r="K4" s="69"/>
    </row>
    <row r="5" spans="1:11" ht="18" customHeight="1">
      <c r="A5" s="69"/>
      <c r="B5" s="580" t="s">
        <v>308</v>
      </c>
      <c r="C5" s="581"/>
      <c r="D5" s="153" t="s">
        <v>293</v>
      </c>
      <c r="E5" s="153" t="s">
        <v>309</v>
      </c>
      <c r="F5" s="153" t="s">
        <v>310</v>
      </c>
      <c r="G5" s="153" t="s">
        <v>311</v>
      </c>
      <c r="H5" s="154" t="s">
        <v>312</v>
      </c>
      <c r="I5" s="153" t="s">
        <v>313</v>
      </c>
      <c r="J5" s="155" t="s">
        <v>314</v>
      </c>
      <c r="K5" s="69"/>
    </row>
    <row r="6" spans="1:11" ht="10.5" customHeight="1">
      <c r="A6" s="69"/>
      <c r="B6" s="156" t="s">
        <v>336</v>
      </c>
      <c r="C6" s="157"/>
      <c r="D6" s="562" t="s">
        <v>337</v>
      </c>
      <c r="E6" s="578">
        <v>30</v>
      </c>
      <c r="F6" s="566">
        <v>34500</v>
      </c>
      <c r="G6" s="568">
        <v>1035000</v>
      </c>
      <c r="H6" s="355"/>
      <c r="I6" s="355"/>
      <c r="J6" s="158"/>
      <c r="K6" s="69" t="s">
        <v>146</v>
      </c>
    </row>
    <row r="7" spans="1:11" ht="10.5" customHeight="1">
      <c r="A7" s="69"/>
      <c r="B7" s="159"/>
      <c r="C7" s="160"/>
      <c r="D7" s="563"/>
      <c r="E7" s="579"/>
      <c r="F7" s="567"/>
      <c r="G7" s="569"/>
      <c r="H7" s="356"/>
      <c r="I7" s="356" t="s">
        <v>338</v>
      </c>
      <c r="J7" s="161"/>
      <c r="K7" s="69" t="s">
        <v>146</v>
      </c>
    </row>
    <row r="8" spans="1:11" ht="10.5" customHeight="1">
      <c r="A8" s="69"/>
      <c r="B8" s="156" t="s">
        <v>339</v>
      </c>
      <c r="C8" s="157"/>
      <c r="D8" s="562" t="s">
        <v>340</v>
      </c>
      <c r="E8" s="578">
        <v>90</v>
      </c>
      <c r="F8" s="566">
        <v>5000</v>
      </c>
      <c r="G8" s="568">
        <v>450000</v>
      </c>
      <c r="H8" s="355"/>
      <c r="I8" s="355"/>
      <c r="J8" s="162"/>
      <c r="K8" s="69" t="s">
        <v>146</v>
      </c>
    </row>
    <row r="9" spans="1:11" ht="10.5" customHeight="1">
      <c r="A9" s="69"/>
      <c r="B9" s="159"/>
      <c r="C9" s="160"/>
      <c r="D9" s="563"/>
      <c r="E9" s="579"/>
      <c r="F9" s="567"/>
      <c r="G9" s="569"/>
      <c r="H9" s="356"/>
      <c r="I9" s="356" t="s">
        <v>338</v>
      </c>
      <c r="J9" s="162"/>
      <c r="K9" s="69" t="s">
        <v>146</v>
      </c>
    </row>
    <row r="10" spans="1:11" ht="10.5" customHeight="1">
      <c r="A10" s="69"/>
      <c r="B10" s="156" t="s">
        <v>341</v>
      </c>
      <c r="C10" s="157"/>
      <c r="D10" s="562" t="s">
        <v>332</v>
      </c>
      <c r="E10" s="578">
        <v>1</v>
      </c>
      <c r="F10" s="566">
        <v>300000</v>
      </c>
      <c r="G10" s="568">
        <v>300000</v>
      </c>
      <c r="H10" s="355"/>
      <c r="I10" s="355"/>
      <c r="J10" s="158"/>
      <c r="K10" s="69" t="s">
        <v>146</v>
      </c>
    </row>
    <row r="11" spans="1:11" ht="10.5" customHeight="1">
      <c r="A11" s="69"/>
      <c r="B11" s="159"/>
      <c r="C11" s="160"/>
      <c r="D11" s="563"/>
      <c r="E11" s="579"/>
      <c r="F11" s="567"/>
      <c r="G11" s="569"/>
      <c r="H11" s="356"/>
      <c r="I11" s="356" t="s">
        <v>338</v>
      </c>
      <c r="J11" s="161"/>
      <c r="K11" s="69" t="s">
        <v>146</v>
      </c>
    </row>
    <row r="12" spans="1:11" ht="10.5" customHeight="1">
      <c r="A12" s="69"/>
      <c r="B12" s="156"/>
      <c r="C12" s="157"/>
      <c r="D12" s="562"/>
      <c r="E12" s="564"/>
      <c r="F12" s="566"/>
      <c r="G12" s="568"/>
      <c r="H12" s="355"/>
      <c r="I12" s="355"/>
      <c r="J12" s="158"/>
      <c r="K12" s="69" t="s">
        <v>146</v>
      </c>
    </row>
    <row r="13" spans="1:11" ht="10.5" customHeight="1">
      <c r="A13" s="69"/>
      <c r="B13" s="159"/>
      <c r="C13" s="160"/>
      <c r="D13" s="563"/>
      <c r="E13" s="565"/>
      <c r="F13" s="567"/>
      <c r="G13" s="569"/>
      <c r="H13" s="356"/>
      <c r="I13" s="356"/>
      <c r="J13" s="161"/>
      <c r="K13" s="69" t="s">
        <v>146</v>
      </c>
    </row>
    <row r="14" spans="1:11" ht="10.5" customHeight="1">
      <c r="A14" s="69"/>
      <c r="B14" s="156" t="s">
        <v>334</v>
      </c>
      <c r="C14" s="157"/>
      <c r="D14" s="562"/>
      <c r="E14" s="564"/>
      <c r="F14" s="566"/>
      <c r="G14" s="568">
        <v>1785000</v>
      </c>
      <c r="H14" s="355"/>
      <c r="I14" s="355"/>
      <c r="J14" s="158"/>
      <c r="K14" s="69" t="s">
        <v>146</v>
      </c>
    </row>
    <row r="15" spans="1:11" ht="10.5" customHeight="1">
      <c r="A15" s="69"/>
      <c r="B15" s="159"/>
      <c r="C15" s="160"/>
      <c r="D15" s="563"/>
      <c r="E15" s="565"/>
      <c r="F15" s="567"/>
      <c r="G15" s="569"/>
      <c r="H15" s="356"/>
      <c r="I15" s="356"/>
      <c r="J15" s="161"/>
      <c r="K15" s="69" t="s">
        <v>146</v>
      </c>
    </row>
    <row r="16" spans="1:11" ht="10.5" customHeight="1">
      <c r="A16" s="69"/>
      <c r="B16" s="156"/>
      <c r="C16" s="157"/>
      <c r="D16" s="562"/>
      <c r="E16" s="564"/>
      <c r="F16" s="566"/>
      <c r="G16" s="568"/>
      <c r="H16" s="355"/>
      <c r="I16" s="355"/>
      <c r="J16" s="158"/>
      <c r="K16" s="69" t="s">
        <v>146</v>
      </c>
    </row>
    <row r="17" spans="1:11" ht="10.5" customHeight="1">
      <c r="A17" s="69"/>
      <c r="B17" s="159"/>
      <c r="C17" s="160"/>
      <c r="D17" s="563"/>
      <c r="E17" s="565"/>
      <c r="F17" s="567"/>
      <c r="G17" s="569"/>
      <c r="H17" s="356"/>
      <c r="I17" s="356"/>
      <c r="J17" s="161"/>
      <c r="K17" s="69" t="s">
        <v>146</v>
      </c>
    </row>
    <row r="18" spans="1:11" ht="10.5" customHeight="1">
      <c r="A18" s="69"/>
      <c r="B18" s="156"/>
      <c r="C18" s="157"/>
      <c r="D18" s="562"/>
      <c r="E18" s="564"/>
      <c r="F18" s="566"/>
      <c r="G18" s="568"/>
      <c r="H18" s="355"/>
      <c r="I18" s="355"/>
      <c r="J18" s="158"/>
      <c r="K18" s="69" t="s">
        <v>146</v>
      </c>
    </row>
    <row r="19" spans="1:11" ht="10.5" customHeight="1">
      <c r="A19" s="69"/>
      <c r="B19" s="159"/>
      <c r="C19" s="160"/>
      <c r="D19" s="563"/>
      <c r="E19" s="565"/>
      <c r="F19" s="567"/>
      <c r="G19" s="569"/>
      <c r="H19" s="356"/>
      <c r="I19" s="356"/>
      <c r="J19" s="161"/>
      <c r="K19" s="69" t="s">
        <v>146</v>
      </c>
    </row>
    <row r="20" spans="1:11" ht="10.5" customHeight="1">
      <c r="A20" s="69"/>
      <c r="B20" s="156"/>
      <c r="C20" s="157"/>
      <c r="D20" s="562"/>
      <c r="E20" s="564"/>
      <c r="F20" s="566"/>
      <c r="G20" s="568"/>
      <c r="H20" s="355"/>
      <c r="I20" s="355"/>
      <c r="J20" s="158"/>
      <c r="K20" s="69" t="s">
        <v>146</v>
      </c>
    </row>
    <row r="21" spans="1:11" ht="10.5" customHeight="1">
      <c r="A21" s="69"/>
      <c r="B21" s="159"/>
      <c r="C21" s="160"/>
      <c r="D21" s="563"/>
      <c r="E21" s="565"/>
      <c r="F21" s="567"/>
      <c r="G21" s="569"/>
      <c r="H21" s="356"/>
      <c r="I21" s="356"/>
      <c r="J21" s="161"/>
      <c r="K21" s="69" t="s">
        <v>146</v>
      </c>
    </row>
    <row r="22" spans="1:11" ht="10.5" customHeight="1">
      <c r="A22" s="69"/>
      <c r="B22" s="156"/>
      <c r="C22" s="157"/>
      <c r="D22" s="562"/>
      <c r="E22" s="564"/>
      <c r="F22" s="566"/>
      <c r="G22" s="568"/>
      <c r="H22" s="355"/>
      <c r="I22" s="355"/>
      <c r="J22" s="158"/>
      <c r="K22" s="69" t="s">
        <v>146</v>
      </c>
    </row>
    <row r="23" spans="1:11" ht="10.5" customHeight="1">
      <c r="A23" s="69"/>
      <c r="B23" s="159"/>
      <c r="C23" s="160"/>
      <c r="D23" s="563"/>
      <c r="E23" s="565"/>
      <c r="F23" s="567"/>
      <c r="G23" s="569"/>
      <c r="H23" s="356"/>
      <c r="I23" s="356"/>
      <c r="J23" s="161"/>
      <c r="K23" s="69" t="s">
        <v>146</v>
      </c>
    </row>
    <row r="24" spans="1:11" ht="10.5" customHeight="1">
      <c r="A24" s="69"/>
      <c r="B24" s="156"/>
      <c r="C24" s="157"/>
      <c r="D24" s="562"/>
      <c r="E24" s="578"/>
      <c r="F24" s="566"/>
      <c r="G24" s="568"/>
      <c r="H24" s="355"/>
      <c r="I24" s="355"/>
      <c r="J24" s="158"/>
      <c r="K24" s="69" t="s">
        <v>146</v>
      </c>
    </row>
    <row r="25" spans="1:11" ht="10.5" customHeight="1">
      <c r="A25" s="69"/>
      <c r="B25" s="159"/>
      <c r="C25" s="160"/>
      <c r="D25" s="563"/>
      <c r="E25" s="579"/>
      <c r="F25" s="567"/>
      <c r="G25" s="569"/>
      <c r="H25" s="356"/>
      <c r="I25" s="356"/>
      <c r="J25" s="161"/>
      <c r="K25" s="69" t="s">
        <v>146</v>
      </c>
    </row>
    <row r="26" spans="1:11" ht="10.5" customHeight="1">
      <c r="A26" s="69"/>
      <c r="B26" s="156"/>
      <c r="C26" s="157"/>
      <c r="D26" s="562"/>
      <c r="E26" s="564"/>
      <c r="F26" s="566"/>
      <c r="G26" s="568"/>
      <c r="H26" s="355"/>
      <c r="I26" s="355"/>
      <c r="J26" s="158"/>
      <c r="K26" s="69" t="s">
        <v>146</v>
      </c>
    </row>
    <row r="27" spans="1:11" ht="10.5" customHeight="1">
      <c r="A27" s="69"/>
      <c r="B27" s="159"/>
      <c r="C27" s="160"/>
      <c r="D27" s="563"/>
      <c r="E27" s="565"/>
      <c r="F27" s="567"/>
      <c r="G27" s="569"/>
      <c r="H27" s="356"/>
      <c r="I27" s="356"/>
      <c r="J27" s="161"/>
      <c r="K27" s="69" t="s">
        <v>146</v>
      </c>
    </row>
    <row r="28" spans="1:11" ht="10.5" customHeight="1">
      <c r="A28" s="69"/>
      <c r="B28" s="156"/>
      <c r="C28" s="157"/>
      <c r="D28" s="562"/>
      <c r="E28" s="564"/>
      <c r="F28" s="566"/>
      <c r="G28" s="568"/>
      <c r="H28" s="355"/>
      <c r="I28" s="355"/>
      <c r="J28" s="158"/>
      <c r="K28" s="69" t="s">
        <v>146</v>
      </c>
    </row>
    <row r="29" spans="1:11" ht="10.5" customHeight="1">
      <c r="A29" s="69"/>
      <c r="B29" s="159"/>
      <c r="C29" s="160"/>
      <c r="D29" s="563"/>
      <c r="E29" s="565"/>
      <c r="F29" s="567"/>
      <c r="G29" s="569"/>
      <c r="H29" s="356"/>
      <c r="I29" s="356"/>
      <c r="J29" s="161"/>
      <c r="K29" s="69" t="s">
        <v>146</v>
      </c>
    </row>
    <row r="30" spans="1:11" ht="10.5" customHeight="1">
      <c r="A30" s="69"/>
      <c r="B30" s="156"/>
      <c r="C30" s="157"/>
      <c r="D30" s="562"/>
      <c r="E30" s="564"/>
      <c r="F30" s="566"/>
      <c r="G30" s="568"/>
      <c r="H30" s="355"/>
      <c r="I30" s="355"/>
      <c r="J30" s="158"/>
      <c r="K30" s="69" t="s">
        <v>146</v>
      </c>
    </row>
    <row r="31" spans="1:11" ht="10.5" customHeight="1">
      <c r="A31" s="69"/>
      <c r="B31" s="159"/>
      <c r="C31" s="160"/>
      <c r="D31" s="563"/>
      <c r="E31" s="565"/>
      <c r="F31" s="567"/>
      <c r="G31" s="569"/>
      <c r="H31" s="356"/>
      <c r="I31" s="356"/>
      <c r="J31" s="161"/>
      <c r="K31" s="69" t="s">
        <v>146</v>
      </c>
    </row>
    <row r="32" spans="1:11" ht="10.5" customHeight="1">
      <c r="A32" s="69"/>
      <c r="B32" s="156"/>
      <c r="C32" s="157"/>
      <c r="D32" s="562"/>
      <c r="E32" s="564"/>
      <c r="F32" s="566"/>
      <c r="G32" s="568"/>
      <c r="H32" s="355"/>
      <c r="I32" s="355"/>
      <c r="J32" s="158"/>
      <c r="K32" s="69" t="s">
        <v>146</v>
      </c>
    </row>
    <row r="33" spans="1:11" ht="10.5" customHeight="1">
      <c r="A33" s="69"/>
      <c r="B33" s="159"/>
      <c r="C33" s="160"/>
      <c r="D33" s="563"/>
      <c r="E33" s="565"/>
      <c r="F33" s="567"/>
      <c r="G33" s="569"/>
      <c r="H33" s="356"/>
      <c r="I33" s="356"/>
      <c r="J33" s="161"/>
      <c r="K33" s="69" t="s">
        <v>146</v>
      </c>
    </row>
    <row r="34" spans="1:11" ht="10.5" customHeight="1">
      <c r="A34" s="69"/>
      <c r="B34" s="156"/>
      <c r="C34" s="157"/>
      <c r="D34" s="562"/>
      <c r="E34" s="564"/>
      <c r="F34" s="566"/>
      <c r="G34" s="568"/>
      <c r="H34" s="355"/>
      <c r="I34" s="355"/>
      <c r="J34" s="158"/>
      <c r="K34" s="69" t="s">
        <v>146</v>
      </c>
    </row>
    <row r="35" spans="1:11" ht="10.5" customHeight="1">
      <c r="A35" s="69"/>
      <c r="B35" s="159"/>
      <c r="C35" s="160"/>
      <c r="D35" s="563"/>
      <c r="E35" s="565"/>
      <c r="F35" s="567"/>
      <c r="G35" s="569"/>
      <c r="H35" s="356"/>
      <c r="I35" s="356"/>
      <c r="J35" s="161"/>
      <c r="K35" s="69" t="s">
        <v>146</v>
      </c>
    </row>
    <row r="36" spans="1:11" ht="10.5" customHeight="1">
      <c r="A36" s="69"/>
      <c r="B36" s="156"/>
      <c r="C36" s="157"/>
      <c r="D36" s="562"/>
      <c r="E36" s="564"/>
      <c r="F36" s="566"/>
      <c r="G36" s="568"/>
      <c r="H36" s="355"/>
      <c r="I36" s="355"/>
      <c r="J36" s="158"/>
      <c r="K36" s="69" t="s">
        <v>146</v>
      </c>
    </row>
    <row r="37" spans="1:11" ht="10.5" customHeight="1">
      <c r="A37" s="69"/>
      <c r="B37" s="159"/>
      <c r="C37" s="160"/>
      <c r="D37" s="563"/>
      <c r="E37" s="565"/>
      <c r="F37" s="567"/>
      <c r="G37" s="569"/>
      <c r="H37" s="356"/>
      <c r="I37" s="356"/>
      <c r="J37" s="161"/>
      <c r="K37" s="69" t="s">
        <v>146</v>
      </c>
    </row>
    <row r="38" spans="1:11" ht="10.5" customHeight="1">
      <c r="A38" s="69"/>
      <c r="B38" s="156"/>
      <c r="C38" s="157"/>
      <c r="D38" s="562"/>
      <c r="E38" s="564"/>
      <c r="F38" s="566"/>
      <c r="G38" s="568"/>
      <c r="H38" s="355"/>
      <c r="I38" s="355"/>
      <c r="J38" s="158"/>
      <c r="K38" s="69" t="s">
        <v>146</v>
      </c>
    </row>
    <row r="39" spans="1:11" ht="10.5" customHeight="1">
      <c r="A39" s="69"/>
      <c r="B39" s="159"/>
      <c r="C39" s="160"/>
      <c r="D39" s="563"/>
      <c r="E39" s="565"/>
      <c r="F39" s="567"/>
      <c r="G39" s="569"/>
      <c r="H39" s="356"/>
      <c r="I39" s="356"/>
      <c r="J39" s="161"/>
      <c r="K39" s="69" t="s">
        <v>146</v>
      </c>
    </row>
    <row r="40" spans="1:11" ht="10.5" customHeight="1">
      <c r="A40" s="69"/>
      <c r="B40" s="156"/>
      <c r="C40" s="157"/>
      <c r="D40" s="562"/>
      <c r="E40" s="564"/>
      <c r="F40" s="566"/>
      <c r="G40" s="568"/>
      <c r="H40" s="355"/>
      <c r="I40" s="355"/>
      <c r="J40" s="158"/>
      <c r="K40" s="69" t="s">
        <v>146</v>
      </c>
    </row>
    <row r="41" spans="1:11" ht="10.5" customHeight="1">
      <c r="A41" s="69"/>
      <c r="B41" s="159"/>
      <c r="C41" s="160"/>
      <c r="D41" s="563"/>
      <c r="E41" s="565"/>
      <c r="F41" s="567"/>
      <c r="G41" s="569"/>
      <c r="H41" s="356"/>
      <c r="I41" s="356"/>
      <c r="J41" s="161"/>
      <c r="K41" s="69" t="s">
        <v>146</v>
      </c>
    </row>
    <row r="42" spans="1:11" ht="10.5" customHeight="1">
      <c r="A42" s="69"/>
      <c r="B42" s="156"/>
      <c r="C42" s="157"/>
      <c r="D42" s="562"/>
      <c r="E42" s="564"/>
      <c r="F42" s="566"/>
      <c r="G42" s="568"/>
      <c r="H42" s="355"/>
      <c r="I42" s="355"/>
      <c r="J42" s="158"/>
      <c r="K42" s="69" t="s">
        <v>146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56"/>
      <c r="I43" s="356"/>
      <c r="J43" s="161"/>
      <c r="K43" s="69" t="s">
        <v>146</v>
      </c>
    </row>
    <row r="44" spans="1:11" ht="10.5" customHeight="1">
      <c r="A44" s="69"/>
      <c r="B44" s="156"/>
      <c r="C44" s="157"/>
      <c r="D44" s="562"/>
      <c r="E44" s="564"/>
      <c r="F44" s="566"/>
      <c r="G44" s="568"/>
      <c r="H44" s="355"/>
      <c r="I44" s="355"/>
      <c r="J44" s="158"/>
      <c r="K44" s="69" t="s">
        <v>146</v>
      </c>
    </row>
    <row r="45" spans="1:11" ht="10.5" customHeight="1">
      <c r="A45" s="69"/>
      <c r="B45" s="159"/>
      <c r="C45" s="160"/>
      <c r="D45" s="563"/>
      <c r="E45" s="565"/>
      <c r="F45" s="567"/>
      <c r="G45" s="569"/>
      <c r="H45" s="356"/>
      <c r="I45" s="356"/>
      <c r="J45" s="161"/>
      <c r="K45" s="69" t="s">
        <v>146</v>
      </c>
    </row>
    <row r="46" spans="1:11" ht="10.5" customHeight="1">
      <c r="A46" s="69"/>
      <c r="B46" s="156"/>
      <c r="C46" s="157"/>
      <c r="D46" s="570"/>
      <c r="E46" s="572"/>
      <c r="F46" s="574"/>
      <c r="G46" s="576"/>
      <c r="H46" s="355"/>
      <c r="I46" s="355"/>
      <c r="J46" s="162"/>
      <c r="K46" s="69" t="s">
        <v>146</v>
      </c>
    </row>
    <row r="47" spans="1:11" ht="10.5" customHeight="1" thickBot="1">
      <c r="A47" s="69"/>
      <c r="B47" s="163"/>
      <c r="C47" s="164"/>
      <c r="D47" s="571"/>
      <c r="E47" s="573"/>
      <c r="F47" s="575"/>
      <c r="G47" s="577"/>
      <c r="H47" s="357"/>
      <c r="I47" s="357"/>
      <c r="J47" s="165"/>
      <c r="K47" s="69" t="s">
        <v>146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342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305</v>
      </c>
      <c r="C3" s="146" t="s">
        <v>306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307</v>
      </c>
      <c r="K4" s="69"/>
    </row>
    <row r="5" spans="1:11" ht="18" customHeight="1">
      <c r="A5" s="69"/>
      <c r="B5" s="580" t="s">
        <v>308</v>
      </c>
      <c r="C5" s="581"/>
      <c r="D5" s="153" t="s">
        <v>293</v>
      </c>
      <c r="E5" s="153" t="s">
        <v>309</v>
      </c>
      <c r="F5" s="153" t="s">
        <v>310</v>
      </c>
      <c r="G5" s="153" t="s">
        <v>311</v>
      </c>
      <c r="H5" s="154" t="s">
        <v>312</v>
      </c>
      <c r="I5" s="153" t="s">
        <v>313</v>
      </c>
      <c r="J5" s="155" t="s">
        <v>314</v>
      </c>
      <c r="K5" s="69"/>
    </row>
    <row r="6" spans="1:11" ht="10.5" customHeight="1">
      <c r="A6" s="69"/>
      <c r="B6" s="156" t="s">
        <v>343</v>
      </c>
      <c r="C6" s="157"/>
      <c r="D6" s="562" t="s">
        <v>332</v>
      </c>
      <c r="E6" s="578">
        <v>1</v>
      </c>
      <c r="F6" s="566">
        <v>450000</v>
      </c>
      <c r="G6" s="568">
        <v>450000</v>
      </c>
      <c r="H6" s="355"/>
      <c r="I6" s="355"/>
      <c r="J6" s="158"/>
      <c r="K6" s="69" t="s">
        <v>146</v>
      </c>
    </row>
    <row r="7" spans="1:11" ht="10.5" customHeight="1">
      <c r="A7" s="69"/>
      <c r="B7" s="159"/>
      <c r="C7" s="160"/>
      <c r="D7" s="563"/>
      <c r="E7" s="579"/>
      <c r="F7" s="567"/>
      <c r="G7" s="569"/>
      <c r="H7" s="356"/>
      <c r="I7" s="356" t="s">
        <v>344</v>
      </c>
      <c r="J7" s="161"/>
      <c r="K7" s="69" t="s">
        <v>146</v>
      </c>
    </row>
    <row r="8" spans="1:11" ht="10.5" customHeight="1">
      <c r="A8" s="69"/>
      <c r="B8" s="156"/>
      <c r="C8" s="157"/>
      <c r="D8" s="562"/>
      <c r="E8" s="578"/>
      <c r="F8" s="566"/>
      <c r="G8" s="568"/>
      <c r="H8" s="355"/>
      <c r="I8" s="355"/>
      <c r="J8" s="162"/>
      <c r="K8" s="69" t="s">
        <v>146</v>
      </c>
    </row>
    <row r="9" spans="1:11" ht="10.5" customHeight="1">
      <c r="A9" s="69"/>
      <c r="B9" s="159"/>
      <c r="C9" s="160"/>
      <c r="D9" s="563"/>
      <c r="E9" s="579"/>
      <c r="F9" s="567"/>
      <c r="G9" s="569"/>
      <c r="H9" s="356"/>
      <c r="I9" s="356"/>
      <c r="J9" s="162"/>
      <c r="K9" s="69" t="s">
        <v>146</v>
      </c>
    </row>
    <row r="10" spans="1:11" ht="10.5" customHeight="1">
      <c r="A10" s="69"/>
      <c r="B10" s="156" t="s">
        <v>334</v>
      </c>
      <c r="C10" s="157"/>
      <c r="D10" s="562"/>
      <c r="E10" s="578"/>
      <c r="F10" s="566"/>
      <c r="G10" s="568">
        <v>450000</v>
      </c>
      <c r="H10" s="355"/>
      <c r="I10" s="355"/>
      <c r="J10" s="158"/>
      <c r="K10" s="69" t="s">
        <v>146</v>
      </c>
    </row>
    <row r="11" spans="1:11" ht="10.5" customHeight="1">
      <c r="A11" s="69"/>
      <c r="B11" s="159"/>
      <c r="C11" s="160"/>
      <c r="D11" s="563"/>
      <c r="E11" s="579"/>
      <c r="F11" s="567"/>
      <c r="G11" s="569"/>
      <c r="H11" s="356"/>
      <c r="I11" s="356"/>
      <c r="J11" s="161"/>
      <c r="K11" s="69" t="s">
        <v>146</v>
      </c>
    </row>
    <row r="12" spans="1:11" ht="10.5" customHeight="1">
      <c r="A12" s="69"/>
      <c r="B12" s="156"/>
      <c r="C12" s="157"/>
      <c r="D12" s="562"/>
      <c r="E12" s="564"/>
      <c r="F12" s="566"/>
      <c r="G12" s="568"/>
      <c r="H12" s="355"/>
      <c r="I12" s="355"/>
      <c r="J12" s="158"/>
      <c r="K12" s="69" t="s">
        <v>146</v>
      </c>
    </row>
    <row r="13" spans="1:11" ht="10.5" customHeight="1">
      <c r="A13" s="69"/>
      <c r="B13" s="159"/>
      <c r="C13" s="160"/>
      <c r="D13" s="563"/>
      <c r="E13" s="565"/>
      <c r="F13" s="567"/>
      <c r="G13" s="569"/>
      <c r="H13" s="356"/>
      <c r="I13" s="356"/>
      <c r="J13" s="161"/>
      <c r="K13" s="69" t="s">
        <v>146</v>
      </c>
    </row>
    <row r="14" spans="1:11" ht="10.5" customHeight="1">
      <c r="A14" s="69"/>
      <c r="B14" s="156"/>
      <c r="C14" s="157"/>
      <c r="D14" s="562"/>
      <c r="E14" s="564"/>
      <c r="F14" s="566"/>
      <c r="G14" s="568"/>
      <c r="H14" s="355"/>
      <c r="I14" s="355"/>
      <c r="J14" s="158"/>
      <c r="K14" s="69" t="s">
        <v>146</v>
      </c>
    </row>
    <row r="15" spans="1:11" ht="10.5" customHeight="1">
      <c r="A15" s="69"/>
      <c r="B15" s="159"/>
      <c r="C15" s="160"/>
      <c r="D15" s="563"/>
      <c r="E15" s="565"/>
      <c r="F15" s="567"/>
      <c r="G15" s="569"/>
      <c r="H15" s="356"/>
      <c r="I15" s="356"/>
      <c r="J15" s="161"/>
      <c r="K15" s="69" t="s">
        <v>146</v>
      </c>
    </row>
    <row r="16" spans="1:11" ht="10.5" customHeight="1">
      <c r="A16" s="69"/>
      <c r="B16" s="156"/>
      <c r="C16" s="157"/>
      <c r="D16" s="562"/>
      <c r="E16" s="564"/>
      <c r="F16" s="566"/>
      <c r="G16" s="568"/>
      <c r="H16" s="355"/>
      <c r="I16" s="355"/>
      <c r="J16" s="158"/>
      <c r="K16" s="69" t="s">
        <v>146</v>
      </c>
    </row>
    <row r="17" spans="1:11" ht="10.5" customHeight="1">
      <c r="A17" s="69"/>
      <c r="B17" s="159"/>
      <c r="C17" s="160"/>
      <c r="D17" s="563"/>
      <c r="E17" s="565"/>
      <c r="F17" s="567"/>
      <c r="G17" s="569"/>
      <c r="H17" s="356"/>
      <c r="I17" s="356"/>
      <c r="J17" s="161"/>
      <c r="K17" s="69" t="s">
        <v>146</v>
      </c>
    </row>
    <row r="18" spans="1:11" ht="10.5" customHeight="1">
      <c r="A18" s="69"/>
      <c r="B18" s="156"/>
      <c r="C18" s="157"/>
      <c r="D18" s="562"/>
      <c r="E18" s="564"/>
      <c r="F18" s="566"/>
      <c r="G18" s="568"/>
      <c r="H18" s="355"/>
      <c r="I18" s="355"/>
      <c r="J18" s="158"/>
      <c r="K18" s="69" t="s">
        <v>146</v>
      </c>
    </row>
    <row r="19" spans="1:11" ht="10.5" customHeight="1">
      <c r="A19" s="69"/>
      <c r="B19" s="159"/>
      <c r="C19" s="160"/>
      <c r="D19" s="563"/>
      <c r="E19" s="565"/>
      <c r="F19" s="567"/>
      <c r="G19" s="569"/>
      <c r="H19" s="356"/>
      <c r="I19" s="356"/>
      <c r="J19" s="161"/>
      <c r="K19" s="69" t="s">
        <v>146</v>
      </c>
    </row>
    <row r="20" spans="1:11" ht="10.5" customHeight="1">
      <c r="A20" s="69"/>
      <c r="B20" s="156"/>
      <c r="C20" s="157"/>
      <c r="D20" s="562"/>
      <c r="E20" s="564"/>
      <c r="F20" s="566"/>
      <c r="G20" s="568"/>
      <c r="H20" s="355"/>
      <c r="I20" s="355"/>
      <c r="J20" s="158"/>
      <c r="K20" s="69" t="s">
        <v>146</v>
      </c>
    </row>
    <row r="21" spans="1:11" ht="10.5" customHeight="1">
      <c r="A21" s="69"/>
      <c r="B21" s="159"/>
      <c r="C21" s="160"/>
      <c r="D21" s="563"/>
      <c r="E21" s="565"/>
      <c r="F21" s="567"/>
      <c r="G21" s="569"/>
      <c r="H21" s="356"/>
      <c r="I21" s="356"/>
      <c r="J21" s="161"/>
      <c r="K21" s="69" t="s">
        <v>146</v>
      </c>
    </row>
    <row r="22" spans="1:11" ht="10.5" customHeight="1">
      <c r="A22" s="69"/>
      <c r="B22" s="156"/>
      <c r="C22" s="157"/>
      <c r="D22" s="562"/>
      <c r="E22" s="564"/>
      <c r="F22" s="566"/>
      <c r="G22" s="568"/>
      <c r="H22" s="355"/>
      <c r="I22" s="355"/>
      <c r="J22" s="158"/>
      <c r="K22" s="69" t="s">
        <v>146</v>
      </c>
    </row>
    <row r="23" spans="1:11" ht="10.5" customHeight="1">
      <c r="A23" s="69"/>
      <c r="B23" s="159"/>
      <c r="C23" s="160"/>
      <c r="D23" s="563"/>
      <c r="E23" s="565"/>
      <c r="F23" s="567"/>
      <c r="G23" s="569"/>
      <c r="H23" s="356"/>
      <c r="I23" s="356"/>
      <c r="J23" s="161"/>
      <c r="K23" s="69" t="s">
        <v>146</v>
      </c>
    </row>
    <row r="24" spans="1:11" ht="10.5" customHeight="1">
      <c r="A24" s="69"/>
      <c r="B24" s="156"/>
      <c r="C24" s="157"/>
      <c r="D24" s="562"/>
      <c r="E24" s="578"/>
      <c r="F24" s="566"/>
      <c r="G24" s="568"/>
      <c r="H24" s="355"/>
      <c r="I24" s="355"/>
      <c r="J24" s="158"/>
      <c r="K24" s="69" t="s">
        <v>146</v>
      </c>
    </row>
    <row r="25" spans="1:11" ht="10.5" customHeight="1">
      <c r="A25" s="69"/>
      <c r="B25" s="159"/>
      <c r="C25" s="160"/>
      <c r="D25" s="563"/>
      <c r="E25" s="579"/>
      <c r="F25" s="567"/>
      <c r="G25" s="569"/>
      <c r="H25" s="356"/>
      <c r="I25" s="356"/>
      <c r="J25" s="161"/>
      <c r="K25" s="69" t="s">
        <v>146</v>
      </c>
    </row>
    <row r="26" spans="1:11" ht="10.5" customHeight="1">
      <c r="A26" s="69"/>
      <c r="B26" s="156"/>
      <c r="C26" s="157"/>
      <c r="D26" s="562"/>
      <c r="E26" s="564"/>
      <c r="F26" s="566"/>
      <c r="G26" s="568"/>
      <c r="H26" s="355"/>
      <c r="I26" s="355"/>
      <c r="J26" s="158"/>
      <c r="K26" s="69" t="s">
        <v>146</v>
      </c>
    </row>
    <row r="27" spans="1:11" ht="10.5" customHeight="1">
      <c r="A27" s="69"/>
      <c r="B27" s="159"/>
      <c r="C27" s="160"/>
      <c r="D27" s="563"/>
      <c r="E27" s="565"/>
      <c r="F27" s="567"/>
      <c r="G27" s="569"/>
      <c r="H27" s="356"/>
      <c r="I27" s="356"/>
      <c r="J27" s="161"/>
      <c r="K27" s="69" t="s">
        <v>146</v>
      </c>
    </row>
    <row r="28" spans="1:11" ht="10.5" customHeight="1">
      <c r="A28" s="69"/>
      <c r="B28" s="156"/>
      <c r="C28" s="157"/>
      <c r="D28" s="562"/>
      <c r="E28" s="564"/>
      <c r="F28" s="566"/>
      <c r="G28" s="568"/>
      <c r="H28" s="355"/>
      <c r="I28" s="355"/>
      <c r="J28" s="158"/>
      <c r="K28" s="69" t="s">
        <v>146</v>
      </c>
    </row>
    <row r="29" spans="1:11" ht="10.5" customHeight="1">
      <c r="A29" s="69"/>
      <c r="B29" s="159"/>
      <c r="C29" s="160"/>
      <c r="D29" s="563"/>
      <c r="E29" s="565"/>
      <c r="F29" s="567"/>
      <c r="G29" s="569"/>
      <c r="H29" s="356"/>
      <c r="I29" s="356"/>
      <c r="J29" s="161"/>
      <c r="K29" s="69" t="s">
        <v>146</v>
      </c>
    </row>
    <row r="30" spans="1:11" ht="10.5" customHeight="1">
      <c r="A30" s="69"/>
      <c r="B30" s="156"/>
      <c r="C30" s="157"/>
      <c r="D30" s="562"/>
      <c r="E30" s="564"/>
      <c r="F30" s="566"/>
      <c r="G30" s="568"/>
      <c r="H30" s="355"/>
      <c r="I30" s="355"/>
      <c r="J30" s="158"/>
      <c r="K30" s="69" t="s">
        <v>146</v>
      </c>
    </row>
    <row r="31" spans="1:11" ht="10.5" customHeight="1">
      <c r="A31" s="69"/>
      <c r="B31" s="159"/>
      <c r="C31" s="160"/>
      <c r="D31" s="563"/>
      <c r="E31" s="565"/>
      <c r="F31" s="567"/>
      <c r="G31" s="569"/>
      <c r="H31" s="356"/>
      <c r="I31" s="356"/>
      <c r="J31" s="161"/>
      <c r="K31" s="69" t="s">
        <v>146</v>
      </c>
    </row>
    <row r="32" spans="1:11" ht="10.5" customHeight="1">
      <c r="A32" s="69"/>
      <c r="B32" s="156"/>
      <c r="C32" s="157"/>
      <c r="D32" s="562"/>
      <c r="E32" s="564"/>
      <c r="F32" s="566"/>
      <c r="G32" s="568"/>
      <c r="H32" s="355"/>
      <c r="I32" s="355"/>
      <c r="J32" s="158"/>
      <c r="K32" s="69" t="s">
        <v>146</v>
      </c>
    </row>
    <row r="33" spans="1:11" ht="10.5" customHeight="1">
      <c r="A33" s="69"/>
      <c r="B33" s="159"/>
      <c r="C33" s="160"/>
      <c r="D33" s="563"/>
      <c r="E33" s="565"/>
      <c r="F33" s="567"/>
      <c r="G33" s="569"/>
      <c r="H33" s="356"/>
      <c r="I33" s="356"/>
      <c r="J33" s="161"/>
      <c r="K33" s="69" t="s">
        <v>146</v>
      </c>
    </row>
    <row r="34" spans="1:11" ht="10.5" customHeight="1">
      <c r="A34" s="69"/>
      <c r="B34" s="156"/>
      <c r="C34" s="157"/>
      <c r="D34" s="562"/>
      <c r="E34" s="564"/>
      <c r="F34" s="566"/>
      <c r="G34" s="568"/>
      <c r="H34" s="355"/>
      <c r="I34" s="355"/>
      <c r="J34" s="158"/>
      <c r="K34" s="69" t="s">
        <v>146</v>
      </c>
    </row>
    <row r="35" spans="1:11" ht="10.5" customHeight="1">
      <c r="A35" s="69"/>
      <c r="B35" s="159"/>
      <c r="C35" s="160"/>
      <c r="D35" s="563"/>
      <c r="E35" s="565"/>
      <c r="F35" s="567"/>
      <c r="G35" s="569"/>
      <c r="H35" s="356"/>
      <c r="I35" s="356"/>
      <c r="J35" s="161"/>
      <c r="K35" s="69" t="s">
        <v>146</v>
      </c>
    </row>
    <row r="36" spans="1:11" ht="10.5" customHeight="1">
      <c r="A36" s="69"/>
      <c r="B36" s="156"/>
      <c r="C36" s="157"/>
      <c r="D36" s="562"/>
      <c r="E36" s="564"/>
      <c r="F36" s="566"/>
      <c r="G36" s="568"/>
      <c r="H36" s="355"/>
      <c r="I36" s="355"/>
      <c r="J36" s="158"/>
      <c r="K36" s="69" t="s">
        <v>146</v>
      </c>
    </row>
    <row r="37" spans="1:11" ht="10.5" customHeight="1">
      <c r="A37" s="69"/>
      <c r="B37" s="159"/>
      <c r="C37" s="160"/>
      <c r="D37" s="563"/>
      <c r="E37" s="565"/>
      <c r="F37" s="567"/>
      <c r="G37" s="569"/>
      <c r="H37" s="356"/>
      <c r="I37" s="356"/>
      <c r="J37" s="161"/>
      <c r="K37" s="69" t="s">
        <v>146</v>
      </c>
    </row>
    <row r="38" spans="1:11" ht="10.5" customHeight="1">
      <c r="A38" s="69"/>
      <c r="B38" s="156"/>
      <c r="C38" s="157"/>
      <c r="D38" s="562"/>
      <c r="E38" s="564"/>
      <c r="F38" s="566"/>
      <c r="G38" s="568"/>
      <c r="H38" s="355"/>
      <c r="I38" s="355"/>
      <c r="J38" s="158"/>
      <c r="K38" s="69" t="s">
        <v>146</v>
      </c>
    </row>
    <row r="39" spans="1:11" ht="10.5" customHeight="1">
      <c r="A39" s="69"/>
      <c r="B39" s="159"/>
      <c r="C39" s="160"/>
      <c r="D39" s="563"/>
      <c r="E39" s="565"/>
      <c r="F39" s="567"/>
      <c r="G39" s="569"/>
      <c r="H39" s="356"/>
      <c r="I39" s="356"/>
      <c r="J39" s="161"/>
      <c r="K39" s="69" t="s">
        <v>146</v>
      </c>
    </row>
    <row r="40" spans="1:11" ht="10.5" customHeight="1">
      <c r="A40" s="69"/>
      <c r="B40" s="156"/>
      <c r="C40" s="157"/>
      <c r="D40" s="562"/>
      <c r="E40" s="564"/>
      <c r="F40" s="566"/>
      <c r="G40" s="568"/>
      <c r="H40" s="355"/>
      <c r="I40" s="355"/>
      <c r="J40" s="158"/>
      <c r="K40" s="69" t="s">
        <v>146</v>
      </c>
    </row>
    <row r="41" spans="1:11" ht="10.5" customHeight="1">
      <c r="A41" s="69"/>
      <c r="B41" s="159"/>
      <c r="C41" s="160"/>
      <c r="D41" s="563"/>
      <c r="E41" s="565"/>
      <c r="F41" s="567"/>
      <c r="G41" s="569"/>
      <c r="H41" s="356"/>
      <c r="I41" s="356"/>
      <c r="J41" s="161"/>
      <c r="K41" s="69" t="s">
        <v>146</v>
      </c>
    </row>
    <row r="42" spans="1:11" ht="10.5" customHeight="1">
      <c r="A42" s="69"/>
      <c r="B42" s="156"/>
      <c r="C42" s="157"/>
      <c r="D42" s="562"/>
      <c r="E42" s="564"/>
      <c r="F42" s="566"/>
      <c r="G42" s="568"/>
      <c r="H42" s="355"/>
      <c r="I42" s="355"/>
      <c r="J42" s="158"/>
      <c r="K42" s="69" t="s">
        <v>146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56"/>
      <c r="I43" s="356"/>
      <c r="J43" s="161"/>
      <c r="K43" s="69" t="s">
        <v>146</v>
      </c>
    </row>
    <row r="44" spans="1:11" ht="10.5" customHeight="1">
      <c r="A44" s="69"/>
      <c r="B44" s="156"/>
      <c r="C44" s="157"/>
      <c r="D44" s="562"/>
      <c r="E44" s="564"/>
      <c r="F44" s="566"/>
      <c r="G44" s="568"/>
      <c r="H44" s="355"/>
      <c r="I44" s="355"/>
      <c r="J44" s="158"/>
      <c r="K44" s="69" t="s">
        <v>146</v>
      </c>
    </row>
    <row r="45" spans="1:11" ht="10.5" customHeight="1">
      <c r="A45" s="69"/>
      <c r="B45" s="159"/>
      <c r="C45" s="160"/>
      <c r="D45" s="563"/>
      <c r="E45" s="565"/>
      <c r="F45" s="567"/>
      <c r="G45" s="569"/>
      <c r="H45" s="356"/>
      <c r="I45" s="356"/>
      <c r="J45" s="161"/>
      <c r="K45" s="69" t="s">
        <v>146</v>
      </c>
    </row>
    <row r="46" spans="1:11" ht="10.5" customHeight="1">
      <c r="A46" s="69"/>
      <c r="B46" s="156"/>
      <c r="C46" s="157"/>
      <c r="D46" s="570"/>
      <c r="E46" s="572"/>
      <c r="F46" s="574"/>
      <c r="G46" s="576"/>
      <c r="H46" s="355"/>
      <c r="I46" s="355"/>
      <c r="J46" s="162"/>
      <c r="K46" s="69" t="s">
        <v>146</v>
      </c>
    </row>
    <row r="47" spans="1:11" ht="10.5" customHeight="1" thickBot="1">
      <c r="A47" s="69"/>
      <c r="B47" s="163"/>
      <c r="C47" s="164"/>
      <c r="D47" s="571"/>
      <c r="E47" s="573"/>
      <c r="F47" s="575"/>
      <c r="G47" s="577"/>
      <c r="H47" s="357"/>
      <c r="I47" s="357"/>
      <c r="J47" s="165"/>
      <c r="K47" s="69" t="s">
        <v>146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345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305</v>
      </c>
      <c r="C3" s="146" t="s">
        <v>306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307</v>
      </c>
      <c r="K4" s="69"/>
    </row>
    <row r="5" spans="1:11" ht="18" customHeight="1">
      <c r="A5" s="69"/>
      <c r="B5" s="580" t="s">
        <v>308</v>
      </c>
      <c r="C5" s="581"/>
      <c r="D5" s="153" t="s">
        <v>293</v>
      </c>
      <c r="E5" s="153" t="s">
        <v>309</v>
      </c>
      <c r="F5" s="153" t="s">
        <v>310</v>
      </c>
      <c r="G5" s="153" t="s">
        <v>311</v>
      </c>
      <c r="H5" s="154" t="s">
        <v>312</v>
      </c>
      <c r="I5" s="153" t="s">
        <v>313</v>
      </c>
      <c r="J5" s="155" t="s">
        <v>314</v>
      </c>
      <c r="K5" s="69"/>
    </row>
    <row r="6" spans="1:11" ht="10.5" customHeight="1">
      <c r="A6" s="69"/>
      <c r="B6" s="156" t="s">
        <v>346</v>
      </c>
      <c r="C6" s="157"/>
      <c r="D6" s="562" t="s">
        <v>347</v>
      </c>
      <c r="E6" s="578">
        <v>3</v>
      </c>
      <c r="F6" s="566">
        <v>65000</v>
      </c>
      <c r="G6" s="568">
        <v>195000</v>
      </c>
      <c r="H6" s="355"/>
      <c r="I6" s="355"/>
      <c r="J6" s="158"/>
      <c r="K6" s="69" t="s">
        <v>146</v>
      </c>
    </row>
    <row r="7" spans="1:11" ht="10.5" customHeight="1">
      <c r="A7" s="69"/>
      <c r="B7" s="159"/>
      <c r="C7" s="160"/>
      <c r="D7" s="563"/>
      <c r="E7" s="579"/>
      <c r="F7" s="567"/>
      <c r="G7" s="569"/>
      <c r="H7" s="356"/>
      <c r="I7" s="356" t="s">
        <v>348</v>
      </c>
      <c r="J7" s="161"/>
      <c r="K7" s="69" t="s">
        <v>146</v>
      </c>
    </row>
    <row r="8" spans="1:11" ht="10.5" customHeight="1">
      <c r="A8" s="69"/>
      <c r="B8" s="156" t="s">
        <v>349</v>
      </c>
      <c r="C8" s="157"/>
      <c r="D8" s="562" t="s">
        <v>347</v>
      </c>
      <c r="E8" s="578">
        <v>3</v>
      </c>
      <c r="F8" s="566">
        <v>8000</v>
      </c>
      <c r="G8" s="568">
        <v>24000</v>
      </c>
      <c r="H8" s="355"/>
      <c r="I8" s="355"/>
      <c r="J8" s="162"/>
      <c r="K8" s="69" t="s">
        <v>146</v>
      </c>
    </row>
    <row r="9" spans="1:11" ht="10.5" customHeight="1">
      <c r="A9" s="69"/>
      <c r="B9" s="159"/>
      <c r="C9" s="160"/>
      <c r="D9" s="563"/>
      <c r="E9" s="579"/>
      <c r="F9" s="567"/>
      <c r="G9" s="569"/>
      <c r="H9" s="356"/>
      <c r="I9" s="356" t="s">
        <v>348</v>
      </c>
      <c r="J9" s="162"/>
      <c r="K9" s="69" t="s">
        <v>146</v>
      </c>
    </row>
    <row r="10" spans="1:11" ht="10.5" customHeight="1">
      <c r="A10" s="69"/>
      <c r="B10" s="156" t="s">
        <v>350</v>
      </c>
      <c r="C10" s="157"/>
      <c r="D10" s="562" t="s">
        <v>347</v>
      </c>
      <c r="E10" s="578">
        <v>3</v>
      </c>
      <c r="F10" s="566">
        <v>8500</v>
      </c>
      <c r="G10" s="568">
        <v>25500</v>
      </c>
      <c r="H10" s="355"/>
      <c r="I10" s="355"/>
      <c r="J10" s="158"/>
      <c r="K10" s="69" t="s">
        <v>146</v>
      </c>
    </row>
    <row r="11" spans="1:11" ht="10.5" customHeight="1">
      <c r="A11" s="69"/>
      <c r="B11" s="159"/>
      <c r="C11" s="160"/>
      <c r="D11" s="563"/>
      <c r="E11" s="579"/>
      <c r="F11" s="567"/>
      <c r="G11" s="569"/>
      <c r="H11" s="356"/>
      <c r="I11" s="356" t="s">
        <v>348</v>
      </c>
      <c r="J11" s="161"/>
      <c r="K11" s="69" t="s">
        <v>146</v>
      </c>
    </row>
    <row r="12" spans="1:11" ht="10.5" customHeight="1">
      <c r="A12" s="69"/>
      <c r="B12" s="156" t="s">
        <v>351</v>
      </c>
      <c r="C12" s="157"/>
      <c r="D12" s="562" t="s">
        <v>347</v>
      </c>
      <c r="E12" s="564">
        <v>3</v>
      </c>
      <c r="F12" s="566">
        <v>60000</v>
      </c>
      <c r="G12" s="568">
        <v>180000</v>
      </c>
      <c r="H12" s="355"/>
      <c r="I12" s="355"/>
      <c r="J12" s="158"/>
      <c r="K12" s="69" t="s">
        <v>146</v>
      </c>
    </row>
    <row r="13" spans="1:11" ht="10.5" customHeight="1">
      <c r="A13" s="69"/>
      <c r="B13" s="159" t="s">
        <v>352</v>
      </c>
      <c r="C13" s="160"/>
      <c r="D13" s="563"/>
      <c r="E13" s="565"/>
      <c r="F13" s="567"/>
      <c r="G13" s="569"/>
      <c r="H13" s="356"/>
      <c r="I13" s="356" t="s">
        <v>348</v>
      </c>
      <c r="J13" s="161"/>
      <c r="K13" s="69" t="s">
        <v>146</v>
      </c>
    </row>
    <row r="14" spans="1:11" ht="10.5" customHeight="1">
      <c r="A14" s="69"/>
      <c r="B14" s="156" t="s">
        <v>353</v>
      </c>
      <c r="C14" s="157"/>
      <c r="D14" s="562" t="s">
        <v>347</v>
      </c>
      <c r="E14" s="564">
        <v>3</v>
      </c>
      <c r="F14" s="566">
        <v>8000</v>
      </c>
      <c r="G14" s="568">
        <v>24000</v>
      </c>
      <c r="H14" s="355"/>
      <c r="I14" s="355"/>
      <c r="J14" s="158"/>
      <c r="K14" s="69" t="s">
        <v>146</v>
      </c>
    </row>
    <row r="15" spans="1:11" ht="10.5" customHeight="1">
      <c r="A15" s="69"/>
      <c r="B15" s="159"/>
      <c r="C15" s="160"/>
      <c r="D15" s="563"/>
      <c r="E15" s="565"/>
      <c r="F15" s="567"/>
      <c r="G15" s="569"/>
      <c r="H15" s="356"/>
      <c r="I15" s="356" t="s">
        <v>348</v>
      </c>
      <c r="J15" s="161"/>
      <c r="K15" s="69" t="s">
        <v>146</v>
      </c>
    </row>
    <row r="16" spans="1:11" ht="10.5" customHeight="1">
      <c r="A16" s="69"/>
      <c r="B16" s="156" t="s">
        <v>354</v>
      </c>
      <c r="C16" s="157"/>
      <c r="D16" s="562" t="s">
        <v>347</v>
      </c>
      <c r="E16" s="564">
        <v>3</v>
      </c>
      <c r="F16" s="566">
        <v>8500</v>
      </c>
      <c r="G16" s="568">
        <v>25500</v>
      </c>
      <c r="H16" s="355"/>
      <c r="I16" s="355"/>
      <c r="J16" s="158"/>
      <c r="K16" s="69" t="s">
        <v>146</v>
      </c>
    </row>
    <row r="17" spans="1:11" ht="10.5" customHeight="1">
      <c r="A17" s="69"/>
      <c r="B17" s="159"/>
      <c r="C17" s="160"/>
      <c r="D17" s="563"/>
      <c r="E17" s="565"/>
      <c r="F17" s="567"/>
      <c r="G17" s="569"/>
      <c r="H17" s="356"/>
      <c r="I17" s="356" t="s">
        <v>348</v>
      </c>
      <c r="J17" s="161"/>
      <c r="K17" s="69" t="s">
        <v>146</v>
      </c>
    </row>
    <row r="18" spans="1:11" ht="10.5" customHeight="1">
      <c r="A18" s="69"/>
      <c r="B18" s="156" t="s">
        <v>354</v>
      </c>
      <c r="C18" s="157"/>
      <c r="D18" s="562" t="s">
        <v>347</v>
      </c>
      <c r="E18" s="564">
        <v>3</v>
      </c>
      <c r="F18" s="566">
        <v>12000</v>
      </c>
      <c r="G18" s="568">
        <v>36000</v>
      </c>
      <c r="H18" s="355"/>
      <c r="I18" s="355"/>
      <c r="J18" s="158"/>
      <c r="K18" s="69" t="s">
        <v>146</v>
      </c>
    </row>
    <row r="19" spans="1:11" ht="10.5" customHeight="1">
      <c r="A19" s="69"/>
      <c r="B19" s="159" t="s">
        <v>355</v>
      </c>
      <c r="C19" s="160"/>
      <c r="D19" s="563"/>
      <c r="E19" s="565"/>
      <c r="F19" s="567"/>
      <c r="G19" s="569"/>
      <c r="H19" s="356"/>
      <c r="I19" s="356" t="s">
        <v>348</v>
      </c>
      <c r="J19" s="161"/>
      <c r="K19" s="69" t="s">
        <v>146</v>
      </c>
    </row>
    <row r="20" spans="1:11" ht="10.5" customHeight="1">
      <c r="A20" s="69"/>
      <c r="B20" s="156" t="s">
        <v>356</v>
      </c>
      <c r="C20" s="157"/>
      <c r="D20" s="562" t="s">
        <v>347</v>
      </c>
      <c r="E20" s="564">
        <v>3</v>
      </c>
      <c r="F20" s="566">
        <v>15000</v>
      </c>
      <c r="G20" s="568">
        <v>45000</v>
      </c>
      <c r="H20" s="355"/>
      <c r="I20" s="355"/>
      <c r="J20" s="158"/>
      <c r="K20" s="69" t="s">
        <v>146</v>
      </c>
    </row>
    <row r="21" spans="1:11" ht="10.5" customHeight="1">
      <c r="A21" s="69"/>
      <c r="B21" s="159"/>
      <c r="C21" s="160"/>
      <c r="D21" s="563"/>
      <c r="E21" s="565"/>
      <c r="F21" s="567"/>
      <c r="G21" s="569"/>
      <c r="H21" s="356"/>
      <c r="I21" s="356" t="s">
        <v>348</v>
      </c>
      <c r="J21" s="161"/>
      <c r="K21" s="69" t="s">
        <v>146</v>
      </c>
    </row>
    <row r="22" spans="1:11" ht="10.5" customHeight="1">
      <c r="A22" s="69"/>
      <c r="B22" s="156" t="s">
        <v>357</v>
      </c>
      <c r="C22" s="157"/>
      <c r="D22" s="562" t="s">
        <v>347</v>
      </c>
      <c r="E22" s="564">
        <v>6</v>
      </c>
      <c r="F22" s="566">
        <v>5000</v>
      </c>
      <c r="G22" s="568">
        <v>30000</v>
      </c>
      <c r="H22" s="355"/>
      <c r="I22" s="355"/>
      <c r="J22" s="158"/>
      <c r="K22" s="69" t="s">
        <v>146</v>
      </c>
    </row>
    <row r="23" spans="1:11" ht="10.5" customHeight="1">
      <c r="A23" s="69"/>
      <c r="B23" s="159"/>
      <c r="C23" s="160"/>
      <c r="D23" s="563"/>
      <c r="E23" s="565"/>
      <c r="F23" s="567"/>
      <c r="G23" s="569"/>
      <c r="H23" s="356"/>
      <c r="I23" s="356" t="s">
        <v>348</v>
      </c>
      <c r="J23" s="161"/>
      <c r="K23" s="69" t="s">
        <v>146</v>
      </c>
    </row>
    <row r="24" spans="1:11" ht="10.5" customHeight="1">
      <c r="A24" s="69"/>
      <c r="B24" s="156" t="s">
        <v>357</v>
      </c>
      <c r="C24" s="157"/>
      <c r="D24" s="562" t="s">
        <v>347</v>
      </c>
      <c r="E24" s="578">
        <v>9</v>
      </c>
      <c r="F24" s="566">
        <v>7000</v>
      </c>
      <c r="G24" s="568">
        <v>63000</v>
      </c>
      <c r="H24" s="355"/>
      <c r="I24" s="355"/>
      <c r="J24" s="158"/>
      <c r="K24" s="69" t="s">
        <v>146</v>
      </c>
    </row>
    <row r="25" spans="1:11" ht="10.5" customHeight="1">
      <c r="A25" s="69"/>
      <c r="B25" s="159" t="s">
        <v>358</v>
      </c>
      <c r="C25" s="160"/>
      <c r="D25" s="563"/>
      <c r="E25" s="579"/>
      <c r="F25" s="567"/>
      <c r="G25" s="569"/>
      <c r="H25" s="356"/>
      <c r="I25" s="356" t="s">
        <v>348</v>
      </c>
      <c r="J25" s="161"/>
      <c r="K25" s="69" t="s">
        <v>146</v>
      </c>
    </row>
    <row r="26" spans="1:11" ht="10.5" customHeight="1">
      <c r="A26" s="69"/>
      <c r="B26" s="156" t="s">
        <v>357</v>
      </c>
      <c r="C26" s="157"/>
      <c r="D26" s="562" t="s">
        <v>347</v>
      </c>
      <c r="E26" s="564">
        <v>30</v>
      </c>
      <c r="F26" s="566">
        <v>7000</v>
      </c>
      <c r="G26" s="568">
        <v>210000</v>
      </c>
      <c r="H26" s="355"/>
      <c r="I26" s="355"/>
      <c r="J26" s="158"/>
      <c r="K26" s="69" t="s">
        <v>146</v>
      </c>
    </row>
    <row r="27" spans="1:11" ht="10.5" customHeight="1">
      <c r="A27" s="69"/>
      <c r="B27" s="159" t="s">
        <v>359</v>
      </c>
      <c r="C27" s="160"/>
      <c r="D27" s="563"/>
      <c r="E27" s="565"/>
      <c r="F27" s="567"/>
      <c r="G27" s="569"/>
      <c r="H27" s="356"/>
      <c r="I27" s="356" t="s">
        <v>348</v>
      </c>
      <c r="J27" s="161"/>
      <c r="K27" s="69" t="s">
        <v>146</v>
      </c>
    </row>
    <row r="28" spans="1:11" ht="10.5" customHeight="1">
      <c r="A28" s="69"/>
      <c r="B28" s="156" t="s">
        <v>360</v>
      </c>
      <c r="C28" s="157"/>
      <c r="D28" s="562" t="s">
        <v>347</v>
      </c>
      <c r="E28" s="564">
        <v>3</v>
      </c>
      <c r="F28" s="566">
        <v>320000</v>
      </c>
      <c r="G28" s="568">
        <v>960000</v>
      </c>
      <c r="H28" s="355"/>
      <c r="I28" s="355"/>
      <c r="J28" s="158"/>
      <c r="K28" s="69" t="s">
        <v>146</v>
      </c>
    </row>
    <row r="29" spans="1:11" ht="10.5" customHeight="1">
      <c r="A29" s="69"/>
      <c r="B29" s="159"/>
      <c r="C29" s="160"/>
      <c r="D29" s="563"/>
      <c r="E29" s="565"/>
      <c r="F29" s="567"/>
      <c r="G29" s="569"/>
      <c r="H29" s="356"/>
      <c r="I29" s="356" t="s">
        <v>348</v>
      </c>
      <c r="J29" s="161"/>
      <c r="K29" s="69" t="s">
        <v>146</v>
      </c>
    </row>
    <row r="30" spans="1:11" ht="10.5" customHeight="1">
      <c r="A30" s="69"/>
      <c r="B30" s="156" t="s">
        <v>361</v>
      </c>
      <c r="C30" s="157"/>
      <c r="D30" s="562" t="s">
        <v>347</v>
      </c>
      <c r="E30" s="564">
        <v>3</v>
      </c>
      <c r="F30" s="566">
        <v>5000</v>
      </c>
      <c r="G30" s="568">
        <v>15000</v>
      </c>
      <c r="H30" s="355"/>
      <c r="I30" s="355"/>
      <c r="J30" s="158"/>
      <c r="K30" s="69" t="s">
        <v>146</v>
      </c>
    </row>
    <row r="31" spans="1:11" ht="10.5" customHeight="1">
      <c r="A31" s="69"/>
      <c r="B31" s="159"/>
      <c r="C31" s="160"/>
      <c r="D31" s="563"/>
      <c r="E31" s="565"/>
      <c r="F31" s="567"/>
      <c r="G31" s="569"/>
      <c r="H31" s="356"/>
      <c r="I31" s="356" t="s">
        <v>348</v>
      </c>
      <c r="J31" s="161"/>
      <c r="K31" s="69" t="s">
        <v>146</v>
      </c>
    </row>
    <row r="32" spans="1:11" ht="10.5" customHeight="1">
      <c r="A32" s="69"/>
      <c r="B32" s="156"/>
      <c r="C32" s="157"/>
      <c r="D32" s="562"/>
      <c r="E32" s="564"/>
      <c r="F32" s="566"/>
      <c r="G32" s="568"/>
      <c r="H32" s="355"/>
      <c r="I32" s="355"/>
      <c r="J32" s="158"/>
      <c r="K32" s="69" t="s">
        <v>146</v>
      </c>
    </row>
    <row r="33" spans="1:11" ht="10.5" customHeight="1">
      <c r="A33" s="69"/>
      <c r="B33" s="159"/>
      <c r="C33" s="160"/>
      <c r="D33" s="563"/>
      <c r="E33" s="565"/>
      <c r="F33" s="567"/>
      <c r="G33" s="569"/>
      <c r="H33" s="356"/>
      <c r="I33" s="356"/>
      <c r="J33" s="161"/>
      <c r="K33" s="69" t="s">
        <v>146</v>
      </c>
    </row>
    <row r="34" spans="1:11" ht="10.5" customHeight="1">
      <c r="A34" s="69"/>
      <c r="B34" s="156" t="s">
        <v>334</v>
      </c>
      <c r="C34" s="157"/>
      <c r="D34" s="562"/>
      <c r="E34" s="564"/>
      <c r="F34" s="566"/>
      <c r="G34" s="568">
        <v>1833000</v>
      </c>
      <c r="H34" s="355"/>
      <c r="I34" s="355"/>
      <c r="J34" s="158"/>
      <c r="K34" s="69" t="s">
        <v>146</v>
      </c>
    </row>
    <row r="35" spans="1:11" ht="10.5" customHeight="1">
      <c r="A35" s="69"/>
      <c r="B35" s="159"/>
      <c r="C35" s="160"/>
      <c r="D35" s="563"/>
      <c r="E35" s="565"/>
      <c r="F35" s="567"/>
      <c r="G35" s="569"/>
      <c r="H35" s="356"/>
      <c r="I35" s="356"/>
      <c r="J35" s="161"/>
      <c r="K35" s="69" t="s">
        <v>146</v>
      </c>
    </row>
    <row r="36" spans="1:11" ht="10.5" customHeight="1">
      <c r="A36" s="69"/>
      <c r="B36" s="156"/>
      <c r="C36" s="157"/>
      <c r="D36" s="562"/>
      <c r="E36" s="564"/>
      <c r="F36" s="566"/>
      <c r="G36" s="568"/>
      <c r="H36" s="355"/>
      <c r="I36" s="355"/>
      <c r="J36" s="158"/>
      <c r="K36" s="69" t="s">
        <v>146</v>
      </c>
    </row>
    <row r="37" spans="1:11" ht="10.5" customHeight="1">
      <c r="A37" s="69"/>
      <c r="B37" s="159"/>
      <c r="C37" s="160"/>
      <c r="D37" s="563"/>
      <c r="E37" s="565"/>
      <c r="F37" s="567"/>
      <c r="G37" s="569"/>
      <c r="H37" s="356"/>
      <c r="I37" s="356"/>
      <c r="J37" s="161"/>
      <c r="K37" s="69" t="s">
        <v>146</v>
      </c>
    </row>
    <row r="38" spans="1:11" ht="10.5" customHeight="1">
      <c r="A38" s="69"/>
      <c r="B38" s="156"/>
      <c r="C38" s="157"/>
      <c r="D38" s="562"/>
      <c r="E38" s="564"/>
      <c r="F38" s="566"/>
      <c r="G38" s="568"/>
      <c r="H38" s="355"/>
      <c r="I38" s="355"/>
      <c r="J38" s="158"/>
      <c r="K38" s="69" t="s">
        <v>146</v>
      </c>
    </row>
    <row r="39" spans="1:11" ht="10.5" customHeight="1">
      <c r="A39" s="69"/>
      <c r="B39" s="159"/>
      <c r="C39" s="160"/>
      <c r="D39" s="563"/>
      <c r="E39" s="565"/>
      <c r="F39" s="567"/>
      <c r="G39" s="569"/>
      <c r="H39" s="356"/>
      <c r="I39" s="356"/>
      <c r="J39" s="161"/>
      <c r="K39" s="69" t="s">
        <v>146</v>
      </c>
    </row>
    <row r="40" spans="1:11" ht="10.5" customHeight="1">
      <c r="A40" s="69"/>
      <c r="B40" s="156"/>
      <c r="C40" s="157"/>
      <c r="D40" s="562"/>
      <c r="E40" s="564"/>
      <c r="F40" s="566"/>
      <c r="G40" s="568"/>
      <c r="H40" s="355"/>
      <c r="I40" s="355"/>
      <c r="J40" s="158"/>
      <c r="K40" s="69" t="s">
        <v>146</v>
      </c>
    </row>
    <row r="41" spans="1:11" ht="10.5" customHeight="1">
      <c r="A41" s="69"/>
      <c r="B41" s="159"/>
      <c r="C41" s="160"/>
      <c r="D41" s="563"/>
      <c r="E41" s="565"/>
      <c r="F41" s="567"/>
      <c r="G41" s="569"/>
      <c r="H41" s="356"/>
      <c r="I41" s="356"/>
      <c r="J41" s="161"/>
      <c r="K41" s="69" t="s">
        <v>146</v>
      </c>
    </row>
    <row r="42" spans="1:11" ht="10.5" customHeight="1">
      <c r="A42" s="69"/>
      <c r="B42" s="156"/>
      <c r="C42" s="157"/>
      <c r="D42" s="562"/>
      <c r="E42" s="564"/>
      <c r="F42" s="566"/>
      <c r="G42" s="568"/>
      <c r="H42" s="355"/>
      <c r="I42" s="355"/>
      <c r="J42" s="158"/>
      <c r="K42" s="69" t="s">
        <v>146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56"/>
      <c r="I43" s="356"/>
      <c r="J43" s="161"/>
      <c r="K43" s="69" t="s">
        <v>146</v>
      </c>
    </row>
    <row r="44" spans="1:11" ht="10.5" customHeight="1">
      <c r="A44" s="69"/>
      <c r="B44" s="156"/>
      <c r="C44" s="157"/>
      <c r="D44" s="562"/>
      <c r="E44" s="564"/>
      <c r="F44" s="566"/>
      <c r="G44" s="568"/>
      <c r="H44" s="355"/>
      <c r="I44" s="355"/>
      <c r="J44" s="158"/>
      <c r="K44" s="69" t="s">
        <v>146</v>
      </c>
    </row>
    <row r="45" spans="1:11" ht="10.5" customHeight="1">
      <c r="A45" s="69"/>
      <c r="B45" s="159"/>
      <c r="C45" s="160"/>
      <c r="D45" s="563"/>
      <c r="E45" s="565"/>
      <c r="F45" s="567"/>
      <c r="G45" s="569"/>
      <c r="H45" s="356"/>
      <c r="I45" s="356"/>
      <c r="J45" s="161"/>
      <c r="K45" s="69" t="s">
        <v>146</v>
      </c>
    </row>
    <row r="46" spans="1:11" ht="10.5" customHeight="1">
      <c r="A46" s="69"/>
      <c r="B46" s="156"/>
      <c r="C46" s="157"/>
      <c r="D46" s="570"/>
      <c r="E46" s="572"/>
      <c r="F46" s="574"/>
      <c r="G46" s="576"/>
      <c r="H46" s="355"/>
      <c r="I46" s="355"/>
      <c r="J46" s="162"/>
      <c r="K46" s="69" t="s">
        <v>146</v>
      </c>
    </row>
    <row r="47" spans="1:11" ht="10.5" customHeight="1" thickBot="1">
      <c r="A47" s="69"/>
      <c r="B47" s="163"/>
      <c r="C47" s="164"/>
      <c r="D47" s="571"/>
      <c r="E47" s="573"/>
      <c r="F47" s="575"/>
      <c r="G47" s="577"/>
      <c r="H47" s="357"/>
      <c r="I47" s="357"/>
      <c r="J47" s="165"/>
      <c r="K47" s="69" t="s">
        <v>146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23" t="s">
        <v>362</v>
      </c>
      <c r="E1" s="523"/>
      <c r="F1" s="523"/>
      <c r="G1" s="52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305</v>
      </c>
      <c r="C3" s="146" t="s">
        <v>306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307</v>
      </c>
      <c r="K4" s="69"/>
    </row>
    <row r="5" spans="1:11" ht="18" customHeight="1">
      <c r="A5" s="69"/>
      <c r="B5" s="580" t="s">
        <v>308</v>
      </c>
      <c r="C5" s="581"/>
      <c r="D5" s="153" t="s">
        <v>293</v>
      </c>
      <c r="E5" s="153" t="s">
        <v>309</v>
      </c>
      <c r="F5" s="153" t="s">
        <v>310</v>
      </c>
      <c r="G5" s="153" t="s">
        <v>311</v>
      </c>
      <c r="H5" s="154" t="s">
        <v>312</v>
      </c>
      <c r="I5" s="153" t="s">
        <v>313</v>
      </c>
      <c r="J5" s="155" t="s">
        <v>314</v>
      </c>
      <c r="K5" s="69"/>
    </row>
    <row r="6" spans="1:11" ht="10.5" customHeight="1">
      <c r="A6" s="69"/>
      <c r="B6" s="156" t="s">
        <v>363</v>
      </c>
      <c r="C6" s="157"/>
      <c r="D6" s="562" t="s">
        <v>347</v>
      </c>
      <c r="E6" s="578">
        <v>26</v>
      </c>
      <c r="F6" s="566">
        <v>52000</v>
      </c>
      <c r="G6" s="568">
        <v>1352000</v>
      </c>
      <c r="H6" s="355"/>
      <c r="I6" s="355"/>
      <c r="J6" s="158"/>
      <c r="K6" s="69" t="s">
        <v>146</v>
      </c>
    </row>
    <row r="7" spans="1:11" ht="10.5" customHeight="1">
      <c r="A7" s="69"/>
      <c r="B7" s="159" t="s">
        <v>364</v>
      </c>
      <c r="C7" s="160"/>
      <c r="D7" s="563"/>
      <c r="E7" s="579"/>
      <c r="F7" s="567"/>
      <c r="G7" s="569"/>
      <c r="H7" s="356"/>
      <c r="I7" s="356" t="s">
        <v>365</v>
      </c>
      <c r="J7" s="161"/>
      <c r="K7" s="69" t="s">
        <v>146</v>
      </c>
    </row>
    <row r="8" spans="1:11" ht="10.5" customHeight="1">
      <c r="A8" s="69"/>
      <c r="B8" s="156" t="s">
        <v>366</v>
      </c>
      <c r="C8" s="157"/>
      <c r="D8" s="562" t="s">
        <v>347</v>
      </c>
      <c r="E8" s="578">
        <v>3</v>
      </c>
      <c r="F8" s="566">
        <v>30000</v>
      </c>
      <c r="G8" s="568">
        <v>90000</v>
      </c>
      <c r="H8" s="355"/>
      <c r="I8" s="355"/>
      <c r="J8" s="162"/>
      <c r="K8" s="69" t="s">
        <v>146</v>
      </c>
    </row>
    <row r="9" spans="1:11" ht="10.5" customHeight="1">
      <c r="A9" s="69"/>
      <c r="B9" s="159"/>
      <c r="C9" s="160"/>
      <c r="D9" s="563"/>
      <c r="E9" s="579"/>
      <c r="F9" s="567"/>
      <c r="G9" s="569"/>
      <c r="H9" s="356"/>
      <c r="I9" s="356" t="s">
        <v>365</v>
      </c>
      <c r="J9" s="162"/>
      <c r="K9" s="69" t="s">
        <v>146</v>
      </c>
    </row>
    <row r="10" spans="1:11" ht="10.5" customHeight="1">
      <c r="A10" s="69"/>
      <c r="B10" s="156" t="s">
        <v>367</v>
      </c>
      <c r="C10" s="157"/>
      <c r="D10" s="562" t="s">
        <v>347</v>
      </c>
      <c r="E10" s="578">
        <v>6</v>
      </c>
      <c r="F10" s="566">
        <v>8000</v>
      </c>
      <c r="G10" s="568">
        <v>48000</v>
      </c>
      <c r="H10" s="355"/>
      <c r="I10" s="355"/>
      <c r="J10" s="158"/>
      <c r="K10" s="69" t="s">
        <v>146</v>
      </c>
    </row>
    <row r="11" spans="1:11" ht="10.5" customHeight="1">
      <c r="A11" s="69"/>
      <c r="B11" s="159"/>
      <c r="C11" s="160"/>
      <c r="D11" s="563"/>
      <c r="E11" s="579"/>
      <c r="F11" s="567"/>
      <c r="G11" s="569"/>
      <c r="H11" s="356"/>
      <c r="I11" s="356" t="s">
        <v>365</v>
      </c>
      <c r="J11" s="161"/>
      <c r="K11" s="69" t="s">
        <v>146</v>
      </c>
    </row>
    <row r="12" spans="1:11" ht="10.5" customHeight="1">
      <c r="A12" s="69"/>
      <c r="B12" s="156" t="s">
        <v>368</v>
      </c>
      <c r="C12" s="157"/>
      <c r="D12" s="562" t="s">
        <v>347</v>
      </c>
      <c r="E12" s="564">
        <v>6</v>
      </c>
      <c r="F12" s="566">
        <v>5000</v>
      </c>
      <c r="G12" s="568">
        <v>30000</v>
      </c>
      <c r="H12" s="355"/>
      <c r="I12" s="355"/>
      <c r="J12" s="158"/>
      <c r="K12" s="69" t="s">
        <v>146</v>
      </c>
    </row>
    <row r="13" spans="1:11" ht="10.5" customHeight="1">
      <c r="A13" s="69"/>
      <c r="B13" s="159"/>
      <c r="C13" s="160"/>
      <c r="D13" s="563"/>
      <c r="E13" s="565"/>
      <c r="F13" s="567"/>
      <c r="G13" s="569"/>
      <c r="H13" s="356"/>
      <c r="I13" s="356" t="s">
        <v>365</v>
      </c>
      <c r="J13" s="161"/>
      <c r="K13" s="69" t="s">
        <v>146</v>
      </c>
    </row>
    <row r="14" spans="1:11" ht="10.5" customHeight="1">
      <c r="A14" s="69"/>
      <c r="B14" s="156" t="s">
        <v>369</v>
      </c>
      <c r="C14" s="157"/>
      <c r="D14" s="562" t="s">
        <v>332</v>
      </c>
      <c r="E14" s="564">
        <v>1</v>
      </c>
      <c r="F14" s="566">
        <v>60000</v>
      </c>
      <c r="G14" s="568">
        <v>60000</v>
      </c>
      <c r="H14" s="355"/>
      <c r="I14" s="355"/>
      <c r="J14" s="158"/>
      <c r="K14" s="69" t="s">
        <v>146</v>
      </c>
    </row>
    <row r="15" spans="1:11" ht="10.5" customHeight="1">
      <c r="A15" s="69"/>
      <c r="B15" s="159"/>
      <c r="C15" s="160"/>
      <c r="D15" s="563"/>
      <c r="E15" s="565"/>
      <c r="F15" s="567"/>
      <c r="G15" s="569"/>
      <c r="H15" s="356"/>
      <c r="I15" s="356" t="s">
        <v>365</v>
      </c>
      <c r="J15" s="161"/>
      <c r="K15" s="69" t="s">
        <v>146</v>
      </c>
    </row>
    <row r="16" spans="1:11" ht="10.5" customHeight="1">
      <c r="A16" s="69"/>
      <c r="B16" s="156"/>
      <c r="C16" s="157"/>
      <c r="D16" s="562"/>
      <c r="E16" s="564"/>
      <c r="F16" s="566"/>
      <c r="G16" s="568"/>
      <c r="H16" s="355"/>
      <c r="I16" s="355"/>
      <c r="J16" s="158"/>
      <c r="K16" s="69" t="s">
        <v>146</v>
      </c>
    </row>
    <row r="17" spans="1:11" ht="10.5" customHeight="1">
      <c r="A17" s="69"/>
      <c r="B17" s="159"/>
      <c r="C17" s="160"/>
      <c r="D17" s="563"/>
      <c r="E17" s="565"/>
      <c r="F17" s="567"/>
      <c r="G17" s="569"/>
      <c r="H17" s="356"/>
      <c r="I17" s="356"/>
      <c r="J17" s="161"/>
      <c r="K17" s="69" t="s">
        <v>146</v>
      </c>
    </row>
    <row r="18" spans="1:11" ht="10.5" customHeight="1">
      <c r="A18" s="69"/>
      <c r="B18" s="156" t="s">
        <v>334</v>
      </c>
      <c r="C18" s="157"/>
      <c r="D18" s="562"/>
      <c r="E18" s="564"/>
      <c r="F18" s="566"/>
      <c r="G18" s="568">
        <v>1580000</v>
      </c>
      <c r="H18" s="355"/>
      <c r="I18" s="355"/>
      <c r="J18" s="158"/>
      <c r="K18" s="69" t="s">
        <v>146</v>
      </c>
    </row>
    <row r="19" spans="1:11" ht="10.5" customHeight="1">
      <c r="A19" s="69"/>
      <c r="B19" s="159"/>
      <c r="C19" s="160"/>
      <c r="D19" s="563"/>
      <c r="E19" s="565"/>
      <c r="F19" s="567"/>
      <c r="G19" s="569"/>
      <c r="H19" s="356"/>
      <c r="I19" s="356"/>
      <c r="J19" s="161"/>
      <c r="K19" s="69" t="s">
        <v>146</v>
      </c>
    </row>
    <row r="20" spans="1:11" ht="10.5" customHeight="1">
      <c r="A20" s="69"/>
      <c r="B20" s="156"/>
      <c r="C20" s="157"/>
      <c r="D20" s="562"/>
      <c r="E20" s="564"/>
      <c r="F20" s="566"/>
      <c r="G20" s="568"/>
      <c r="H20" s="355"/>
      <c r="I20" s="355"/>
      <c r="J20" s="158"/>
      <c r="K20" s="69" t="s">
        <v>146</v>
      </c>
    </row>
    <row r="21" spans="1:11" ht="10.5" customHeight="1">
      <c r="A21" s="69"/>
      <c r="B21" s="159"/>
      <c r="C21" s="160"/>
      <c r="D21" s="563"/>
      <c r="E21" s="565"/>
      <c r="F21" s="567"/>
      <c r="G21" s="569"/>
      <c r="H21" s="356"/>
      <c r="I21" s="356"/>
      <c r="J21" s="161"/>
      <c r="K21" s="69" t="s">
        <v>146</v>
      </c>
    </row>
    <row r="22" spans="1:11" ht="10.5" customHeight="1">
      <c r="A22" s="69"/>
      <c r="B22" s="156"/>
      <c r="C22" s="157"/>
      <c r="D22" s="562"/>
      <c r="E22" s="564"/>
      <c r="F22" s="566"/>
      <c r="G22" s="568"/>
      <c r="H22" s="355"/>
      <c r="I22" s="355"/>
      <c r="J22" s="158"/>
      <c r="K22" s="69" t="s">
        <v>146</v>
      </c>
    </row>
    <row r="23" spans="1:11" ht="10.5" customHeight="1">
      <c r="A23" s="69"/>
      <c r="B23" s="159"/>
      <c r="C23" s="160"/>
      <c r="D23" s="563"/>
      <c r="E23" s="565"/>
      <c r="F23" s="567"/>
      <c r="G23" s="569"/>
      <c r="H23" s="356"/>
      <c r="I23" s="356"/>
      <c r="J23" s="161"/>
      <c r="K23" s="69" t="s">
        <v>146</v>
      </c>
    </row>
    <row r="24" spans="1:11" ht="10.5" customHeight="1">
      <c r="A24" s="69"/>
      <c r="B24" s="156"/>
      <c r="C24" s="157"/>
      <c r="D24" s="562"/>
      <c r="E24" s="578"/>
      <c r="F24" s="566"/>
      <c r="G24" s="568"/>
      <c r="H24" s="355"/>
      <c r="I24" s="355"/>
      <c r="J24" s="158"/>
      <c r="K24" s="69" t="s">
        <v>146</v>
      </c>
    </row>
    <row r="25" spans="1:11" ht="10.5" customHeight="1">
      <c r="A25" s="69"/>
      <c r="B25" s="159"/>
      <c r="C25" s="160"/>
      <c r="D25" s="563"/>
      <c r="E25" s="579"/>
      <c r="F25" s="567"/>
      <c r="G25" s="569"/>
      <c r="H25" s="356"/>
      <c r="I25" s="356"/>
      <c r="J25" s="161"/>
      <c r="K25" s="69" t="s">
        <v>146</v>
      </c>
    </row>
    <row r="26" spans="1:11" ht="10.5" customHeight="1">
      <c r="A26" s="69"/>
      <c r="B26" s="156"/>
      <c r="C26" s="157"/>
      <c r="D26" s="562"/>
      <c r="E26" s="564"/>
      <c r="F26" s="566"/>
      <c r="G26" s="568"/>
      <c r="H26" s="355"/>
      <c r="I26" s="355"/>
      <c r="J26" s="158"/>
      <c r="K26" s="69" t="s">
        <v>146</v>
      </c>
    </row>
    <row r="27" spans="1:11" ht="10.5" customHeight="1">
      <c r="A27" s="69"/>
      <c r="B27" s="159"/>
      <c r="C27" s="160"/>
      <c r="D27" s="563"/>
      <c r="E27" s="565"/>
      <c r="F27" s="567"/>
      <c r="G27" s="569"/>
      <c r="H27" s="356"/>
      <c r="I27" s="356"/>
      <c r="J27" s="161"/>
      <c r="K27" s="69" t="s">
        <v>146</v>
      </c>
    </row>
    <row r="28" spans="1:11" ht="10.5" customHeight="1">
      <c r="A28" s="69"/>
      <c r="B28" s="156"/>
      <c r="C28" s="157"/>
      <c r="D28" s="562"/>
      <c r="E28" s="564"/>
      <c r="F28" s="566"/>
      <c r="G28" s="568"/>
      <c r="H28" s="355"/>
      <c r="I28" s="355"/>
      <c r="J28" s="158"/>
      <c r="K28" s="69" t="s">
        <v>146</v>
      </c>
    </row>
    <row r="29" spans="1:11" ht="10.5" customHeight="1">
      <c r="A29" s="69"/>
      <c r="B29" s="159"/>
      <c r="C29" s="160"/>
      <c r="D29" s="563"/>
      <c r="E29" s="565"/>
      <c r="F29" s="567"/>
      <c r="G29" s="569"/>
      <c r="H29" s="356"/>
      <c r="I29" s="356"/>
      <c r="J29" s="161"/>
      <c r="K29" s="69" t="s">
        <v>146</v>
      </c>
    </row>
    <row r="30" spans="1:11" ht="10.5" customHeight="1">
      <c r="A30" s="69"/>
      <c r="B30" s="156"/>
      <c r="C30" s="157"/>
      <c r="D30" s="562"/>
      <c r="E30" s="564"/>
      <c r="F30" s="566"/>
      <c r="G30" s="568"/>
      <c r="H30" s="355"/>
      <c r="I30" s="355"/>
      <c r="J30" s="158"/>
      <c r="K30" s="69" t="s">
        <v>146</v>
      </c>
    </row>
    <row r="31" spans="1:11" ht="10.5" customHeight="1">
      <c r="A31" s="69"/>
      <c r="B31" s="159"/>
      <c r="C31" s="160"/>
      <c r="D31" s="563"/>
      <c r="E31" s="565"/>
      <c r="F31" s="567"/>
      <c r="G31" s="569"/>
      <c r="H31" s="356"/>
      <c r="I31" s="356"/>
      <c r="J31" s="161"/>
      <c r="K31" s="69" t="s">
        <v>146</v>
      </c>
    </row>
    <row r="32" spans="1:11" ht="10.5" customHeight="1">
      <c r="A32" s="69"/>
      <c r="B32" s="156"/>
      <c r="C32" s="157"/>
      <c r="D32" s="562"/>
      <c r="E32" s="564"/>
      <c r="F32" s="566"/>
      <c r="G32" s="568"/>
      <c r="H32" s="355"/>
      <c r="I32" s="355"/>
      <c r="J32" s="158"/>
      <c r="K32" s="69" t="s">
        <v>146</v>
      </c>
    </row>
    <row r="33" spans="1:11" ht="10.5" customHeight="1">
      <c r="A33" s="69"/>
      <c r="B33" s="159"/>
      <c r="C33" s="160"/>
      <c r="D33" s="563"/>
      <c r="E33" s="565"/>
      <c r="F33" s="567"/>
      <c r="G33" s="569"/>
      <c r="H33" s="356"/>
      <c r="I33" s="356"/>
      <c r="J33" s="161"/>
      <c r="K33" s="69" t="s">
        <v>146</v>
      </c>
    </row>
    <row r="34" spans="1:11" ht="10.5" customHeight="1">
      <c r="A34" s="69"/>
      <c r="B34" s="156"/>
      <c r="C34" s="157"/>
      <c r="D34" s="562"/>
      <c r="E34" s="564"/>
      <c r="F34" s="566"/>
      <c r="G34" s="568"/>
      <c r="H34" s="355"/>
      <c r="I34" s="355"/>
      <c r="J34" s="158"/>
      <c r="K34" s="69" t="s">
        <v>146</v>
      </c>
    </row>
    <row r="35" spans="1:11" ht="10.5" customHeight="1">
      <c r="A35" s="69"/>
      <c r="B35" s="159"/>
      <c r="C35" s="160"/>
      <c r="D35" s="563"/>
      <c r="E35" s="565"/>
      <c r="F35" s="567"/>
      <c r="G35" s="569"/>
      <c r="H35" s="356"/>
      <c r="I35" s="356"/>
      <c r="J35" s="161"/>
      <c r="K35" s="69" t="s">
        <v>146</v>
      </c>
    </row>
    <row r="36" spans="1:11" ht="10.5" customHeight="1">
      <c r="A36" s="69"/>
      <c r="B36" s="156"/>
      <c r="C36" s="157"/>
      <c r="D36" s="562"/>
      <c r="E36" s="564"/>
      <c r="F36" s="566"/>
      <c r="G36" s="568"/>
      <c r="H36" s="355"/>
      <c r="I36" s="355"/>
      <c r="J36" s="158"/>
      <c r="K36" s="69" t="s">
        <v>146</v>
      </c>
    </row>
    <row r="37" spans="1:11" ht="10.5" customHeight="1">
      <c r="A37" s="69"/>
      <c r="B37" s="159"/>
      <c r="C37" s="160"/>
      <c r="D37" s="563"/>
      <c r="E37" s="565"/>
      <c r="F37" s="567"/>
      <c r="G37" s="569"/>
      <c r="H37" s="356"/>
      <c r="I37" s="356"/>
      <c r="J37" s="161"/>
      <c r="K37" s="69" t="s">
        <v>146</v>
      </c>
    </row>
    <row r="38" spans="1:11" ht="10.5" customHeight="1">
      <c r="A38" s="69"/>
      <c r="B38" s="156"/>
      <c r="C38" s="157"/>
      <c r="D38" s="562"/>
      <c r="E38" s="564"/>
      <c r="F38" s="566"/>
      <c r="G38" s="568"/>
      <c r="H38" s="355"/>
      <c r="I38" s="355"/>
      <c r="J38" s="158"/>
      <c r="K38" s="69" t="s">
        <v>146</v>
      </c>
    </row>
    <row r="39" spans="1:11" ht="10.5" customHeight="1">
      <c r="A39" s="69"/>
      <c r="B39" s="159"/>
      <c r="C39" s="160"/>
      <c r="D39" s="563"/>
      <c r="E39" s="565"/>
      <c r="F39" s="567"/>
      <c r="G39" s="569"/>
      <c r="H39" s="356"/>
      <c r="I39" s="356"/>
      <c r="J39" s="161"/>
      <c r="K39" s="69" t="s">
        <v>146</v>
      </c>
    </row>
    <row r="40" spans="1:11" ht="10.5" customHeight="1">
      <c r="A40" s="69"/>
      <c r="B40" s="156"/>
      <c r="C40" s="157"/>
      <c r="D40" s="562"/>
      <c r="E40" s="564"/>
      <c r="F40" s="566"/>
      <c r="G40" s="568"/>
      <c r="H40" s="355"/>
      <c r="I40" s="355"/>
      <c r="J40" s="158"/>
      <c r="K40" s="69" t="s">
        <v>146</v>
      </c>
    </row>
    <row r="41" spans="1:11" ht="10.5" customHeight="1">
      <c r="A41" s="69"/>
      <c r="B41" s="159"/>
      <c r="C41" s="160"/>
      <c r="D41" s="563"/>
      <c r="E41" s="565"/>
      <c r="F41" s="567"/>
      <c r="G41" s="569"/>
      <c r="H41" s="356"/>
      <c r="I41" s="356"/>
      <c r="J41" s="161"/>
      <c r="K41" s="69" t="s">
        <v>146</v>
      </c>
    </row>
    <row r="42" spans="1:11" ht="10.5" customHeight="1">
      <c r="A42" s="69"/>
      <c r="B42" s="156"/>
      <c r="C42" s="157"/>
      <c r="D42" s="562"/>
      <c r="E42" s="564"/>
      <c r="F42" s="566"/>
      <c r="G42" s="568"/>
      <c r="H42" s="355"/>
      <c r="I42" s="355"/>
      <c r="J42" s="158"/>
      <c r="K42" s="69" t="s">
        <v>146</v>
      </c>
    </row>
    <row r="43" spans="1:11" ht="10.5" customHeight="1">
      <c r="A43" s="69"/>
      <c r="B43" s="159"/>
      <c r="C43" s="160"/>
      <c r="D43" s="563"/>
      <c r="E43" s="565"/>
      <c r="F43" s="567"/>
      <c r="G43" s="569"/>
      <c r="H43" s="356"/>
      <c r="I43" s="356"/>
      <c r="J43" s="161"/>
      <c r="K43" s="69" t="s">
        <v>146</v>
      </c>
    </row>
    <row r="44" spans="1:11" ht="10.5" customHeight="1">
      <c r="A44" s="69"/>
      <c r="B44" s="156"/>
      <c r="C44" s="157"/>
      <c r="D44" s="562"/>
      <c r="E44" s="564"/>
      <c r="F44" s="566"/>
      <c r="G44" s="568"/>
      <c r="H44" s="355"/>
      <c r="I44" s="355"/>
      <c r="J44" s="158"/>
      <c r="K44" s="69" t="s">
        <v>146</v>
      </c>
    </row>
    <row r="45" spans="1:11" ht="10.5" customHeight="1">
      <c r="A45" s="69"/>
      <c r="B45" s="159"/>
      <c r="C45" s="160"/>
      <c r="D45" s="563"/>
      <c r="E45" s="565"/>
      <c r="F45" s="567"/>
      <c r="G45" s="569"/>
      <c r="H45" s="356"/>
      <c r="I45" s="356"/>
      <c r="J45" s="161"/>
      <c r="K45" s="69" t="s">
        <v>146</v>
      </c>
    </row>
    <row r="46" spans="1:11" ht="10.5" customHeight="1">
      <c r="A46" s="69"/>
      <c r="B46" s="156"/>
      <c r="C46" s="157"/>
      <c r="D46" s="570"/>
      <c r="E46" s="572"/>
      <c r="F46" s="574"/>
      <c r="G46" s="576"/>
      <c r="H46" s="355"/>
      <c r="I46" s="355"/>
      <c r="J46" s="162"/>
      <c r="K46" s="69" t="s">
        <v>146</v>
      </c>
    </row>
    <row r="47" spans="1:11" ht="10.5" customHeight="1" thickBot="1">
      <c r="A47" s="69"/>
      <c r="B47" s="163"/>
      <c r="C47" s="164"/>
      <c r="D47" s="571"/>
      <c r="E47" s="573"/>
      <c r="F47" s="575"/>
      <c r="G47" s="577"/>
      <c r="H47" s="357"/>
      <c r="I47" s="357"/>
      <c r="J47" s="165"/>
      <c r="K47" s="69" t="s">
        <v>146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1:G1"/>
    <mergeCell ref="B5:C5"/>
    <mergeCell ref="D6:D7"/>
    <mergeCell ref="E6:E7"/>
    <mergeCell ref="F6:F7"/>
    <mergeCell ref="G6:G7"/>
    <mergeCell ref="D8:D9"/>
    <mergeCell ref="E8:E9"/>
    <mergeCell ref="F8:F9"/>
    <mergeCell ref="G8:G9"/>
    <mergeCell ref="D10:D11"/>
    <mergeCell ref="E10:E11"/>
    <mergeCell ref="F10:F11"/>
    <mergeCell ref="G10:G11"/>
    <mergeCell ref="D12:D13"/>
    <mergeCell ref="E12:E13"/>
    <mergeCell ref="F12:F13"/>
    <mergeCell ref="G12:G13"/>
    <mergeCell ref="D14:D15"/>
    <mergeCell ref="E14:E15"/>
    <mergeCell ref="F14:F15"/>
    <mergeCell ref="G14:G15"/>
    <mergeCell ref="D16:D17"/>
    <mergeCell ref="E16:E17"/>
    <mergeCell ref="F16:F17"/>
    <mergeCell ref="G16:G17"/>
    <mergeCell ref="D18:D19"/>
    <mergeCell ref="E18:E19"/>
    <mergeCell ref="F18:F19"/>
    <mergeCell ref="G18:G19"/>
    <mergeCell ref="D20:D21"/>
    <mergeCell ref="E20:E21"/>
    <mergeCell ref="F20:F21"/>
    <mergeCell ref="G20:G21"/>
    <mergeCell ref="D22:D23"/>
    <mergeCell ref="E22:E23"/>
    <mergeCell ref="F22:F23"/>
    <mergeCell ref="G22:G23"/>
    <mergeCell ref="D24:D25"/>
    <mergeCell ref="E24:E25"/>
    <mergeCell ref="F24:F25"/>
    <mergeCell ref="G24:G25"/>
    <mergeCell ref="D26:D27"/>
    <mergeCell ref="E26:E27"/>
    <mergeCell ref="F26:F27"/>
    <mergeCell ref="G26:G27"/>
    <mergeCell ref="D28:D29"/>
    <mergeCell ref="E28:E29"/>
    <mergeCell ref="F28:F29"/>
    <mergeCell ref="G28:G29"/>
    <mergeCell ref="D30:D31"/>
    <mergeCell ref="E30:E31"/>
    <mergeCell ref="F30:F31"/>
    <mergeCell ref="G30:G31"/>
    <mergeCell ref="D32:D33"/>
    <mergeCell ref="E32:E33"/>
    <mergeCell ref="F32:F33"/>
    <mergeCell ref="G32:G33"/>
    <mergeCell ref="D34:D35"/>
    <mergeCell ref="E34:E35"/>
    <mergeCell ref="F34:F35"/>
    <mergeCell ref="G34:G35"/>
    <mergeCell ref="D36:D37"/>
    <mergeCell ref="E36:E37"/>
    <mergeCell ref="F36:F37"/>
    <mergeCell ref="G36:G37"/>
    <mergeCell ref="D38:D39"/>
    <mergeCell ref="E38:E39"/>
    <mergeCell ref="F38:F39"/>
    <mergeCell ref="G38:G39"/>
    <mergeCell ref="D40:D41"/>
    <mergeCell ref="E40:E41"/>
    <mergeCell ref="F40:F41"/>
    <mergeCell ref="G40:G41"/>
    <mergeCell ref="D42:D43"/>
    <mergeCell ref="E42:E43"/>
    <mergeCell ref="F42:F43"/>
    <mergeCell ref="G42:G43"/>
    <mergeCell ref="D44:D45"/>
    <mergeCell ref="E44:E45"/>
    <mergeCell ref="F44:F45"/>
    <mergeCell ref="G44:G45"/>
    <mergeCell ref="D46:D47"/>
    <mergeCell ref="E46:E47"/>
    <mergeCell ref="F46:F47"/>
    <mergeCell ref="G46:G4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大場 拓也</cp:lastModifiedBy>
  <cp:revision/>
  <dcterms:created xsi:type="dcterms:W3CDTF">2022-05-27T06:34:00Z</dcterms:created>
  <dcterms:modified xsi:type="dcterms:W3CDTF">2026-02-03T06:21:12Z</dcterms:modified>
  <cp:category/>
  <cp:contentStatus/>
</cp:coreProperties>
</file>