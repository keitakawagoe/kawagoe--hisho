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D919B18F-07D7-4557-9305-58EE654C7BCD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'工事費一覧表(共通仮設費)'!$A$1:$AF$12</definedName>
    <definedName name="_xlnm.Print_Area" localSheetId="11">'工事費一覧表(現場経費)'!$A$1:$AF$15</definedName>
    <definedName name="_xlnm.Print_Area" localSheetId="6">'工事費一覧表(直接工事費)'!$A$1:$AF$80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<sst xmlns="http://schemas.openxmlformats.org/spreadsheetml/2006/main" count="1708" uniqueCount="433">
  <si>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</si>
  <si>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</si>
  <si>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</si>
  <si>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</si>
  <si>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</si>
  <si>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</si>
  <si>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</si>
  <si>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</si>
  <si>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</si>
  <si>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</si>
  <si>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</si>
  <si>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</si>
  <si>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</si>
  <si>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</si>
  <si>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</si>
  <si>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</si>
  <si>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</si>
  <si>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</si>
  <si>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</si>
  <si>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</si>
  <si>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</si>
  <si>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</si>
  <si>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</si>
  <si>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</si>
  <si>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</si>
  <si>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</si>
  <si>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</si>
  <si>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</si>
  <si>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</si>
  <si>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</si>
  <si>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</si>
  <si>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</si>
  <si>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</si>
  <si>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</si>
  <si>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</si>
  <si>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</si>
  <si>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</si>
  <si>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</si>
  <si>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</si>
  <si>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</si>
  <si>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</si>
  <si>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</si>
  <si>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</si>
  <si>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</si>
  <si>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</si>
  <si>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</si>
  <si>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</si>
  <si>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</si>
  <si>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</si>
  <si>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</si>
  <si>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</si>
  <si>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</si>
  <si>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</si>
  <si>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</si>
  <si>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</si>
  <si>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</si>
  <si>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</si>
  <si>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</si>
  <si>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</si>
  <si>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</si>
  <si>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</si>
  <si>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</si>
  <si>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</si>
  <si>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</si>
  <si>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</si>
  <si>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</si>
  <si>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</si>
  <si>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</si>
  <si>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</si>
  <si>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</si>
  <si>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</si>
  <si>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</si>
  <si>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</si>
  <si>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</si>
  <si>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</si>
  <si>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</si>
  <si>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</si>
  <si>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</si>
  <si>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</si>
  <si>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</si>
  <si>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</si>
  <si>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</si>
  <si>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</si>
  <si>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</si>
  <si>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</si>
  <si>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</si>
  <si>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</si>
  <si>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</si>
  <si>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</si>
  <si>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</si>
  <si>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</si>
  <si>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</si>
  <si>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</si>
  <si>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</si>
  <si>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</si>
  <si>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</si>
  <si>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</si>
  <si>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</si>
  <si>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</si>
  <si>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</si>
  <si>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</si>
  <si>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</si>
  <si>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</si>
  <si>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</si>
  <si>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</si>
  <si>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</si>
  <si>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</si>
  <si>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</si>
  <si>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</si>
  <si>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</si>
  <si>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</si>
  <si>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</si>
  <si>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</si>
  <si>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</si>
  <si>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</si>
  <si>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</si>
  <si>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</si>
  <si>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</si>
  <si>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</si>
  <si>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</si>
  <si>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</si>
  <si>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</si>
  <si>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</si>
  <si>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</si>
  <si>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</si>
  <si>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</si>
  <si>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</si>
  <si>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</si>
  <si>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</si>
  <si>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</si>
  <si>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</si>
  <si>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</si>
  <si>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</si>
  <si>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</si>
  <si>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</si>
  <si>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</si>
  <si>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</si>
  <si>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</si>
  <si>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</si>
  <si>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</si>
  <si>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</si>
  <si>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</si>
  <si>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</si>
  <si>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</si>
  <si>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</si>
  <si>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253031142 G</t>
  </si>
  <si>
    <t>（当　初）</t>
  </si>
  <si>
    <t>田中　大悟</t>
  </si>
  <si>
    <t>●博物館明治村　村内基本インフラ整備工事（２０２５年度）</t>
  </si>
  <si>
    <t>名鉄エリアパートナーズ（株）</t>
  </si>
  <si>
    <t>中京支店</t>
  </si>
  <si>
    <t>愛知県犬山市内山１番地</t>
  </si>
  <si>
    <t>2025年9月1日</t>
  </si>
  <si>
    <t>2025年12月31日</t>
  </si>
  <si>
    <t>打換え工（バス通り）</t>
  </si>
  <si>
    <t>打換え工（歩道）</t>
  </si>
  <si>
    <t>安全管理費</t>
  </si>
  <si>
    <t>重機回送費</t>
  </si>
  <si>
    <t>法定福利費</t>
  </si>
  <si>
    <t>諸経費</t>
  </si>
  <si>
    <t>土場　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</si>
  <si>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</si>
  <si>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</si>
  <si>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</si>
  <si>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</si>
  <si>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</si>
  <si>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</si>
  <si>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</si>
  <si>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</si>
  <si>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打換え工</t>
  </si>
  <si>
    <t>セメント改良有</t>
  </si>
  <si>
    <t>m2</t>
  </si>
  <si>
    <t>式</t>
  </si>
  <si>
    <t>砕石積込み等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</si>
  <si>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</si>
  <si>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</si>
  <si>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</si>
  <si>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</si>
  <si>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</si>
  <si>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</si>
  <si>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</si>
  <si>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</si>
  <si>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</si>
  <si>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</si>
  <si>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</si>
  <si>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</si>
  <si>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</si>
  <si>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中部支社</t>
  </si>
  <si>
    <t>尾張出張所</t>
  </si>
  <si>
    <t>名古屋鉄道（株）</t>
  </si>
  <si>
    <t>単独</t>
  </si>
  <si>
    <t>G</t>
  </si>
  <si>
    <t>2025年7月4日</t>
  </si>
  <si>
    <t>2025年9月1日 ～ 2025年12月31日</t>
  </si>
  <si>
    <t>打換え工</t>
    <phoneticPr fontId="4"/>
  </si>
  <si>
    <t>直接工事費</t>
  </si>
  <si>
    <t xml:space="preserve">  打換え工（バス通り）</t>
  </si>
  <si>
    <t xml:space="preserve">  セメント改良有</t>
  </si>
  <si>
    <t>費目行</t>
  </si>
  <si>
    <t xml:space="preserve">    手間</t>
  </si>
  <si>
    <t xml:space="preserve">    </t>
  </si>
  <si>
    <t>15号</t>
  </si>
  <si>
    <t>内訳書</t>
  </si>
  <si>
    <t xml:space="preserve">    材料・DT</t>
  </si>
  <si>
    <t>16号</t>
  </si>
  <si>
    <t xml:space="preserve">  打換え工（歩道）</t>
  </si>
  <si>
    <t xml:space="preserve">  </t>
  </si>
  <si>
    <t>17号</t>
  </si>
  <si>
    <t>18号</t>
  </si>
  <si>
    <t xml:space="preserve">  安全管理費</t>
  </si>
  <si>
    <t xml:space="preserve">    内 訳 書</t>
  </si>
  <si>
    <t>19号</t>
  </si>
  <si>
    <t xml:space="preserve">  重機回送費</t>
  </si>
  <si>
    <t>20号</t>
  </si>
  <si>
    <t xml:space="preserve">  法定福利費</t>
  </si>
  <si>
    <t>21号</t>
  </si>
  <si>
    <t xml:space="preserve">  諸経費</t>
  </si>
  <si>
    <t>22号</t>
  </si>
  <si>
    <t xml:space="preserve">  土場　</t>
  </si>
  <si>
    <t xml:space="preserve">  砕石積込み等</t>
  </si>
  <si>
    <t>23号</t>
  </si>
  <si>
    <t xml:space="preserve">    材料</t>
  </si>
  <si>
    <t>24号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</si>
  <si>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</si>
  <si>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</si>
  <si>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</si>
  <si>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</si>
  <si>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</si>
  <si>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</si>
  <si>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</si>
  <si>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 xml:space="preserve">  手間</t>
  </si>
  <si>
    <t xml:space="preserve">  材料・DT</t>
  </si>
  <si>
    <t xml:space="preserve">  内 訳 書</t>
  </si>
  <si>
    <t xml:space="preserve">  材料</t>
  </si>
  <si>
    <t>計</t>
  </si>
  <si>
    <t>●博物館明治村　村内基本インフラ整備工事（２０２５年度）</t>
    <phoneticPr fontId="4"/>
  </si>
  <si>
    <t>総括</t>
  </si>
  <si>
    <t>集計行</t>
  </si>
  <si>
    <t>｜直接工事費</t>
  </si>
  <si>
    <t>｜｜打換え工（バス通り）</t>
  </si>
  <si>
    <t>内訳代価</t>
  </si>
  <si>
    <t>｜｜｜手間</t>
  </si>
  <si>
    <t>15号内訳書</t>
  </si>
  <si>
    <t>｜｜｜｜技工</t>
  </si>
  <si>
    <t>人</t>
  </si>
  <si>
    <t xml:space="preserve">6日×8人 </t>
  </si>
  <si>
    <t>｜｜｜｜プロパン</t>
  </si>
  <si>
    <t>台</t>
  </si>
  <si>
    <t>｜｜｜｜軽油</t>
  </si>
  <si>
    <t>リットル</t>
  </si>
  <si>
    <t>｜｜｜｜20-45AF</t>
  </si>
  <si>
    <t>｜｜｜｜0.2BH</t>
  </si>
  <si>
    <t>｜｜｜｜ランマー</t>
  </si>
  <si>
    <t>｜｜｜｜CVR</t>
  </si>
  <si>
    <t>｜｜｜｜0.15BH</t>
  </si>
  <si>
    <t>｜｜｜｜TR</t>
  </si>
  <si>
    <t>｜｜｜｜カッター</t>
  </si>
  <si>
    <t>｜｜｜｜小物機械</t>
  </si>
  <si>
    <t>｜｜｜｜養生材</t>
  </si>
  <si>
    <t xml:space="preserve">3000円×６日 </t>
  </si>
  <si>
    <t>｜｜｜｜カッター刃</t>
  </si>
  <si>
    <t>枚</t>
  </si>
  <si>
    <t>｜｜｜｜ジェットウォッシャー</t>
  </si>
  <si>
    <t>｜｜｜｜3ｔDT</t>
  </si>
  <si>
    <t>｜｜｜｜4ｔDｔ</t>
  </si>
  <si>
    <t>｜｜｜｜WP</t>
  </si>
  <si>
    <t>｜｜｜｜散水車</t>
  </si>
  <si>
    <t>｜｜｜材料・DT</t>
  </si>
  <si>
    <t>16号内訳書</t>
  </si>
  <si>
    <t>｜｜｜｜4ｔDT</t>
  </si>
  <si>
    <t>｜｜｜｜雑費</t>
  </si>
  <si>
    <t>｜｜｜｜無粉塵セメント　0.5t/袋</t>
  </si>
  <si>
    <t>袋</t>
  </si>
  <si>
    <t>｜｜｜｜運搬費</t>
  </si>
  <si>
    <t xml:space="preserve">セメント </t>
  </si>
  <si>
    <t>｜｜｜｜再生密粒13</t>
  </si>
  <si>
    <t>ｔ</t>
  </si>
  <si>
    <t xml:space="preserve">577*0.05*2.35*1.3 </t>
  </si>
  <si>
    <t>｜｜｜｜合材夜間出荷手数料</t>
  </si>
  <si>
    <t>日</t>
  </si>
  <si>
    <t>｜｜｜｜Asガラ処理費</t>
  </si>
  <si>
    <t xml:space="preserve">577*0.05*2.35 </t>
  </si>
  <si>
    <t>｜｜｜｜無筋Co処理費</t>
  </si>
  <si>
    <t xml:space="preserve">577*0.02*1.7 </t>
  </si>
  <si>
    <t>｜｜｜｜高速代　往復</t>
  </si>
  <si>
    <t>東員～小牧東 河合商会</t>
  </si>
  <si>
    <t>｜｜打換え工（歩道）</t>
  </si>
  <si>
    <t>17号内訳書</t>
  </si>
  <si>
    <t>18号内訳書</t>
  </si>
  <si>
    <t xml:space="preserve">49*0.05*2.35*1.3 </t>
  </si>
  <si>
    <t>｜｜｜｜Asガラ処分費</t>
  </si>
  <si>
    <t xml:space="preserve">49*0.05*2.35 </t>
  </si>
  <si>
    <t>｜｜安全管理費</t>
  </si>
  <si>
    <t>｜｜｜内 訳 書</t>
  </si>
  <si>
    <t>19号内訳書</t>
  </si>
  <si>
    <t>｜｜｜｜ガソリン</t>
  </si>
  <si>
    <t xml:space="preserve">40L×7日 </t>
  </si>
  <si>
    <t>｜｜｜｜2ｔDTロング</t>
  </si>
  <si>
    <t>｜｜｜｜2灯式照明</t>
  </si>
  <si>
    <t xml:space="preserve">5台×7日 </t>
  </si>
  <si>
    <t>｜｜重機回送費</t>
  </si>
  <si>
    <t>20号内訳書</t>
  </si>
  <si>
    <t>｜｜｜｜20-45AF/TR/0.2BH/TS</t>
  </si>
  <si>
    <t>回</t>
  </si>
  <si>
    <t>｜｜｜｜0.15BH/CVR</t>
  </si>
  <si>
    <t>｜｜法定福利費</t>
  </si>
  <si>
    <t>21号内訳書</t>
  </si>
  <si>
    <t>｜｜｜｜法定福利費</t>
  </si>
  <si>
    <t>｜｜諸経費</t>
  </si>
  <si>
    <t>22号内訳書</t>
  </si>
  <si>
    <t>｜｜｜｜諸経費</t>
  </si>
  <si>
    <t>｜｜土場　</t>
  </si>
  <si>
    <t>23号内訳書</t>
  </si>
  <si>
    <t>｜｜｜｜TS</t>
  </si>
  <si>
    <t xml:space="preserve">土場　砕石積込み </t>
  </si>
  <si>
    <t xml:space="preserve">10L×7日 </t>
  </si>
  <si>
    <t>｜｜｜材料</t>
  </si>
  <si>
    <t>24号内訳書</t>
  </si>
  <si>
    <t>｜｜｜｜RC-40　</t>
  </si>
  <si>
    <t>m3</t>
  </si>
  <si>
    <t>予算</t>
    <phoneticPr fontId="6"/>
  </si>
  <si>
    <t>電力用水光熱費</t>
  </si>
  <si>
    <t>通信費</t>
  </si>
  <si>
    <t>旅費交通費</t>
  </si>
  <si>
    <t>保険料</t>
  </si>
  <si>
    <t>車両費</t>
  </si>
  <si>
    <t>雑費</t>
  </si>
  <si>
    <t>｜共通仮設費</t>
  </si>
  <si>
    <t>｜｜重機運搬費</t>
  </si>
  <si>
    <t>1号内訳書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</si>
  <si>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</si>
  <si>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</si>
  <si>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</si>
  <si>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</si>
  <si>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</si>
  <si>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</si>
  <si>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</si>
  <si>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</si>
  <si>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</si>
  <si>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</si>
  <si>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</si>
  <si>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</si>
  <si>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</si>
  <si>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</si>
  <si>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</si>
  <si>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</si>
  <si>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</si>
  <si>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</si>
  <si>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</si>
  <si>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</si>
  <si>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</si>
  <si>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</si>
  <si>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</si>
  <si>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</si>
  <si>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</si>
  <si>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</si>
  <si>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｜｜｜1等級　夜間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</si>
  <si>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</si>
  <si>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</si>
  <si>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</si>
  <si>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</si>
  <si>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</si>
  <si>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</si>
  <si>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</si>
  <si>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</si>
  <si>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</si>
  <si>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</si>
  <si>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</si>
  <si>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</si>
  <si>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</si>
  <si>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</si>
  <si>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</si>
  <si>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●博物館明治村　村内基本インフラ整備工事（２０２５年度）</t>
    <phoneticPr fontId="6"/>
  </si>
  <si>
    <t>253031142 G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</si>
  <si>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</si>
  <si>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</si>
  <si>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</si>
  <si>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</si>
  <si>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</si>
  <si>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</si>
  <si>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</si>
  <si>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　</t>
    <phoneticPr fontId="6"/>
  </si>
  <si>
    <t>m3</t>
    <phoneticPr fontId="6"/>
  </si>
  <si>
    <t>材料費</t>
    <phoneticPr fontId="6"/>
  </si>
  <si>
    <t>ガソリン</t>
    <phoneticPr fontId="6"/>
  </si>
  <si>
    <t>リットル</t>
    <phoneticPr fontId="6"/>
  </si>
  <si>
    <t>カッター刃</t>
    <phoneticPr fontId="6"/>
  </si>
  <si>
    <t>枚</t>
    <phoneticPr fontId="6"/>
  </si>
  <si>
    <t>プロパン</t>
    <phoneticPr fontId="6"/>
  </si>
  <si>
    <t>台</t>
    <phoneticPr fontId="6"/>
  </si>
  <si>
    <t>軽油</t>
    <phoneticPr fontId="6"/>
  </si>
  <si>
    <t>合材夜間出荷手数料</t>
    <phoneticPr fontId="6"/>
  </si>
  <si>
    <t>日</t>
    <phoneticPr fontId="6"/>
  </si>
  <si>
    <t>再生密粒13</t>
    <phoneticPr fontId="6"/>
  </si>
  <si>
    <t>ｔ</t>
    <phoneticPr fontId="6"/>
  </si>
  <si>
    <t>雑費</t>
    <phoneticPr fontId="6"/>
  </si>
  <si>
    <t>式</t>
    <phoneticPr fontId="6"/>
  </si>
  <si>
    <t>無粉塵セメント　0.5t/袋</t>
    <phoneticPr fontId="6"/>
  </si>
  <si>
    <t>袋</t>
    <phoneticPr fontId="6"/>
  </si>
  <si>
    <t>養生材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</si>
  <si>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</si>
  <si>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</si>
  <si>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</si>
  <si>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</si>
  <si>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法定福利費</t>
    <phoneticPr fontId="6"/>
  </si>
  <si>
    <t>諸経費</t>
    <phoneticPr fontId="6"/>
  </si>
  <si>
    <t>外注費</t>
    <phoneticPr fontId="6"/>
  </si>
  <si>
    <t>0.15BH</t>
    <phoneticPr fontId="6"/>
  </si>
  <si>
    <t>機械費</t>
    <phoneticPr fontId="6"/>
  </si>
  <si>
    <t>0.2BH</t>
    <phoneticPr fontId="6"/>
  </si>
  <si>
    <t>20-45AF</t>
    <phoneticPr fontId="6"/>
  </si>
  <si>
    <t>CVR</t>
    <phoneticPr fontId="6"/>
  </si>
  <si>
    <t>TR</t>
    <phoneticPr fontId="6"/>
  </si>
  <si>
    <t>TS</t>
    <phoneticPr fontId="6"/>
  </si>
  <si>
    <t>カッター</t>
    <phoneticPr fontId="6"/>
  </si>
  <si>
    <t>ジェットウォッシャー</t>
    <phoneticPr fontId="6"/>
  </si>
  <si>
    <t>ランマー</t>
    <phoneticPr fontId="6"/>
  </si>
  <si>
    <t>散水車</t>
    <phoneticPr fontId="6"/>
  </si>
  <si>
    <t>小物機械</t>
    <phoneticPr fontId="6"/>
  </si>
  <si>
    <t>機械調書</t>
    <phoneticPr fontId="6"/>
  </si>
  <si>
    <t>0.15BH/CVR</t>
    <phoneticPr fontId="6"/>
  </si>
  <si>
    <t>回</t>
    <phoneticPr fontId="6"/>
  </si>
  <si>
    <t>運搬費</t>
    <phoneticPr fontId="6"/>
  </si>
  <si>
    <t>20-45AF/TR/0.2BH/TS</t>
    <phoneticPr fontId="6"/>
  </si>
  <si>
    <t>2ｔDTロング</t>
    <phoneticPr fontId="6"/>
  </si>
  <si>
    <t>3ｔDT</t>
    <phoneticPr fontId="6"/>
  </si>
  <si>
    <t>4ｔDｔ</t>
    <phoneticPr fontId="6"/>
  </si>
  <si>
    <t>4ｔDT</t>
    <phoneticPr fontId="6"/>
  </si>
  <si>
    <t>Asガラ処分費</t>
    <phoneticPr fontId="6"/>
  </si>
  <si>
    <t>Asガラ処理費</t>
    <phoneticPr fontId="6"/>
  </si>
  <si>
    <t>WP</t>
    <phoneticPr fontId="6"/>
  </si>
  <si>
    <t>高速代　往復</t>
    <phoneticPr fontId="6"/>
  </si>
  <si>
    <t>無筋Co処理費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</si>
</sst>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7600000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6570581</v>
      </c>
      <c r="J16" s="420"/>
      <c r="K16" s="420"/>
      <c r="L16" s="420"/>
      <c r="M16" s="420"/>
      <c r="N16" s="420"/>
      <c r="O16" s="420"/>
      <c r="P16" s="420"/>
      <c r="Q16" s="416">
        <v>0.86460000000000004</v>
      </c>
      <c r="R16" s="416"/>
      <c r="S16" s="416"/>
      <c r="U16" s="417" t="s">
        <v>16</v>
      </c>
      <c r="V16" s="418"/>
      <c r="W16" s="418"/>
      <c r="X16" s="418"/>
      <c r="Y16" s="419">
        <v>1029419</v>
      </c>
      <c r="Z16" s="420"/>
      <c r="AA16" s="420"/>
      <c r="AB16" s="420"/>
      <c r="AC16" s="420"/>
      <c r="AD16" s="420"/>
      <c r="AE16" s="420"/>
      <c r="AF16" s="420"/>
      <c r="AG16" s="416">
        <v>0.13539999999999999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45901</v>
      </c>
      <c r="D3" s="458"/>
      <c r="E3" s="272" t="s">
        <v>139</v>
      </c>
      <c r="F3" s="459">
        <v>46022</v>
      </c>
      <c r="G3" s="459"/>
      <c r="H3" s="459"/>
      <c r="I3" s="273"/>
      <c r="J3" s="273"/>
      <c r="K3" s="460" t="s">
        <v>30</v>
      </c>
      <c r="L3" s="461"/>
      <c r="M3" s="462"/>
      <c r="N3" s="449">
        <v>7600000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4667353</v>
      </c>
      <c r="D5" s="335">
        <f>IF(C5&lt;&gt;"",C5/$C$20,"")</f>
        <v>0.71034098811048829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522928</v>
      </c>
      <c r="D6" s="336">
        <f t="shared" ref="D6:D17" si="0">IF(C6&lt;&gt;"",C6/$C$20,"")</f>
        <v>7.958626489803565E-2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279900</v>
      </c>
      <c r="D7" s="336">
        <f t="shared" si="0"/>
        <v>4.2598972602270635E-2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224000</v>
      </c>
      <c r="D8" s="336">
        <f t="shared" si="0"/>
        <v>3.4091353565232664E-2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243000</v>
      </c>
      <c r="D9" s="336">
        <f t="shared" si="0"/>
        <v>3.6983030876569366E-2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300000</v>
      </c>
      <c r="D10" s="336">
        <f t="shared" si="0"/>
        <v>4.5658062810579457E-2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85400</v>
      </c>
      <c r="D11" s="336">
        <f t="shared" si="0"/>
        <v>1.2997328546744954E-2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0</v>
      </c>
      <c r="D14" s="336">
        <f t="shared" si="0"/>
        <v>0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248000</v>
      </c>
      <c r="D18" s="336">
        <f>IF(C18&lt;&gt;"",C18/$C$20,"")</f>
        <v>3.7743998590079021E-2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168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6570581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169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170</v>
      </c>
      <c r="L5" s="283" t="s">
        <v>171</v>
      </c>
      <c r="M5" s="284">
        <v>577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171</v>
      </c>
      <c r="M6" s="291">
        <v>49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172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172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172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/>
      <c r="L10" s="290" t="s">
        <v>172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 t="s">
        <v>173</v>
      </c>
      <c r="L11" s="290" t="s">
        <v>172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/>
      <c r="L12" s="290" t="s">
        <v>172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 t="s">
        <v>174</v>
      </c>
      <c r="L13" s="290" t="s">
        <v>172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 t="s">
        <v>175</v>
      </c>
      <c r="L14" s="290" t="s">
        <v>172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 t="s">
        <v>176</v>
      </c>
      <c r="L15" s="290" t="s">
        <v>172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 t="s">
        <v>177</v>
      </c>
      <c r="L16" s="290" t="s">
        <v>172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 t="s">
        <v>178</v>
      </c>
      <c r="L17" s="290" t="s">
        <v>172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/>
      <c r="L18" s="290" t="s">
        <v>172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168</v>
      </c>
      <c r="K19" s="295" t="s">
        <v>179</v>
      </c>
      <c r="L19" s="296" t="s">
        <v>172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148</v>
      </c>
      <c r="D5" s="512"/>
      <c r="E5" s="246" t="s">
        <v>133</v>
      </c>
      <c r="F5" s="513" t="s">
        <v>187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188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180</v>
      </c>
      <c r="I6" s="110" t="s">
        <v>181</v>
      </c>
      <c r="J6" s="110" t="s">
        <v>182</v>
      </c>
      <c r="K6" s="110" t="s">
        <v>183</v>
      </c>
      <c r="L6" s="110" t="s">
        <v>184</v>
      </c>
      <c r="M6" s="111" t="s">
        <v>185</v>
      </c>
      <c r="N6" s="110" t="s">
        <v>186</v>
      </c>
      <c r="O6" s="112" t="s">
        <v>158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7600000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189</v>
      </c>
      <c r="D8" s="492"/>
      <c r="E8" s="113" t="s">
        <v>59</v>
      </c>
      <c r="F8" s="249">
        <v>6570581</v>
      </c>
      <c r="G8" s="334">
        <v>0.86460000000000004</v>
      </c>
      <c r="H8" s="250">
        <v>1572500</v>
      </c>
      <c r="I8" s="251">
        <v>1917000</v>
      </c>
      <c r="J8" s="251">
        <v>300000</v>
      </c>
      <c r="K8" s="251">
        <v>764999</v>
      </c>
      <c r="L8" s="252">
        <v>1611000</v>
      </c>
      <c r="M8" s="252">
        <v>157500</v>
      </c>
      <c r="N8" s="253"/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6322581</v>
      </c>
      <c r="G9" s="334">
        <v>0.83189999999999997</v>
      </c>
      <c r="H9" s="250">
        <v>1572500</v>
      </c>
      <c r="I9" s="251">
        <v>1917000</v>
      </c>
      <c r="J9" s="251">
        <v>300000</v>
      </c>
      <c r="K9" s="251">
        <v>764999</v>
      </c>
      <c r="L9" s="252">
        <v>1611000</v>
      </c>
      <c r="M9" s="252">
        <v>157500</v>
      </c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/>
      <c r="G10" s="334"/>
      <c r="H10" s="250"/>
      <c r="I10" s="253"/>
      <c r="J10" s="253"/>
      <c r="K10" s="253"/>
      <c r="L10" s="251"/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248000</v>
      </c>
      <c r="G11" s="334">
        <v>3.2599999999999997E-2</v>
      </c>
      <c r="H11" s="250"/>
      <c r="I11" s="253"/>
      <c r="J11" s="253"/>
      <c r="K11" s="253"/>
      <c r="L11" s="251"/>
      <c r="M11" s="252"/>
      <c r="N11" s="253"/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190</v>
      </c>
      <c r="D12" s="492"/>
      <c r="E12" s="113" t="s">
        <v>66</v>
      </c>
      <c r="F12" s="249">
        <v>1029419</v>
      </c>
      <c r="G12" s="334">
        <v>0.13539999999999999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191</v>
      </c>
      <c r="D13" s="492"/>
      <c r="E13" s="169" t="s">
        <v>110</v>
      </c>
      <c r="F13" s="249">
        <v>440800</v>
      </c>
      <c r="G13" s="334">
        <v>5.8000000000000003E-2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192</v>
      </c>
      <c r="D14" s="493"/>
      <c r="E14" s="114" t="s">
        <v>111</v>
      </c>
      <c r="F14" s="249">
        <v>288800</v>
      </c>
      <c r="G14" s="334">
        <v>3.7999999999999999E-2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193</v>
      </c>
      <c r="D15" s="495"/>
      <c r="E15" s="114" t="s">
        <v>112</v>
      </c>
      <c r="F15" s="249">
        <v>152000</v>
      </c>
      <c r="G15" s="334">
        <v>0.02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193</v>
      </c>
      <c r="D16" s="493"/>
      <c r="E16" s="113" t="s">
        <v>113</v>
      </c>
      <c r="F16" s="249">
        <v>588619</v>
      </c>
      <c r="G16" s="334">
        <v>7.7399999999999997E-2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194</v>
      </c>
      <c r="D17" s="500"/>
      <c r="E17" s="113" t="s">
        <v>114</v>
      </c>
      <c r="F17" s="249">
        <v>129200</v>
      </c>
      <c r="G17" s="334">
        <v>1.7000000000000001E-2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459419</v>
      </c>
      <c r="G18" s="334">
        <v>6.0400000000000002E-2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195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196</v>
      </c>
      <c r="C8" s="166"/>
      <c r="D8" s="517" t="s">
        <v>171</v>
      </c>
      <c r="E8" s="519">
        <v>577</v>
      </c>
      <c r="F8" s="521">
        <v>8089</v>
      </c>
      <c r="G8" s="523">
        <v>4667353</v>
      </c>
      <c r="H8" s="351"/>
      <c r="I8" s="525">
        <v>0.61409999999999998</v>
      </c>
      <c r="J8" s="227"/>
      <c r="K8" s="69" t="s">
        <v>96</v>
      </c>
    </row>
    <row r="9" spans="1:11" ht="15.6" customHeight="1">
      <c r="A9" s="69"/>
      <c r="B9" s="224" t="s">
        <v>197</v>
      </c>
      <c r="C9" s="225"/>
      <c r="D9" s="518"/>
      <c r="E9" s="520"/>
      <c r="F9" s="522"/>
      <c r="G9" s="524"/>
      <c r="H9" s="352" t="s">
        <v>198</v>
      </c>
      <c r="I9" s="526"/>
      <c r="J9" s="227"/>
      <c r="K9" s="69" t="s">
        <v>96</v>
      </c>
    </row>
    <row r="10" spans="1:11" ht="15.6" customHeight="1">
      <c r="A10" s="69"/>
      <c r="B10" s="222" t="s">
        <v>199</v>
      </c>
      <c r="C10" s="166"/>
      <c r="D10" s="517" t="s">
        <v>171</v>
      </c>
      <c r="E10" s="519">
        <v>577</v>
      </c>
      <c r="F10" s="521">
        <v>4107</v>
      </c>
      <c r="G10" s="523">
        <v>2369739</v>
      </c>
      <c r="H10" s="351" t="s">
        <v>201</v>
      </c>
      <c r="I10" s="525">
        <v>0.31180000000000002</v>
      </c>
      <c r="J10" s="223"/>
      <c r="K10" s="69" t="s">
        <v>96</v>
      </c>
    </row>
    <row r="11" spans="1:11" ht="15.6" customHeight="1">
      <c r="A11" s="69"/>
      <c r="B11" s="224" t="s">
        <v>200</v>
      </c>
      <c r="C11" s="225"/>
      <c r="D11" s="518"/>
      <c r="E11" s="520"/>
      <c r="F11" s="522"/>
      <c r="G11" s="524"/>
      <c r="H11" s="352" t="s">
        <v>202</v>
      </c>
      <c r="I11" s="526"/>
      <c r="J11" s="226"/>
      <c r="K11" s="69" t="s">
        <v>96</v>
      </c>
    </row>
    <row r="12" spans="1:11" ht="15.6" customHeight="1">
      <c r="A12" s="69"/>
      <c r="B12" s="222" t="s">
        <v>203</v>
      </c>
      <c r="C12" s="166"/>
      <c r="D12" s="517" t="s">
        <v>171</v>
      </c>
      <c r="E12" s="519">
        <v>577</v>
      </c>
      <c r="F12" s="521">
        <v>3982</v>
      </c>
      <c r="G12" s="523">
        <v>2297614</v>
      </c>
      <c r="H12" s="351" t="s">
        <v>204</v>
      </c>
      <c r="I12" s="525">
        <v>0.30230000000000001</v>
      </c>
      <c r="J12" s="223"/>
      <c r="K12" s="69" t="s">
        <v>96</v>
      </c>
    </row>
    <row r="13" spans="1:11" ht="15.6" customHeight="1">
      <c r="A13" s="69"/>
      <c r="B13" s="224" t="s">
        <v>200</v>
      </c>
      <c r="C13" s="225"/>
      <c r="D13" s="518"/>
      <c r="E13" s="520"/>
      <c r="F13" s="522"/>
      <c r="G13" s="524"/>
      <c r="H13" s="352" t="s">
        <v>202</v>
      </c>
      <c r="I13" s="526"/>
      <c r="J13" s="226"/>
      <c r="K13" s="69" t="s">
        <v>96</v>
      </c>
    </row>
    <row r="14" spans="1:11" ht="15.6" customHeight="1">
      <c r="A14" s="69"/>
      <c r="B14" s="222" t="s">
        <v>205</v>
      </c>
      <c r="C14" s="166"/>
      <c r="D14" s="517" t="s">
        <v>171</v>
      </c>
      <c r="E14" s="519">
        <v>49</v>
      </c>
      <c r="F14" s="521">
        <v>10672</v>
      </c>
      <c r="G14" s="523">
        <v>522928</v>
      </c>
      <c r="H14" s="351"/>
      <c r="I14" s="525">
        <v>6.88E-2</v>
      </c>
      <c r="J14" s="223"/>
      <c r="K14" s="69" t="s">
        <v>96</v>
      </c>
    </row>
    <row r="15" spans="1:11" ht="15.6" customHeight="1">
      <c r="A15" s="69"/>
      <c r="B15" s="224" t="s">
        <v>206</v>
      </c>
      <c r="C15" s="225"/>
      <c r="D15" s="518"/>
      <c r="E15" s="520"/>
      <c r="F15" s="522"/>
      <c r="G15" s="524"/>
      <c r="H15" s="352" t="s">
        <v>198</v>
      </c>
      <c r="I15" s="526"/>
      <c r="J15" s="226"/>
      <c r="K15" s="69" t="s">
        <v>96</v>
      </c>
    </row>
    <row r="16" spans="1:11" ht="15.6" customHeight="1">
      <c r="A16" s="69"/>
      <c r="B16" s="222" t="s">
        <v>199</v>
      </c>
      <c r="C16" s="166"/>
      <c r="D16" s="517" t="s">
        <v>171</v>
      </c>
      <c r="E16" s="519">
        <v>49</v>
      </c>
      <c r="F16" s="521">
        <v>6361</v>
      </c>
      <c r="G16" s="523">
        <v>311689</v>
      </c>
      <c r="H16" s="351" t="s">
        <v>207</v>
      </c>
      <c r="I16" s="525">
        <v>4.1000000000000002E-2</v>
      </c>
      <c r="J16" s="223"/>
      <c r="K16" s="69" t="s">
        <v>96</v>
      </c>
    </row>
    <row r="17" spans="1:11" ht="15.6" customHeight="1">
      <c r="A17" s="69"/>
      <c r="B17" s="224" t="s">
        <v>200</v>
      </c>
      <c r="C17" s="225"/>
      <c r="D17" s="518"/>
      <c r="E17" s="520"/>
      <c r="F17" s="522"/>
      <c r="G17" s="524"/>
      <c r="H17" s="352" t="s">
        <v>202</v>
      </c>
      <c r="I17" s="526"/>
      <c r="J17" s="226"/>
      <c r="K17" s="69" t="s">
        <v>96</v>
      </c>
    </row>
    <row r="18" spans="1:11" ht="15.6" customHeight="1">
      <c r="A18" s="69"/>
      <c r="B18" s="222" t="s">
        <v>203</v>
      </c>
      <c r="C18" s="166"/>
      <c r="D18" s="517" t="s">
        <v>171</v>
      </c>
      <c r="E18" s="519">
        <v>49</v>
      </c>
      <c r="F18" s="521">
        <v>4311</v>
      </c>
      <c r="G18" s="523">
        <v>211239</v>
      </c>
      <c r="H18" s="351" t="s">
        <v>208</v>
      </c>
      <c r="I18" s="525">
        <v>2.7699999999999999E-2</v>
      </c>
      <c r="J18" s="223"/>
      <c r="K18" s="69" t="s">
        <v>96</v>
      </c>
    </row>
    <row r="19" spans="1:11" ht="15.6" customHeight="1">
      <c r="A19" s="69"/>
      <c r="B19" s="224" t="s">
        <v>200</v>
      </c>
      <c r="C19" s="225"/>
      <c r="D19" s="518"/>
      <c r="E19" s="520"/>
      <c r="F19" s="522"/>
      <c r="G19" s="524"/>
      <c r="H19" s="352" t="s">
        <v>202</v>
      </c>
      <c r="I19" s="526"/>
      <c r="J19" s="226"/>
      <c r="K19" s="69" t="s">
        <v>96</v>
      </c>
    </row>
    <row r="20" spans="1:11" ht="15.6" customHeight="1">
      <c r="A20" s="69"/>
      <c r="B20" s="222" t="s">
        <v>209</v>
      </c>
      <c r="C20" s="166"/>
      <c r="D20" s="517" t="s">
        <v>172</v>
      </c>
      <c r="E20" s="519">
        <v>1</v>
      </c>
      <c r="F20" s="521">
        <v>279900</v>
      </c>
      <c r="G20" s="523">
        <v>279900</v>
      </c>
      <c r="H20" s="351"/>
      <c r="I20" s="525">
        <v>3.6799999999999999E-2</v>
      </c>
      <c r="J20" s="223"/>
      <c r="K20" s="69" t="s">
        <v>96</v>
      </c>
    </row>
    <row r="21" spans="1:11" ht="15.6" customHeight="1">
      <c r="A21" s="69"/>
      <c r="B21" s="224" t="s">
        <v>206</v>
      </c>
      <c r="C21" s="225"/>
      <c r="D21" s="518"/>
      <c r="E21" s="520"/>
      <c r="F21" s="522"/>
      <c r="G21" s="524"/>
      <c r="H21" s="352" t="s">
        <v>198</v>
      </c>
      <c r="I21" s="526"/>
      <c r="J21" s="226"/>
      <c r="K21" s="69" t="s">
        <v>96</v>
      </c>
    </row>
    <row r="22" spans="1:11" ht="15.6" customHeight="1">
      <c r="A22" s="69"/>
      <c r="B22" s="222" t="s">
        <v>210</v>
      </c>
      <c r="C22" s="166"/>
      <c r="D22" s="517" t="s">
        <v>172</v>
      </c>
      <c r="E22" s="519">
        <v>1</v>
      </c>
      <c r="F22" s="521">
        <v>279900</v>
      </c>
      <c r="G22" s="523">
        <v>279900</v>
      </c>
      <c r="H22" s="351" t="s">
        <v>211</v>
      </c>
      <c r="I22" s="525">
        <v>3.6799999999999999E-2</v>
      </c>
      <c r="J22" s="223"/>
      <c r="K22" s="69" t="s">
        <v>96</v>
      </c>
    </row>
    <row r="23" spans="1:11" ht="15.6" customHeight="1">
      <c r="A23" s="69"/>
      <c r="B23" s="224" t="s">
        <v>200</v>
      </c>
      <c r="C23" s="225"/>
      <c r="D23" s="518"/>
      <c r="E23" s="520"/>
      <c r="F23" s="522"/>
      <c r="G23" s="524"/>
      <c r="H23" s="352" t="s">
        <v>202</v>
      </c>
      <c r="I23" s="526"/>
      <c r="J23" s="226"/>
      <c r="K23" s="69" t="s">
        <v>96</v>
      </c>
    </row>
    <row r="24" spans="1:11" ht="15.6" customHeight="1">
      <c r="A24" s="69"/>
      <c r="B24" s="222" t="s">
        <v>212</v>
      </c>
      <c r="C24" s="166"/>
      <c r="D24" s="517" t="s">
        <v>172</v>
      </c>
      <c r="E24" s="519">
        <v>1</v>
      </c>
      <c r="F24" s="521">
        <v>224000</v>
      </c>
      <c r="G24" s="523">
        <v>224000</v>
      </c>
      <c r="H24" s="351"/>
      <c r="I24" s="525">
        <v>2.9399999999999999E-2</v>
      </c>
      <c r="J24" s="223"/>
      <c r="K24" s="69" t="s">
        <v>96</v>
      </c>
    </row>
    <row r="25" spans="1:11" ht="15.6" customHeight="1">
      <c r="A25" s="69"/>
      <c r="B25" s="224" t="s">
        <v>206</v>
      </c>
      <c r="C25" s="225"/>
      <c r="D25" s="518"/>
      <c r="E25" s="520"/>
      <c r="F25" s="522"/>
      <c r="G25" s="524"/>
      <c r="H25" s="352" t="s">
        <v>198</v>
      </c>
      <c r="I25" s="526"/>
      <c r="J25" s="226"/>
      <c r="K25" s="69" t="s">
        <v>96</v>
      </c>
    </row>
    <row r="26" spans="1:11" ht="15.6" customHeight="1">
      <c r="A26" s="69"/>
      <c r="B26" s="222" t="s">
        <v>210</v>
      </c>
      <c r="C26" s="166"/>
      <c r="D26" s="517" t="s">
        <v>172</v>
      </c>
      <c r="E26" s="519">
        <v>1</v>
      </c>
      <c r="F26" s="521">
        <v>224000</v>
      </c>
      <c r="G26" s="523">
        <v>224000</v>
      </c>
      <c r="H26" s="351" t="s">
        <v>213</v>
      </c>
      <c r="I26" s="525">
        <v>2.9399999999999999E-2</v>
      </c>
      <c r="J26" s="223"/>
      <c r="K26" s="69" t="s">
        <v>96</v>
      </c>
    </row>
    <row r="27" spans="1:11" ht="15.6" customHeight="1">
      <c r="A27" s="69"/>
      <c r="B27" s="224" t="s">
        <v>200</v>
      </c>
      <c r="C27" s="225"/>
      <c r="D27" s="518"/>
      <c r="E27" s="520"/>
      <c r="F27" s="522"/>
      <c r="G27" s="524"/>
      <c r="H27" s="352" t="s">
        <v>202</v>
      </c>
      <c r="I27" s="526"/>
      <c r="J27" s="226"/>
      <c r="K27" s="69" t="s">
        <v>96</v>
      </c>
    </row>
    <row r="28" spans="1:11" ht="15.6" customHeight="1">
      <c r="A28" s="69"/>
      <c r="B28" s="222" t="s">
        <v>214</v>
      </c>
      <c r="C28" s="166"/>
      <c r="D28" s="517" t="s">
        <v>172</v>
      </c>
      <c r="E28" s="519">
        <v>1</v>
      </c>
      <c r="F28" s="521">
        <v>243000</v>
      </c>
      <c r="G28" s="523">
        <v>243000</v>
      </c>
      <c r="H28" s="351"/>
      <c r="I28" s="525">
        <v>3.1899999999999998E-2</v>
      </c>
      <c r="J28" s="223"/>
      <c r="K28" s="69" t="s">
        <v>96</v>
      </c>
    </row>
    <row r="29" spans="1:11" ht="15.6" customHeight="1">
      <c r="A29" s="69"/>
      <c r="B29" s="224" t="s">
        <v>206</v>
      </c>
      <c r="C29" s="225"/>
      <c r="D29" s="518"/>
      <c r="E29" s="520"/>
      <c r="F29" s="522"/>
      <c r="G29" s="524"/>
      <c r="H29" s="352" t="s">
        <v>198</v>
      </c>
      <c r="I29" s="526"/>
      <c r="J29" s="226"/>
      <c r="K29" s="69" t="s">
        <v>96</v>
      </c>
    </row>
    <row r="30" spans="1:11" ht="15.6" customHeight="1">
      <c r="A30" s="69"/>
      <c r="B30" s="222" t="s">
        <v>210</v>
      </c>
      <c r="C30" s="166"/>
      <c r="D30" s="517" t="s">
        <v>172</v>
      </c>
      <c r="E30" s="519">
        <v>1</v>
      </c>
      <c r="F30" s="521">
        <v>243000</v>
      </c>
      <c r="G30" s="523">
        <v>243000</v>
      </c>
      <c r="H30" s="351" t="s">
        <v>215</v>
      </c>
      <c r="I30" s="525">
        <v>3.1899999999999998E-2</v>
      </c>
      <c r="J30" s="223"/>
      <c r="K30" s="69" t="s">
        <v>96</v>
      </c>
    </row>
    <row r="31" spans="1:11" ht="15.6" customHeight="1">
      <c r="A31" s="69"/>
      <c r="B31" s="224" t="s">
        <v>200</v>
      </c>
      <c r="C31" s="225"/>
      <c r="D31" s="518"/>
      <c r="E31" s="520"/>
      <c r="F31" s="522"/>
      <c r="G31" s="524"/>
      <c r="H31" s="352" t="s">
        <v>202</v>
      </c>
      <c r="I31" s="526"/>
      <c r="J31" s="226"/>
      <c r="K31" s="69" t="s">
        <v>96</v>
      </c>
    </row>
    <row r="32" spans="1:11" ht="15.6" customHeight="1">
      <c r="A32" s="69"/>
      <c r="B32" s="222" t="s">
        <v>216</v>
      </c>
      <c r="C32" s="166"/>
      <c r="D32" s="532" t="s">
        <v>172</v>
      </c>
      <c r="E32" s="519">
        <v>1</v>
      </c>
      <c r="F32" s="521">
        <v>300000</v>
      </c>
      <c r="G32" s="523">
        <v>300000</v>
      </c>
      <c r="H32" s="351"/>
      <c r="I32" s="525">
        <v>3.9399999999999998E-2</v>
      </c>
      <c r="J32" s="223"/>
      <c r="K32" s="69" t="s">
        <v>96</v>
      </c>
    </row>
    <row r="33" spans="1:11" ht="15.6" customHeight="1">
      <c r="A33" s="69"/>
      <c r="B33" s="224" t="s">
        <v>206</v>
      </c>
      <c r="C33" s="225"/>
      <c r="D33" s="532"/>
      <c r="E33" s="520"/>
      <c r="F33" s="522"/>
      <c r="G33" s="524"/>
      <c r="H33" s="354" t="s">
        <v>198</v>
      </c>
      <c r="I33" s="526"/>
      <c r="J33" s="226"/>
      <c r="K33" s="69" t="s">
        <v>96</v>
      </c>
    </row>
    <row r="34" spans="1:11" ht="15.6" customHeight="1">
      <c r="A34" s="69"/>
      <c r="B34" s="222" t="s">
        <v>210</v>
      </c>
      <c r="C34" s="166"/>
      <c r="D34" s="517" t="s">
        <v>172</v>
      </c>
      <c r="E34" s="519">
        <v>1</v>
      </c>
      <c r="F34" s="521">
        <v>300000</v>
      </c>
      <c r="G34" s="523">
        <v>300000</v>
      </c>
      <c r="H34" s="351" t="s">
        <v>217</v>
      </c>
      <c r="I34" s="525">
        <v>3.9399999999999998E-2</v>
      </c>
      <c r="J34" s="223"/>
      <c r="K34" s="69" t="s">
        <v>96</v>
      </c>
    </row>
    <row r="35" spans="1:11" ht="15.6" customHeight="1">
      <c r="A35" s="69"/>
      <c r="B35" s="224" t="s">
        <v>200</v>
      </c>
      <c r="C35" s="225"/>
      <c r="D35" s="518"/>
      <c r="E35" s="520"/>
      <c r="F35" s="522"/>
      <c r="G35" s="524"/>
      <c r="H35" s="352" t="s">
        <v>202</v>
      </c>
      <c r="I35" s="526"/>
      <c r="J35" s="226"/>
      <c r="K35" s="69" t="s">
        <v>96</v>
      </c>
    </row>
    <row r="36" spans="1:11" ht="15.6" customHeight="1">
      <c r="A36" s="69"/>
      <c r="B36" s="301" t="s">
        <v>218</v>
      </c>
      <c r="C36" s="302"/>
      <c r="D36" s="517" t="s">
        <v>172</v>
      </c>
      <c r="E36" s="519">
        <v>1</v>
      </c>
      <c r="F36" s="521">
        <v>85400</v>
      </c>
      <c r="G36" s="523">
        <v>85400</v>
      </c>
      <c r="H36" s="351"/>
      <c r="I36" s="525">
        <v>1.12E-2</v>
      </c>
      <c r="J36" s="223"/>
      <c r="K36" s="69" t="s">
        <v>96</v>
      </c>
    </row>
    <row r="37" spans="1:11" ht="15.6" customHeight="1" thickBot="1">
      <c r="A37" s="69"/>
      <c r="B37" s="228" t="s">
        <v>219</v>
      </c>
      <c r="C37" s="229"/>
      <c r="D37" s="527"/>
      <c r="E37" s="528"/>
      <c r="F37" s="529"/>
      <c r="G37" s="530"/>
      <c r="H37" s="353" t="s">
        <v>198</v>
      </c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199</v>
      </c>
      <c r="C43" s="166"/>
      <c r="D43" s="517" t="s">
        <v>172</v>
      </c>
      <c r="E43" s="519">
        <v>1</v>
      </c>
      <c r="F43" s="521">
        <v>61600</v>
      </c>
      <c r="G43" s="523">
        <v>61600</v>
      </c>
      <c r="H43" s="351" t="s">
        <v>220</v>
      </c>
      <c r="I43" s="525">
        <v>8.0999999999999996E-3</v>
      </c>
      <c r="J43" s="223"/>
      <c r="K43" s="69" t="s">
        <v>96</v>
      </c>
    </row>
    <row r="44" spans="1:11" ht="15.6" customHeight="1">
      <c r="A44" s="69"/>
      <c r="B44" s="224" t="s">
        <v>200</v>
      </c>
      <c r="C44" s="225"/>
      <c r="D44" s="518"/>
      <c r="E44" s="520"/>
      <c r="F44" s="522"/>
      <c r="G44" s="524"/>
      <c r="H44" s="352" t="s">
        <v>202</v>
      </c>
      <c r="I44" s="526"/>
      <c r="J44" s="226"/>
      <c r="K44" s="69" t="s">
        <v>96</v>
      </c>
    </row>
    <row r="45" spans="1:11" ht="15.6" customHeight="1">
      <c r="A45" s="69"/>
      <c r="B45" s="222" t="s">
        <v>221</v>
      </c>
      <c r="C45" s="166"/>
      <c r="D45" s="517" t="s">
        <v>172</v>
      </c>
      <c r="E45" s="519">
        <v>1</v>
      </c>
      <c r="F45" s="521">
        <v>23800</v>
      </c>
      <c r="G45" s="523">
        <v>23800</v>
      </c>
      <c r="H45" s="351" t="s">
        <v>222</v>
      </c>
      <c r="I45" s="525">
        <v>3.0999999999999999E-3</v>
      </c>
      <c r="J45" s="227"/>
      <c r="K45" s="69" t="s">
        <v>96</v>
      </c>
    </row>
    <row r="46" spans="1:11" ht="15.6" customHeight="1">
      <c r="A46" s="69"/>
      <c r="B46" s="224" t="s">
        <v>200</v>
      </c>
      <c r="C46" s="225"/>
      <c r="D46" s="518"/>
      <c r="E46" s="520"/>
      <c r="F46" s="522"/>
      <c r="G46" s="524"/>
      <c r="H46" s="352" t="s">
        <v>202</v>
      </c>
      <c r="I46" s="526"/>
      <c r="J46" s="227"/>
      <c r="K46" s="69" t="s">
        <v>96</v>
      </c>
    </row>
    <row r="47" spans="1:11" ht="15.6" customHeight="1">
      <c r="A47" s="69"/>
      <c r="B47" s="222" t="s">
        <v>223</v>
      </c>
      <c r="C47" s="166"/>
      <c r="D47" s="517"/>
      <c r="E47" s="519"/>
      <c r="F47" s="521"/>
      <c r="G47" s="523">
        <v>6322581</v>
      </c>
      <c r="H47" s="351"/>
      <c r="I47" s="525">
        <v>0.83189999999999997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 t="s">
        <v>224</v>
      </c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 t="s">
        <v>225</v>
      </c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 t="s">
        <v>206</v>
      </c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 t="s">
        <v>226</v>
      </c>
      <c r="C55" s="166"/>
      <c r="D55" s="517" t="s">
        <v>172</v>
      </c>
      <c r="E55" s="519">
        <v>1</v>
      </c>
      <c r="F55" s="521">
        <v>248000</v>
      </c>
      <c r="G55" s="523">
        <v>248000</v>
      </c>
      <c r="H55" s="351"/>
      <c r="I55" s="525">
        <v>3.2599999999999997E-2</v>
      </c>
      <c r="J55" s="223"/>
      <c r="K55" s="69" t="s">
        <v>96</v>
      </c>
    </row>
    <row r="56" spans="1:11" ht="15.6" customHeight="1">
      <c r="A56" s="69"/>
      <c r="B56" s="224" t="s">
        <v>206</v>
      </c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 t="s">
        <v>227</v>
      </c>
      <c r="C57" s="166"/>
      <c r="D57" s="517"/>
      <c r="E57" s="519"/>
      <c r="F57" s="521"/>
      <c r="G57" s="523">
        <v>248000</v>
      </c>
      <c r="H57" s="351"/>
      <c r="I57" s="525">
        <v>3.2599999999999997E-2</v>
      </c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 t="s">
        <v>228</v>
      </c>
      <c r="C61" s="166"/>
      <c r="D61" s="517"/>
      <c r="E61" s="519"/>
      <c r="F61" s="521"/>
      <c r="G61" s="523">
        <v>6570581</v>
      </c>
      <c r="H61" s="351"/>
      <c r="I61" s="525">
        <v>0.86460000000000004</v>
      </c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 t="s">
        <v>229</v>
      </c>
      <c r="C65" s="166"/>
      <c r="D65" s="517"/>
      <c r="E65" s="519"/>
      <c r="F65" s="521"/>
      <c r="G65" s="523">
        <v>1029419</v>
      </c>
      <c r="H65" s="351"/>
      <c r="I65" s="525">
        <v>0.13539999999999999</v>
      </c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 t="s">
        <v>131</v>
      </c>
      <c r="C69" s="166"/>
      <c r="D69" s="532"/>
      <c r="E69" s="519"/>
      <c r="F69" s="521"/>
      <c r="G69" s="523">
        <v>7600000</v>
      </c>
      <c r="H69" s="351"/>
      <c r="I69" s="525">
        <v>1</v>
      </c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2EE98-B0E0-4FF5-BAD9-0C58DDEB3592}">
  <sheetPr codeName="Sheet4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235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171</v>
      </c>
      <c r="E6" s="519">
        <v>577</v>
      </c>
      <c r="F6" s="521">
        <v>8089</v>
      </c>
      <c r="G6" s="523">
        <v>4667353</v>
      </c>
      <c r="H6" s="351"/>
      <c r="I6" s="351"/>
      <c r="J6" s="223"/>
      <c r="K6" s="69" t="s">
        <v>96</v>
      </c>
    </row>
    <row r="7" spans="1:11" ht="15.6" customHeight="1">
      <c r="A7" s="69"/>
      <c r="B7" s="224" t="s">
        <v>170</v>
      </c>
      <c r="C7" s="225"/>
      <c r="D7" s="518"/>
      <c r="E7" s="520"/>
      <c r="F7" s="522"/>
      <c r="G7" s="524"/>
      <c r="H7" s="352" t="s">
        <v>198</v>
      </c>
      <c r="I7" s="352"/>
      <c r="J7" s="226"/>
      <c r="K7" s="69" t="s">
        <v>96</v>
      </c>
    </row>
    <row r="8" spans="1:11" ht="15.6" customHeight="1">
      <c r="A8" s="69"/>
      <c r="B8" s="222" t="s">
        <v>230</v>
      </c>
      <c r="C8" s="166"/>
      <c r="D8" s="517" t="s">
        <v>171</v>
      </c>
      <c r="E8" s="519">
        <v>577</v>
      </c>
      <c r="F8" s="521">
        <v>4107</v>
      </c>
      <c r="G8" s="523">
        <v>2369739</v>
      </c>
      <c r="H8" s="351" t="s">
        <v>201</v>
      </c>
      <c r="I8" s="351"/>
      <c r="J8" s="227"/>
      <c r="K8" s="69" t="s">
        <v>96</v>
      </c>
    </row>
    <row r="9" spans="1:11" ht="15.6" customHeight="1">
      <c r="A9" s="69"/>
      <c r="B9" s="224" t="s">
        <v>206</v>
      </c>
      <c r="C9" s="225"/>
      <c r="D9" s="518"/>
      <c r="E9" s="520"/>
      <c r="F9" s="522"/>
      <c r="G9" s="524"/>
      <c r="H9" s="352" t="s">
        <v>202</v>
      </c>
      <c r="I9" s="352"/>
      <c r="J9" s="227"/>
      <c r="K9" s="69" t="s">
        <v>96</v>
      </c>
    </row>
    <row r="10" spans="1:11" ht="15.6" customHeight="1">
      <c r="A10" s="69"/>
      <c r="B10" s="222" t="s">
        <v>231</v>
      </c>
      <c r="C10" s="166"/>
      <c r="D10" s="517" t="s">
        <v>171</v>
      </c>
      <c r="E10" s="519">
        <v>577</v>
      </c>
      <c r="F10" s="521">
        <v>3982</v>
      </c>
      <c r="G10" s="523">
        <v>2297614</v>
      </c>
      <c r="H10" s="351" t="s">
        <v>204</v>
      </c>
      <c r="I10" s="351"/>
      <c r="J10" s="223"/>
      <c r="K10" s="69" t="s">
        <v>96</v>
      </c>
    </row>
    <row r="11" spans="1:11" ht="15.6" customHeight="1">
      <c r="A11" s="69"/>
      <c r="B11" s="224" t="s">
        <v>206</v>
      </c>
      <c r="C11" s="225"/>
      <c r="D11" s="518"/>
      <c r="E11" s="520"/>
      <c r="F11" s="522"/>
      <c r="G11" s="524"/>
      <c r="H11" s="352" t="s">
        <v>202</v>
      </c>
      <c r="I11" s="352"/>
      <c r="J11" s="226"/>
      <c r="K11" s="69" t="s">
        <v>96</v>
      </c>
    </row>
    <row r="12" spans="1:11" ht="15.6" customHeight="1">
      <c r="A12" s="69"/>
      <c r="B12" s="222" t="s">
        <v>155</v>
      </c>
      <c r="C12" s="166"/>
      <c r="D12" s="517" t="s">
        <v>171</v>
      </c>
      <c r="E12" s="519">
        <v>49</v>
      </c>
      <c r="F12" s="521">
        <v>10672</v>
      </c>
      <c r="G12" s="523">
        <v>522928</v>
      </c>
      <c r="H12" s="351"/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198</v>
      </c>
      <c r="I13" s="352"/>
      <c r="J13" s="226"/>
      <c r="K13" s="69" t="s">
        <v>96</v>
      </c>
    </row>
    <row r="14" spans="1:11" ht="15.6" customHeight="1">
      <c r="A14" s="69"/>
      <c r="B14" s="222" t="s">
        <v>230</v>
      </c>
      <c r="C14" s="166"/>
      <c r="D14" s="517" t="s">
        <v>171</v>
      </c>
      <c r="E14" s="519">
        <v>49</v>
      </c>
      <c r="F14" s="521">
        <v>6361</v>
      </c>
      <c r="G14" s="523">
        <v>311689</v>
      </c>
      <c r="H14" s="351" t="s">
        <v>207</v>
      </c>
      <c r="I14" s="351"/>
      <c r="J14" s="223"/>
      <c r="K14" s="69" t="s">
        <v>96</v>
      </c>
    </row>
    <row r="15" spans="1:11" ht="15.6" customHeight="1">
      <c r="A15" s="69"/>
      <c r="B15" s="224" t="s">
        <v>206</v>
      </c>
      <c r="C15" s="225"/>
      <c r="D15" s="518"/>
      <c r="E15" s="520"/>
      <c r="F15" s="522"/>
      <c r="G15" s="524"/>
      <c r="H15" s="352" t="s">
        <v>202</v>
      </c>
      <c r="I15" s="352"/>
      <c r="J15" s="226"/>
      <c r="K15" s="69" t="s">
        <v>96</v>
      </c>
    </row>
    <row r="16" spans="1:11" ht="15.6" customHeight="1">
      <c r="A16" s="69"/>
      <c r="B16" s="222" t="s">
        <v>231</v>
      </c>
      <c r="C16" s="166"/>
      <c r="D16" s="517" t="s">
        <v>171</v>
      </c>
      <c r="E16" s="519">
        <v>49</v>
      </c>
      <c r="F16" s="521">
        <v>4311</v>
      </c>
      <c r="G16" s="523">
        <v>211239</v>
      </c>
      <c r="H16" s="351" t="s">
        <v>208</v>
      </c>
      <c r="I16" s="351"/>
      <c r="J16" s="223"/>
      <c r="K16" s="69" t="s">
        <v>96</v>
      </c>
    </row>
    <row r="17" spans="1:11" ht="15.6" customHeight="1">
      <c r="A17" s="69"/>
      <c r="B17" s="224" t="s">
        <v>206</v>
      </c>
      <c r="C17" s="225"/>
      <c r="D17" s="518"/>
      <c r="E17" s="520"/>
      <c r="F17" s="522"/>
      <c r="G17" s="524"/>
      <c r="H17" s="352" t="s">
        <v>202</v>
      </c>
      <c r="I17" s="352"/>
      <c r="J17" s="226"/>
      <c r="K17" s="69" t="s">
        <v>96</v>
      </c>
    </row>
    <row r="18" spans="1:11" ht="15.6" customHeight="1">
      <c r="A18" s="69"/>
      <c r="B18" s="222" t="s">
        <v>156</v>
      </c>
      <c r="C18" s="166"/>
      <c r="D18" s="517" t="s">
        <v>172</v>
      </c>
      <c r="E18" s="519">
        <v>1</v>
      </c>
      <c r="F18" s="521">
        <v>279900</v>
      </c>
      <c r="G18" s="523">
        <v>279900</v>
      </c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198</v>
      </c>
      <c r="I19" s="352"/>
      <c r="J19" s="226"/>
      <c r="K19" s="69" t="s">
        <v>96</v>
      </c>
    </row>
    <row r="20" spans="1:11" ht="15.6" customHeight="1">
      <c r="A20" s="69"/>
      <c r="B20" s="222" t="s">
        <v>232</v>
      </c>
      <c r="C20" s="166"/>
      <c r="D20" s="517" t="s">
        <v>172</v>
      </c>
      <c r="E20" s="519">
        <v>1</v>
      </c>
      <c r="F20" s="521">
        <v>279900</v>
      </c>
      <c r="G20" s="523">
        <v>279900</v>
      </c>
      <c r="H20" s="351" t="s">
        <v>211</v>
      </c>
      <c r="I20" s="351"/>
      <c r="J20" s="223"/>
      <c r="K20" s="69" t="s">
        <v>96</v>
      </c>
    </row>
    <row r="21" spans="1:11" ht="15.6" customHeight="1">
      <c r="A21" s="69"/>
      <c r="B21" s="224" t="s">
        <v>206</v>
      </c>
      <c r="C21" s="225"/>
      <c r="D21" s="518"/>
      <c r="E21" s="520"/>
      <c r="F21" s="522"/>
      <c r="G21" s="524"/>
      <c r="H21" s="352" t="s">
        <v>202</v>
      </c>
      <c r="I21" s="352"/>
      <c r="J21" s="226"/>
      <c r="K21" s="69" t="s">
        <v>96</v>
      </c>
    </row>
    <row r="22" spans="1:11" ht="15.6" customHeight="1">
      <c r="A22" s="69"/>
      <c r="B22" s="222" t="s">
        <v>157</v>
      </c>
      <c r="C22" s="166"/>
      <c r="D22" s="517" t="s">
        <v>172</v>
      </c>
      <c r="E22" s="519">
        <v>1</v>
      </c>
      <c r="F22" s="521">
        <v>224000</v>
      </c>
      <c r="G22" s="523">
        <v>224000</v>
      </c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 t="s">
        <v>198</v>
      </c>
      <c r="I23" s="352"/>
      <c r="J23" s="226"/>
      <c r="K23" s="69" t="s">
        <v>96</v>
      </c>
    </row>
    <row r="24" spans="1:11" ht="15.6" customHeight="1">
      <c r="A24" s="69"/>
      <c r="B24" s="222" t="s">
        <v>232</v>
      </c>
      <c r="C24" s="166"/>
      <c r="D24" s="517" t="s">
        <v>172</v>
      </c>
      <c r="E24" s="519">
        <v>1</v>
      </c>
      <c r="F24" s="521">
        <v>224000</v>
      </c>
      <c r="G24" s="523">
        <v>224000</v>
      </c>
      <c r="H24" s="351" t="s">
        <v>213</v>
      </c>
      <c r="I24" s="351"/>
      <c r="J24" s="223"/>
      <c r="K24" s="69" t="s">
        <v>96</v>
      </c>
    </row>
    <row r="25" spans="1:11" ht="15.6" customHeight="1">
      <c r="A25" s="69"/>
      <c r="B25" s="224" t="s">
        <v>206</v>
      </c>
      <c r="C25" s="225"/>
      <c r="D25" s="518"/>
      <c r="E25" s="520"/>
      <c r="F25" s="522"/>
      <c r="G25" s="524"/>
      <c r="H25" s="352" t="s">
        <v>202</v>
      </c>
      <c r="I25" s="352"/>
      <c r="J25" s="226"/>
      <c r="K25" s="69" t="s">
        <v>96</v>
      </c>
    </row>
    <row r="26" spans="1:11" ht="15.6" customHeight="1">
      <c r="A26" s="69"/>
      <c r="B26" s="222" t="s">
        <v>158</v>
      </c>
      <c r="C26" s="166"/>
      <c r="D26" s="517" t="s">
        <v>172</v>
      </c>
      <c r="E26" s="519">
        <v>1</v>
      </c>
      <c r="F26" s="521">
        <v>243000</v>
      </c>
      <c r="G26" s="523">
        <v>243000</v>
      </c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 t="s">
        <v>198</v>
      </c>
      <c r="I27" s="352"/>
      <c r="J27" s="226"/>
      <c r="K27" s="69" t="s">
        <v>96</v>
      </c>
    </row>
    <row r="28" spans="1:11" ht="15.6" customHeight="1">
      <c r="A28" s="69"/>
      <c r="B28" s="222" t="s">
        <v>232</v>
      </c>
      <c r="C28" s="166"/>
      <c r="D28" s="517" t="s">
        <v>172</v>
      </c>
      <c r="E28" s="519">
        <v>1</v>
      </c>
      <c r="F28" s="521">
        <v>243000</v>
      </c>
      <c r="G28" s="523">
        <v>243000</v>
      </c>
      <c r="H28" s="351" t="s">
        <v>215</v>
      </c>
      <c r="I28" s="351"/>
      <c r="J28" s="223"/>
      <c r="K28" s="69" t="s">
        <v>96</v>
      </c>
    </row>
    <row r="29" spans="1:11" ht="15.6" customHeight="1">
      <c r="A29" s="69"/>
      <c r="B29" s="224" t="s">
        <v>206</v>
      </c>
      <c r="C29" s="225"/>
      <c r="D29" s="518"/>
      <c r="E29" s="520"/>
      <c r="F29" s="522"/>
      <c r="G29" s="524"/>
      <c r="H29" s="352" t="s">
        <v>202</v>
      </c>
      <c r="I29" s="352"/>
      <c r="J29" s="226"/>
      <c r="K29" s="69" t="s">
        <v>96</v>
      </c>
    </row>
    <row r="30" spans="1:11" ht="15.6" customHeight="1">
      <c r="A30" s="69"/>
      <c r="B30" s="222" t="s">
        <v>159</v>
      </c>
      <c r="C30" s="166"/>
      <c r="D30" s="517" t="s">
        <v>172</v>
      </c>
      <c r="E30" s="519">
        <v>1</v>
      </c>
      <c r="F30" s="521">
        <v>300000</v>
      </c>
      <c r="G30" s="523">
        <v>300000</v>
      </c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 t="s">
        <v>198</v>
      </c>
      <c r="I31" s="352"/>
      <c r="J31" s="226"/>
      <c r="K31" s="69" t="s">
        <v>96</v>
      </c>
    </row>
    <row r="32" spans="1:11" ht="15.6" customHeight="1">
      <c r="A32" s="69"/>
      <c r="B32" s="222" t="s">
        <v>232</v>
      </c>
      <c r="C32" s="166"/>
      <c r="D32" s="532" t="s">
        <v>172</v>
      </c>
      <c r="E32" s="519">
        <v>1</v>
      </c>
      <c r="F32" s="521">
        <v>300000</v>
      </c>
      <c r="G32" s="523">
        <v>300000</v>
      </c>
      <c r="H32" s="351" t="s">
        <v>217</v>
      </c>
      <c r="I32" s="351"/>
      <c r="J32" s="223"/>
      <c r="K32" s="69" t="s">
        <v>96</v>
      </c>
    </row>
    <row r="33" spans="1:11" ht="15.6" customHeight="1">
      <c r="A33" s="69"/>
      <c r="B33" s="224" t="s">
        <v>206</v>
      </c>
      <c r="C33" s="225"/>
      <c r="D33" s="532"/>
      <c r="E33" s="520"/>
      <c r="F33" s="522"/>
      <c r="G33" s="524"/>
      <c r="H33" s="354" t="s">
        <v>202</v>
      </c>
      <c r="I33" s="352"/>
      <c r="J33" s="226"/>
      <c r="K33" s="69" t="s">
        <v>96</v>
      </c>
    </row>
    <row r="34" spans="1:11" ht="15.6" customHeight="1">
      <c r="A34" s="69"/>
      <c r="B34" s="222" t="s">
        <v>160</v>
      </c>
      <c r="C34" s="166"/>
      <c r="D34" s="517" t="s">
        <v>172</v>
      </c>
      <c r="E34" s="519">
        <v>1</v>
      </c>
      <c r="F34" s="521">
        <v>85400</v>
      </c>
      <c r="G34" s="523">
        <v>85400</v>
      </c>
      <c r="H34" s="351"/>
      <c r="I34" s="351"/>
      <c r="J34" s="223"/>
      <c r="K34" s="69" t="s">
        <v>96</v>
      </c>
    </row>
    <row r="35" spans="1:11" ht="15.6" customHeight="1">
      <c r="A35" s="69"/>
      <c r="B35" s="224" t="s">
        <v>173</v>
      </c>
      <c r="C35" s="225"/>
      <c r="D35" s="518"/>
      <c r="E35" s="520"/>
      <c r="F35" s="522"/>
      <c r="G35" s="524"/>
      <c r="H35" s="352" t="s">
        <v>198</v>
      </c>
      <c r="I35" s="352"/>
      <c r="J35" s="226"/>
      <c r="K35" s="69" t="s">
        <v>96</v>
      </c>
    </row>
    <row r="36" spans="1:11" ht="15.6" customHeight="1">
      <c r="A36" s="69"/>
      <c r="B36" s="301" t="s">
        <v>230</v>
      </c>
      <c r="C36" s="302"/>
      <c r="D36" s="517" t="s">
        <v>172</v>
      </c>
      <c r="E36" s="519">
        <v>1</v>
      </c>
      <c r="F36" s="521">
        <v>61600</v>
      </c>
      <c r="G36" s="523">
        <v>61600</v>
      </c>
      <c r="H36" s="351" t="s">
        <v>220</v>
      </c>
      <c r="I36" s="351"/>
      <c r="J36" s="223"/>
      <c r="K36" s="69" t="s">
        <v>96</v>
      </c>
    </row>
    <row r="37" spans="1:11" ht="15.6" customHeight="1" thickBot="1">
      <c r="A37" s="69"/>
      <c r="B37" s="228" t="s">
        <v>206</v>
      </c>
      <c r="C37" s="229"/>
      <c r="D37" s="527"/>
      <c r="E37" s="528"/>
      <c r="F37" s="529"/>
      <c r="G37" s="530"/>
      <c r="H37" s="353" t="s">
        <v>202</v>
      </c>
      <c r="I37" s="353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60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94</v>
      </c>
      <c r="J42" s="117" t="s">
        <v>95</v>
      </c>
      <c r="K42" s="69"/>
    </row>
    <row r="43" spans="1:11" ht="15.6" customHeight="1">
      <c r="A43" s="69"/>
      <c r="B43" s="222" t="s">
        <v>233</v>
      </c>
      <c r="C43" s="166"/>
      <c r="D43" s="517" t="s">
        <v>172</v>
      </c>
      <c r="E43" s="519">
        <v>1</v>
      </c>
      <c r="F43" s="521">
        <v>23800</v>
      </c>
      <c r="G43" s="523">
        <v>23800</v>
      </c>
      <c r="H43" s="351" t="s">
        <v>222</v>
      </c>
      <c r="I43" s="351"/>
      <c r="J43" s="223"/>
      <c r="K43" s="69" t="s">
        <v>96</v>
      </c>
    </row>
    <row r="44" spans="1:11" ht="15.6" customHeight="1">
      <c r="A44" s="69"/>
      <c r="B44" s="224" t="s">
        <v>206</v>
      </c>
      <c r="C44" s="225"/>
      <c r="D44" s="518"/>
      <c r="E44" s="520"/>
      <c r="F44" s="522"/>
      <c r="G44" s="524"/>
      <c r="H44" s="352" t="s">
        <v>202</v>
      </c>
      <c r="I44" s="352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351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352"/>
      <c r="J46" s="227"/>
      <c r="K46" s="69" t="s">
        <v>96</v>
      </c>
    </row>
    <row r="47" spans="1:11" ht="15.6" customHeight="1">
      <c r="A47" s="69"/>
      <c r="B47" s="222" t="s">
        <v>234</v>
      </c>
      <c r="C47" s="166"/>
      <c r="D47" s="517"/>
      <c r="E47" s="519"/>
      <c r="F47" s="521"/>
      <c r="G47" s="523">
        <v>6322581</v>
      </c>
      <c r="H47" s="351"/>
      <c r="I47" s="351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352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351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352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351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352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351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352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351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352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351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352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351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352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351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352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351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352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351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352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351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352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351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352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351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352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351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353"/>
      <c r="J74" s="230"/>
      <c r="K74" s="69" t="s">
        <v>96</v>
      </c>
    </row>
  </sheetData>
  <mergeCells count="132">
    <mergeCell ref="D73:D74"/>
    <mergeCell ref="E73:E74"/>
    <mergeCell ref="F73:F74"/>
    <mergeCell ref="G73:G74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3:D54"/>
    <mergeCell ref="E53:E54"/>
    <mergeCell ref="F53:F54"/>
    <mergeCell ref="G53:G54"/>
    <mergeCell ref="D55:D56"/>
    <mergeCell ref="E55:E56"/>
    <mergeCell ref="F55:F56"/>
    <mergeCell ref="G55:G56"/>
    <mergeCell ref="D49:D50"/>
    <mergeCell ref="E49:E50"/>
    <mergeCell ref="F49:F50"/>
    <mergeCell ref="G49:G50"/>
    <mergeCell ref="D51:D52"/>
    <mergeCell ref="E51:E52"/>
    <mergeCell ref="F51:F52"/>
    <mergeCell ref="G51:G52"/>
    <mergeCell ref="D45:D46"/>
    <mergeCell ref="E45:E46"/>
    <mergeCell ref="F45:F46"/>
    <mergeCell ref="G45:G46"/>
    <mergeCell ref="D47:D48"/>
    <mergeCell ref="E47:E48"/>
    <mergeCell ref="F47:F48"/>
    <mergeCell ref="G47:G48"/>
    <mergeCell ref="D38:G38"/>
    <mergeCell ref="B42:C42"/>
    <mergeCell ref="D43:D44"/>
    <mergeCell ref="E43:E44"/>
    <mergeCell ref="F43:F44"/>
    <mergeCell ref="G43:G44"/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80"/>
  <sheetViews>
    <sheetView zoomScaleNormal="100" zoomScaleSheetLayoutView="85" workbookViewId="0">
      <pane xSplit="4" ySplit="4" topLeftCell="E53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●博物館明治村　村内基本インフラ整備工事（２０２５年度）</v>
      </c>
      <c r="G1" s="306"/>
      <c r="H1" s="190" t="s">
        <v>140</v>
      </c>
      <c r="I1" s="333">
        <v>7600000</v>
      </c>
      <c r="J1" s="339">
        <f>I4/I$1</f>
        <v>0.86455013157894733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236</v>
      </c>
      <c r="D4" s="340" t="s">
        <v>148</v>
      </c>
      <c r="E4" s="342"/>
      <c r="F4" s="345" t="s">
        <v>172</v>
      </c>
      <c r="G4" s="308">
        <v>1</v>
      </c>
      <c r="H4" s="309">
        <v>6570581</v>
      </c>
      <c r="I4" s="309">
        <v>6570581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237</v>
      </c>
      <c r="D5" s="340" t="s">
        <v>238</v>
      </c>
      <c r="E5" s="342"/>
      <c r="F5" s="345" t="s">
        <v>172</v>
      </c>
      <c r="G5" s="308">
        <v>1</v>
      </c>
      <c r="H5" s="309">
        <v>6322581</v>
      </c>
      <c r="I5" s="309">
        <v>6322581</v>
      </c>
      <c r="J5" s="211"/>
      <c r="K5" s="212" t="str">
        <f>IF(OR(J5="",G5=J5),"","*")</f>
        <v/>
      </c>
      <c r="L5" s="338">
        <f>IF($A5&lt;=L$1,I5/I$4,"")</f>
        <v>0.96225600140992096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237</v>
      </c>
      <c r="D6" s="340" t="s">
        <v>239</v>
      </c>
      <c r="E6" s="342" t="s">
        <v>170</v>
      </c>
      <c r="F6" s="345" t="s">
        <v>171</v>
      </c>
      <c r="G6" s="308">
        <v>577</v>
      </c>
      <c r="H6" s="309">
        <v>8089</v>
      </c>
      <c r="I6" s="309">
        <v>4667353</v>
      </c>
      <c r="J6" s="211"/>
      <c r="K6" s="212" t="str">
        <f>IF(OR(J6="",G6=J6),"","*")</f>
        <v/>
      </c>
      <c r="L6" s="338">
        <f>IF($A6&lt;=L$1,I6/I$4,"")</f>
        <v>0.71034098811048829</v>
      </c>
      <c r="M6" s="343"/>
      <c r="N6" s="344" t="s">
        <v>198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240</v>
      </c>
      <c r="D7" s="340" t="s">
        <v>241</v>
      </c>
      <c r="E7" s="342"/>
      <c r="F7" s="345" t="s">
        <v>171</v>
      </c>
      <c r="G7" s="308">
        <v>577</v>
      </c>
      <c r="H7" s="309">
        <v>4107</v>
      </c>
      <c r="I7" s="309">
        <v>2369739</v>
      </c>
      <c r="J7" s="211">
        <v>577</v>
      </c>
      <c r="K7" s="212" t="str">
        <f>IF(OR(J7="",G7=J7),"","*")</f>
        <v/>
      </c>
      <c r="L7" s="338">
        <f>IF($A7&lt;=L$1,I7/I$4,"")</f>
        <v>0.36065897368893252</v>
      </c>
      <c r="M7" s="343"/>
      <c r="N7" s="344" t="s">
        <v>242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181</v>
      </c>
      <c r="D8" s="340" t="s">
        <v>243</v>
      </c>
      <c r="E8" s="342"/>
      <c r="F8" s="345" t="s">
        <v>244</v>
      </c>
      <c r="G8" s="308">
        <v>48</v>
      </c>
      <c r="H8" s="309">
        <v>31000</v>
      </c>
      <c r="I8" s="309">
        <v>1488000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 t="s">
        <v>245</v>
      </c>
    </row>
    <row r="9" spans="1:32">
      <c r="A9" s="307">
        <v>4</v>
      </c>
      <c r="B9" s="342"/>
      <c r="C9" s="342" t="s">
        <v>180</v>
      </c>
      <c r="D9" s="340" t="s">
        <v>246</v>
      </c>
      <c r="E9" s="342"/>
      <c r="F9" s="345" t="s">
        <v>247</v>
      </c>
      <c r="G9" s="308">
        <v>6</v>
      </c>
      <c r="H9" s="309">
        <v>3500</v>
      </c>
      <c r="I9" s="309">
        <v>21000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/>
    </row>
    <row r="10" spans="1:32">
      <c r="A10" s="307">
        <v>4</v>
      </c>
      <c r="B10" s="342"/>
      <c r="C10" s="342" t="s">
        <v>180</v>
      </c>
      <c r="D10" s="340" t="s">
        <v>248</v>
      </c>
      <c r="E10" s="342"/>
      <c r="F10" s="345" t="s">
        <v>249</v>
      </c>
      <c r="G10" s="308">
        <v>50</v>
      </c>
      <c r="H10" s="309">
        <v>180</v>
      </c>
      <c r="I10" s="309">
        <v>9000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4</v>
      </c>
      <c r="B11" s="342"/>
      <c r="C11" s="342" t="s">
        <v>183</v>
      </c>
      <c r="D11" s="340" t="s">
        <v>250</v>
      </c>
      <c r="E11" s="342"/>
      <c r="F11" s="345" t="s">
        <v>247</v>
      </c>
      <c r="G11" s="308">
        <v>6</v>
      </c>
      <c r="H11" s="309">
        <v>45000</v>
      </c>
      <c r="I11" s="309">
        <v>270000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4</v>
      </c>
      <c r="B12" s="342"/>
      <c r="C12" s="342" t="s">
        <v>183</v>
      </c>
      <c r="D12" s="340" t="s">
        <v>251</v>
      </c>
      <c r="E12" s="342"/>
      <c r="F12" s="345" t="s">
        <v>247</v>
      </c>
      <c r="G12" s="308">
        <v>6</v>
      </c>
      <c r="H12" s="309">
        <v>11000</v>
      </c>
      <c r="I12" s="309">
        <v>66000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4</v>
      </c>
      <c r="B13" s="342"/>
      <c r="C13" s="342" t="s">
        <v>183</v>
      </c>
      <c r="D13" s="340" t="s">
        <v>252</v>
      </c>
      <c r="E13" s="342"/>
      <c r="F13" s="345" t="s">
        <v>247</v>
      </c>
      <c r="G13" s="308">
        <v>6</v>
      </c>
      <c r="H13" s="309">
        <v>1000</v>
      </c>
      <c r="I13" s="309">
        <v>6000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/>
    </row>
    <row r="14" spans="1:32">
      <c r="A14" s="307">
        <v>4</v>
      </c>
      <c r="B14" s="342"/>
      <c r="C14" s="342" t="s">
        <v>183</v>
      </c>
      <c r="D14" s="340" t="s">
        <v>253</v>
      </c>
      <c r="E14" s="342"/>
      <c r="F14" s="345" t="s">
        <v>247</v>
      </c>
      <c r="G14" s="308">
        <v>6</v>
      </c>
      <c r="H14" s="309">
        <v>6000</v>
      </c>
      <c r="I14" s="309">
        <v>36000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/>
    </row>
    <row r="15" spans="1:32">
      <c r="A15" s="307">
        <v>4</v>
      </c>
      <c r="B15" s="342"/>
      <c r="C15" s="342" t="s">
        <v>183</v>
      </c>
      <c r="D15" s="340" t="s">
        <v>254</v>
      </c>
      <c r="E15" s="342"/>
      <c r="F15" s="345" t="s">
        <v>247</v>
      </c>
      <c r="G15" s="308">
        <v>6</v>
      </c>
      <c r="H15" s="309">
        <v>9000</v>
      </c>
      <c r="I15" s="309">
        <v>54000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/>
    </row>
    <row r="16" spans="1:32">
      <c r="A16" s="307">
        <v>4</v>
      </c>
      <c r="B16" s="342"/>
      <c r="C16" s="342" t="s">
        <v>183</v>
      </c>
      <c r="D16" s="340" t="s">
        <v>255</v>
      </c>
      <c r="E16" s="342"/>
      <c r="F16" s="345" t="s">
        <v>247</v>
      </c>
      <c r="G16" s="308">
        <v>6</v>
      </c>
      <c r="H16" s="309">
        <v>8000</v>
      </c>
      <c r="I16" s="309">
        <v>48000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/>
    </row>
    <row r="17" spans="1:32">
      <c r="A17" s="307">
        <v>4</v>
      </c>
      <c r="B17" s="342"/>
      <c r="C17" s="342" t="s">
        <v>183</v>
      </c>
      <c r="D17" s="340" t="s">
        <v>256</v>
      </c>
      <c r="E17" s="342"/>
      <c r="F17" s="345" t="s">
        <v>247</v>
      </c>
      <c r="G17" s="308">
        <v>6</v>
      </c>
      <c r="H17" s="309">
        <v>5000</v>
      </c>
      <c r="I17" s="309">
        <v>30000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/>
    </row>
    <row r="18" spans="1:32">
      <c r="A18" s="307">
        <v>4</v>
      </c>
      <c r="B18" s="342"/>
      <c r="C18" s="342" t="s">
        <v>183</v>
      </c>
      <c r="D18" s="340" t="s">
        <v>257</v>
      </c>
      <c r="E18" s="342"/>
      <c r="F18" s="345" t="s">
        <v>247</v>
      </c>
      <c r="G18" s="308">
        <v>12</v>
      </c>
      <c r="H18" s="309">
        <v>3000</v>
      </c>
      <c r="I18" s="309">
        <v>36000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/>
    </row>
    <row r="19" spans="1:32">
      <c r="A19" s="307">
        <v>4</v>
      </c>
      <c r="B19" s="342"/>
      <c r="C19" s="342" t="s">
        <v>180</v>
      </c>
      <c r="D19" s="340" t="s">
        <v>258</v>
      </c>
      <c r="E19" s="342"/>
      <c r="F19" s="345" t="s">
        <v>172</v>
      </c>
      <c r="G19" s="308">
        <v>1</v>
      </c>
      <c r="H19" s="309">
        <v>18000</v>
      </c>
      <c r="I19" s="309">
        <v>18000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 t="s">
        <v>259</v>
      </c>
    </row>
    <row r="20" spans="1:32">
      <c r="A20" s="307">
        <v>4</v>
      </c>
      <c r="B20" s="342"/>
      <c r="C20" s="342" t="s">
        <v>180</v>
      </c>
      <c r="D20" s="340" t="s">
        <v>260</v>
      </c>
      <c r="E20" s="342"/>
      <c r="F20" s="345" t="s">
        <v>261</v>
      </c>
      <c r="G20" s="308">
        <v>1</v>
      </c>
      <c r="H20" s="309">
        <v>30000</v>
      </c>
      <c r="I20" s="309">
        <v>30000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/>
    </row>
    <row r="21" spans="1:32">
      <c r="A21" s="307">
        <v>4</v>
      </c>
      <c r="B21" s="342"/>
      <c r="C21" s="342" t="s">
        <v>183</v>
      </c>
      <c r="D21" s="340" t="s">
        <v>262</v>
      </c>
      <c r="E21" s="342"/>
      <c r="F21" s="345" t="s">
        <v>247</v>
      </c>
      <c r="G21" s="308">
        <v>6</v>
      </c>
      <c r="H21" s="309">
        <v>3000</v>
      </c>
      <c r="I21" s="309">
        <v>18000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/>
    </row>
    <row r="22" spans="1:32">
      <c r="A22" s="307">
        <v>4</v>
      </c>
      <c r="B22" s="342"/>
      <c r="C22" s="342" t="s">
        <v>184</v>
      </c>
      <c r="D22" s="340" t="s">
        <v>263</v>
      </c>
      <c r="E22" s="342"/>
      <c r="F22" s="345" t="s">
        <v>247</v>
      </c>
      <c r="G22" s="308">
        <v>12</v>
      </c>
      <c r="H22" s="309">
        <v>7000</v>
      </c>
      <c r="I22" s="309">
        <v>84000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/>
    </row>
    <row r="23" spans="1:32">
      <c r="A23" s="307">
        <v>4</v>
      </c>
      <c r="B23" s="342"/>
      <c r="C23" s="342" t="s">
        <v>184</v>
      </c>
      <c r="D23" s="340" t="s">
        <v>264</v>
      </c>
      <c r="E23" s="342"/>
      <c r="F23" s="345" t="s">
        <v>247</v>
      </c>
      <c r="G23" s="308">
        <v>6</v>
      </c>
      <c r="H23" s="309">
        <v>10000</v>
      </c>
      <c r="I23" s="309">
        <v>60000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/>
    </row>
    <row r="24" spans="1:32">
      <c r="A24" s="307">
        <v>4</v>
      </c>
      <c r="B24" s="342"/>
      <c r="C24" s="342" t="s">
        <v>184</v>
      </c>
      <c r="D24" s="340" t="s">
        <v>265</v>
      </c>
      <c r="E24" s="342"/>
      <c r="F24" s="345" t="s">
        <v>247</v>
      </c>
      <c r="G24" s="308">
        <v>6</v>
      </c>
      <c r="H24" s="309">
        <v>6000</v>
      </c>
      <c r="I24" s="309">
        <v>36000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4</v>
      </c>
      <c r="B25" s="342"/>
      <c r="C25" s="342" t="s">
        <v>183</v>
      </c>
      <c r="D25" s="340" t="s">
        <v>266</v>
      </c>
      <c r="E25" s="342"/>
      <c r="F25" s="345" t="s">
        <v>247</v>
      </c>
      <c r="G25" s="308">
        <v>6</v>
      </c>
      <c r="H25" s="309">
        <v>10000</v>
      </c>
      <c r="I25" s="309">
        <v>60000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/>
    </row>
    <row r="26" spans="1:32">
      <c r="A26" s="307">
        <v>3</v>
      </c>
      <c r="B26" s="342"/>
      <c r="C26" s="342" t="s">
        <v>240</v>
      </c>
      <c r="D26" s="340" t="s">
        <v>267</v>
      </c>
      <c r="E26" s="342"/>
      <c r="F26" s="345" t="s">
        <v>171</v>
      </c>
      <c r="G26" s="308">
        <v>577</v>
      </c>
      <c r="H26" s="309">
        <v>3982</v>
      </c>
      <c r="I26" s="309">
        <v>2297614</v>
      </c>
      <c r="J26" s="211">
        <v>577</v>
      </c>
      <c r="K26" s="212" t="str">
        <f>IF(OR(J26="",G26=J26),"","*")</f>
        <v/>
      </c>
      <c r="L26" s="338">
        <f>IF($A26&lt;=L$1,I26/I$4,"")</f>
        <v>0.34968201442155572</v>
      </c>
      <c r="M26" s="343"/>
      <c r="N26" s="344" t="s">
        <v>268</v>
      </c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/>
    </row>
    <row r="27" spans="1:32">
      <c r="A27" s="307">
        <v>4</v>
      </c>
      <c r="B27" s="342"/>
      <c r="C27" s="342" t="s">
        <v>184</v>
      </c>
      <c r="D27" s="340" t="s">
        <v>269</v>
      </c>
      <c r="E27" s="342"/>
      <c r="F27" s="345" t="s">
        <v>247</v>
      </c>
      <c r="G27" s="308">
        <v>17</v>
      </c>
      <c r="H27" s="309">
        <v>45000</v>
      </c>
      <c r="I27" s="309">
        <v>765000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/>
    </row>
    <row r="28" spans="1:32">
      <c r="A28" s="307">
        <v>4</v>
      </c>
      <c r="B28" s="342"/>
      <c r="C28" s="342" t="s">
        <v>180</v>
      </c>
      <c r="D28" s="340" t="s">
        <v>270</v>
      </c>
      <c r="E28" s="342"/>
      <c r="F28" s="345" t="s">
        <v>172</v>
      </c>
      <c r="G28" s="308">
        <v>1</v>
      </c>
      <c r="H28" s="309">
        <v>20000</v>
      </c>
      <c r="I28" s="309">
        <v>20000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/>
    </row>
    <row r="29" spans="1:32">
      <c r="A29" s="307">
        <v>4</v>
      </c>
      <c r="B29" s="342"/>
      <c r="C29" s="342" t="s">
        <v>180</v>
      </c>
      <c r="D29" s="340" t="s">
        <v>271</v>
      </c>
      <c r="E29" s="342"/>
      <c r="F29" s="345" t="s">
        <v>272</v>
      </c>
      <c r="G29" s="308">
        <v>17</v>
      </c>
      <c r="H29" s="309">
        <v>15000</v>
      </c>
      <c r="I29" s="309">
        <v>255000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/>
    </row>
    <row r="30" spans="1:32">
      <c r="A30" s="307">
        <v>4</v>
      </c>
      <c r="B30" s="342"/>
      <c r="C30" s="342" t="s">
        <v>184</v>
      </c>
      <c r="D30" s="340" t="s">
        <v>273</v>
      </c>
      <c r="E30" s="342"/>
      <c r="F30" s="345" t="s">
        <v>172</v>
      </c>
      <c r="G30" s="308">
        <v>1</v>
      </c>
      <c r="H30" s="309">
        <v>10000</v>
      </c>
      <c r="I30" s="309">
        <v>10000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 t="s">
        <v>274</v>
      </c>
    </row>
    <row r="31" spans="1:32">
      <c r="A31" s="307">
        <v>4</v>
      </c>
      <c r="B31" s="342"/>
      <c r="C31" s="342" t="s">
        <v>180</v>
      </c>
      <c r="D31" s="340" t="s">
        <v>275</v>
      </c>
      <c r="E31" s="342"/>
      <c r="F31" s="345" t="s">
        <v>276</v>
      </c>
      <c r="G31" s="308">
        <v>88.5</v>
      </c>
      <c r="H31" s="309">
        <v>9500</v>
      </c>
      <c r="I31" s="309">
        <v>840750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 t="s">
        <v>277</v>
      </c>
    </row>
    <row r="32" spans="1:32">
      <c r="A32" s="307">
        <v>4</v>
      </c>
      <c r="B32" s="342"/>
      <c r="C32" s="342" t="s">
        <v>180</v>
      </c>
      <c r="D32" s="340" t="s">
        <v>278</v>
      </c>
      <c r="E32" s="342"/>
      <c r="F32" s="345" t="s">
        <v>279</v>
      </c>
      <c r="G32" s="308">
        <v>6</v>
      </c>
      <c r="H32" s="309">
        <v>30000</v>
      </c>
      <c r="I32" s="309">
        <v>180000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/>
    </row>
    <row r="33" spans="1:32">
      <c r="A33" s="307">
        <v>4</v>
      </c>
      <c r="B33" s="342"/>
      <c r="C33" s="342" t="s">
        <v>184</v>
      </c>
      <c r="D33" s="340" t="s">
        <v>280</v>
      </c>
      <c r="E33" s="342"/>
      <c r="F33" s="345" t="s">
        <v>276</v>
      </c>
      <c r="G33" s="308">
        <v>68</v>
      </c>
      <c r="H33" s="309">
        <v>1000</v>
      </c>
      <c r="I33" s="309">
        <v>68000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 t="s">
        <v>281</v>
      </c>
    </row>
    <row r="34" spans="1:32">
      <c r="A34" s="307">
        <v>4</v>
      </c>
      <c r="B34" s="342"/>
      <c r="C34" s="342" t="s">
        <v>184</v>
      </c>
      <c r="D34" s="340" t="s">
        <v>282</v>
      </c>
      <c r="E34" s="342"/>
      <c r="F34" s="345" t="s">
        <v>276</v>
      </c>
      <c r="G34" s="308">
        <v>20</v>
      </c>
      <c r="H34" s="309">
        <v>2000</v>
      </c>
      <c r="I34" s="309">
        <v>40000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 t="s">
        <v>283</v>
      </c>
    </row>
    <row r="35" spans="1:32">
      <c r="A35" s="307">
        <v>4</v>
      </c>
      <c r="B35" s="342"/>
      <c r="C35" s="342" t="s">
        <v>184</v>
      </c>
      <c r="D35" s="340" t="s">
        <v>284</v>
      </c>
      <c r="E35" s="342"/>
      <c r="F35" s="345" t="s">
        <v>247</v>
      </c>
      <c r="G35" s="308">
        <v>34</v>
      </c>
      <c r="H35" s="309">
        <v>3500</v>
      </c>
      <c r="I35" s="309">
        <v>119000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 t="s">
        <v>285</v>
      </c>
    </row>
    <row r="36" spans="1:32">
      <c r="A36" s="307">
        <v>2</v>
      </c>
      <c r="B36" s="342"/>
      <c r="C36" s="342" t="s">
        <v>237</v>
      </c>
      <c r="D36" s="340" t="s">
        <v>286</v>
      </c>
      <c r="E36" s="342"/>
      <c r="F36" s="345" t="s">
        <v>171</v>
      </c>
      <c r="G36" s="308">
        <v>49</v>
      </c>
      <c r="H36" s="309">
        <v>10672</v>
      </c>
      <c r="I36" s="309">
        <v>522928</v>
      </c>
      <c r="J36" s="211"/>
      <c r="K36" s="212" t="str">
        <f>IF(OR(J36="",G36=J36),"","*")</f>
        <v/>
      </c>
      <c r="L36" s="338">
        <f>IF($A36&lt;=L$1,I36/I$4,"")</f>
        <v>7.958626489803565E-2</v>
      </c>
      <c r="M36" s="343"/>
      <c r="N36" s="344" t="s">
        <v>198</v>
      </c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3</v>
      </c>
      <c r="B37" s="342"/>
      <c r="C37" s="342" t="s">
        <v>240</v>
      </c>
      <c r="D37" s="340" t="s">
        <v>241</v>
      </c>
      <c r="E37" s="342"/>
      <c r="F37" s="345" t="s">
        <v>171</v>
      </c>
      <c r="G37" s="308">
        <v>49</v>
      </c>
      <c r="H37" s="309">
        <v>6361</v>
      </c>
      <c r="I37" s="309">
        <v>311689</v>
      </c>
      <c r="J37" s="211">
        <v>49</v>
      </c>
      <c r="K37" s="212" t="str">
        <f>IF(OR(J37="",G37=J37),"","*")</f>
        <v/>
      </c>
      <c r="L37" s="338">
        <f>IF($A37&lt;=L$1,I37/I$4,"")</f>
        <v>4.7437053131222338E-2</v>
      </c>
      <c r="M37" s="343"/>
      <c r="N37" s="344" t="s">
        <v>287</v>
      </c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/>
    </row>
    <row r="38" spans="1:32">
      <c r="A38" s="307">
        <v>4</v>
      </c>
      <c r="B38" s="342"/>
      <c r="C38" s="342" t="s">
        <v>181</v>
      </c>
      <c r="D38" s="340" t="s">
        <v>243</v>
      </c>
      <c r="E38" s="342"/>
      <c r="F38" s="345" t="s">
        <v>244</v>
      </c>
      <c r="G38" s="308">
        <v>6</v>
      </c>
      <c r="H38" s="309">
        <v>31000</v>
      </c>
      <c r="I38" s="309">
        <v>186000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/>
    </row>
    <row r="39" spans="1:32">
      <c r="A39" s="307">
        <v>4</v>
      </c>
      <c r="B39" s="342"/>
      <c r="C39" s="342" t="s">
        <v>183</v>
      </c>
      <c r="D39" s="340" t="s">
        <v>256</v>
      </c>
      <c r="E39" s="342"/>
      <c r="F39" s="345" t="s">
        <v>247</v>
      </c>
      <c r="G39" s="308">
        <v>1</v>
      </c>
      <c r="H39" s="309">
        <v>5000</v>
      </c>
      <c r="I39" s="309">
        <v>5000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/>
      <c r="AF39" s="341"/>
    </row>
    <row r="40" spans="1:32">
      <c r="A40" s="307">
        <v>4</v>
      </c>
      <c r="B40" s="342"/>
      <c r="C40" s="342" t="s">
        <v>184</v>
      </c>
      <c r="D40" s="340" t="s">
        <v>263</v>
      </c>
      <c r="E40" s="342"/>
      <c r="F40" s="345" t="s">
        <v>247</v>
      </c>
      <c r="G40" s="308">
        <v>1</v>
      </c>
      <c r="H40" s="309">
        <v>7000</v>
      </c>
      <c r="I40" s="309">
        <v>7000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/>
    </row>
    <row r="41" spans="1:32">
      <c r="A41" s="307">
        <v>4</v>
      </c>
      <c r="B41" s="342"/>
      <c r="C41" s="342" t="s">
        <v>184</v>
      </c>
      <c r="D41" s="340" t="s">
        <v>269</v>
      </c>
      <c r="E41" s="342"/>
      <c r="F41" s="345" t="s">
        <v>247</v>
      </c>
      <c r="G41" s="308">
        <v>1</v>
      </c>
      <c r="H41" s="309">
        <v>10000</v>
      </c>
      <c r="I41" s="309">
        <v>10000</v>
      </c>
      <c r="J41" s="211"/>
      <c r="K41" s="212" t="str">
        <f>IF(OR(J41="",G41=J41),"","*")</f>
        <v/>
      </c>
      <c r="L41" s="338" t="str">
        <f>IF($A41&lt;=L$1,I41/I$4,"")</f>
        <v/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/>
    </row>
    <row r="42" spans="1:32">
      <c r="A42" s="307">
        <v>4</v>
      </c>
      <c r="B42" s="342"/>
      <c r="C42" s="342" t="s">
        <v>184</v>
      </c>
      <c r="D42" s="340" t="s">
        <v>265</v>
      </c>
      <c r="E42" s="342"/>
      <c r="F42" s="345" t="s">
        <v>247</v>
      </c>
      <c r="G42" s="308">
        <v>1</v>
      </c>
      <c r="H42" s="309">
        <v>6000</v>
      </c>
      <c r="I42" s="309">
        <v>6000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/>
    </row>
    <row r="43" spans="1:32">
      <c r="A43" s="307">
        <v>4</v>
      </c>
      <c r="B43" s="342"/>
      <c r="C43" s="342" t="s">
        <v>183</v>
      </c>
      <c r="D43" s="340" t="s">
        <v>262</v>
      </c>
      <c r="E43" s="342"/>
      <c r="F43" s="345" t="s">
        <v>247</v>
      </c>
      <c r="G43" s="308">
        <v>1</v>
      </c>
      <c r="H43" s="309">
        <v>3000</v>
      </c>
      <c r="I43" s="309">
        <v>3000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/>
    </row>
    <row r="44" spans="1:32">
      <c r="A44" s="307">
        <v>4</v>
      </c>
      <c r="B44" s="342"/>
      <c r="C44" s="342" t="s">
        <v>183</v>
      </c>
      <c r="D44" s="340" t="s">
        <v>266</v>
      </c>
      <c r="E44" s="342"/>
      <c r="F44" s="345" t="s">
        <v>247</v>
      </c>
      <c r="G44" s="308">
        <v>1</v>
      </c>
      <c r="H44" s="309">
        <v>10000</v>
      </c>
      <c r="I44" s="309">
        <v>10000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/>
    </row>
    <row r="45" spans="1:32">
      <c r="A45" s="307">
        <v>4</v>
      </c>
      <c r="B45" s="342"/>
      <c r="C45" s="342" t="s">
        <v>183</v>
      </c>
      <c r="D45" s="340" t="s">
        <v>251</v>
      </c>
      <c r="E45" s="342"/>
      <c r="F45" s="345" t="s">
        <v>247</v>
      </c>
      <c r="G45" s="308">
        <v>1</v>
      </c>
      <c r="H45" s="309">
        <v>11000</v>
      </c>
      <c r="I45" s="309">
        <v>11000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/>
      <c r="AF45" s="341"/>
    </row>
    <row r="46" spans="1:32">
      <c r="A46" s="307">
        <v>4</v>
      </c>
      <c r="B46" s="342"/>
      <c r="C46" s="342" t="s">
        <v>183</v>
      </c>
      <c r="D46" s="340" t="s">
        <v>253</v>
      </c>
      <c r="E46" s="342"/>
      <c r="F46" s="345" t="s">
        <v>247</v>
      </c>
      <c r="G46" s="308">
        <v>1</v>
      </c>
      <c r="H46" s="309">
        <v>6000</v>
      </c>
      <c r="I46" s="309">
        <v>6000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/>
    </row>
    <row r="47" spans="1:32">
      <c r="A47" s="307">
        <v>4</v>
      </c>
      <c r="B47" s="342"/>
      <c r="C47" s="342" t="s">
        <v>183</v>
      </c>
      <c r="D47" s="340" t="s">
        <v>255</v>
      </c>
      <c r="E47" s="342"/>
      <c r="F47" s="345" t="s">
        <v>247</v>
      </c>
      <c r="G47" s="308">
        <v>1</v>
      </c>
      <c r="H47" s="309">
        <v>8000</v>
      </c>
      <c r="I47" s="309">
        <v>8000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/>
      <c r="AF47" s="341"/>
    </row>
    <row r="48" spans="1:32">
      <c r="A48" s="307">
        <v>4</v>
      </c>
      <c r="B48" s="342"/>
      <c r="C48" s="342" t="s">
        <v>180</v>
      </c>
      <c r="D48" s="340" t="s">
        <v>246</v>
      </c>
      <c r="E48" s="342"/>
      <c r="F48" s="345" t="s">
        <v>247</v>
      </c>
      <c r="G48" s="308">
        <v>1</v>
      </c>
      <c r="H48" s="309">
        <v>3500</v>
      </c>
      <c r="I48" s="309">
        <v>3500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/>
    </row>
    <row r="49" spans="1:32">
      <c r="A49" s="307">
        <v>4</v>
      </c>
      <c r="B49" s="342"/>
      <c r="C49" s="342" t="s">
        <v>180</v>
      </c>
      <c r="D49" s="340" t="s">
        <v>248</v>
      </c>
      <c r="E49" s="342"/>
      <c r="F49" s="345" t="s">
        <v>249</v>
      </c>
      <c r="G49" s="308">
        <v>40</v>
      </c>
      <c r="H49" s="309">
        <v>180</v>
      </c>
      <c r="I49" s="309">
        <v>7200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/>
    </row>
    <row r="50" spans="1:32">
      <c r="A50" s="307">
        <v>4</v>
      </c>
      <c r="B50" s="342"/>
      <c r="C50" s="342" t="s">
        <v>183</v>
      </c>
      <c r="D50" s="340" t="s">
        <v>252</v>
      </c>
      <c r="E50" s="342"/>
      <c r="F50" s="345" t="s">
        <v>247</v>
      </c>
      <c r="G50" s="308">
        <v>1</v>
      </c>
      <c r="H50" s="309">
        <v>1000</v>
      </c>
      <c r="I50" s="309">
        <v>1000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/>
    </row>
    <row r="51" spans="1:32">
      <c r="A51" s="307">
        <v>4</v>
      </c>
      <c r="B51" s="342"/>
      <c r="C51" s="342" t="s">
        <v>183</v>
      </c>
      <c r="D51" s="340" t="s">
        <v>257</v>
      </c>
      <c r="E51" s="342"/>
      <c r="F51" s="345" t="s">
        <v>247</v>
      </c>
      <c r="G51" s="308">
        <v>1</v>
      </c>
      <c r="H51" s="309">
        <v>3000</v>
      </c>
      <c r="I51" s="309">
        <v>3000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/>
    </row>
    <row r="52" spans="1:32">
      <c r="A52" s="307">
        <v>4</v>
      </c>
      <c r="B52" s="342"/>
      <c r="C52" s="342" t="s">
        <v>183</v>
      </c>
      <c r="D52" s="340" t="s">
        <v>250</v>
      </c>
      <c r="E52" s="342"/>
      <c r="F52" s="345" t="s">
        <v>247</v>
      </c>
      <c r="G52" s="308">
        <v>1</v>
      </c>
      <c r="H52" s="309">
        <v>45000</v>
      </c>
      <c r="I52" s="309">
        <v>45000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/>
    </row>
    <row r="53" spans="1:32">
      <c r="A53" s="307">
        <v>3</v>
      </c>
      <c r="B53" s="342"/>
      <c r="C53" s="342" t="s">
        <v>240</v>
      </c>
      <c r="D53" s="340" t="s">
        <v>267</v>
      </c>
      <c r="E53" s="342"/>
      <c r="F53" s="345" t="s">
        <v>171</v>
      </c>
      <c r="G53" s="308">
        <v>49</v>
      </c>
      <c r="H53" s="309">
        <v>4311</v>
      </c>
      <c r="I53" s="309">
        <v>211239</v>
      </c>
      <c r="J53" s="211">
        <v>49</v>
      </c>
      <c r="K53" s="212" t="str">
        <f>IF(OR(J53="",G53=J53),"","*")</f>
        <v/>
      </c>
      <c r="L53" s="338">
        <f>IF($A53&lt;=L$1,I53/I$4,"")</f>
        <v>3.2149211766813318E-2</v>
      </c>
      <c r="M53" s="343"/>
      <c r="N53" s="344" t="s">
        <v>288</v>
      </c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/>
    </row>
    <row r="54" spans="1:32">
      <c r="A54" s="307">
        <v>4</v>
      </c>
      <c r="B54" s="342"/>
      <c r="C54" s="342" t="s">
        <v>180</v>
      </c>
      <c r="D54" s="340" t="s">
        <v>275</v>
      </c>
      <c r="E54" s="342"/>
      <c r="F54" s="345" t="s">
        <v>276</v>
      </c>
      <c r="G54" s="308">
        <v>7.5</v>
      </c>
      <c r="H54" s="309">
        <v>9500</v>
      </c>
      <c r="I54" s="309">
        <v>71250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 t="s">
        <v>289</v>
      </c>
    </row>
    <row r="55" spans="1:32">
      <c r="A55" s="307">
        <v>4</v>
      </c>
      <c r="B55" s="342"/>
      <c r="C55" s="342" t="s">
        <v>180</v>
      </c>
      <c r="D55" s="340" t="s">
        <v>278</v>
      </c>
      <c r="E55" s="342"/>
      <c r="F55" s="345" t="s">
        <v>279</v>
      </c>
      <c r="G55" s="308">
        <v>1</v>
      </c>
      <c r="H55" s="309">
        <v>30000</v>
      </c>
      <c r="I55" s="309">
        <v>30000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/>
    </row>
    <row r="56" spans="1:32">
      <c r="A56" s="307">
        <v>4</v>
      </c>
      <c r="B56" s="342"/>
      <c r="C56" s="342" t="s">
        <v>184</v>
      </c>
      <c r="D56" s="340" t="s">
        <v>269</v>
      </c>
      <c r="E56" s="342"/>
      <c r="F56" s="345" t="s">
        <v>247</v>
      </c>
      <c r="G56" s="308">
        <v>2</v>
      </c>
      <c r="H56" s="309">
        <v>45000</v>
      </c>
      <c r="I56" s="309">
        <v>90000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4</v>
      </c>
      <c r="B57" s="342"/>
      <c r="C57" s="342" t="s">
        <v>184</v>
      </c>
      <c r="D57" s="340" t="s">
        <v>290</v>
      </c>
      <c r="E57" s="342"/>
      <c r="F57" s="345" t="s">
        <v>276</v>
      </c>
      <c r="G57" s="308">
        <v>6</v>
      </c>
      <c r="H57" s="309">
        <v>1000</v>
      </c>
      <c r="I57" s="309">
        <v>6000</v>
      </c>
      <c r="J57" s="211"/>
      <c r="K57" s="212" t="str">
        <f>IF(OR(J57="",G57=J57),"","*")</f>
        <v/>
      </c>
      <c r="L57" s="338" t="str">
        <f>IF($A57&lt;=L$1,I57/I$4,"")</f>
        <v/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 t="s">
        <v>291</v>
      </c>
    </row>
    <row r="58" spans="1:32">
      <c r="A58" s="307">
        <v>4</v>
      </c>
      <c r="B58" s="342"/>
      <c r="C58" s="342" t="s">
        <v>184</v>
      </c>
      <c r="D58" s="340" t="s">
        <v>284</v>
      </c>
      <c r="E58" s="342"/>
      <c r="F58" s="345" t="s">
        <v>247</v>
      </c>
      <c r="G58" s="308">
        <v>4</v>
      </c>
      <c r="H58" s="309">
        <v>3500</v>
      </c>
      <c r="I58" s="309">
        <v>14000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 t="s">
        <v>285</v>
      </c>
    </row>
    <row r="59" spans="1:32">
      <c r="A59" s="307">
        <v>2</v>
      </c>
      <c r="B59" s="342"/>
      <c r="C59" s="342" t="s">
        <v>237</v>
      </c>
      <c r="D59" s="340" t="s">
        <v>292</v>
      </c>
      <c r="E59" s="342"/>
      <c r="F59" s="345" t="s">
        <v>172</v>
      </c>
      <c r="G59" s="308">
        <v>1</v>
      </c>
      <c r="H59" s="309">
        <v>279900</v>
      </c>
      <c r="I59" s="309">
        <v>279900</v>
      </c>
      <c r="J59" s="211"/>
      <c r="K59" s="212" t="str">
        <f>IF(OR(J59="",G59=J59),"","*")</f>
        <v/>
      </c>
      <c r="L59" s="338">
        <f>IF($A59&lt;=L$1,I59/I$4,"")</f>
        <v>4.2598972602270635E-2</v>
      </c>
      <c r="M59" s="343"/>
      <c r="N59" s="344" t="s">
        <v>198</v>
      </c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3</v>
      </c>
      <c r="B60" s="342"/>
      <c r="C60" s="342" t="s">
        <v>240</v>
      </c>
      <c r="D60" s="340" t="s">
        <v>293</v>
      </c>
      <c r="E60" s="342"/>
      <c r="F60" s="345" t="s">
        <v>172</v>
      </c>
      <c r="G60" s="308">
        <v>1</v>
      </c>
      <c r="H60" s="309">
        <v>279900</v>
      </c>
      <c r="I60" s="309">
        <v>279900</v>
      </c>
      <c r="J60" s="211">
        <v>1</v>
      </c>
      <c r="K60" s="212" t="str">
        <f>IF(OR(J60="",G60=J60),"","*")</f>
        <v/>
      </c>
      <c r="L60" s="338">
        <f>IF($A60&lt;=L$1,I60/I$4,"")</f>
        <v>4.2598972602270635E-2</v>
      </c>
      <c r="M60" s="343"/>
      <c r="N60" s="344" t="s">
        <v>294</v>
      </c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/>
    </row>
    <row r="61" spans="1:32">
      <c r="A61" s="307">
        <v>4</v>
      </c>
      <c r="B61" s="342"/>
      <c r="C61" s="342" t="s">
        <v>180</v>
      </c>
      <c r="D61" s="340" t="s">
        <v>295</v>
      </c>
      <c r="E61" s="342"/>
      <c r="F61" s="345" t="s">
        <v>249</v>
      </c>
      <c r="G61" s="308">
        <v>280</v>
      </c>
      <c r="H61" s="309">
        <v>180</v>
      </c>
      <c r="I61" s="309">
        <v>50400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 t="s">
        <v>296</v>
      </c>
    </row>
    <row r="62" spans="1:32">
      <c r="A62" s="307">
        <v>4</v>
      </c>
      <c r="B62" s="342"/>
      <c r="C62" s="342" t="s">
        <v>184</v>
      </c>
      <c r="D62" s="340" t="s">
        <v>297</v>
      </c>
      <c r="E62" s="342"/>
      <c r="F62" s="345" t="s">
        <v>247</v>
      </c>
      <c r="G62" s="308">
        <v>6</v>
      </c>
      <c r="H62" s="309">
        <v>12000</v>
      </c>
      <c r="I62" s="309">
        <v>72000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/>
      <c r="AF62" s="341"/>
    </row>
    <row r="63" spans="1:32">
      <c r="A63" s="307">
        <v>4</v>
      </c>
      <c r="B63" s="342"/>
      <c r="C63" s="342" t="s">
        <v>185</v>
      </c>
      <c r="D63" s="340" t="s">
        <v>298</v>
      </c>
      <c r="E63" s="342"/>
      <c r="F63" s="345" t="s">
        <v>247</v>
      </c>
      <c r="G63" s="308">
        <v>35</v>
      </c>
      <c r="H63" s="309">
        <v>4500</v>
      </c>
      <c r="I63" s="309">
        <v>157500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 t="s">
        <v>299</v>
      </c>
    </row>
    <row r="64" spans="1:32">
      <c r="A64" s="307">
        <v>2</v>
      </c>
      <c r="B64" s="342"/>
      <c r="C64" s="342" t="s">
        <v>237</v>
      </c>
      <c r="D64" s="340" t="s">
        <v>300</v>
      </c>
      <c r="E64" s="342"/>
      <c r="F64" s="345" t="s">
        <v>172</v>
      </c>
      <c r="G64" s="308">
        <v>1</v>
      </c>
      <c r="H64" s="309">
        <v>224000</v>
      </c>
      <c r="I64" s="309">
        <v>224000</v>
      </c>
      <c r="J64" s="211"/>
      <c r="K64" s="212" t="str">
        <f>IF(OR(J64="",G64=J64),"","*")</f>
        <v/>
      </c>
      <c r="L64" s="338">
        <f>IF($A64&lt;=L$1,I64/I$4,"")</f>
        <v>3.4091353565232664E-2</v>
      </c>
      <c r="M64" s="343"/>
      <c r="N64" s="344" t="s">
        <v>198</v>
      </c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/>
      <c r="AF64" s="341"/>
    </row>
    <row r="65" spans="1:32">
      <c r="A65" s="307">
        <v>3</v>
      </c>
      <c r="B65" s="342"/>
      <c r="C65" s="342" t="s">
        <v>240</v>
      </c>
      <c r="D65" s="340" t="s">
        <v>293</v>
      </c>
      <c r="E65" s="342"/>
      <c r="F65" s="345" t="s">
        <v>172</v>
      </c>
      <c r="G65" s="308">
        <v>1</v>
      </c>
      <c r="H65" s="309">
        <v>224000</v>
      </c>
      <c r="I65" s="309">
        <v>224000</v>
      </c>
      <c r="J65" s="211">
        <v>1</v>
      </c>
      <c r="K65" s="212" t="str">
        <f>IF(OR(J65="",G65=J65),"","*")</f>
        <v/>
      </c>
      <c r="L65" s="338">
        <f>IF($A65&lt;=L$1,I65/I$4,"")</f>
        <v>3.4091353565232664E-2</v>
      </c>
      <c r="M65" s="343"/>
      <c r="N65" s="344" t="s">
        <v>301</v>
      </c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/>
    </row>
    <row r="66" spans="1:32">
      <c r="A66" s="307">
        <v>4</v>
      </c>
      <c r="B66" s="342"/>
      <c r="C66" s="342" t="s">
        <v>184</v>
      </c>
      <c r="D66" s="340" t="s">
        <v>302</v>
      </c>
      <c r="E66" s="342"/>
      <c r="F66" s="345" t="s">
        <v>303</v>
      </c>
      <c r="G66" s="308">
        <v>8</v>
      </c>
      <c r="H66" s="309">
        <v>20000</v>
      </c>
      <c r="I66" s="309">
        <v>160000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/>
    </row>
    <row r="67" spans="1:32">
      <c r="A67" s="307">
        <v>4</v>
      </c>
      <c r="B67" s="342"/>
      <c r="C67" s="342" t="s">
        <v>184</v>
      </c>
      <c r="D67" s="340" t="s">
        <v>304</v>
      </c>
      <c r="E67" s="342"/>
      <c r="F67" s="345" t="s">
        <v>303</v>
      </c>
      <c r="G67" s="308">
        <v>4</v>
      </c>
      <c r="H67" s="309">
        <v>16000</v>
      </c>
      <c r="I67" s="309">
        <v>64000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/>
      <c r="AF67" s="341"/>
    </row>
    <row r="68" spans="1:32">
      <c r="A68" s="307">
        <v>2</v>
      </c>
      <c r="B68" s="342"/>
      <c r="C68" s="342" t="s">
        <v>237</v>
      </c>
      <c r="D68" s="340" t="s">
        <v>305</v>
      </c>
      <c r="E68" s="342"/>
      <c r="F68" s="345" t="s">
        <v>172</v>
      </c>
      <c r="G68" s="308">
        <v>1</v>
      </c>
      <c r="H68" s="309">
        <v>243000</v>
      </c>
      <c r="I68" s="309">
        <v>243000</v>
      </c>
      <c r="J68" s="211"/>
      <c r="K68" s="212" t="str">
        <f>IF(OR(J68="",G68=J68),"","*")</f>
        <v/>
      </c>
      <c r="L68" s="338">
        <f>IF($A68&lt;=L$1,I68/I$4,"")</f>
        <v>3.6983030876569366E-2</v>
      </c>
      <c r="M68" s="343"/>
      <c r="N68" s="344" t="s">
        <v>198</v>
      </c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/>
      <c r="AF68" s="341"/>
    </row>
    <row r="69" spans="1:32">
      <c r="A69" s="307">
        <v>3</v>
      </c>
      <c r="B69" s="342"/>
      <c r="C69" s="342" t="s">
        <v>240</v>
      </c>
      <c r="D69" s="340" t="s">
        <v>293</v>
      </c>
      <c r="E69" s="342"/>
      <c r="F69" s="345" t="s">
        <v>172</v>
      </c>
      <c r="G69" s="308">
        <v>1</v>
      </c>
      <c r="H69" s="309">
        <v>243000</v>
      </c>
      <c r="I69" s="309">
        <v>243000</v>
      </c>
      <c r="J69" s="211">
        <v>1</v>
      </c>
      <c r="K69" s="212" t="str">
        <f>IF(OR(J69="",G69=J69),"","*")</f>
        <v/>
      </c>
      <c r="L69" s="338">
        <f>IF($A69&lt;=L$1,I69/I$4,"")</f>
        <v>3.6983030876569366E-2</v>
      </c>
      <c r="M69" s="343"/>
      <c r="N69" s="344" t="s">
        <v>306</v>
      </c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/>
      <c r="AF69" s="341"/>
    </row>
    <row r="70" spans="1:32">
      <c r="A70" s="307">
        <v>4</v>
      </c>
      <c r="B70" s="342"/>
      <c r="C70" s="342" t="s">
        <v>181</v>
      </c>
      <c r="D70" s="340" t="s">
        <v>307</v>
      </c>
      <c r="E70" s="342"/>
      <c r="F70" s="345" t="s">
        <v>244</v>
      </c>
      <c r="G70" s="308">
        <v>54</v>
      </c>
      <c r="H70" s="309">
        <v>4500</v>
      </c>
      <c r="I70" s="309">
        <v>243000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/>
      <c r="AF70" s="341"/>
    </row>
    <row r="71" spans="1:32">
      <c r="A71" s="307">
        <v>2</v>
      </c>
      <c r="B71" s="342"/>
      <c r="C71" s="342" t="s">
        <v>237</v>
      </c>
      <c r="D71" s="340" t="s">
        <v>308</v>
      </c>
      <c r="E71" s="342"/>
      <c r="F71" s="345" t="s">
        <v>172</v>
      </c>
      <c r="G71" s="308">
        <v>1</v>
      </c>
      <c r="H71" s="309">
        <v>300000</v>
      </c>
      <c r="I71" s="309">
        <v>300000</v>
      </c>
      <c r="J71" s="211"/>
      <c r="K71" s="212" t="str">
        <f>IF(OR(J71="",G71=J71),"","*")</f>
        <v/>
      </c>
      <c r="L71" s="338">
        <f>IF($A71&lt;=L$1,I71/I$4,"")</f>
        <v>4.5658062810579457E-2</v>
      </c>
      <c r="M71" s="343"/>
      <c r="N71" s="344" t="s">
        <v>198</v>
      </c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/>
      <c r="AF71" s="341"/>
    </row>
    <row r="72" spans="1:32">
      <c r="A72" s="307">
        <v>3</v>
      </c>
      <c r="B72" s="342"/>
      <c r="C72" s="342" t="s">
        <v>240</v>
      </c>
      <c r="D72" s="340" t="s">
        <v>293</v>
      </c>
      <c r="E72" s="342"/>
      <c r="F72" s="345" t="s">
        <v>172</v>
      </c>
      <c r="G72" s="308">
        <v>1</v>
      </c>
      <c r="H72" s="309">
        <v>300000</v>
      </c>
      <c r="I72" s="309">
        <v>300000</v>
      </c>
      <c r="J72" s="211">
        <v>1</v>
      </c>
      <c r="K72" s="212" t="str">
        <f>IF(OR(J72="",G72=J72),"","*")</f>
        <v/>
      </c>
      <c r="L72" s="338">
        <f>IF($A72&lt;=L$1,I72/I$4,"")</f>
        <v>4.5658062810579457E-2</v>
      </c>
      <c r="M72" s="343"/>
      <c r="N72" s="344" t="s">
        <v>309</v>
      </c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/>
      <c r="AF72" s="341"/>
    </row>
    <row r="73" spans="1:32">
      <c r="A73" s="307">
        <v>4</v>
      </c>
      <c r="B73" s="342"/>
      <c r="C73" s="342" t="s">
        <v>182</v>
      </c>
      <c r="D73" s="340" t="s">
        <v>310</v>
      </c>
      <c r="E73" s="342"/>
      <c r="F73" s="345" t="s">
        <v>172</v>
      </c>
      <c r="G73" s="308">
        <v>1</v>
      </c>
      <c r="H73" s="309">
        <v>300000</v>
      </c>
      <c r="I73" s="309">
        <v>300000</v>
      </c>
      <c r="J73" s="211"/>
      <c r="K73" s="212" t="str">
        <f>IF(OR(J73="",G73=J73),"","*")</f>
        <v/>
      </c>
      <c r="L73" s="338" t="str">
        <f>IF($A73&lt;=L$1,I73/I$4,"")</f>
        <v/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/>
      <c r="AF73" s="341"/>
    </row>
    <row r="74" spans="1:32">
      <c r="A74" s="307">
        <v>2</v>
      </c>
      <c r="B74" s="342"/>
      <c r="C74" s="342" t="s">
        <v>237</v>
      </c>
      <c r="D74" s="340" t="s">
        <v>311</v>
      </c>
      <c r="E74" s="342" t="s">
        <v>173</v>
      </c>
      <c r="F74" s="345" t="s">
        <v>172</v>
      </c>
      <c r="G74" s="308">
        <v>1</v>
      </c>
      <c r="H74" s="309">
        <v>85400</v>
      </c>
      <c r="I74" s="309">
        <v>85400</v>
      </c>
      <c r="J74" s="211"/>
      <c r="K74" s="212" t="str">
        <f>IF(OR(J74="",G74=J74),"","*")</f>
        <v/>
      </c>
      <c r="L74" s="338">
        <f>IF($A74&lt;=L$1,I74/I$4,"")</f>
        <v>1.2997328546744954E-2</v>
      </c>
      <c r="M74" s="343"/>
      <c r="N74" s="344" t="s">
        <v>198</v>
      </c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/>
      <c r="AF74" s="341"/>
    </row>
    <row r="75" spans="1:32">
      <c r="A75" s="307">
        <v>3</v>
      </c>
      <c r="B75" s="342"/>
      <c r="C75" s="342" t="s">
        <v>240</v>
      </c>
      <c r="D75" s="340" t="s">
        <v>241</v>
      </c>
      <c r="E75" s="342"/>
      <c r="F75" s="345" t="s">
        <v>172</v>
      </c>
      <c r="G75" s="308">
        <v>1</v>
      </c>
      <c r="H75" s="309">
        <v>61600</v>
      </c>
      <c r="I75" s="309">
        <v>61600</v>
      </c>
      <c r="J75" s="211">
        <v>1</v>
      </c>
      <c r="K75" s="212" t="str">
        <f>IF(OR(J75="",G75=J75),"","*")</f>
        <v/>
      </c>
      <c r="L75" s="338">
        <f>IF($A75&lt;=L$1,I75/I$4,"")</f>
        <v>9.3751222304389818E-3</v>
      </c>
      <c r="M75" s="343"/>
      <c r="N75" s="344" t="s">
        <v>312</v>
      </c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/>
      <c r="AF75" s="341"/>
    </row>
    <row r="76" spans="1:32">
      <c r="A76" s="307">
        <v>4</v>
      </c>
      <c r="B76" s="342"/>
      <c r="C76" s="342" t="s">
        <v>183</v>
      </c>
      <c r="D76" s="340" t="s">
        <v>313</v>
      </c>
      <c r="E76" s="342"/>
      <c r="F76" s="345" t="s">
        <v>247</v>
      </c>
      <c r="G76" s="308">
        <v>7</v>
      </c>
      <c r="H76" s="309">
        <v>7000</v>
      </c>
      <c r="I76" s="309">
        <v>49000</v>
      </c>
      <c r="J76" s="211"/>
      <c r="K76" s="212" t="str">
        <f>IF(OR(J76="",G76=J76),"","*")</f>
        <v/>
      </c>
      <c r="L76" s="338" t="str">
        <f>IF($A76&lt;=L$1,I76/I$4,"")</f>
        <v/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/>
      <c r="AF76" s="341" t="s">
        <v>314</v>
      </c>
    </row>
    <row r="77" spans="1:32">
      <c r="A77" s="307">
        <v>4</v>
      </c>
      <c r="B77" s="342"/>
      <c r="C77" s="342" t="s">
        <v>180</v>
      </c>
      <c r="D77" s="340" t="s">
        <v>248</v>
      </c>
      <c r="E77" s="342"/>
      <c r="F77" s="345" t="s">
        <v>249</v>
      </c>
      <c r="G77" s="308">
        <v>70</v>
      </c>
      <c r="H77" s="309">
        <v>180</v>
      </c>
      <c r="I77" s="309">
        <v>12600</v>
      </c>
      <c r="J77" s="211"/>
      <c r="K77" s="212" t="str">
        <f>IF(OR(J77="",G77=J77),"","*")</f>
        <v/>
      </c>
      <c r="L77" s="338" t="str">
        <f>IF($A77&lt;=L$1,I77/I$4,"")</f>
        <v/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 t="s">
        <v>315</v>
      </c>
    </row>
    <row r="78" spans="1:32">
      <c r="A78" s="307">
        <v>3</v>
      </c>
      <c r="B78" s="342"/>
      <c r="C78" s="342" t="s">
        <v>240</v>
      </c>
      <c r="D78" s="340" t="s">
        <v>316</v>
      </c>
      <c r="E78" s="342"/>
      <c r="F78" s="345" t="s">
        <v>172</v>
      </c>
      <c r="G78" s="308">
        <v>1</v>
      </c>
      <c r="H78" s="309">
        <v>23800</v>
      </c>
      <c r="I78" s="309">
        <v>23800</v>
      </c>
      <c r="J78" s="211">
        <v>1</v>
      </c>
      <c r="K78" s="212" t="str">
        <f>IF(OR(J78="",G78=J78),"","*")</f>
        <v/>
      </c>
      <c r="L78" s="338">
        <f>IF($A78&lt;=L$1,I78/I$4,"")</f>
        <v>3.6222063163059703E-3</v>
      </c>
      <c r="M78" s="343"/>
      <c r="N78" s="344" t="s">
        <v>317</v>
      </c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/>
      <c r="AF78" s="341"/>
    </row>
    <row r="79" spans="1:32">
      <c r="A79" s="307">
        <v>4</v>
      </c>
      <c r="B79" s="342"/>
      <c r="C79" s="342" t="s">
        <v>180</v>
      </c>
      <c r="D79" s="340" t="s">
        <v>318</v>
      </c>
      <c r="E79" s="342"/>
      <c r="F79" s="345" t="s">
        <v>319</v>
      </c>
      <c r="G79" s="308">
        <v>14</v>
      </c>
      <c r="H79" s="309">
        <v>1700</v>
      </c>
      <c r="I79" s="309">
        <v>23800</v>
      </c>
      <c r="J79" s="211"/>
      <c r="K79" s="212" t="str">
        <f>IF(OR(J79="",G79=J79),"","*")</f>
        <v/>
      </c>
      <c r="L79" s="338" t="str">
        <f>IF($A79&lt;=L$1,I79/I$4,"")</f>
        <v/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/>
      <c r="AF79" s="341"/>
    </row>
    <row r="80" spans="1:32">
      <c r="A80" s="217"/>
      <c r="B80" s="217"/>
      <c r="C80" s="312"/>
      <c r="D80" s="217"/>
      <c r="E80" s="217"/>
      <c r="F80" s="218"/>
      <c r="G80" s="217"/>
      <c r="H80" s="217"/>
      <c r="I80" s="217"/>
      <c r="J80" s="217"/>
      <c r="K80" s="218"/>
      <c r="L80" s="217"/>
      <c r="M80" s="217"/>
      <c r="N80" s="217"/>
      <c r="O80" s="217"/>
      <c r="P80" s="217"/>
      <c r="Q80" s="217"/>
      <c r="R80" s="217"/>
      <c r="S80" s="218"/>
      <c r="T80" s="217"/>
      <c r="U80" s="217"/>
      <c r="V80" s="217"/>
      <c r="W80" s="217"/>
      <c r="X80" s="217"/>
      <c r="Y80" s="217"/>
      <c r="Z80" s="217"/>
      <c r="AA80" s="218"/>
      <c r="AB80" s="217"/>
      <c r="AC80" s="217"/>
      <c r="AD80" s="217"/>
      <c r="AE80" s="217"/>
      <c r="AF80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79 AF4:AF79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79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161</v>
      </c>
      <c r="D4" s="315"/>
      <c r="E4" s="120"/>
      <c r="F4" s="119" t="s">
        <v>167</v>
      </c>
      <c r="G4" s="316">
        <v>248000</v>
      </c>
      <c r="H4" s="69"/>
    </row>
    <row r="5" spans="1:8" ht="27" customHeight="1">
      <c r="A5" s="69"/>
      <c r="B5" s="118"/>
      <c r="C5" s="119" t="s">
        <v>162</v>
      </c>
      <c r="D5" s="315"/>
      <c r="E5" s="120"/>
      <c r="F5" s="119" t="s">
        <v>168</v>
      </c>
      <c r="G5" s="316"/>
      <c r="H5" s="69"/>
    </row>
    <row r="6" spans="1:8" ht="27" customHeight="1">
      <c r="A6" s="69"/>
      <c r="B6" s="118"/>
      <c r="C6" s="119" t="s">
        <v>163</v>
      </c>
      <c r="D6" s="315"/>
      <c r="E6" s="120"/>
      <c r="F6" s="119" t="s">
        <v>321</v>
      </c>
      <c r="G6" s="316"/>
      <c r="H6" s="69"/>
    </row>
    <row r="7" spans="1:8" ht="27" customHeight="1">
      <c r="A7" s="69"/>
      <c r="B7" s="118"/>
      <c r="C7" s="119" t="s">
        <v>164</v>
      </c>
      <c r="D7" s="315"/>
      <c r="E7" s="120"/>
      <c r="F7" s="119" t="s">
        <v>322</v>
      </c>
      <c r="G7" s="316"/>
      <c r="H7" s="69"/>
    </row>
    <row r="8" spans="1:8" ht="27" customHeight="1">
      <c r="A8" s="69"/>
      <c r="B8" s="118"/>
      <c r="C8" s="119" t="s">
        <v>165</v>
      </c>
      <c r="D8" s="315"/>
      <c r="E8" s="120"/>
      <c r="F8" s="119" t="s">
        <v>323</v>
      </c>
      <c r="G8" s="316"/>
      <c r="H8" s="69"/>
    </row>
    <row r="9" spans="1:8" ht="27" customHeight="1">
      <c r="A9" s="69"/>
      <c r="B9" s="118"/>
      <c r="C9" s="119" t="s">
        <v>166</v>
      </c>
      <c r="D9" s="315"/>
      <c r="E9" s="120"/>
      <c r="F9" s="119" t="s">
        <v>324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325</v>
      </c>
      <c r="G10" s="316"/>
      <c r="H10" s="69"/>
    </row>
    <row r="11" spans="1:8" ht="27" customHeight="1">
      <c r="A11" s="69"/>
      <c r="B11" s="118"/>
      <c r="C11" s="119" t="s">
        <v>234</v>
      </c>
      <c r="D11" s="315"/>
      <c r="E11" s="120"/>
      <c r="F11" s="119" t="s">
        <v>326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234</v>
      </c>
      <c r="G13" s="316">
        <v>248000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180</v>
      </c>
      <c r="H3" s="128" t="s">
        <v>181</v>
      </c>
      <c r="I3" s="128" t="s">
        <v>182</v>
      </c>
      <c r="J3" s="128" t="s">
        <v>183</v>
      </c>
      <c r="K3" s="128" t="s">
        <v>184</v>
      </c>
      <c r="L3" s="128" t="s">
        <v>185</v>
      </c>
      <c r="M3" s="128" t="s">
        <v>186</v>
      </c>
      <c r="N3" s="129" t="s">
        <v>158</v>
      </c>
      <c r="O3" s="69"/>
    </row>
    <row r="4" spans="1:15" ht="30" customHeight="1">
      <c r="A4" s="69"/>
      <c r="B4" s="130" t="s">
        <v>161</v>
      </c>
      <c r="C4" s="131" t="s">
        <v>172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 t="s">
        <v>162</v>
      </c>
      <c r="C5" s="131" t="s">
        <v>172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163</v>
      </c>
      <c r="C6" s="131" t="s">
        <v>172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164</v>
      </c>
      <c r="C7" s="131" t="s">
        <v>172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165</v>
      </c>
      <c r="C8" s="131" t="s">
        <v>172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166</v>
      </c>
      <c r="C9" s="131" t="s">
        <v>172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234</v>
      </c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●博物館明治村　村内基本インフラ整備工事（２０２５年度）</v>
      </c>
      <c r="G1" s="306"/>
      <c r="H1" s="190" t="s">
        <v>131</v>
      </c>
      <c r="I1" s="333">
        <v>7600000</v>
      </c>
      <c r="J1" s="339">
        <f>I4/I$1</f>
        <v>0.86455013157894733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236</v>
      </c>
      <c r="D4" s="340" t="s">
        <v>148</v>
      </c>
      <c r="E4" s="342"/>
      <c r="F4" s="345" t="s">
        <v>172</v>
      </c>
      <c r="G4" s="308">
        <v>1</v>
      </c>
      <c r="H4" s="309">
        <v>6570581</v>
      </c>
      <c r="I4" s="309">
        <v>6570581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237</v>
      </c>
      <c r="D5" s="340" t="s">
        <v>327</v>
      </c>
      <c r="E5" s="342"/>
      <c r="F5" s="345" t="s">
        <v>172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240</v>
      </c>
      <c r="D6" s="340" t="s">
        <v>328</v>
      </c>
      <c r="E6" s="342"/>
      <c r="F6" s="345" t="s">
        <v>172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329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2</v>
      </c>
      <c r="B7" s="342"/>
      <c r="C7" s="342" t="s">
        <v>240</v>
      </c>
      <c r="D7" s="340" t="s">
        <v>330</v>
      </c>
      <c r="E7" s="342" t="s">
        <v>174</v>
      </c>
      <c r="F7" s="345" t="s">
        <v>172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331</v>
      </c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240</v>
      </c>
      <c r="D8" s="340" t="s">
        <v>332</v>
      </c>
      <c r="E8" s="342" t="s">
        <v>175</v>
      </c>
      <c r="F8" s="345" t="s">
        <v>172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333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240</v>
      </c>
      <c r="D9" s="340" t="s">
        <v>334</v>
      </c>
      <c r="E9" s="342" t="s">
        <v>176</v>
      </c>
      <c r="F9" s="345" t="s">
        <v>172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335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2</v>
      </c>
      <c r="B10" s="342"/>
      <c r="C10" s="342" t="s">
        <v>240</v>
      </c>
      <c r="D10" s="340" t="s">
        <v>336</v>
      </c>
      <c r="E10" s="342" t="s">
        <v>177</v>
      </c>
      <c r="F10" s="345" t="s">
        <v>172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337</v>
      </c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2</v>
      </c>
      <c r="B11" s="342"/>
      <c r="C11" s="342" t="s">
        <v>240</v>
      </c>
      <c r="D11" s="340" t="s">
        <v>338</v>
      </c>
      <c r="E11" s="342" t="s">
        <v>178</v>
      </c>
      <c r="F11" s="345" t="s">
        <v>172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339</v>
      </c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217"/>
      <c r="B12" s="217"/>
      <c r="C12" s="312"/>
      <c r="D12" s="217"/>
      <c r="E12" s="217"/>
      <c r="F12" s="218"/>
      <c r="G12" s="217"/>
      <c r="H12" s="217"/>
      <c r="I12" s="217"/>
      <c r="J12" s="217"/>
      <c r="K12" s="218"/>
      <c r="L12" s="217"/>
      <c r="M12" s="217"/>
      <c r="N12" s="217"/>
      <c r="O12" s="217"/>
      <c r="P12" s="217"/>
      <c r="Q12" s="217"/>
      <c r="R12" s="217"/>
      <c r="S12" s="218"/>
      <c r="T12" s="217"/>
      <c r="U12" s="217"/>
      <c r="V12" s="217"/>
      <c r="W12" s="217"/>
      <c r="X12" s="217"/>
      <c r="Y12" s="217"/>
      <c r="Z12" s="217"/>
      <c r="AA12" s="218"/>
      <c r="AB12" s="217"/>
      <c r="AC12" s="217"/>
      <c r="AD12" s="217"/>
      <c r="AE12" s="217"/>
      <c r="AF1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1 AF4:AF1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167</v>
      </c>
      <c r="C3" s="561"/>
      <c r="D3" s="563" t="s">
        <v>172</v>
      </c>
      <c r="E3" s="565">
        <v>1</v>
      </c>
      <c r="F3" s="521">
        <v>248000</v>
      </c>
      <c r="G3" s="557">
        <v>248000</v>
      </c>
      <c r="H3" s="138" t="s">
        <v>340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202</v>
      </c>
      <c r="I4" s="69"/>
    </row>
    <row r="5" spans="1:9" ht="15.75" customHeight="1">
      <c r="A5" s="69"/>
      <c r="B5" s="559" t="s">
        <v>168</v>
      </c>
      <c r="C5" s="561" t="s">
        <v>179</v>
      </c>
      <c r="D5" s="563" t="s">
        <v>172</v>
      </c>
      <c r="E5" s="565">
        <v>1</v>
      </c>
      <c r="F5" s="521"/>
      <c r="G5" s="557"/>
      <c r="H5" s="138" t="s">
        <v>341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202</v>
      </c>
      <c r="I6" s="69"/>
    </row>
    <row r="7" spans="1:9" ht="15.75" customHeight="1">
      <c r="A7" s="69"/>
      <c r="B7" s="559" t="s">
        <v>321</v>
      </c>
      <c r="C7" s="561"/>
      <c r="D7" s="563" t="s">
        <v>172</v>
      </c>
      <c r="E7" s="565">
        <v>1</v>
      </c>
      <c r="F7" s="521"/>
      <c r="G7" s="557"/>
      <c r="H7" s="138" t="s">
        <v>342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202</v>
      </c>
      <c r="I8" s="69"/>
    </row>
    <row r="9" spans="1:9" ht="15.75" customHeight="1">
      <c r="A9" s="69"/>
      <c r="B9" s="559" t="s">
        <v>322</v>
      </c>
      <c r="C9" s="561" t="s">
        <v>343</v>
      </c>
      <c r="D9" s="563" t="s">
        <v>172</v>
      </c>
      <c r="E9" s="565">
        <v>1</v>
      </c>
      <c r="F9" s="521"/>
      <c r="G9" s="557"/>
      <c r="H9" s="138" t="s">
        <v>344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202</v>
      </c>
      <c r="I10" s="69"/>
    </row>
    <row r="11" spans="1:9" ht="15.75" customHeight="1">
      <c r="A11" s="69"/>
      <c r="B11" s="559" t="s">
        <v>323</v>
      </c>
      <c r="C11" s="561" t="s">
        <v>345</v>
      </c>
      <c r="D11" s="563" t="s">
        <v>172</v>
      </c>
      <c r="E11" s="565">
        <v>1</v>
      </c>
      <c r="F11" s="521"/>
      <c r="G11" s="557"/>
      <c r="H11" s="138" t="s">
        <v>346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202</v>
      </c>
      <c r="I12" s="69"/>
    </row>
    <row r="13" spans="1:9" ht="15.75" customHeight="1">
      <c r="A13" s="69"/>
      <c r="B13" s="559" t="s">
        <v>324</v>
      </c>
      <c r="C13" s="561" t="s">
        <v>347</v>
      </c>
      <c r="D13" s="563" t="s">
        <v>172</v>
      </c>
      <c r="E13" s="565">
        <v>1</v>
      </c>
      <c r="F13" s="521"/>
      <c r="G13" s="557"/>
      <c r="H13" s="138" t="s">
        <v>348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202</v>
      </c>
      <c r="I14" s="69"/>
    </row>
    <row r="15" spans="1:9" ht="15.75" customHeight="1">
      <c r="A15" s="69"/>
      <c r="B15" s="559" t="s">
        <v>325</v>
      </c>
      <c r="C15" s="561" t="s">
        <v>349</v>
      </c>
      <c r="D15" s="563" t="s">
        <v>172</v>
      </c>
      <c r="E15" s="565">
        <v>1</v>
      </c>
      <c r="F15" s="521"/>
      <c r="G15" s="557"/>
      <c r="H15" s="138" t="s">
        <v>350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202</v>
      </c>
      <c r="I16" s="69"/>
    </row>
    <row r="17" spans="1:9" ht="15.75" customHeight="1">
      <c r="A17" s="69"/>
      <c r="B17" s="559" t="s">
        <v>326</v>
      </c>
      <c r="C17" s="561" t="s">
        <v>351</v>
      </c>
      <c r="D17" s="563" t="s">
        <v>172</v>
      </c>
      <c r="E17" s="565">
        <v>1</v>
      </c>
      <c r="F17" s="521"/>
      <c r="G17" s="557"/>
      <c r="H17" s="138" t="s">
        <v>352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202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234</v>
      </c>
      <c r="C21" s="561"/>
      <c r="D21" s="563"/>
      <c r="E21" s="565"/>
      <c r="F21" s="521"/>
      <c r="G21" s="557">
        <v>248000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●博物館明治村　村内基本インフラ整備工事（２０２５年度）</v>
      </c>
      <c r="G1" s="306"/>
      <c r="H1" s="190" t="s">
        <v>131</v>
      </c>
      <c r="I1" s="333">
        <v>7600000</v>
      </c>
      <c r="J1" s="339">
        <f>I4/I$1</f>
        <v>0.86455013157894733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236</v>
      </c>
      <c r="D4" s="340" t="s">
        <v>148</v>
      </c>
      <c r="E4" s="342"/>
      <c r="F4" s="345" t="s">
        <v>172</v>
      </c>
      <c r="G4" s="308">
        <v>1</v>
      </c>
      <c r="H4" s="309">
        <v>6570581</v>
      </c>
      <c r="I4" s="309">
        <v>6570581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237</v>
      </c>
      <c r="D5" s="340" t="s">
        <v>353</v>
      </c>
      <c r="E5" s="342"/>
      <c r="F5" s="345" t="s">
        <v>172</v>
      </c>
      <c r="G5" s="308">
        <v>1</v>
      </c>
      <c r="H5" s="309">
        <v>248000</v>
      </c>
      <c r="I5" s="309">
        <v>248000</v>
      </c>
      <c r="J5" s="211"/>
      <c r="K5" s="212" t="str">
        <f>IF(OR(J5="",G5=J5),"","*")</f>
        <v/>
      </c>
      <c r="L5" s="338">
        <f>IF($A5&lt;=L$1,I5/I$4,"")</f>
        <v>3.7743998590079021E-2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240</v>
      </c>
      <c r="D6" s="340" t="s">
        <v>354</v>
      </c>
      <c r="E6" s="342"/>
      <c r="F6" s="345" t="s">
        <v>172</v>
      </c>
      <c r="G6" s="308">
        <v>1</v>
      </c>
      <c r="H6" s="309">
        <v>248000</v>
      </c>
      <c r="I6" s="309">
        <v>248000</v>
      </c>
      <c r="J6" s="211">
        <v>1</v>
      </c>
      <c r="K6" s="212" t="str">
        <f>IF(OR(J6="",G6=J6),"","*")</f>
        <v/>
      </c>
      <c r="L6" s="338">
        <f>IF($A6&lt;=L$1,I6/I$4,"")</f>
        <v>3.7743998590079021E-2</v>
      </c>
      <c r="M6" s="343"/>
      <c r="N6" s="344" t="s">
        <v>355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3</v>
      </c>
      <c r="B7" s="342"/>
      <c r="C7" s="342"/>
      <c r="D7" s="340" t="s">
        <v>356</v>
      </c>
      <c r="E7" s="342"/>
      <c r="F7" s="345" t="s">
        <v>279</v>
      </c>
      <c r="G7" s="308">
        <v>8</v>
      </c>
      <c r="H7" s="309">
        <v>31000</v>
      </c>
      <c r="I7" s="309">
        <v>248000</v>
      </c>
      <c r="J7" s="211"/>
      <c r="K7" s="212" t="str">
        <f>IF(OR(J7="",G7=J7),"","*")</f>
        <v/>
      </c>
      <c r="L7" s="338">
        <f>IF($A7&lt;=L$1,I7/I$4,"")</f>
        <v>3.7743998590079021E-2</v>
      </c>
      <c r="M7" s="343"/>
      <c r="N7" s="344"/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240</v>
      </c>
      <c r="D8" s="340" t="s">
        <v>357</v>
      </c>
      <c r="E8" s="342" t="s">
        <v>179</v>
      </c>
      <c r="F8" s="345" t="s">
        <v>172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358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240</v>
      </c>
      <c r="D9" s="340" t="s">
        <v>359</v>
      </c>
      <c r="E9" s="342"/>
      <c r="F9" s="345" t="s">
        <v>172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360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2</v>
      </c>
      <c r="B10" s="342"/>
      <c r="C10" s="342" t="s">
        <v>240</v>
      </c>
      <c r="D10" s="340" t="s">
        <v>361</v>
      </c>
      <c r="E10" s="342" t="s">
        <v>343</v>
      </c>
      <c r="F10" s="345" t="s">
        <v>172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362</v>
      </c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2</v>
      </c>
      <c r="B11" s="342"/>
      <c r="C11" s="342" t="s">
        <v>240</v>
      </c>
      <c r="D11" s="340" t="s">
        <v>363</v>
      </c>
      <c r="E11" s="342" t="s">
        <v>345</v>
      </c>
      <c r="F11" s="345" t="s">
        <v>172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364</v>
      </c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307">
        <v>2</v>
      </c>
      <c r="B12" s="342"/>
      <c r="C12" s="342" t="s">
        <v>240</v>
      </c>
      <c r="D12" s="340" t="s">
        <v>365</v>
      </c>
      <c r="E12" s="342" t="s">
        <v>347</v>
      </c>
      <c r="F12" s="345" t="s">
        <v>172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366</v>
      </c>
      <c r="O12" s="346">
        <v>0</v>
      </c>
      <c r="P12" s="347">
        <v>0</v>
      </c>
      <c r="Q12" s="347">
        <v>0</v>
      </c>
      <c r="R12" s="348">
        <v>0</v>
      </c>
      <c r="S12" s="349" t="s">
        <v>117</v>
      </c>
      <c r="T12" s="343" t="e">
        <v>#DIV/0!</v>
      </c>
      <c r="U12" s="343" t="s">
        <v>117</v>
      </c>
      <c r="V12" s="344" t="s">
        <v>117</v>
      </c>
      <c r="W12" s="346">
        <v>0</v>
      </c>
      <c r="X12" s="347">
        <v>0</v>
      </c>
      <c r="Y12" s="347">
        <v>0</v>
      </c>
      <c r="Z12" s="348">
        <v>0</v>
      </c>
      <c r="AA12" s="349" t="s">
        <v>117</v>
      </c>
      <c r="AB12" s="343" t="e">
        <v>#DIV/0!</v>
      </c>
      <c r="AC12" s="343" t="s">
        <v>117</v>
      </c>
      <c r="AD12" s="344" t="s">
        <v>117</v>
      </c>
      <c r="AE12" s="342"/>
      <c r="AF12" s="341" t="s">
        <v>117</v>
      </c>
    </row>
    <row r="13" spans="1:32">
      <c r="A13" s="307">
        <v>2</v>
      </c>
      <c r="B13" s="342"/>
      <c r="C13" s="342" t="s">
        <v>240</v>
      </c>
      <c r="D13" s="340" t="s">
        <v>367</v>
      </c>
      <c r="E13" s="342" t="s">
        <v>349</v>
      </c>
      <c r="F13" s="345" t="s">
        <v>172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368</v>
      </c>
      <c r="O13" s="346">
        <v>0</v>
      </c>
      <c r="P13" s="347">
        <v>0</v>
      </c>
      <c r="Q13" s="347">
        <v>0</v>
      </c>
      <c r="R13" s="348">
        <v>0</v>
      </c>
      <c r="S13" s="349" t="s">
        <v>117</v>
      </c>
      <c r="T13" s="343" t="e">
        <v>#DIV/0!</v>
      </c>
      <c r="U13" s="343" t="s">
        <v>117</v>
      </c>
      <c r="V13" s="344" t="s">
        <v>117</v>
      </c>
      <c r="W13" s="346">
        <v>0</v>
      </c>
      <c r="X13" s="347">
        <v>0</v>
      </c>
      <c r="Y13" s="347">
        <v>0</v>
      </c>
      <c r="Z13" s="348">
        <v>0</v>
      </c>
      <c r="AA13" s="349" t="s">
        <v>117</v>
      </c>
      <c r="AB13" s="343" t="e">
        <v>#DIV/0!</v>
      </c>
      <c r="AC13" s="343" t="s">
        <v>117</v>
      </c>
      <c r="AD13" s="344" t="s">
        <v>117</v>
      </c>
      <c r="AE13" s="342"/>
      <c r="AF13" s="341" t="s">
        <v>117</v>
      </c>
    </row>
    <row r="14" spans="1:32">
      <c r="A14" s="307">
        <v>2</v>
      </c>
      <c r="B14" s="342"/>
      <c r="C14" s="342" t="s">
        <v>240</v>
      </c>
      <c r="D14" s="340" t="s">
        <v>369</v>
      </c>
      <c r="E14" s="342" t="s">
        <v>351</v>
      </c>
      <c r="F14" s="345" t="s">
        <v>172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370</v>
      </c>
      <c r="O14" s="346">
        <v>0</v>
      </c>
      <c r="P14" s="347">
        <v>0</v>
      </c>
      <c r="Q14" s="347">
        <v>0</v>
      </c>
      <c r="R14" s="348">
        <v>0</v>
      </c>
      <c r="S14" s="349" t="s">
        <v>117</v>
      </c>
      <c r="T14" s="343" t="e">
        <v>#DIV/0!</v>
      </c>
      <c r="U14" s="343" t="s">
        <v>117</v>
      </c>
      <c r="V14" s="344" t="s">
        <v>117</v>
      </c>
      <c r="W14" s="346">
        <v>0</v>
      </c>
      <c r="X14" s="347">
        <v>0</v>
      </c>
      <c r="Y14" s="347">
        <v>0</v>
      </c>
      <c r="Z14" s="348">
        <v>0</v>
      </c>
      <c r="AA14" s="349" t="s">
        <v>117</v>
      </c>
      <c r="AB14" s="343" t="e">
        <v>#DIV/0!</v>
      </c>
      <c r="AC14" s="343" t="s">
        <v>117</v>
      </c>
      <c r="AD14" s="344" t="s">
        <v>117</v>
      </c>
      <c r="AE14" s="342"/>
      <c r="AF14" s="341" t="s">
        <v>117</v>
      </c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371</v>
      </c>
      <c r="C3" s="146" t="s">
        <v>372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373</v>
      </c>
      <c r="K4" s="69"/>
    </row>
    <row r="5" spans="1:11" ht="18" customHeight="1">
      <c r="A5" s="69"/>
      <c r="B5" s="574" t="s">
        <v>374</v>
      </c>
      <c r="C5" s="575"/>
      <c r="D5" s="153" t="s">
        <v>85</v>
      </c>
      <c r="E5" s="153" t="s">
        <v>375</v>
      </c>
      <c r="F5" s="153" t="s">
        <v>376</v>
      </c>
      <c r="G5" s="153" t="s">
        <v>377</v>
      </c>
      <c r="H5" s="154" t="s">
        <v>378</v>
      </c>
      <c r="I5" s="153" t="s">
        <v>379</v>
      </c>
      <c r="J5" s="155" t="s">
        <v>380</v>
      </c>
      <c r="K5" s="69"/>
    </row>
    <row r="6" spans="1:11" ht="10.5" customHeight="1">
      <c r="A6" s="69"/>
      <c r="B6" s="156" t="s">
        <v>381</v>
      </c>
      <c r="C6" s="157"/>
      <c r="D6" s="576" t="s">
        <v>382</v>
      </c>
      <c r="E6" s="578">
        <v>14</v>
      </c>
      <c r="F6" s="580">
        <v>1700</v>
      </c>
      <c r="G6" s="582">
        <v>23800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383</v>
      </c>
      <c r="J7" s="161"/>
      <c r="K7" s="69" t="s">
        <v>96</v>
      </c>
    </row>
    <row r="8" spans="1:11" ht="10.5" customHeight="1">
      <c r="A8" s="69"/>
      <c r="B8" s="156" t="s">
        <v>384</v>
      </c>
      <c r="C8" s="157"/>
      <c r="D8" s="576" t="s">
        <v>385</v>
      </c>
      <c r="E8" s="578">
        <v>280</v>
      </c>
      <c r="F8" s="580">
        <v>180</v>
      </c>
      <c r="G8" s="582">
        <v>50400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383</v>
      </c>
      <c r="J9" s="162"/>
      <c r="K9" s="69" t="s">
        <v>96</v>
      </c>
    </row>
    <row r="10" spans="1:11" ht="10.5" customHeight="1">
      <c r="A10" s="69"/>
      <c r="B10" s="156" t="s">
        <v>386</v>
      </c>
      <c r="C10" s="157"/>
      <c r="D10" s="576" t="s">
        <v>387</v>
      </c>
      <c r="E10" s="578">
        <v>1</v>
      </c>
      <c r="F10" s="580">
        <v>30000</v>
      </c>
      <c r="G10" s="582">
        <v>30000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383</v>
      </c>
      <c r="J11" s="161"/>
      <c r="K11" s="69" t="s">
        <v>96</v>
      </c>
    </row>
    <row r="12" spans="1:11" ht="10.5" customHeight="1">
      <c r="A12" s="69"/>
      <c r="B12" s="156" t="s">
        <v>388</v>
      </c>
      <c r="C12" s="157"/>
      <c r="D12" s="576" t="s">
        <v>389</v>
      </c>
      <c r="E12" s="584">
        <v>6</v>
      </c>
      <c r="F12" s="580">
        <v>3500</v>
      </c>
      <c r="G12" s="582">
        <v>21000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383</v>
      </c>
      <c r="J13" s="161"/>
      <c r="K13" s="69" t="s">
        <v>96</v>
      </c>
    </row>
    <row r="14" spans="1:11" ht="10.5" customHeight="1">
      <c r="A14" s="69"/>
      <c r="B14" s="156" t="s">
        <v>388</v>
      </c>
      <c r="C14" s="157"/>
      <c r="D14" s="576" t="s">
        <v>389</v>
      </c>
      <c r="E14" s="584">
        <v>1</v>
      </c>
      <c r="F14" s="580">
        <v>3500</v>
      </c>
      <c r="G14" s="582">
        <v>3500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383</v>
      </c>
      <c r="J15" s="161"/>
      <c r="K15" s="69" t="s">
        <v>96</v>
      </c>
    </row>
    <row r="16" spans="1:11" ht="10.5" customHeight="1">
      <c r="A16" s="69"/>
      <c r="B16" s="156" t="s">
        <v>390</v>
      </c>
      <c r="C16" s="157"/>
      <c r="D16" s="576" t="s">
        <v>385</v>
      </c>
      <c r="E16" s="584">
        <v>70</v>
      </c>
      <c r="F16" s="580">
        <v>180</v>
      </c>
      <c r="G16" s="582">
        <v>12600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383</v>
      </c>
      <c r="J17" s="161"/>
      <c r="K17" s="69" t="s">
        <v>96</v>
      </c>
    </row>
    <row r="18" spans="1:11" ht="10.5" customHeight="1">
      <c r="A18" s="69"/>
      <c r="B18" s="156" t="s">
        <v>390</v>
      </c>
      <c r="C18" s="157"/>
      <c r="D18" s="576" t="s">
        <v>385</v>
      </c>
      <c r="E18" s="584">
        <v>50</v>
      </c>
      <c r="F18" s="580">
        <v>180</v>
      </c>
      <c r="G18" s="582">
        <v>9000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383</v>
      </c>
      <c r="J19" s="161"/>
      <c r="K19" s="69" t="s">
        <v>96</v>
      </c>
    </row>
    <row r="20" spans="1:11" ht="10.5" customHeight="1">
      <c r="A20" s="69"/>
      <c r="B20" s="156" t="s">
        <v>390</v>
      </c>
      <c r="C20" s="157"/>
      <c r="D20" s="576" t="s">
        <v>385</v>
      </c>
      <c r="E20" s="584">
        <v>40</v>
      </c>
      <c r="F20" s="580">
        <v>180</v>
      </c>
      <c r="G20" s="582">
        <v>7200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383</v>
      </c>
      <c r="J21" s="161"/>
      <c r="K21" s="69" t="s">
        <v>96</v>
      </c>
    </row>
    <row r="22" spans="1:11" ht="10.5" customHeight="1">
      <c r="A22" s="69"/>
      <c r="B22" s="156" t="s">
        <v>391</v>
      </c>
      <c r="C22" s="157"/>
      <c r="D22" s="576" t="s">
        <v>392</v>
      </c>
      <c r="E22" s="584">
        <v>6</v>
      </c>
      <c r="F22" s="580">
        <v>30000</v>
      </c>
      <c r="G22" s="582">
        <v>180000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383</v>
      </c>
      <c r="J23" s="161"/>
      <c r="K23" s="69" t="s">
        <v>96</v>
      </c>
    </row>
    <row r="24" spans="1:11" ht="10.5" customHeight="1">
      <c r="A24" s="69"/>
      <c r="B24" s="156" t="s">
        <v>391</v>
      </c>
      <c r="C24" s="157"/>
      <c r="D24" s="576" t="s">
        <v>392</v>
      </c>
      <c r="E24" s="578">
        <v>1</v>
      </c>
      <c r="F24" s="580">
        <v>30000</v>
      </c>
      <c r="G24" s="582">
        <v>30000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383</v>
      </c>
      <c r="J25" s="161"/>
      <c r="K25" s="69" t="s">
        <v>96</v>
      </c>
    </row>
    <row r="26" spans="1:11" ht="10.5" customHeight="1">
      <c r="A26" s="69"/>
      <c r="B26" s="156" t="s">
        <v>393</v>
      </c>
      <c r="C26" s="157"/>
      <c r="D26" s="576" t="s">
        <v>394</v>
      </c>
      <c r="E26" s="584">
        <v>88.5</v>
      </c>
      <c r="F26" s="580">
        <v>9500</v>
      </c>
      <c r="G26" s="582">
        <v>840750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383</v>
      </c>
      <c r="J27" s="161"/>
      <c r="K27" s="69" t="s">
        <v>96</v>
      </c>
    </row>
    <row r="28" spans="1:11" ht="10.5" customHeight="1">
      <c r="A28" s="69"/>
      <c r="B28" s="156" t="s">
        <v>393</v>
      </c>
      <c r="C28" s="157"/>
      <c r="D28" s="576" t="s">
        <v>394</v>
      </c>
      <c r="E28" s="584">
        <v>7.5</v>
      </c>
      <c r="F28" s="580">
        <v>9500</v>
      </c>
      <c r="G28" s="582">
        <v>71250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383</v>
      </c>
      <c r="J29" s="161"/>
      <c r="K29" s="69" t="s">
        <v>96</v>
      </c>
    </row>
    <row r="30" spans="1:11" ht="10.5" customHeight="1">
      <c r="A30" s="69"/>
      <c r="B30" s="156" t="s">
        <v>395</v>
      </c>
      <c r="C30" s="157"/>
      <c r="D30" s="576" t="s">
        <v>396</v>
      </c>
      <c r="E30" s="584">
        <v>1</v>
      </c>
      <c r="F30" s="580">
        <v>20000</v>
      </c>
      <c r="G30" s="582">
        <v>20000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383</v>
      </c>
      <c r="J31" s="161"/>
      <c r="K31" s="69" t="s">
        <v>96</v>
      </c>
    </row>
    <row r="32" spans="1:11" ht="10.5" customHeight="1">
      <c r="A32" s="69"/>
      <c r="B32" s="156" t="s">
        <v>397</v>
      </c>
      <c r="C32" s="157"/>
      <c r="D32" s="576" t="s">
        <v>398</v>
      </c>
      <c r="E32" s="584">
        <v>17</v>
      </c>
      <c r="F32" s="580">
        <v>15000</v>
      </c>
      <c r="G32" s="582">
        <v>255000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383</v>
      </c>
      <c r="J33" s="161"/>
      <c r="K33" s="69" t="s">
        <v>96</v>
      </c>
    </row>
    <row r="34" spans="1:11" ht="10.5" customHeight="1">
      <c r="A34" s="69"/>
      <c r="B34" s="156" t="s">
        <v>399</v>
      </c>
      <c r="C34" s="157"/>
      <c r="D34" s="576" t="s">
        <v>396</v>
      </c>
      <c r="E34" s="584">
        <v>1</v>
      </c>
      <c r="F34" s="580">
        <v>18000</v>
      </c>
      <c r="G34" s="582">
        <v>18000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383</v>
      </c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 t="s">
        <v>400</v>
      </c>
      <c r="C38" s="157"/>
      <c r="D38" s="576"/>
      <c r="E38" s="584"/>
      <c r="F38" s="580"/>
      <c r="G38" s="582">
        <v>1572500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371</v>
      </c>
      <c r="C3" s="146" t="s">
        <v>372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373</v>
      </c>
      <c r="K4" s="69"/>
    </row>
    <row r="5" spans="1:11" ht="18" customHeight="1">
      <c r="A5" s="69"/>
      <c r="B5" s="574" t="s">
        <v>374</v>
      </c>
      <c r="C5" s="575"/>
      <c r="D5" s="153" t="s">
        <v>85</v>
      </c>
      <c r="E5" s="153" t="s">
        <v>375</v>
      </c>
      <c r="F5" s="153" t="s">
        <v>376</v>
      </c>
      <c r="G5" s="153" t="s">
        <v>377</v>
      </c>
      <c r="H5" s="154" t="s">
        <v>378</v>
      </c>
      <c r="I5" s="153" t="s">
        <v>379</v>
      </c>
      <c r="J5" s="155" t="s">
        <v>380</v>
      </c>
      <c r="K5" s="69"/>
    </row>
    <row r="6" spans="1:11" ht="10.5" customHeight="1">
      <c r="A6" s="69"/>
      <c r="B6" s="156" t="s">
        <v>401</v>
      </c>
      <c r="C6" s="157"/>
      <c r="D6" s="576" t="s">
        <v>402</v>
      </c>
      <c r="E6" s="578">
        <v>48</v>
      </c>
      <c r="F6" s="580">
        <v>31000</v>
      </c>
      <c r="G6" s="582">
        <v>1488000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403</v>
      </c>
      <c r="J7" s="161"/>
      <c r="K7" s="69" t="s">
        <v>96</v>
      </c>
    </row>
    <row r="8" spans="1:11" ht="10.5" customHeight="1">
      <c r="A8" s="69"/>
      <c r="B8" s="156" t="s">
        <v>401</v>
      </c>
      <c r="C8" s="157"/>
      <c r="D8" s="576" t="s">
        <v>402</v>
      </c>
      <c r="E8" s="578">
        <v>6</v>
      </c>
      <c r="F8" s="580">
        <v>31000</v>
      </c>
      <c r="G8" s="582">
        <v>186000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403</v>
      </c>
      <c r="J9" s="162"/>
      <c r="K9" s="69" t="s">
        <v>96</v>
      </c>
    </row>
    <row r="10" spans="1:11" ht="10.5" customHeight="1">
      <c r="A10" s="69"/>
      <c r="B10" s="156" t="s">
        <v>404</v>
      </c>
      <c r="C10" s="157"/>
      <c r="D10" s="576" t="s">
        <v>402</v>
      </c>
      <c r="E10" s="578">
        <v>54</v>
      </c>
      <c r="F10" s="580">
        <v>4500</v>
      </c>
      <c r="G10" s="582">
        <v>243000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403</v>
      </c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 t="s">
        <v>400</v>
      </c>
      <c r="C14" s="157"/>
      <c r="D14" s="576"/>
      <c r="E14" s="584"/>
      <c r="F14" s="580"/>
      <c r="G14" s="582">
        <v>1917000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371</v>
      </c>
      <c r="C3" s="146" t="s">
        <v>372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373</v>
      </c>
      <c r="K4" s="69"/>
    </row>
    <row r="5" spans="1:11" ht="18" customHeight="1">
      <c r="A5" s="69"/>
      <c r="B5" s="574" t="s">
        <v>374</v>
      </c>
      <c r="C5" s="575"/>
      <c r="D5" s="153" t="s">
        <v>85</v>
      </c>
      <c r="E5" s="153" t="s">
        <v>375</v>
      </c>
      <c r="F5" s="153" t="s">
        <v>376</v>
      </c>
      <c r="G5" s="153" t="s">
        <v>377</v>
      </c>
      <c r="H5" s="154" t="s">
        <v>378</v>
      </c>
      <c r="I5" s="153" t="s">
        <v>379</v>
      </c>
      <c r="J5" s="155" t="s">
        <v>380</v>
      </c>
      <c r="K5" s="69"/>
    </row>
    <row r="6" spans="1:11" ht="10.5" customHeight="1">
      <c r="A6" s="69"/>
      <c r="B6" s="156" t="s">
        <v>405</v>
      </c>
      <c r="C6" s="157"/>
      <c r="D6" s="576" t="s">
        <v>396</v>
      </c>
      <c r="E6" s="578">
        <v>1</v>
      </c>
      <c r="F6" s="580">
        <v>300000</v>
      </c>
      <c r="G6" s="582">
        <v>300000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406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400</v>
      </c>
      <c r="C10" s="157"/>
      <c r="D10" s="576"/>
      <c r="E10" s="578"/>
      <c r="F10" s="580"/>
      <c r="G10" s="582">
        <v>300000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371</v>
      </c>
      <c r="C3" s="146" t="s">
        <v>372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373</v>
      </c>
      <c r="K4" s="69"/>
    </row>
    <row r="5" spans="1:11" ht="18" customHeight="1">
      <c r="A5" s="69"/>
      <c r="B5" s="574" t="s">
        <v>374</v>
      </c>
      <c r="C5" s="575"/>
      <c r="D5" s="153" t="s">
        <v>85</v>
      </c>
      <c r="E5" s="153" t="s">
        <v>375</v>
      </c>
      <c r="F5" s="153" t="s">
        <v>376</v>
      </c>
      <c r="G5" s="153" t="s">
        <v>377</v>
      </c>
      <c r="H5" s="154" t="s">
        <v>378</v>
      </c>
      <c r="I5" s="153" t="s">
        <v>379</v>
      </c>
      <c r="J5" s="155" t="s">
        <v>380</v>
      </c>
      <c r="K5" s="69"/>
    </row>
    <row r="6" spans="1:11" ht="10.5" customHeight="1">
      <c r="A6" s="69"/>
      <c r="B6" s="156" t="s">
        <v>407</v>
      </c>
      <c r="C6" s="157"/>
      <c r="D6" s="576" t="s">
        <v>389</v>
      </c>
      <c r="E6" s="578">
        <v>6</v>
      </c>
      <c r="F6" s="580">
        <v>9000</v>
      </c>
      <c r="G6" s="582">
        <v>54000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408</v>
      </c>
      <c r="J7" s="161"/>
      <c r="K7" s="69" t="s">
        <v>96</v>
      </c>
    </row>
    <row r="8" spans="1:11" ht="10.5" customHeight="1">
      <c r="A8" s="69"/>
      <c r="B8" s="156" t="s">
        <v>409</v>
      </c>
      <c r="C8" s="157"/>
      <c r="D8" s="576" t="s">
        <v>389</v>
      </c>
      <c r="E8" s="578">
        <v>6</v>
      </c>
      <c r="F8" s="580">
        <v>11000</v>
      </c>
      <c r="G8" s="582">
        <v>66000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408</v>
      </c>
      <c r="J9" s="162"/>
      <c r="K9" s="69" t="s">
        <v>96</v>
      </c>
    </row>
    <row r="10" spans="1:11" ht="10.5" customHeight="1">
      <c r="A10" s="69"/>
      <c r="B10" s="156" t="s">
        <v>409</v>
      </c>
      <c r="C10" s="157"/>
      <c r="D10" s="576" t="s">
        <v>389</v>
      </c>
      <c r="E10" s="578">
        <v>1</v>
      </c>
      <c r="F10" s="580">
        <v>11000</v>
      </c>
      <c r="G10" s="582">
        <v>11000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408</v>
      </c>
      <c r="J11" s="161"/>
      <c r="K11" s="69" t="s">
        <v>96</v>
      </c>
    </row>
    <row r="12" spans="1:11" ht="10.5" customHeight="1">
      <c r="A12" s="69"/>
      <c r="B12" s="156" t="s">
        <v>410</v>
      </c>
      <c r="C12" s="157"/>
      <c r="D12" s="576" t="s">
        <v>389</v>
      </c>
      <c r="E12" s="584">
        <v>6</v>
      </c>
      <c r="F12" s="580">
        <v>45000</v>
      </c>
      <c r="G12" s="582">
        <v>270000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408</v>
      </c>
      <c r="J13" s="161"/>
      <c r="K13" s="69" t="s">
        <v>96</v>
      </c>
    </row>
    <row r="14" spans="1:11" ht="10.5" customHeight="1">
      <c r="A14" s="69"/>
      <c r="B14" s="156" t="s">
        <v>410</v>
      </c>
      <c r="C14" s="157"/>
      <c r="D14" s="576" t="s">
        <v>389</v>
      </c>
      <c r="E14" s="584">
        <v>1</v>
      </c>
      <c r="F14" s="580">
        <v>45000</v>
      </c>
      <c r="G14" s="582">
        <v>45000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408</v>
      </c>
      <c r="J15" s="161"/>
      <c r="K15" s="69" t="s">
        <v>96</v>
      </c>
    </row>
    <row r="16" spans="1:11" ht="10.5" customHeight="1">
      <c r="A16" s="69"/>
      <c r="B16" s="156" t="s">
        <v>411</v>
      </c>
      <c r="C16" s="157"/>
      <c r="D16" s="576" t="s">
        <v>389</v>
      </c>
      <c r="E16" s="584">
        <v>6</v>
      </c>
      <c r="F16" s="580">
        <v>6000</v>
      </c>
      <c r="G16" s="582">
        <v>36000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408</v>
      </c>
      <c r="J17" s="161"/>
      <c r="K17" s="69" t="s">
        <v>96</v>
      </c>
    </row>
    <row r="18" spans="1:11" ht="10.5" customHeight="1">
      <c r="A18" s="69"/>
      <c r="B18" s="156" t="s">
        <v>411</v>
      </c>
      <c r="C18" s="157"/>
      <c r="D18" s="576" t="s">
        <v>389</v>
      </c>
      <c r="E18" s="584">
        <v>1</v>
      </c>
      <c r="F18" s="580">
        <v>6000</v>
      </c>
      <c r="G18" s="582">
        <v>6000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408</v>
      </c>
      <c r="J19" s="161"/>
      <c r="K19" s="69" t="s">
        <v>96</v>
      </c>
    </row>
    <row r="20" spans="1:11" ht="10.5" customHeight="1">
      <c r="A20" s="69"/>
      <c r="B20" s="156" t="s">
        <v>412</v>
      </c>
      <c r="C20" s="157"/>
      <c r="D20" s="576" t="s">
        <v>389</v>
      </c>
      <c r="E20" s="584">
        <v>6</v>
      </c>
      <c r="F20" s="580">
        <v>8000</v>
      </c>
      <c r="G20" s="582">
        <v>48000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408</v>
      </c>
      <c r="J21" s="161"/>
      <c r="K21" s="69" t="s">
        <v>96</v>
      </c>
    </row>
    <row r="22" spans="1:11" ht="10.5" customHeight="1">
      <c r="A22" s="69"/>
      <c r="B22" s="156" t="s">
        <v>412</v>
      </c>
      <c r="C22" s="157"/>
      <c r="D22" s="576" t="s">
        <v>389</v>
      </c>
      <c r="E22" s="584">
        <v>1</v>
      </c>
      <c r="F22" s="580">
        <v>8000</v>
      </c>
      <c r="G22" s="582">
        <v>8000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408</v>
      </c>
      <c r="J23" s="161"/>
      <c r="K23" s="69" t="s">
        <v>96</v>
      </c>
    </row>
    <row r="24" spans="1:11" ht="10.5" customHeight="1">
      <c r="A24" s="69"/>
      <c r="B24" s="156" t="s">
        <v>413</v>
      </c>
      <c r="C24" s="157"/>
      <c r="D24" s="576" t="s">
        <v>389</v>
      </c>
      <c r="E24" s="578">
        <v>7</v>
      </c>
      <c r="F24" s="580">
        <v>7000</v>
      </c>
      <c r="G24" s="582">
        <v>49000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408</v>
      </c>
      <c r="J25" s="161"/>
      <c r="K25" s="69" t="s">
        <v>96</v>
      </c>
    </row>
    <row r="26" spans="1:11" ht="10.5" customHeight="1">
      <c r="A26" s="69"/>
      <c r="B26" s="156" t="s">
        <v>414</v>
      </c>
      <c r="C26" s="157"/>
      <c r="D26" s="576" t="s">
        <v>389</v>
      </c>
      <c r="E26" s="584">
        <v>6</v>
      </c>
      <c r="F26" s="580">
        <v>5000</v>
      </c>
      <c r="G26" s="582">
        <v>30000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408</v>
      </c>
      <c r="J27" s="161"/>
      <c r="K27" s="69" t="s">
        <v>96</v>
      </c>
    </row>
    <row r="28" spans="1:11" ht="10.5" customHeight="1">
      <c r="A28" s="69"/>
      <c r="B28" s="156" t="s">
        <v>414</v>
      </c>
      <c r="C28" s="157"/>
      <c r="D28" s="576" t="s">
        <v>389</v>
      </c>
      <c r="E28" s="584">
        <v>1</v>
      </c>
      <c r="F28" s="580">
        <v>5000</v>
      </c>
      <c r="G28" s="582">
        <v>5000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408</v>
      </c>
      <c r="J29" s="161"/>
      <c r="K29" s="69" t="s">
        <v>96</v>
      </c>
    </row>
    <row r="30" spans="1:11" ht="10.5" customHeight="1">
      <c r="A30" s="69"/>
      <c r="B30" s="156" t="s">
        <v>415</v>
      </c>
      <c r="C30" s="157"/>
      <c r="D30" s="576" t="s">
        <v>389</v>
      </c>
      <c r="E30" s="584">
        <v>6</v>
      </c>
      <c r="F30" s="580">
        <v>3000</v>
      </c>
      <c r="G30" s="582">
        <v>18000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408</v>
      </c>
      <c r="J31" s="161"/>
      <c r="K31" s="69" t="s">
        <v>96</v>
      </c>
    </row>
    <row r="32" spans="1:11" ht="10.5" customHeight="1">
      <c r="A32" s="69"/>
      <c r="B32" s="156" t="s">
        <v>415</v>
      </c>
      <c r="C32" s="157"/>
      <c r="D32" s="576" t="s">
        <v>389</v>
      </c>
      <c r="E32" s="584">
        <v>1</v>
      </c>
      <c r="F32" s="580">
        <v>3000</v>
      </c>
      <c r="G32" s="582">
        <v>3000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408</v>
      </c>
      <c r="J33" s="161"/>
      <c r="K33" s="69" t="s">
        <v>96</v>
      </c>
    </row>
    <row r="34" spans="1:11" ht="10.5" customHeight="1">
      <c r="A34" s="69"/>
      <c r="B34" s="156" t="s">
        <v>416</v>
      </c>
      <c r="C34" s="157"/>
      <c r="D34" s="576" t="s">
        <v>389</v>
      </c>
      <c r="E34" s="584">
        <v>6</v>
      </c>
      <c r="F34" s="580">
        <v>1000</v>
      </c>
      <c r="G34" s="582">
        <v>6000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408</v>
      </c>
      <c r="J35" s="161"/>
      <c r="K35" s="69" t="s">
        <v>96</v>
      </c>
    </row>
    <row r="36" spans="1:11" ht="10.5" customHeight="1">
      <c r="A36" s="69"/>
      <c r="B36" s="156" t="s">
        <v>416</v>
      </c>
      <c r="C36" s="157"/>
      <c r="D36" s="576" t="s">
        <v>389</v>
      </c>
      <c r="E36" s="584">
        <v>1</v>
      </c>
      <c r="F36" s="580">
        <v>1000</v>
      </c>
      <c r="G36" s="582">
        <v>1000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408</v>
      </c>
      <c r="J37" s="161"/>
      <c r="K37" s="69" t="s">
        <v>96</v>
      </c>
    </row>
    <row r="38" spans="1:11" ht="10.5" customHeight="1">
      <c r="A38" s="69"/>
      <c r="B38" s="156" t="s">
        <v>417</v>
      </c>
      <c r="C38" s="157"/>
      <c r="D38" s="576" t="s">
        <v>389</v>
      </c>
      <c r="E38" s="584">
        <v>6</v>
      </c>
      <c r="F38" s="580">
        <v>10000</v>
      </c>
      <c r="G38" s="582">
        <v>60000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408</v>
      </c>
      <c r="J39" s="161"/>
      <c r="K39" s="69" t="s">
        <v>96</v>
      </c>
    </row>
    <row r="40" spans="1:11" ht="10.5" customHeight="1">
      <c r="A40" s="69"/>
      <c r="B40" s="156" t="s">
        <v>417</v>
      </c>
      <c r="C40" s="157"/>
      <c r="D40" s="576" t="s">
        <v>389</v>
      </c>
      <c r="E40" s="584">
        <v>1</v>
      </c>
      <c r="F40" s="580">
        <v>10000</v>
      </c>
      <c r="G40" s="582">
        <v>10000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408</v>
      </c>
      <c r="J41" s="161"/>
      <c r="K41" s="69" t="s">
        <v>96</v>
      </c>
    </row>
    <row r="42" spans="1:11" ht="10.5" customHeight="1">
      <c r="A42" s="69"/>
      <c r="B42" s="156" t="s">
        <v>418</v>
      </c>
      <c r="C42" s="157"/>
      <c r="D42" s="576" t="s">
        <v>389</v>
      </c>
      <c r="E42" s="584">
        <v>12</v>
      </c>
      <c r="F42" s="580">
        <v>3000</v>
      </c>
      <c r="G42" s="582">
        <v>36000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408</v>
      </c>
      <c r="J43" s="161"/>
      <c r="K43" s="69" t="s">
        <v>96</v>
      </c>
    </row>
    <row r="44" spans="1:11" ht="10.5" customHeight="1">
      <c r="A44" s="69"/>
      <c r="B44" s="156" t="s">
        <v>418</v>
      </c>
      <c r="C44" s="157"/>
      <c r="D44" s="576" t="s">
        <v>389</v>
      </c>
      <c r="E44" s="584">
        <v>1</v>
      </c>
      <c r="F44" s="580">
        <v>3000</v>
      </c>
      <c r="G44" s="582">
        <v>3000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408</v>
      </c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419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371</v>
      </c>
      <c r="C52" s="146" t="s">
        <v>372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373</v>
      </c>
      <c r="K53" s="69"/>
    </row>
    <row r="54" spans="1:11" ht="18" customHeight="1">
      <c r="A54" s="69"/>
      <c r="B54" s="574" t="s">
        <v>374</v>
      </c>
      <c r="C54" s="575"/>
      <c r="D54" s="153" t="s">
        <v>85</v>
      </c>
      <c r="E54" s="153" t="s">
        <v>375</v>
      </c>
      <c r="F54" s="153" t="s">
        <v>376</v>
      </c>
      <c r="G54" s="153" t="s">
        <v>377</v>
      </c>
      <c r="H54" s="154" t="s">
        <v>378</v>
      </c>
      <c r="I54" s="153" t="s">
        <v>379</v>
      </c>
      <c r="J54" s="155" t="s">
        <v>380</v>
      </c>
      <c r="K54" s="69"/>
    </row>
    <row r="55" spans="1:11" ht="10.5" customHeight="1">
      <c r="A55" s="69"/>
      <c r="B55" s="156" t="s">
        <v>400</v>
      </c>
      <c r="C55" s="157"/>
      <c r="D55" s="576"/>
      <c r="E55" s="578"/>
      <c r="F55" s="580"/>
      <c r="G55" s="582">
        <v>765000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/>
      <c r="J56" s="161"/>
      <c r="K56" s="69" t="s">
        <v>96</v>
      </c>
    </row>
    <row r="57" spans="1:11" ht="10.5" customHeight="1">
      <c r="A57" s="69"/>
      <c r="B57" s="156"/>
      <c r="C57" s="157"/>
      <c r="D57" s="576"/>
      <c r="E57" s="578"/>
      <c r="F57" s="580"/>
      <c r="G57" s="582"/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/>
      <c r="J58" s="162"/>
      <c r="K58" s="69" t="s">
        <v>96</v>
      </c>
    </row>
    <row r="59" spans="1:11" ht="10.5" customHeight="1">
      <c r="A59" s="69"/>
      <c r="B59" s="156"/>
      <c r="C59" s="157"/>
      <c r="D59" s="576"/>
      <c r="E59" s="578"/>
      <c r="F59" s="580"/>
      <c r="G59" s="582"/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/>
      <c r="C61" s="157"/>
      <c r="D61" s="576"/>
      <c r="E61" s="584"/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371</v>
      </c>
      <c r="C3" s="146" t="s">
        <v>372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373</v>
      </c>
      <c r="K4" s="69"/>
    </row>
    <row r="5" spans="1:11" ht="18" customHeight="1">
      <c r="A5" s="69"/>
      <c r="B5" s="574" t="s">
        <v>374</v>
      </c>
      <c r="C5" s="575"/>
      <c r="D5" s="153" t="s">
        <v>85</v>
      </c>
      <c r="E5" s="153" t="s">
        <v>375</v>
      </c>
      <c r="F5" s="153" t="s">
        <v>376</v>
      </c>
      <c r="G5" s="153" t="s">
        <v>377</v>
      </c>
      <c r="H5" s="154" t="s">
        <v>378</v>
      </c>
      <c r="I5" s="153" t="s">
        <v>379</v>
      </c>
      <c r="J5" s="155" t="s">
        <v>380</v>
      </c>
      <c r="K5" s="69"/>
    </row>
    <row r="6" spans="1:11" ht="10.5" customHeight="1">
      <c r="A6" s="69"/>
      <c r="B6" s="156" t="s">
        <v>420</v>
      </c>
      <c r="C6" s="157"/>
      <c r="D6" s="576" t="s">
        <v>421</v>
      </c>
      <c r="E6" s="578">
        <v>4</v>
      </c>
      <c r="F6" s="580">
        <v>16000</v>
      </c>
      <c r="G6" s="582">
        <v>64000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422</v>
      </c>
      <c r="J7" s="161"/>
      <c r="K7" s="69" t="s">
        <v>96</v>
      </c>
    </row>
    <row r="8" spans="1:11" ht="10.5" customHeight="1">
      <c r="A8" s="69"/>
      <c r="B8" s="156" t="s">
        <v>423</v>
      </c>
      <c r="C8" s="157"/>
      <c r="D8" s="576" t="s">
        <v>421</v>
      </c>
      <c r="E8" s="578">
        <v>8</v>
      </c>
      <c r="F8" s="580">
        <v>20000</v>
      </c>
      <c r="G8" s="582">
        <v>160000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422</v>
      </c>
      <c r="J9" s="162"/>
      <c r="K9" s="69" t="s">
        <v>96</v>
      </c>
    </row>
    <row r="10" spans="1:11" ht="10.5" customHeight="1">
      <c r="A10" s="69"/>
      <c r="B10" s="156" t="s">
        <v>424</v>
      </c>
      <c r="C10" s="157"/>
      <c r="D10" s="576" t="s">
        <v>389</v>
      </c>
      <c r="E10" s="578">
        <v>6</v>
      </c>
      <c r="F10" s="580">
        <v>12000</v>
      </c>
      <c r="G10" s="582">
        <v>72000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422</v>
      </c>
      <c r="J11" s="161"/>
      <c r="K11" s="69" t="s">
        <v>96</v>
      </c>
    </row>
    <row r="12" spans="1:11" ht="10.5" customHeight="1">
      <c r="A12" s="69"/>
      <c r="B12" s="156" t="s">
        <v>425</v>
      </c>
      <c r="C12" s="157"/>
      <c r="D12" s="576" t="s">
        <v>389</v>
      </c>
      <c r="E12" s="584">
        <v>12</v>
      </c>
      <c r="F12" s="580">
        <v>7000</v>
      </c>
      <c r="G12" s="582">
        <v>84000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422</v>
      </c>
      <c r="J13" s="161"/>
      <c r="K13" s="69" t="s">
        <v>96</v>
      </c>
    </row>
    <row r="14" spans="1:11" ht="10.5" customHeight="1">
      <c r="A14" s="69"/>
      <c r="B14" s="156" t="s">
        <v>425</v>
      </c>
      <c r="C14" s="157"/>
      <c r="D14" s="576" t="s">
        <v>389</v>
      </c>
      <c r="E14" s="584">
        <v>1</v>
      </c>
      <c r="F14" s="580">
        <v>7000</v>
      </c>
      <c r="G14" s="582">
        <v>7000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422</v>
      </c>
      <c r="J15" s="161"/>
      <c r="K15" s="69" t="s">
        <v>96</v>
      </c>
    </row>
    <row r="16" spans="1:11" ht="10.5" customHeight="1">
      <c r="A16" s="69"/>
      <c r="B16" s="156" t="s">
        <v>426</v>
      </c>
      <c r="C16" s="157"/>
      <c r="D16" s="576" t="s">
        <v>389</v>
      </c>
      <c r="E16" s="584">
        <v>6</v>
      </c>
      <c r="F16" s="580">
        <v>10000</v>
      </c>
      <c r="G16" s="582">
        <v>60000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422</v>
      </c>
      <c r="J17" s="161"/>
      <c r="K17" s="69" t="s">
        <v>96</v>
      </c>
    </row>
    <row r="18" spans="1:11" ht="10.5" customHeight="1">
      <c r="A18" s="69"/>
      <c r="B18" s="156" t="s">
        <v>427</v>
      </c>
      <c r="C18" s="157"/>
      <c r="D18" s="576" t="s">
        <v>389</v>
      </c>
      <c r="E18" s="584">
        <v>17</v>
      </c>
      <c r="F18" s="580">
        <v>45000</v>
      </c>
      <c r="G18" s="582">
        <v>765000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422</v>
      </c>
      <c r="J19" s="161"/>
      <c r="K19" s="69" t="s">
        <v>96</v>
      </c>
    </row>
    <row r="20" spans="1:11" ht="10.5" customHeight="1">
      <c r="A20" s="69"/>
      <c r="B20" s="156" t="s">
        <v>427</v>
      </c>
      <c r="C20" s="157"/>
      <c r="D20" s="576" t="s">
        <v>389</v>
      </c>
      <c r="E20" s="584">
        <v>2</v>
      </c>
      <c r="F20" s="580">
        <v>45000</v>
      </c>
      <c r="G20" s="582">
        <v>90000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422</v>
      </c>
      <c r="J21" s="161"/>
      <c r="K21" s="69" t="s">
        <v>96</v>
      </c>
    </row>
    <row r="22" spans="1:11" ht="10.5" customHeight="1">
      <c r="A22" s="69"/>
      <c r="B22" s="156" t="s">
        <v>427</v>
      </c>
      <c r="C22" s="157"/>
      <c r="D22" s="576" t="s">
        <v>389</v>
      </c>
      <c r="E22" s="584">
        <v>1</v>
      </c>
      <c r="F22" s="580">
        <v>10000</v>
      </c>
      <c r="G22" s="582">
        <v>10000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422</v>
      </c>
      <c r="J23" s="161"/>
      <c r="K23" s="69" t="s">
        <v>96</v>
      </c>
    </row>
    <row r="24" spans="1:11" ht="10.5" customHeight="1">
      <c r="A24" s="69"/>
      <c r="B24" s="156" t="s">
        <v>428</v>
      </c>
      <c r="C24" s="157"/>
      <c r="D24" s="576" t="s">
        <v>394</v>
      </c>
      <c r="E24" s="578">
        <v>6</v>
      </c>
      <c r="F24" s="580">
        <v>1000</v>
      </c>
      <c r="G24" s="582">
        <v>6000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422</v>
      </c>
      <c r="J25" s="161"/>
      <c r="K25" s="69" t="s">
        <v>96</v>
      </c>
    </row>
    <row r="26" spans="1:11" ht="10.5" customHeight="1">
      <c r="A26" s="69"/>
      <c r="B26" s="156" t="s">
        <v>429</v>
      </c>
      <c r="C26" s="157"/>
      <c r="D26" s="576" t="s">
        <v>394</v>
      </c>
      <c r="E26" s="584">
        <v>68</v>
      </c>
      <c r="F26" s="580">
        <v>1000</v>
      </c>
      <c r="G26" s="582">
        <v>68000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422</v>
      </c>
      <c r="J27" s="161"/>
      <c r="K27" s="69" t="s">
        <v>96</v>
      </c>
    </row>
    <row r="28" spans="1:11" ht="10.5" customHeight="1">
      <c r="A28" s="69"/>
      <c r="B28" s="156" t="s">
        <v>430</v>
      </c>
      <c r="C28" s="157"/>
      <c r="D28" s="576" t="s">
        <v>389</v>
      </c>
      <c r="E28" s="584">
        <v>6</v>
      </c>
      <c r="F28" s="580">
        <v>6000</v>
      </c>
      <c r="G28" s="582">
        <v>36000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422</v>
      </c>
      <c r="J29" s="161"/>
      <c r="K29" s="69" t="s">
        <v>96</v>
      </c>
    </row>
    <row r="30" spans="1:11" ht="10.5" customHeight="1">
      <c r="A30" s="69"/>
      <c r="B30" s="156" t="s">
        <v>430</v>
      </c>
      <c r="C30" s="157"/>
      <c r="D30" s="576" t="s">
        <v>389</v>
      </c>
      <c r="E30" s="584">
        <v>1</v>
      </c>
      <c r="F30" s="580">
        <v>6000</v>
      </c>
      <c r="G30" s="582">
        <v>6000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422</v>
      </c>
      <c r="J31" s="161"/>
      <c r="K31" s="69" t="s">
        <v>96</v>
      </c>
    </row>
    <row r="32" spans="1:11" ht="10.5" customHeight="1">
      <c r="A32" s="69"/>
      <c r="B32" s="156" t="s">
        <v>422</v>
      </c>
      <c r="C32" s="157"/>
      <c r="D32" s="576" t="s">
        <v>396</v>
      </c>
      <c r="E32" s="584">
        <v>1</v>
      </c>
      <c r="F32" s="580">
        <v>10000</v>
      </c>
      <c r="G32" s="582">
        <v>10000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422</v>
      </c>
      <c r="J33" s="161"/>
      <c r="K33" s="69" t="s">
        <v>96</v>
      </c>
    </row>
    <row r="34" spans="1:11" ht="10.5" customHeight="1">
      <c r="A34" s="69"/>
      <c r="B34" s="156" t="s">
        <v>431</v>
      </c>
      <c r="C34" s="157"/>
      <c r="D34" s="576" t="s">
        <v>389</v>
      </c>
      <c r="E34" s="584">
        <v>34</v>
      </c>
      <c r="F34" s="580">
        <v>3500</v>
      </c>
      <c r="G34" s="582">
        <v>119000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422</v>
      </c>
      <c r="J35" s="161"/>
      <c r="K35" s="69" t="s">
        <v>96</v>
      </c>
    </row>
    <row r="36" spans="1:11" ht="10.5" customHeight="1">
      <c r="A36" s="69"/>
      <c r="B36" s="156" t="s">
        <v>431</v>
      </c>
      <c r="C36" s="157"/>
      <c r="D36" s="576" t="s">
        <v>389</v>
      </c>
      <c r="E36" s="584">
        <v>4</v>
      </c>
      <c r="F36" s="580">
        <v>3500</v>
      </c>
      <c r="G36" s="582">
        <v>14000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422</v>
      </c>
      <c r="J37" s="161"/>
      <c r="K37" s="69" t="s">
        <v>96</v>
      </c>
    </row>
    <row r="38" spans="1:11" ht="10.5" customHeight="1">
      <c r="A38" s="69"/>
      <c r="B38" s="156" t="s">
        <v>432</v>
      </c>
      <c r="C38" s="157"/>
      <c r="D38" s="576" t="s">
        <v>394</v>
      </c>
      <c r="E38" s="584">
        <v>20</v>
      </c>
      <c r="F38" s="580">
        <v>2000</v>
      </c>
      <c r="G38" s="582">
        <v>40000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422</v>
      </c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 t="s">
        <v>400</v>
      </c>
      <c r="C42" s="157"/>
      <c r="D42" s="576"/>
      <c r="E42" s="584"/>
      <c r="F42" s="580"/>
      <c r="G42" s="582">
        <v>1611000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2026-02-03T05:43:35Z</dcterms:modified>
  <cp:category/>
  <cp:contentStatus/>
</cp:coreProperties>
</file>