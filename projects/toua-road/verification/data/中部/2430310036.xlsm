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2C6558E4-D8D6-42DF-AD73-3A003B89B806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'工事費一覧表(共通仮設費)'!$A$1:$AF$35</definedName>
    <definedName name="_xlnm.Print_Area" localSheetId="11">'工事費一覧表(現場経費)'!$A$1:$AF$8</definedName>
    <definedName name="_xlnm.Print_Area" localSheetId="6">'工事費一覧表(直接工事費)'!$A$1:$AF$201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29" i="32"/>
  <c r="L29" i="32"/>
  <c r="K30" i="32"/>
  <c r="L30" i="32"/>
  <c r="K31" i="32"/>
  <c r="L31" i="32"/>
  <c r="K32" i="32"/>
  <c r="L32" i="32"/>
  <c r="K33" i="32"/>
  <c r="L33" i="32"/>
  <c r="K34" i="32"/>
  <c r="L34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1" i="25" s="1"/>
  <c r="D19" i="25"/>
  <c r="O26" i="25" l="1"/>
  <c r="O21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<sst xmlns="http://schemas.openxmlformats.org/spreadsheetml/2006/main" count="2709" uniqueCount="642">
  <si>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</si>
  <si>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</si>
  <si>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</si>
  <si>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</si>
  <si>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</si>
  <si>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</si>
  <si>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</si>
  <si>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</si>
  <si>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</si>
  <si>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</si>
  <si>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</si>
  <si>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</si>
  <si>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</si>
  <si>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</si>
  <si>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</si>
  <si>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</si>
  <si>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</si>
  <si>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</si>
  <si>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</si>
  <si>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</si>
  <si>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</si>
  <si>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</si>
  <si>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</si>
  <si>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</si>
  <si>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</si>
  <si>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</si>
  <si>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</si>
  <si>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</si>
  <si>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</si>
  <si>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</si>
  <si>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</si>
  <si>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</si>
  <si>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</si>
  <si>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</si>
  <si>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</si>
  <si>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</si>
  <si>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</si>
  <si>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</si>
  <si>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</si>
  <si>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</si>
  <si>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</si>
  <si>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</si>
  <si>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</si>
  <si>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</si>
  <si>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</si>
  <si>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</si>
  <si>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</si>
  <si>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</si>
  <si>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</si>
  <si>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</si>
  <si>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</si>
  <si>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</si>
  <si>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</si>
  <si>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</si>
  <si>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</si>
  <si>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</si>
  <si>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</si>
  <si>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</si>
  <si>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</si>
  <si>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</si>
  <si>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</si>
  <si>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</si>
  <si>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</si>
  <si>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</si>
  <si>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</si>
  <si>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</si>
  <si>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</si>
  <si>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</si>
  <si>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</si>
  <si>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</si>
  <si>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</si>
  <si>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</si>
  <si>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</si>
  <si>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</si>
  <si>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</si>
  <si>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</si>
  <si>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</si>
  <si>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</si>
  <si>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</si>
  <si>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</si>
  <si>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</si>
  <si>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</si>
  <si>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</si>
  <si>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</si>
  <si>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</si>
  <si>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</si>
  <si>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</si>
  <si>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</si>
  <si>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</si>
  <si>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</si>
  <si>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</si>
  <si>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</si>
  <si>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</si>
  <si>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</si>
  <si>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</si>
  <si>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</si>
  <si>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</si>
  <si>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</si>
  <si>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</si>
  <si>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</si>
  <si>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</si>
  <si>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</si>
  <si>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</si>
  <si>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</si>
  <si>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</si>
  <si>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</si>
  <si>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</si>
  <si>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</si>
  <si>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</si>
  <si>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</si>
  <si>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</si>
  <si>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</si>
  <si>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</si>
  <si>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</si>
  <si>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</si>
  <si>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</si>
  <si>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</si>
  <si>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</si>
  <si>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</si>
  <si>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</si>
  <si>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</si>
  <si>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</si>
  <si>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</si>
  <si>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</si>
  <si>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</si>
  <si>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</si>
  <si>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</si>
  <si>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</si>
  <si>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</si>
  <si>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</si>
  <si>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</si>
  <si>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</si>
  <si>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</si>
  <si>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</si>
  <si>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</si>
  <si>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</si>
  <si>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</si>
  <si>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</si>
  <si>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</si>
  <si>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</si>
  <si>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</si>
  <si>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</si>
  <si>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</si>
  <si>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</si>
  <si>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</si>
  <si>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2430310036 E</t>
  </si>
  <si>
    <t>（当　初）</t>
  </si>
  <si>
    <t>日高　敬吾</t>
  </si>
  <si>
    <t>藤森工業㈱三重工場Wattway設置工事</t>
  </si>
  <si>
    <t>藤森工業㈱</t>
  </si>
  <si>
    <t>中京支店</t>
  </si>
  <si>
    <t>三重県名張市滝之原</t>
  </si>
  <si>
    <t>2024年4月15日</t>
  </si>
  <si>
    <t>2024年10月31日</t>
  </si>
  <si>
    <t>2024年7月1日</t>
  </si>
  <si>
    <t>舗装工</t>
  </si>
  <si>
    <t>HH・埋設配管設置工</t>
  </si>
  <si>
    <t>パネル設置</t>
  </si>
  <si>
    <t>配線工</t>
  </si>
  <si>
    <t>電気設備工</t>
  </si>
  <si>
    <t>重機運搬費</t>
  </si>
  <si>
    <t>準備費</t>
  </si>
  <si>
    <t>仮設費</t>
  </si>
  <si>
    <t>安全費</t>
  </si>
  <si>
    <t>社員給料</t>
  </si>
  <si>
    <t>太陽光パネル設置　201枚_x000D_
ハンドホール　6基_x000D_
切削オーバーレイ　300m2</t>
  </si>
  <si>
    <t>式</t>
  </si>
  <si>
    <t>枚</t>
  </si>
  <si>
    <t>(準備測量・仮設設置撤去・他)</t>
  </si>
  <si>
    <t>(倉庫・トイレ(環境改善含む)等)</t>
  </si>
  <si>
    <t>(工事看板や安全施設等)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</si>
  <si>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</si>
  <si>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</si>
  <si>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</si>
  <si>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</si>
  <si>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</si>
  <si>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</si>
  <si>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</si>
  <si>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</si>
  <si>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Wattway</t>
  </si>
  <si>
    <t>中部支社</t>
  </si>
  <si>
    <t>三重</t>
  </si>
  <si>
    <t>同上</t>
  </si>
  <si>
    <t>単独</t>
  </si>
  <si>
    <t>E</t>
  </si>
  <si>
    <t>2024年4月26日</t>
  </si>
  <si>
    <t>2024年4月15日 ～ 2024年10月31日</t>
  </si>
  <si>
    <t>2024年7月1日 ～ 2024年10月31日</t>
  </si>
  <si>
    <t>太陽光パネル設置　201枚_x000D_
ハンドホール　6基_x000D_
切削オーバーレイ　300m2</t>
    <phoneticPr fontId="4"/>
  </si>
  <si>
    <t>直接工事費</t>
  </si>
  <si>
    <t xml:space="preserve">  舗装工</t>
  </si>
  <si>
    <t xml:space="preserve">  </t>
  </si>
  <si>
    <t>15号</t>
  </si>
  <si>
    <t>内訳書</t>
  </si>
  <si>
    <t xml:space="preserve">  HH・埋設配管設置工</t>
  </si>
  <si>
    <t>19号</t>
  </si>
  <si>
    <t xml:space="preserve">  パネル設置</t>
  </si>
  <si>
    <t>23号</t>
  </si>
  <si>
    <t xml:space="preserve">  配線工</t>
  </si>
  <si>
    <t>25号</t>
  </si>
  <si>
    <t xml:space="preserve">  電気設備工</t>
  </si>
  <si>
    <t>30号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</si>
  <si>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</si>
  <si>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</si>
  <si>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</si>
  <si>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</si>
  <si>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</si>
  <si>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</si>
  <si>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</si>
  <si>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</si>
  <si>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藤森工業㈱三重工場Wattway設置工事</t>
    <phoneticPr fontId="4"/>
  </si>
  <si>
    <t>総括</t>
  </si>
  <si>
    <t>集計行</t>
  </si>
  <si>
    <t>｜直接工事費</t>
  </si>
  <si>
    <t>内訳代価</t>
  </si>
  <si>
    <t>｜｜舗装工</t>
  </si>
  <si>
    <t>15号内訳書</t>
  </si>
  <si>
    <t>｜｜｜切削オーバーレイ</t>
  </si>
  <si>
    <t>m2</t>
  </si>
  <si>
    <t>17号内訳書</t>
  </si>
  <si>
    <t>代価表</t>
  </si>
  <si>
    <t>｜｜｜｜切削オーバーレイ</t>
  </si>
  <si>
    <t>舗装手間</t>
  </si>
  <si>
    <t>3号代価表</t>
  </si>
  <si>
    <t>｜｜｜｜｜燃料費</t>
  </si>
  <si>
    <t>リットル</t>
  </si>
  <si>
    <t>｜｜｜｜｜労務費</t>
  </si>
  <si>
    <t>人</t>
  </si>
  <si>
    <t>｜｜｜｜｜法定福利費</t>
  </si>
  <si>
    <t>｜｜｜｜｜AF</t>
  </si>
  <si>
    <t>台</t>
  </si>
  <si>
    <t>｜｜｜｜｜センサー</t>
  </si>
  <si>
    <t>｜｜｜｜｜CRV</t>
  </si>
  <si>
    <t>｜｜｜｜｜TR</t>
  </si>
  <si>
    <t>｜｜｜｜｜MBH</t>
  </si>
  <si>
    <t>｜｜｜｜｜小物機械</t>
  </si>
  <si>
    <t>｜｜｜｜｜３ｔDp</t>
  </si>
  <si>
    <t>｜｜｜｜｜4tDp</t>
  </si>
  <si>
    <t>｜｜｜｜｜Wp</t>
  </si>
  <si>
    <t>｜｜｜｜｜外注経費</t>
  </si>
  <si>
    <t>｜｜｜｜｜諸雑費</t>
  </si>
  <si>
    <t>調整金</t>
  </si>
  <si>
    <t>切削手間</t>
  </si>
  <si>
    <t>4号代価表</t>
  </si>
  <si>
    <t>｜｜｜｜｜切削機</t>
  </si>
  <si>
    <t>｜｜｜｜｜ビット損料</t>
  </si>
  <si>
    <t>｜｜｜｜｜散水車</t>
  </si>
  <si>
    <t>｜｜｜｜｜ロードスイーパー</t>
  </si>
  <si>
    <t>｜｜｜｜改質Ⅱ型密粒度アスコン(13)</t>
  </si>
  <si>
    <t>ｔ</t>
  </si>
  <si>
    <t xml:space="preserve">300*0.05*2.35*1.05 </t>
  </si>
  <si>
    <t>｜｜｜｜改質Ⅱ型粗粒度アスコン</t>
  </si>
  <si>
    <t xml:space="preserve">90*0.05*2.35*1.05 </t>
  </si>
  <si>
    <t>｜｜｜｜タックファイン</t>
  </si>
  <si>
    <t>｜｜｜｜クラックシート</t>
  </si>
  <si>
    <t>W=1000</t>
  </si>
  <si>
    <t>本</t>
  </si>
  <si>
    <t xml:space="preserve">15m/本 </t>
  </si>
  <si>
    <t>｜｜｜｜ディストリビューター</t>
  </si>
  <si>
    <t>｜｜｜｜クラックシート用</t>
  </si>
  <si>
    <t>ピン打ち機</t>
  </si>
  <si>
    <t>｜｜｜｜１０ｔダンプ</t>
  </si>
  <si>
    <t>｜｜｜｜Asガラ処理</t>
  </si>
  <si>
    <t>｜｜｜｜雑費</t>
  </si>
  <si>
    <t>｜｜｜研磨工</t>
  </si>
  <si>
    <t>34号内訳書</t>
  </si>
  <si>
    <t>｜｜｜｜研磨機</t>
  </si>
  <si>
    <t>｜｜｜｜諸雑費</t>
  </si>
  <si>
    <t>　替え刃他</t>
  </si>
  <si>
    <t>｜｜｜｜同上回送費</t>
  </si>
  <si>
    <t>｜｜｜｜労務</t>
  </si>
  <si>
    <t>｜｜｜｜法定福利費</t>
  </si>
  <si>
    <t>｜｜｜｜小物機械</t>
  </si>
  <si>
    <t>　ハイウォッシャー他</t>
  </si>
  <si>
    <t>｜｜｜｜３ｔDp</t>
  </si>
  <si>
    <t>｜｜｜｜Wp</t>
  </si>
  <si>
    <t>　燃料他</t>
  </si>
  <si>
    <t>｜｜｜｜外注経費</t>
  </si>
  <si>
    <t>｜｜｜区画線復旧工</t>
  </si>
  <si>
    <t>18号内訳書</t>
  </si>
  <si>
    <t>｜｜｜｜区画線復旧工</t>
  </si>
  <si>
    <t>｜｜HH・埋設配管設置工</t>
  </si>
  <si>
    <t>19号内訳書</t>
  </si>
  <si>
    <t>｜｜｜舗装版切断工</t>
  </si>
  <si>
    <t>As版　t=100</t>
  </si>
  <si>
    <t>ｍ</t>
  </si>
  <si>
    <t>20号内訳書</t>
  </si>
  <si>
    <t>｜｜｜｜舗装版切断工</t>
  </si>
  <si>
    <t>t=100</t>
  </si>
  <si>
    <t>｜｜｜｜汚水改修作業費</t>
  </si>
  <si>
    <t>｜｜｜｜汚水運搬処理費</t>
  </si>
  <si>
    <t>｜｜｜ハンドホール設置</t>
  </si>
  <si>
    <t>□720＊H860　鉄蓋　T-25</t>
  </si>
  <si>
    <t>基</t>
  </si>
  <si>
    <t>21号内訳書</t>
  </si>
  <si>
    <t>｜｜｜｜電気ハンドホール</t>
  </si>
  <si>
    <t>5号代価表</t>
  </si>
  <si>
    <t>｜｜｜｜｜電気ハンドホール</t>
  </si>
  <si>
    <t>□720＊H860 鉄蓋　T-25</t>
  </si>
  <si>
    <t>｜｜｜｜｜取り付け口部材</t>
  </si>
  <si>
    <t>｜｜｜｜｜同上運賃</t>
  </si>
  <si>
    <t>｜｜｜｜｜砂</t>
  </si>
  <si>
    <t>m3</t>
  </si>
  <si>
    <t>｜｜｜｜｜RC-40</t>
  </si>
  <si>
    <t>｜｜｜｜｜モルタル</t>
  </si>
  <si>
    <t>｜｜｜｜｜労務</t>
  </si>
  <si>
    <t>｜｜｜｜｜ランマー</t>
  </si>
  <si>
    <t>電気工具含む</t>
  </si>
  <si>
    <t>｜｜｜｜｜発電機</t>
  </si>
  <si>
    <t>｜｜｜｜｜残土処分</t>
  </si>
  <si>
    <t>｜｜｜｜｜雑費</t>
  </si>
  <si>
    <t>｜｜｜｜復旧用合材</t>
  </si>
  <si>
    <t>改質Ⅱ型</t>
  </si>
  <si>
    <t>｜｜｜｜Asガラ処分</t>
  </si>
  <si>
    <t>｜｜｜埋設配管工</t>
  </si>
  <si>
    <t>FEP80＊6条</t>
  </si>
  <si>
    <t>22号内訳書</t>
  </si>
  <si>
    <t>｜｜｜｜FEP80</t>
  </si>
  <si>
    <t>6条</t>
  </si>
  <si>
    <t>｜｜｜｜燃料費</t>
  </si>
  <si>
    <t>｜｜パネル設置</t>
  </si>
  <si>
    <t>23号内訳書</t>
  </si>
  <si>
    <t>｜｜｜パネル設置</t>
  </si>
  <si>
    <t>24号内訳書</t>
  </si>
  <si>
    <t>｜｜｜｜設置手間</t>
  </si>
  <si>
    <t>リーヴァ</t>
  </si>
  <si>
    <t>1号代価表</t>
  </si>
  <si>
    <t>｜｜｜｜｜準備・片付け</t>
  </si>
  <si>
    <t>｜｜｜｜｜パネル貼付け</t>
  </si>
  <si>
    <t>5人＊11日</t>
  </si>
  <si>
    <t>｜｜｜｜｜移動(前日・翌日)</t>
  </si>
  <si>
    <t>｜｜｜｜｜消耗品費</t>
  </si>
  <si>
    <t>｜｜｜｜｜車両代</t>
  </si>
  <si>
    <t>2tトラック</t>
  </si>
  <si>
    <t>｜｜｜｜｜出張経費</t>
  </si>
  <si>
    <t>　交通費(高速代他）</t>
  </si>
  <si>
    <t>宿泊費</t>
  </si>
  <si>
    <t>｜｜｜｜｜諸経費</t>
  </si>
  <si>
    <t>｜｜｜｜樹脂系接着剤</t>
  </si>
  <si>
    <t>MMA樹脂</t>
  </si>
  <si>
    <t>缶</t>
  </si>
  <si>
    <t>｜｜｜｜同上送料</t>
  </si>
  <si>
    <t>｜｜｜｜硅砂</t>
  </si>
  <si>
    <t>東北硅砂8号 25Kg/袋</t>
  </si>
  <si>
    <t>袋</t>
  </si>
  <si>
    <t>｜｜｜｜パッチグー</t>
  </si>
  <si>
    <t>個</t>
  </si>
  <si>
    <t xml:space="preserve">送料込み </t>
  </si>
  <si>
    <t>｜｜｜｜コーキング材</t>
  </si>
  <si>
    <t>セメダイン</t>
  </si>
  <si>
    <t>｜｜｜｜コーキング材用プライマー</t>
  </si>
  <si>
    <t>｜｜｜｜養生材</t>
  </si>
  <si>
    <t>パネル及び周辺</t>
  </si>
  <si>
    <t>燃料他</t>
  </si>
  <si>
    <t>日</t>
  </si>
  <si>
    <t>｜｜｜｜補助労務</t>
  </si>
  <si>
    <t>　15日＊5人</t>
  </si>
  <si>
    <t>｜｜｜｜雑機械</t>
  </si>
  <si>
    <t>発電機、電動工具</t>
  </si>
  <si>
    <t>｜｜｜｜ごみ処分代</t>
  </si>
  <si>
    <t>｜｜｜｜雑材</t>
  </si>
  <si>
    <t>｜｜配線工</t>
  </si>
  <si>
    <t>25号内訳書</t>
  </si>
  <si>
    <t>｜｜｜トレンチ部切断工</t>
  </si>
  <si>
    <t>26号内訳書</t>
  </si>
  <si>
    <t>コンクリートカッター刃他</t>
  </si>
  <si>
    <t>5人/日</t>
  </si>
  <si>
    <t>サンダー、ブレーカー、発電機</t>
  </si>
  <si>
    <t>｜｜｜｜燃料他</t>
  </si>
  <si>
    <t>｜｜｜ケーブル配線工</t>
  </si>
  <si>
    <t>28号内訳書</t>
  </si>
  <si>
    <t>｜｜｜｜ケーブル配線工</t>
  </si>
  <si>
    <t>10号代価表</t>
  </si>
  <si>
    <t>｜｜｜｜｜圧着・溶着資材</t>
  </si>
  <si>
    <t>｜｜｜｜｜CV8sq-1c</t>
  </si>
  <si>
    <t>｜｜｜｜｜CV14sq-1C</t>
  </si>
  <si>
    <t>｜｜｜｜｜配線敷設工</t>
  </si>
  <si>
    <t>｜｜｜｜｜圧着･溶着施工費</t>
  </si>
  <si>
    <t>｜｜｜舗装復旧・埋設</t>
  </si>
  <si>
    <t>29号内訳書</t>
  </si>
  <si>
    <t>｜｜｜｜6号砕石</t>
  </si>
  <si>
    <t>２０Kg/袋</t>
  </si>
  <si>
    <t>｜｜｜｜砂</t>
  </si>
  <si>
    <t>｜｜電気設備工</t>
  </si>
  <si>
    <t>30号内訳書</t>
  </si>
  <si>
    <t>｜｜｜コンクリート基礎工</t>
  </si>
  <si>
    <t>3200＊1100*400</t>
  </si>
  <si>
    <t>個所</t>
  </si>
  <si>
    <t>35号内訳書</t>
  </si>
  <si>
    <t>｜｜｜｜コンクリート基礎工</t>
  </si>
  <si>
    <t>6号代価表</t>
  </si>
  <si>
    <t>｜｜｜｜｜生コン</t>
  </si>
  <si>
    <t>24-10-25</t>
  </si>
  <si>
    <t>｜｜｜｜｜型枠工</t>
  </si>
  <si>
    <t>｜｜｜｜｜ワイヤーメッシュ</t>
  </si>
  <si>
    <t>D10</t>
  </si>
  <si>
    <t>｜｜｜｜｜左官工</t>
  </si>
  <si>
    <t>高周波含む</t>
  </si>
  <si>
    <t>31号内訳書</t>
  </si>
  <si>
    <t>｜｜｜｜埋設配管工</t>
  </si>
  <si>
    <t>7号代価表</t>
  </si>
  <si>
    <t>｜｜｜｜｜FEP65</t>
  </si>
  <si>
    <t>｜｜｜｜｜ボイド管</t>
  </si>
  <si>
    <t>Φ100</t>
  </si>
  <si>
    <t>｜｜｜｜｜アンカーピン他</t>
  </si>
  <si>
    <t>｜｜｜｜｜雑機械</t>
  </si>
  <si>
    <t>｜｜｜キャビネット設置</t>
  </si>
  <si>
    <t>箇所</t>
  </si>
  <si>
    <t>32号内訳書</t>
  </si>
  <si>
    <t>｜｜｜｜キャビネット設置</t>
  </si>
  <si>
    <t>8号代価表</t>
  </si>
  <si>
    <t>｜｜｜｜｜4tユニック車</t>
  </si>
  <si>
    <t>｜｜｜パネル・電気キャビネット費</t>
  </si>
  <si>
    <t>33号内訳書</t>
  </si>
  <si>
    <t>｜｜｜｜パネル・電気キャビネット費</t>
  </si>
  <si>
    <t>9号代価表</t>
  </si>
  <si>
    <t>｜｜｜｜｜太陽光パネル</t>
  </si>
  <si>
    <t>｜｜｜｜｜コンバーター</t>
  </si>
  <si>
    <t>3000W</t>
  </si>
  <si>
    <t>｜｜｜｜｜モニタリング装置</t>
  </si>
  <si>
    <t>｜｜｜｜｜システムBOX製作</t>
  </si>
  <si>
    <t>｜｜｜｜｜パワコン</t>
  </si>
  <si>
    <t>｜｜｜｜｜パワコン取り付け台</t>
  </si>
  <si>
    <t>｜｜｜｜｜現地機器調整費</t>
  </si>
  <si>
    <t>｜｜｜｜｜電気キャビネット送料</t>
  </si>
  <si>
    <t>｜｜｜｜｜日射計</t>
  </si>
  <si>
    <t>｜｜｜｜｜試運転及び準備費</t>
  </si>
  <si>
    <t>｜｜｜｜｜遠隔監視システム通信費</t>
  </si>
  <si>
    <t>｜｜｜｜｜調整費</t>
  </si>
  <si>
    <t>予算</t>
    <phoneticPr fontId="6"/>
  </si>
  <si>
    <t>｜共通仮設費</t>
  </si>
  <si>
    <t>｜｜重機運搬費</t>
  </si>
  <si>
    <t>1号内訳書</t>
  </si>
  <si>
    <t>｜｜｜重機回送費</t>
  </si>
  <si>
    <t>切削機</t>
  </si>
  <si>
    <t>回</t>
  </si>
  <si>
    <t>特車申請費</t>
  </si>
  <si>
    <t>AF,TR</t>
  </si>
  <si>
    <t>MBH,CRV</t>
  </si>
  <si>
    <t>｜｜｜諸経費</t>
  </si>
  <si>
    <t>｜｜｜法定福利費</t>
  </si>
  <si>
    <t>切削OP</t>
  </si>
  <si>
    <t>｜｜｜特別値引き</t>
  </si>
  <si>
    <t>切削</t>
  </si>
  <si>
    <t>｜｜準備費</t>
  </si>
  <si>
    <t>2号内訳書</t>
  </si>
  <si>
    <t>｜｜｜諸雑費</t>
  </si>
  <si>
    <t>　測量杭他</t>
  </si>
  <si>
    <t>｜｜｜パッチグー他</t>
  </si>
  <si>
    <t>｜｜｜補助労務</t>
  </si>
  <si>
    <t>｜｜｜小物機械</t>
  </si>
  <si>
    <t>｜｜｜３ｔDp</t>
  </si>
  <si>
    <t>｜｜｜Wp</t>
  </si>
  <si>
    <t>｜｜｜現場経費</t>
  </si>
  <si>
    <t>　宿泊費他</t>
  </si>
  <si>
    <t>｜｜｜外注経費</t>
  </si>
  <si>
    <t>｜｜仮設費</t>
  </si>
  <si>
    <t>4号内訳書</t>
  </si>
  <si>
    <t>｜｜｜熱中症対策費</t>
  </si>
  <si>
    <t>月</t>
  </si>
  <si>
    <t>｜｜｜トイレカー</t>
  </si>
  <si>
    <t>｜｜｜現場倉庫</t>
  </si>
  <si>
    <t>　3個</t>
  </si>
  <si>
    <t>｜｜｜処理費</t>
  </si>
  <si>
    <t>｜｜｜設置・回送費</t>
  </si>
  <si>
    <t>｜｜｜雑費</t>
  </si>
  <si>
    <t>｜｜｜２ｔユニック</t>
  </si>
  <si>
    <t>｜｜安全費</t>
  </si>
  <si>
    <t>5号内訳書</t>
  </si>
  <si>
    <t>｜｜｜交通整理員</t>
  </si>
  <si>
    <t>　舗装時</t>
  </si>
  <si>
    <t>｜｜｜規制材他</t>
  </si>
  <si>
    <t>7号</t>
  </si>
  <si>
    <t>｜現場経費</t>
  </si>
  <si>
    <t>｜｜社員給料</t>
  </si>
  <si>
    <t>7号内訳書</t>
  </si>
  <si>
    <t>｜｜｜社員給料</t>
  </si>
  <si>
    <t>工事名称</t>
    <phoneticPr fontId="6"/>
  </si>
  <si>
    <t>藤森工業㈱三重工場Wattway設置工事</t>
    <phoneticPr fontId="6"/>
  </si>
  <si>
    <t>2430310036 E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</si>
  <si>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</si>
  <si>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</si>
  <si>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</si>
  <si>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</si>
  <si>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</si>
  <si>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</si>
  <si>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</si>
  <si>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6号砕石</t>
    <phoneticPr fontId="6"/>
  </si>
  <si>
    <t>袋</t>
    <phoneticPr fontId="6"/>
  </si>
  <si>
    <t>２０Kg/袋</t>
    <phoneticPr fontId="6"/>
  </si>
  <si>
    <t>材料費</t>
    <phoneticPr fontId="6"/>
  </si>
  <si>
    <t>FEP80</t>
    <phoneticPr fontId="6"/>
  </si>
  <si>
    <t>ｍ</t>
    <phoneticPr fontId="6"/>
  </si>
  <si>
    <t>6条</t>
    <phoneticPr fontId="6"/>
  </si>
  <si>
    <t>クラックシート</t>
    <phoneticPr fontId="6"/>
  </si>
  <si>
    <t>本</t>
    <phoneticPr fontId="6"/>
  </si>
  <si>
    <t>W=1000</t>
    <phoneticPr fontId="6"/>
  </si>
  <si>
    <t>コーキング材</t>
    <phoneticPr fontId="6"/>
  </si>
  <si>
    <t>セメダイン</t>
    <phoneticPr fontId="6"/>
  </si>
  <si>
    <t>コーキング材用プライマー</t>
    <phoneticPr fontId="6"/>
  </si>
  <si>
    <t>缶</t>
    <phoneticPr fontId="6"/>
  </si>
  <si>
    <t>タックファイン</t>
    <phoneticPr fontId="6"/>
  </si>
  <si>
    <t>リットル</t>
    <phoneticPr fontId="6"/>
  </si>
  <si>
    <t>パッチグー</t>
    <phoneticPr fontId="6"/>
  </si>
  <si>
    <t>個</t>
    <phoneticPr fontId="6"/>
  </si>
  <si>
    <t>パッチグー他</t>
    <phoneticPr fontId="6"/>
  </si>
  <si>
    <t>式</t>
    <phoneticPr fontId="6"/>
  </si>
  <si>
    <t>改質Ⅱ型粗粒度アスコン</t>
    <phoneticPr fontId="6"/>
  </si>
  <si>
    <t>ｔ</t>
    <phoneticPr fontId="6"/>
  </si>
  <si>
    <t>改質Ⅱ型密粒度アスコン(13)</t>
    <phoneticPr fontId="6"/>
  </si>
  <si>
    <t>規制材他</t>
    <phoneticPr fontId="6"/>
  </si>
  <si>
    <t>月</t>
    <phoneticPr fontId="6"/>
  </si>
  <si>
    <t>砂</t>
    <phoneticPr fontId="6"/>
  </si>
  <si>
    <t>雑材</t>
    <phoneticPr fontId="6"/>
  </si>
  <si>
    <t>雑費</t>
    <phoneticPr fontId="6"/>
  </si>
  <si>
    <t>日</t>
    <phoneticPr fontId="6"/>
  </si>
  <si>
    <t>　燃料他</t>
    <phoneticPr fontId="6"/>
  </si>
  <si>
    <t>コンクリートカッター刃他</t>
    <phoneticPr fontId="6"/>
  </si>
  <si>
    <t>燃料他</t>
    <phoneticPr fontId="6"/>
  </si>
  <si>
    <t>樹脂系接着剤</t>
    <phoneticPr fontId="6"/>
  </si>
  <si>
    <t>MMA樹脂</t>
    <phoneticPr fontId="6"/>
  </si>
  <si>
    <t>材料調書</t>
    <phoneticPr fontId="6"/>
  </si>
  <si>
    <t>諸雑費</t>
    <phoneticPr fontId="6"/>
  </si>
  <si>
    <t>　測量杭他</t>
    <phoneticPr fontId="6"/>
  </si>
  <si>
    <t>　替え刃他</t>
    <phoneticPr fontId="6"/>
  </si>
  <si>
    <t>同上送料</t>
    <phoneticPr fontId="6"/>
  </si>
  <si>
    <t>燃料費</t>
    <phoneticPr fontId="6"/>
  </si>
  <si>
    <t>復旧用合材</t>
    <phoneticPr fontId="6"/>
  </si>
  <si>
    <t>改質Ⅱ型</t>
    <phoneticPr fontId="6"/>
  </si>
  <si>
    <t>養生材</t>
    <phoneticPr fontId="6"/>
  </si>
  <si>
    <t>パネル及び周辺</t>
    <phoneticPr fontId="6"/>
  </si>
  <si>
    <t>硅砂</t>
    <phoneticPr fontId="6"/>
  </si>
  <si>
    <t>東北硅砂8号 25Kg/袋</t>
    <phoneticPr fontId="6"/>
  </si>
  <si>
    <t>計</t>
    <phoneticPr fontId="6"/>
  </si>
  <si>
    <t>補助労務</t>
    <phoneticPr fontId="6"/>
  </si>
  <si>
    <t>人</t>
    <phoneticPr fontId="6"/>
  </si>
  <si>
    <t>労務費</t>
    <phoneticPr fontId="6"/>
  </si>
  <si>
    <t>　15日＊5人</t>
    <phoneticPr fontId="6"/>
  </si>
  <si>
    <t>労務</t>
    <phoneticPr fontId="6"/>
  </si>
  <si>
    <t>5人/日</t>
    <phoneticPr fontId="6"/>
  </si>
  <si>
    <t>３ｔDp</t>
    <phoneticPr fontId="6"/>
  </si>
  <si>
    <t>台</t>
    <phoneticPr fontId="6"/>
  </si>
  <si>
    <t>外注費</t>
    <phoneticPr fontId="6"/>
  </si>
  <si>
    <t>4tDp</t>
    <phoneticPr fontId="6"/>
  </si>
  <si>
    <t>AF</t>
    <phoneticPr fontId="6"/>
  </si>
  <si>
    <t>CRV</t>
    <phoneticPr fontId="6"/>
  </si>
  <si>
    <t>CV14sq-1C</t>
    <phoneticPr fontId="6"/>
  </si>
  <si>
    <t>CV8sq-1c</t>
    <phoneticPr fontId="6"/>
  </si>
  <si>
    <t>FEP65</t>
    <phoneticPr fontId="6"/>
  </si>
  <si>
    <t>MBH</t>
    <phoneticPr fontId="6"/>
  </si>
  <si>
    <t>RC-40</t>
    <phoneticPr fontId="6"/>
  </si>
  <si>
    <t>m3</t>
    <phoneticPr fontId="6"/>
  </si>
  <si>
    <t>t=100</t>
    <phoneticPr fontId="6"/>
  </si>
  <si>
    <t>TR</t>
    <phoneticPr fontId="6"/>
  </si>
  <si>
    <t>Wp</t>
    <phoneticPr fontId="6"/>
  </si>
  <si>
    <t>アンカーピン他</t>
    <phoneticPr fontId="6"/>
  </si>
  <si>
    <t>外注調書</t>
    <phoneticPr fontId="6"/>
  </si>
  <si>
    <t>ごみ処分代</t>
    <phoneticPr fontId="6"/>
  </si>
  <si>
    <t>コンバーター</t>
    <phoneticPr fontId="6"/>
  </si>
  <si>
    <t>3000W</t>
    <phoneticPr fontId="6"/>
  </si>
  <si>
    <t>システムBOX製作</t>
    <phoneticPr fontId="6"/>
  </si>
  <si>
    <t>センサー</t>
    <phoneticPr fontId="6"/>
  </si>
  <si>
    <t>パネル貼付け</t>
    <phoneticPr fontId="6"/>
  </si>
  <si>
    <t>5人＊11日</t>
    <phoneticPr fontId="6"/>
  </si>
  <si>
    <t>パワコン</t>
    <phoneticPr fontId="6"/>
  </si>
  <si>
    <t>パワコン取り付け台</t>
    <phoneticPr fontId="6"/>
  </si>
  <si>
    <t>ビット損料</t>
    <phoneticPr fontId="6"/>
  </si>
  <si>
    <t>m2</t>
    <phoneticPr fontId="6"/>
  </si>
  <si>
    <t>ボイド管</t>
    <phoneticPr fontId="6"/>
  </si>
  <si>
    <t>Φ100</t>
    <phoneticPr fontId="6"/>
  </si>
  <si>
    <t>モニタリング装置</t>
    <phoneticPr fontId="6"/>
  </si>
  <si>
    <t>モルタル</t>
    <phoneticPr fontId="6"/>
  </si>
  <si>
    <t>ランマー</t>
    <phoneticPr fontId="6"/>
  </si>
  <si>
    <t>ロードスイーパー</t>
    <phoneticPr fontId="6"/>
  </si>
  <si>
    <t>ワイヤーメッシュ</t>
    <phoneticPr fontId="6"/>
  </si>
  <si>
    <t>D10</t>
    <phoneticPr fontId="6"/>
  </si>
  <si>
    <t>圧着･溶着施工費</t>
    <phoneticPr fontId="6"/>
  </si>
  <si>
    <t>圧着・溶着資材</t>
    <phoneticPr fontId="6"/>
  </si>
  <si>
    <t>移動(前日・翌日)</t>
    <phoneticPr fontId="6"/>
  </si>
  <si>
    <t>遠隔監視システム通信費</t>
    <phoneticPr fontId="6"/>
  </si>
  <si>
    <t>汚水運搬処理費</t>
    <phoneticPr fontId="6"/>
  </si>
  <si>
    <t>汚水改修作業費</t>
    <phoneticPr fontId="6"/>
  </si>
  <si>
    <t>外注経費</t>
    <phoneticPr fontId="6"/>
  </si>
  <si>
    <t>区画線復旧工</t>
    <phoneticPr fontId="6"/>
  </si>
  <si>
    <t>型枠工</t>
    <phoneticPr fontId="6"/>
  </si>
  <si>
    <t>現地機器調整費</t>
    <phoneticPr fontId="6"/>
  </si>
  <si>
    <t>交通整理員</t>
    <phoneticPr fontId="6"/>
  </si>
  <si>
    <t>　舗装時</t>
    <phoneticPr fontId="6"/>
  </si>
  <si>
    <t>左官工</t>
    <phoneticPr fontId="6"/>
  </si>
  <si>
    <t>雑機械</t>
    <phoneticPr fontId="6"/>
  </si>
  <si>
    <t>散水車</t>
    <phoneticPr fontId="6"/>
  </si>
  <si>
    <t>残土処分</t>
    <phoneticPr fontId="6"/>
  </si>
  <si>
    <t>試運転及び準備費</t>
    <phoneticPr fontId="6"/>
  </si>
  <si>
    <t>車両代</t>
    <phoneticPr fontId="6"/>
  </si>
  <si>
    <t>2tトラック</t>
    <phoneticPr fontId="6"/>
  </si>
  <si>
    <t>取り付け口部材</t>
    <phoneticPr fontId="6"/>
  </si>
  <si>
    <t>出張経費</t>
    <phoneticPr fontId="6"/>
  </si>
  <si>
    <t>　交通費(高速代他）</t>
    <phoneticPr fontId="6"/>
  </si>
  <si>
    <t>宿泊費</t>
    <phoneticPr fontId="6"/>
  </si>
  <si>
    <t>準備・片付け</t>
    <phoneticPr fontId="6"/>
  </si>
  <si>
    <t>諸経費</t>
    <phoneticPr fontId="6"/>
  </si>
  <si>
    <t>切削機</t>
    <phoneticPr fontId="6"/>
  </si>
  <si>
    <t>小物機械</t>
    <phoneticPr fontId="6"/>
  </si>
  <si>
    <t>高周波含む</t>
    <phoneticPr fontId="6"/>
  </si>
  <si>
    <t>電気工具含む</t>
    <phoneticPr fontId="6"/>
  </si>
  <si>
    <t>消耗品費</t>
    <phoneticPr fontId="6"/>
  </si>
  <si>
    <t>生コン</t>
    <phoneticPr fontId="6"/>
  </si>
  <si>
    <t>24-10-25</t>
    <phoneticPr fontId="6"/>
  </si>
  <si>
    <t>太陽光パネル</t>
    <phoneticPr fontId="6"/>
  </si>
  <si>
    <t>枚</t>
    <phoneticPr fontId="6"/>
  </si>
  <si>
    <t>調整費</t>
    <phoneticPr fontId="6"/>
  </si>
  <si>
    <t>電気キャビネット送料</t>
    <phoneticPr fontId="6"/>
  </si>
  <si>
    <t>電気ハンドホール</t>
    <phoneticPr fontId="6"/>
  </si>
  <si>
    <t>基</t>
    <phoneticPr fontId="6"/>
  </si>
  <si>
    <t>□720＊H860 鉄蓋　T-25</t>
    <phoneticPr fontId="6"/>
  </si>
  <si>
    <t>同上運賃</t>
    <phoneticPr fontId="6"/>
  </si>
  <si>
    <t>特別値引き</t>
    <phoneticPr fontId="6"/>
  </si>
  <si>
    <t>切削</t>
    <phoneticPr fontId="6"/>
  </si>
  <si>
    <t>日射計</t>
    <phoneticPr fontId="6"/>
  </si>
  <si>
    <t>配線敷設工</t>
    <phoneticPr fontId="6"/>
  </si>
  <si>
    <t>発電機</t>
    <phoneticPr fontId="6"/>
  </si>
  <si>
    <t>舗装版切断工</t>
    <phoneticPr fontId="6"/>
  </si>
  <si>
    <t>法定福利費</t>
    <phoneticPr fontId="6"/>
  </si>
  <si>
    <t>クラックシート用</t>
    <phoneticPr fontId="6"/>
  </si>
  <si>
    <t>ピン打ち機</t>
    <phoneticPr fontId="6"/>
  </si>
  <si>
    <t>機械費</t>
    <phoneticPr fontId="6"/>
  </si>
  <si>
    <t>ディストリビューター</t>
    <phoneticPr fontId="6"/>
  </si>
  <si>
    <t>研磨機</t>
    <phoneticPr fontId="6"/>
  </si>
  <si>
    <t>サンダー、ブレーカー、発電機</t>
    <phoneticPr fontId="6"/>
  </si>
  <si>
    <t>発電機、電動工具</t>
    <phoneticPr fontId="6"/>
  </si>
  <si>
    <t>　ハイウォッシャー他</t>
    <phoneticPr fontId="6"/>
  </si>
  <si>
    <t>１０ｔダンプ</t>
    <phoneticPr fontId="6"/>
  </si>
  <si>
    <t>運搬費</t>
    <phoneticPr fontId="6"/>
  </si>
  <si>
    <t>4tユニック車</t>
    <phoneticPr fontId="6"/>
  </si>
  <si>
    <t>Asガラ処分</t>
    <phoneticPr fontId="6"/>
  </si>
  <si>
    <t>Asガラ処理</t>
    <phoneticPr fontId="6"/>
  </si>
  <si>
    <t>重機回送費</t>
    <phoneticPr fontId="6"/>
  </si>
  <si>
    <t>回</t>
    <phoneticPr fontId="6"/>
  </si>
  <si>
    <t>AF,TR</t>
    <phoneticPr fontId="6"/>
  </si>
  <si>
    <t>MBH,CRV</t>
    <phoneticPr fontId="6"/>
  </si>
  <si>
    <t>運搬調書</t>
    <phoneticPr fontId="6"/>
  </si>
  <si>
    <t>同上回送費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</si>
</sst>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68600000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57592316</v>
      </c>
      <c r="J16" s="420"/>
      <c r="K16" s="420"/>
      <c r="L16" s="420"/>
      <c r="M16" s="420"/>
      <c r="N16" s="420"/>
      <c r="O16" s="420"/>
      <c r="P16" s="420"/>
      <c r="Q16" s="416">
        <v>0.83950000000000002</v>
      </c>
      <c r="R16" s="416"/>
      <c r="S16" s="416"/>
      <c r="U16" s="417" t="s">
        <v>16</v>
      </c>
      <c r="V16" s="418"/>
      <c r="W16" s="418"/>
      <c r="X16" s="418"/>
      <c r="Y16" s="419">
        <v>11007684</v>
      </c>
      <c r="Z16" s="420"/>
      <c r="AA16" s="420"/>
      <c r="AB16" s="420"/>
      <c r="AC16" s="420"/>
      <c r="AD16" s="420"/>
      <c r="AE16" s="420"/>
      <c r="AF16" s="420"/>
      <c r="AG16" s="416">
        <v>0.1605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45397</v>
      </c>
      <c r="D3" s="458"/>
      <c r="E3" s="272" t="s">
        <v>139</v>
      </c>
      <c r="F3" s="459">
        <v>45596</v>
      </c>
      <c r="G3" s="459"/>
      <c r="H3" s="459"/>
      <c r="I3" s="273"/>
      <c r="J3" s="273"/>
      <c r="K3" s="460" t="s">
        <v>30</v>
      </c>
      <c r="L3" s="461"/>
      <c r="M3" s="462"/>
      <c r="N3" s="449">
        <v>68600000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3104800</v>
      </c>
      <c r="D5" s="335">
        <f>IF(C5&lt;&gt;"",C5/$C$20,"")</f>
        <v>5.3909969517461326E-2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1913000</v>
      </c>
      <c r="D6" s="336">
        <f t="shared" ref="D6:D17" si="0">IF(C6&lt;&gt;"",C6/$C$20,"")</f>
        <v>3.3216236693797835E-2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11363133</v>
      </c>
      <c r="D7" s="336">
        <f t="shared" si="0"/>
        <v>0.1973029353429718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5176800</v>
      </c>
      <c r="D8" s="336">
        <f t="shared" si="0"/>
        <v>8.9886991174308734E-2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159</v>
      </c>
      <c r="C9" s="277">
        <v>28885083</v>
      </c>
      <c r="D9" s="336">
        <f t="shared" si="0"/>
        <v>0.50154404278515208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160</v>
      </c>
      <c r="C10" s="277">
        <v>479100</v>
      </c>
      <c r="D10" s="336">
        <f t="shared" si="0"/>
        <v>8.3188180867739374E-3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161</v>
      </c>
      <c r="C11" s="277">
        <v>850400</v>
      </c>
      <c r="D11" s="336">
        <f t="shared" si="0"/>
        <v>1.4765858695455136E-2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162</v>
      </c>
      <c r="C12" s="277">
        <v>1360000</v>
      </c>
      <c r="D12" s="336">
        <f t="shared" si="0"/>
        <v>2.3614261319166257E-2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163</v>
      </c>
      <c r="C13" s="277">
        <v>460000</v>
      </c>
      <c r="D13" s="336">
        <f t="shared" si="0"/>
        <v>7.9871766226591763E-3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164</v>
      </c>
      <c r="C14" s="277">
        <v>4000000</v>
      </c>
      <c r="D14" s="336">
        <f t="shared" si="0"/>
        <v>6.9453709762253707E-2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/>
      <c r="C15" s="277"/>
      <c r="D15" s="336" t="str">
        <f t="shared" si="0"/>
        <v/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/>
      <c r="C16" s="277"/>
      <c r="D16" s="336" t="str">
        <f t="shared" si="0"/>
        <v/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/>
      <c r="C17" s="278"/>
      <c r="D17" s="336" t="str">
        <f t="shared" si="0"/>
        <v/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78"/>
      <c r="D18" s="336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57592316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165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/>
      <c r="L5" s="283" t="s">
        <v>166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/>
      <c r="L6" s="290" t="s">
        <v>166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/>
      <c r="L7" s="290" t="s">
        <v>167</v>
      </c>
      <c r="M7" s="291">
        <v>201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/>
      <c r="L8" s="290" t="s">
        <v>166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159</v>
      </c>
      <c r="K9" s="289"/>
      <c r="L9" s="290" t="s">
        <v>166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160</v>
      </c>
      <c r="K10" s="289"/>
      <c r="L10" s="290" t="s">
        <v>166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161</v>
      </c>
      <c r="K11" s="289" t="s">
        <v>168</v>
      </c>
      <c r="L11" s="290" t="s">
        <v>166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162</v>
      </c>
      <c r="K12" s="289" t="s">
        <v>169</v>
      </c>
      <c r="L12" s="290" t="s">
        <v>166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163</v>
      </c>
      <c r="K13" s="289" t="s">
        <v>170</v>
      </c>
      <c r="L13" s="290" t="s">
        <v>166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164</v>
      </c>
      <c r="K14" s="289"/>
      <c r="L14" s="290" t="s">
        <v>166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/>
      <c r="K15" s="289"/>
      <c r="L15" s="290"/>
      <c r="M15" s="291"/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/>
      <c r="K16" s="289"/>
      <c r="L16" s="290"/>
      <c r="M16" s="291"/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/>
      <c r="K17" s="289"/>
      <c r="L17" s="290"/>
      <c r="M17" s="291"/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/>
      <c r="K18" s="289"/>
      <c r="L18" s="290"/>
      <c r="M18" s="291"/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3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179</v>
      </c>
      <c r="D5" s="512"/>
      <c r="E5" s="246" t="s">
        <v>133</v>
      </c>
      <c r="F5" s="513" t="s">
        <v>180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181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171</v>
      </c>
      <c r="I6" s="110" t="s">
        <v>172</v>
      </c>
      <c r="J6" s="110" t="s">
        <v>173</v>
      </c>
      <c r="K6" s="110" t="s">
        <v>174</v>
      </c>
      <c r="L6" s="110" t="s">
        <v>175</v>
      </c>
      <c r="M6" s="111" t="s">
        <v>176</v>
      </c>
      <c r="N6" s="110" t="s">
        <v>177</v>
      </c>
      <c r="O6" s="112" t="s">
        <v>178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68600000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182</v>
      </c>
      <c r="D8" s="492"/>
      <c r="E8" s="113" t="s">
        <v>59</v>
      </c>
      <c r="F8" s="249">
        <v>57592316</v>
      </c>
      <c r="G8" s="334">
        <v>0.83950000000000002</v>
      </c>
      <c r="H8" s="250">
        <v>6946408</v>
      </c>
      <c r="I8" s="251">
        <v>2760000</v>
      </c>
      <c r="J8" s="251">
        <v>38988132</v>
      </c>
      <c r="K8" s="251">
        <v>1368800</v>
      </c>
      <c r="L8" s="252">
        <v>1598400</v>
      </c>
      <c r="M8" s="252">
        <v>30000</v>
      </c>
      <c r="N8" s="253">
        <v>5460000</v>
      </c>
      <c r="O8" s="254">
        <v>440700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50442816</v>
      </c>
      <c r="G9" s="334">
        <v>0.73529999999999995</v>
      </c>
      <c r="H9" s="250">
        <v>6416408</v>
      </c>
      <c r="I9" s="251">
        <v>2460000</v>
      </c>
      <c r="J9" s="251">
        <v>38788032</v>
      </c>
      <c r="K9" s="251">
        <v>1368800</v>
      </c>
      <c r="L9" s="252">
        <v>1028400</v>
      </c>
      <c r="M9" s="252"/>
      <c r="N9" s="253"/>
      <c r="O9" s="254">
        <v>381300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3149500</v>
      </c>
      <c r="G10" s="334">
        <v>4.5900000000000003E-2</v>
      </c>
      <c r="H10" s="250">
        <v>530000</v>
      </c>
      <c r="I10" s="253">
        <v>300000</v>
      </c>
      <c r="J10" s="253">
        <v>200100</v>
      </c>
      <c r="K10" s="253"/>
      <c r="L10" s="251">
        <v>570000</v>
      </c>
      <c r="M10" s="252">
        <v>30000</v>
      </c>
      <c r="N10" s="253">
        <v>1460000</v>
      </c>
      <c r="O10" s="254">
        <v>59400</v>
      </c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4000000</v>
      </c>
      <c r="G11" s="334">
        <v>5.8299999999999998E-2</v>
      </c>
      <c r="H11" s="250"/>
      <c r="I11" s="253"/>
      <c r="J11" s="253"/>
      <c r="K11" s="253"/>
      <c r="L11" s="251"/>
      <c r="M11" s="252"/>
      <c r="N11" s="253">
        <v>4000000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183</v>
      </c>
      <c r="D12" s="492"/>
      <c r="E12" s="113" t="s">
        <v>66</v>
      </c>
      <c r="F12" s="249">
        <v>11007684</v>
      </c>
      <c r="G12" s="334">
        <v>0.1605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184</v>
      </c>
      <c r="D13" s="492"/>
      <c r="E13" s="169" t="s">
        <v>110</v>
      </c>
      <c r="F13" s="249">
        <v>3978800</v>
      </c>
      <c r="G13" s="334">
        <v>5.8000000000000003E-2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185</v>
      </c>
      <c r="D14" s="493"/>
      <c r="E14" s="114" t="s">
        <v>111</v>
      </c>
      <c r="F14" s="249">
        <v>2606800</v>
      </c>
      <c r="G14" s="334">
        <v>3.7999999999999999E-2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186</v>
      </c>
      <c r="D15" s="495"/>
      <c r="E15" s="114" t="s">
        <v>112</v>
      </c>
      <c r="F15" s="249">
        <v>1372000</v>
      </c>
      <c r="G15" s="334">
        <v>0.02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187</v>
      </c>
      <c r="D16" s="493"/>
      <c r="E16" s="113" t="s">
        <v>113</v>
      </c>
      <c r="F16" s="249">
        <v>7028884</v>
      </c>
      <c r="G16" s="334">
        <v>0.10249999999999999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188</v>
      </c>
      <c r="D17" s="500"/>
      <c r="E17" s="113" t="s">
        <v>114</v>
      </c>
      <c r="F17" s="249">
        <v>3292800</v>
      </c>
      <c r="G17" s="334">
        <v>4.8000000000000001E-2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3736084</v>
      </c>
      <c r="G18" s="334">
        <v>5.45E-2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23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189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190</v>
      </c>
      <c r="C8" s="166"/>
      <c r="D8" s="517" t="s">
        <v>166</v>
      </c>
      <c r="E8" s="519">
        <v>1</v>
      </c>
      <c r="F8" s="521">
        <v>3104800</v>
      </c>
      <c r="G8" s="523">
        <v>3104800</v>
      </c>
      <c r="H8" s="351" t="s">
        <v>192</v>
      </c>
      <c r="I8" s="525">
        <v>4.5199999999999997E-2</v>
      </c>
      <c r="J8" s="227"/>
      <c r="K8" s="69" t="s">
        <v>96</v>
      </c>
    </row>
    <row r="9" spans="1:11" ht="15.6" customHeight="1">
      <c r="A9" s="69"/>
      <c r="B9" s="224" t="s">
        <v>191</v>
      </c>
      <c r="C9" s="225"/>
      <c r="D9" s="518"/>
      <c r="E9" s="520"/>
      <c r="F9" s="522"/>
      <c r="G9" s="524"/>
      <c r="H9" s="352" t="s">
        <v>193</v>
      </c>
      <c r="I9" s="526"/>
      <c r="J9" s="227"/>
      <c r="K9" s="69" t="s">
        <v>96</v>
      </c>
    </row>
    <row r="10" spans="1:11" ht="15.6" customHeight="1">
      <c r="A10" s="69"/>
      <c r="B10" s="222" t="s">
        <v>194</v>
      </c>
      <c r="C10" s="166"/>
      <c r="D10" s="517" t="s">
        <v>166</v>
      </c>
      <c r="E10" s="519">
        <v>1</v>
      </c>
      <c r="F10" s="521">
        <v>1913000</v>
      </c>
      <c r="G10" s="523">
        <v>1913000</v>
      </c>
      <c r="H10" s="351" t="s">
        <v>195</v>
      </c>
      <c r="I10" s="525">
        <v>2.7799999999999998E-2</v>
      </c>
      <c r="J10" s="223"/>
      <c r="K10" s="69" t="s">
        <v>96</v>
      </c>
    </row>
    <row r="11" spans="1:11" ht="15.6" customHeight="1">
      <c r="A11" s="69"/>
      <c r="B11" s="224" t="s">
        <v>191</v>
      </c>
      <c r="C11" s="225"/>
      <c r="D11" s="518"/>
      <c r="E11" s="520"/>
      <c r="F11" s="522"/>
      <c r="G11" s="524"/>
      <c r="H11" s="352" t="s">
        <v>193</v>
      </c>
      <c r="I11" s="526"/>
      <c r="J11" s="226"/>
      <c r="K11" s="69" t="s">
        <v>96</v>
      </c>
    </row>
    <row r="12" spans="1:11" ht="15.6" customHeight="1">
      <c r="A12" s="69"/>
      <c r="B12" s="222" t="s">
        <v>196</v>
      </c>
      <c r="C12" s="166"/>
      <c r="D12" s="517" t="s">
        <v>167</v>
      </c>
      <c r="E12" s="519">
        <v>201</v>
      </c>
      <c r="F12" s="521">
        <v>56533</v>
      </c>
      <c r="G12" s="523">
        <v>11363133</v>
      </c>
      <c r="H12" s="351" t="s">
        <v>197</v>
      </c>
      <c r="I12" s="525">
        <v>0.1656</v>
      </c>
      <c r="J12" s="223"/>
      <c r="K12" s="69" t="s">
        <v>96</v>
      </c>
    </row>
    <row r="13" spans="1:11" ht="15.6" customHeight="1">
      <c r="A13" s="69"/>
      <c r="B13" s="224" t="s">
        <v>191</v>
      </c>
      <c r="C13" s="225"/>
      <c r="D13" s="518"/>
      <c r="E13" s="520"/>
      <c r="F13" s="522"/>
      <c r="G13" s="524"/>
      <c r="H13" s="352" t="s">
        <v>193</v>
      </c>
      <c r="I13" s="526"/>
      <c r="J13" s="226"/>
      <c r="K13" s="69" t="s">
        <v>96</v>
      </c>
    </row>
    <row r="14" spans="1:11" ht="15.6" customHeight="1">
      <c r="A14" s="69"/>
      <c r="B14" s="222" t="s">
        <v>198</v>
      </c>
      <c r="C14" s="166"/>
      <c r="D14" s="517" t="s">
        <v>166</v>
      </c>
      <c r="E14" s="519">
        <v>1</v>
      </c>
      <c r="F14" s="521">
        <v>5176800</v>
      </c>
      <c r="G14" s="523">
        <v>5176800</v>
      </c>
      <c r="H14" s="351" t="s">
        <v>199</v>
      </c>
      <c r="I14" s="525">
        <v>7.5399999999999995E-2</v>
      </c>
      <c r="J14" s="223"/>
      <c r="K14" s="69" t="s">
        <v>96</v>
      </c>
    </row>
    <row r="15" spans="1:11" ht="15.6" customHeight="1">
      <c r="A15" s="69"/>
      <c r="B15" s="224" t="s">
        <v>191</v>
      </c>
      <c r="C15" s="225"/>
      <c r="D15" s="518"/>
      <c r="E15" s="520"/>
      <c r="F15" s="522"/>
      <c r="G15" s="524"/>
      <c r="H15" s="352" t="s">
        <v>193</v>
      </c>
      <c r="I15" s="526"/>
      <c r="J15" s="226"/>
      <c r="K15" s="69" t="s">
        <v>96</v>
      </c>
    </row>
    <row r="16" spans="1:11" ht="15.6" customHeight="1">
      <c r="A16" s="69"/>
      <c r="B16" s="222" t="s">
        <v>200</v>
      </c>
      <c r="C16" s="166"/>
      <c r="D16" s="517" t="s">
        <v>166</v>
      </c>
      <c r="E16" s="519">
        <v>1</v>
      </c>
      <c r="F16" s="521">
        <v>28885083</v>
      </c>
      <c r="G16" s="523">
        <v>28885083</v>
      </c>
      <c r="H16" s="351" t="s">
        <v>201</v>
      </c>
      <c r="I16" s="525">
        <v>0.42099999999999999</v>
      </c>
      <c r="J16" s="223"/>
      <c r="K16" s="69" t="s">
        <v>96</v>
      </c>
    </row>
    <row r="17" spans="1:11" ht="15.6" customHeight="1">
      <c r="A17" s="69"/>
      <c r="B17" s="224" t="s">
        <v>191</v>
      </c>
      <c r="C17" s="225"/>
      <c r="D17" s="518"/>
      <c r="E17" s="520"/>
      <c r="F17" s="522"/>
      <c r="G17" s="524"/>
      <c r="H17" s="352" t="s">
        <v>193</v>
      </c>
      <c r="I17" s="526"/>
      <c r="J17" s="226"/>
      <c r="K17" s="69" t="s">
        <v>96</v>
      </c>
    </row>
    <row r="18" spans="1:11" ht="15.6" customHeight="1">
      <c r="A18" s="69"/>
      <c r="B18" s="222" t="s">
        <v>202</v>
      </c>
      <c r="C18" s="166"/>
      <c r="D18" s="517"/>
      <c r="E18" s="519"/>
      <c r="F18" s="521"/>
      <c r="G18" s="523">
        <v>50442816</v>
      </c>
      <c r="H18" s="351"/>
      <c r="I18" s="525">
        <v>0.73529999999999995</v>
      </c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203</v>
      </c>
      <c r="C22" s="166"/>
      <c r="D22" s="517"/>
      <c r="E22" s="519"/>
      <c r="F22" s="521"/>
      <c r="G22" s="523"/>
      <c r="H22" s="351"/>
      <c r="I22" s="525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204</v>
      </c>
      <c r="C24" s="166"/>
      <c r="D24" s="517" t="s">
        <v>166</v>
      </c>
      <c r="E24" s="519">
        <v>1</v>
      </c>
      <c r="F24" s="521">
        <v>3149500</v>
      </c>
      <c r="G24" s="523">
        <v>3149500</v>
      </c>
      <c r="H24" s="351"/>
      <c r="I24" s="525">
        <v>4.5900000000000003E-2</v>
      </c>
      <c r="J24" s="223"/>
      <c r="K24" s="69" t="s">
        <v>96</v>
      </c>
    </row>
    <row r="25" spans="1:11" ht="15.6" customHeight="1">
      <c r="A25" s="69"/>
      <c r="B25" s="224" t="s">
        <v>191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205</v>
      </c>
      <c r="C26" s="166"/>
      <c r="D26" s="517" t="s">
        <v>166</v>
      </c>
      <c r="E26" s="519">
        <v>1</v>
      </c>
      <c r="F26" s="521">
        <v>4000000</v>
      </c>
      <c r="G26" s="523">
        <v>4000000</v>
      </c>
      <c r="H26" s="351"/>
      <c r="I26" s="525">
        <v>5.8299999999999998E-2</v>
      </c>
      <c r="J26" s="223"/>
      <c r="K26" s="69" t="s">
        <v>96</v>
      </c>
    </row>
    <row r="27" spans="1:11" ht="15.6" customHeight="1">
      <c r="A27" s="69"/>
      <c r="B27" s="224" t="s">
        <v>191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206</v>
      </c>
      <c r="C28" s="166"/>
      <c r="D28" s="517"/>
      <c r="E28" s="519"/>
      <c r="F28" s="521"/>
      <c r="G28" s="523">
        <v>7149500</v>
      </c>
      <c r="H28" s="351"/>
      <c r="I28" s="525">
        <v>0.1042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207</v>
      </c>
      <c r="C32" s="166"/>
      <c r="D32" s="532"/>
      <c r="E32" s="519"/>
      <c r="F32" s="521"/>
      <c r="G32" s="523">
        <v>57592316</v>
      </c>
      <c r="H32" s="351"/>
      <c r="I32" s="525">
        <v>0.83950000000000002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208</v>
      </c>
      <c r="C36" s="302"/>
      <c r="D36" s="517"/>
      <c r="E36" s="519"/>
      <c r="F36" s="521"/>
      <c r="G36" s="523">
        <v>11007684</v>
      </c>
      <c r="H36" s="351"/>
      <c r="I36" s="525">
        <v>0.1605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131</v>
      </c>
      <c r="C45" s="166"/>
      <c r="D45" s="517"/>
      <c r="E45" s="519"/>
      <c r="F45" s="521"/>
      <c r="G45" s="523">
        <v>68600000</v>
      </c>
      <c r="H45" s="351"/>
      <c r="I45" s="525">
        <v>1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D1D89-BAC7-47D5-9DFF-D1FA27522B0A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210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155</v>
      </c>
      <c r="C6" s="166"/>
      <c r="D6" s="517" t="s">
        <v>166</v>
      </c>
      <c r="E6" s="519">
        <v>1</v>
      </c>
      <c r="F6" s="521">
        <v>3104800</v>
      </c>
      <c r="G6" s="523">
        <v>3104800</v>
      </c>
      <c r="H6" s="351" t="s">
        <v>192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193</v>
      </c>
      <c r="I7" s="352"/>
      <c r="J7" s="226"/>
      <c r="K7" s="69" t="s">
        <v>96</v>
      </c>
    </row>
    <row r="8" spans="1:11" ht="15.6" customHeight="1">
      <c r="A8" s="69"/>
      <c r="B8" s="222" t="s">
        <v>156</v>
      </c>
      <c r="C8" s="166"/>
      <c r="D8" s="517" t="s">
        <v>166</v>
      </c>
      <c r="E8" s="519">
        <v>1</v>
      </c>
      <c r="F8" s="521">
        <v>1913000</v>
      </c>
      <c r="G8" s="523">
        <v>1913000</v>
      </c>
      <c r="H8" s="351" t="s">
        <v>195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193</v>
      </c>
      <c r="I9" s="352"/>
      <c r="J9" s="227"/>
      <c r="K9" s="69" t="s">
        <v>96</v>
      </c>
    </row>
    <row r="10" spans="1:11" ht="15.6" customHeight="1">
      <c r="A10" s="69"/>
      <c r="B10" s="222" t="s">
        <v>157</v>
      </c>
      <c r="C10" s="166"/>
      <c r="D10" s="517" t="s">
        <v>167</v>
      </c>
      <c r="E10" s="519">
        <v>201</v>
      </c>
      <c r="F10" s="521">
        <v>56533</v>
      </c>
      <c r="G10" s="523">
        <v>11363133</v>
      </c>
      <c r="H10" s="351" t="s">
        <v>197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193</v>
      </c>
      <c r="I11" s="352"/>
      <c r="J11" s="226"/>
      <c r="K11" s="69" t="s">
        <v>96</v>
      </c>
    </row>
    <row r="12" spans="1:11" ht="15.6" customHeight="1">
      <c r="A12" s="69"/>
      <c r="B12" s="222" t="s">
        <v>158</v>
      </c>
      <c r="C12" s="166"/>
      <c r="D12" s="517" t="s">
        <v>166</v>
      </c>
      <c r="E12" s="519">
        <v>1</v>
      </c>
      <c r="F12" s="521">
        <v>5176800</v>
      </c>
      <c r="G12" s="523">
        <v>5176800</v>
      </c>
      <c r="H12" s="351" t="s">
        <v>199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193</v>
      </c>
      <c r="I13" s="352"/>
      <c r="J13" s="226"/>
      <c r="K13" s="69" t="s">
        <v>96</v>
      </c>
    </row>
    <row r="14" spans="1:11" ht="15.6" customHeight="1">
      <c r="A14" s="69"/>
      <c r="B14" s="222" t="s">
        <v>159</v>
      </c>
      <c r="C14" s="166"/>
      <c r="D14" s="517" t="s">
        <v>166</v>
      </c>
      <c r="E14" s="519">
        <v>1</v>
      </c>
      <c r="F14" s="521">
        <v>28885083</v>
      </c>
      <c r="G14" s="523">
        <v>28885083</v>
      </c>
      <c r="H14" s="351" t="s">
        <v>201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193</v>
      </c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 t="s">
        <v>209</v>
      </c>
      <c r="C18" s="166"/>
      <c r="D18" s="517"/>
      <c r="E18" s="519"/>
      <c r="F18" s="521"/>
      <c r="G18" s="523">
        <v>50442816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01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藤森工業㈱三重工場Wattway設置工事</v>
      </c>
      <c r="G1" s="306"/>
      <c r="H1" s="190" t="s">
        <v>140</v>
      </c>
      <c r="I1" s="333">
        <v>68600000</v>
      </c>
      <c r="J1" s="339">
        <f>I4/I$1</f>
        <v>0.83953813411078715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429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211</v>
      </c>
      <c r="D4" s="340" t="s">
        <v>179</v>
      </c>
      <c r="E4" s="342"/>
      <c r="F4" s="345" t="s">
        <v>166</v>
      </c>
      <c r="G4" s="308">
        <v>1</v>
      </c>
      <c r="H4" s="309">
        <v>57592316</v>
      </c>
      <c r="I4" s="309">
        <v>57592316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212</v>
      </c>
      <c r="D5" s="340" t="s">
        <v>213</v>
      </c>
      <c r="E5" s="342"/>
      <c r="F5" s="345" t="s">
        <v>166</v>
      </c>
      <c r="G5" s="308">
        <v>1</v>
      </c>
      <c r="H5" s="309">
        <v>50442816</v>
      </c>
      <c r="I5" s="309">
        <v>50442816</v>
      </c>
      <c r="J5" s="211"/>
      <c r="K5" s="212" t="str">
        <f>IF(OR(J5="",G5=J5),"","*")</f>
        <v/>
      </c>
      <c r="L5" s="338">
        <f>IF($A5&lt;=L$1,I5/I$4,"")</f>
        <v>0.87586017551369177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214</v>
      </c>
      <c r="D6" s="340" t="s">
        <v>215</v>
      </c>
      <c r="E6" s="342"/>
      <c r="F6" s="345" t="s">
        <v>166</v>
      </c>
      <c r="G6" s="308">
        <v>1</v>
      </c>
      <c r="H6" s="309">
        <v>3104800</v>
      </c>
      <c r="I6" s="309">
        <v>3104800</v>
      </c>
      <c r="J6" s="211">
        <v>1</v>
      </c>
      <c r="K6" s="212" t="str">
        <f>IF(OR(J6="",G6=J6),"","*")</f>
        <v/>
      </c>
      <c r="L6" s="338">
        <f>IF($A6&lt;=L$1,I6/I$4,"")</f>
        <v>5.3909969517461326E-2</v>
      </c>
      <c r="M6" s="343"/>
      <c r="N6" s="344" t="s">
        <v>216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214</v>
      </c>
      <c r="D7" s="340" t="s">
        <v>217</v>
      </c>
      <c r="E7" s="342"/>
      <c r="F7" s="345" t="s">
        <v>218</v>
      </c>
      <c r="G7" s="308">
        <v>300</v>
      </c>
      <c r="H7" s="309">
        <v>7266</v>
      </c>
      <c r="I7" s="309">
        <v>2179800</v>
      </c>
      <c r="J7" s="211">
        <v>300</v>
      </c>
      <c r="K7" s="212" t="str">
        <f>IF(OR(J7="",G7=J7),"","*")</f>
        <v/>
      </c>
      <c r="L7" s="338">
        <f>IF($A7&lt;=L$1,I7/I$4,"")</f>
        <v>3.7848799134940152E-2</v>
      </c>
      <c r="M7" s="343"/>
      <c r="N7" s="344" t="s">
        <v>219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220</v>
      </c>
      <c r="D8" s="340" t="s">
        <v>221</v>
      </c>
      <c r="E8" s="342" t="s">
        <v>222</v>
      </c>
      <c r="F8" s="345" t="s">
        <v>218</v>
      </c>
      <c r="G8" s="308">
        <v>300</v>
      </c>
      <c r="H8" s="309">
        <v>1534</v>
      </c>
      <c r="I8" s="309">
        <v>460200</v>
      </c>
      <c r="J8" s="211">
        <v>300</v>
      </c>
      <c r="K8" s="212" t="str">
        <f>IF(OR(J8="",G8=J8),"","*")</f>
        <v/>
      </c>
      <c r="L8" s="338" t="str">
        <f>IF($A8&lt;=L$1,I8/I$4,"")</f>
        <v/>
      </c>
      <c r="M8" s="343"/>
      <c r="N8" s="344" t="s">
        <v>223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5</v>
      </c>
      <c r="B9" s="342"/>
      <c r="C9" s="342" t="s">
        <v>173</v>
      </c>
      <c r="D9" s="340" t="s">
        <v>224</v>
      </c>
      <c r="E9" s="342"/>
      <c r="F9" s="345" t="s">
        <v>225</v>
      </c>
      <c r="G9" s="308">
        <v>200</v>
      </c>
      <c r="H9" s="309">
        <v>160</v>
      </c>
      <c r="I9" s="309">
        <v>32000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5</v>
      </c>
      <c r="B10" s="342"/>
      <c r="C10" s="342" t="s">
        <v>173</v>
      </c>
      <c r="D10" s="340" t="s">
        <v>226</v>
      </c>
      <c r="E10" s="342"/>
      <c r="F10" s="345" t="s">
        <v>227</v>
      </c>
      <c r="G10" s="308">
        <v>10</v>
      </c>
      <c r="H10" s="309">
        <v>20000</v>
      </c>
      <c r="I10" s="309">
        <v>200000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5</v>
      </c>
      <c r="B11" s="342"/>
      <c r="C11" s="342" t="s">
        <v>173</v>
      </c>
      <c r="D11" s="340" t="s">
        <v>228</v>
      </c>
      <c r="E11" s="342"/>
      <c r="F11" s="345" t="s">
        <v>227</v>
      </c>
      <c r="G11" s="308">
        <v>10</v>
      </c>
      <c r="H11" s="309">
        <v>3100</v>
      </c>
      <c r="I11" s="309">
        <v>31000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5</v>
      </c>
      <c r="B12" s="342"/>
      <c r="C12" s="342" t="s">
        <v>173</v>
      </c>
      <c r="D12" s="340" t="s">
        <v>229</v>
      </c>
      <c r="E12" s="342"/>
      <c r="F12" s="345" t="s">
        <v>230</v>
      </c>
      <c r="G12" s="308">
        <v>1</v>
      </c>
      <c r="H12" s="309">
        <v>65000</v>
      </c>
      <c r="I12" s="309">
        <v>65000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5</v>
      </c>
      <c r="B13" s="342"/>
      <c r="C13" s="342" t="s">
        <v>173</v>
      </c>
      <c r="D13" s="340" t="s">
        <v>231</v>
      </c>
      <c r="E13" s="342"/>
      <c r="F13" s="345" t="s">
        <v>230</v>
      </c>
      <c r="G13" s="308">
        <v>1</v>
      </c>
      <c r="H13" s="309">
        <v>15000</v>
      </c>
      <c r="I13" s="309">
        <v>15000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5</v>
      </c>
      <c r="B14" s="342"/>
      <c r="C14" s="342" t="s">
        <v>173</v>
      </c>
      <c r="D14" s="340" t="s">
        <v>232</v>
      </c>
      <c r="E14" s="342"/>
      <c r="F14" s="345" t="s">
        <v>230</v>
      </c>
      <c r="G14" s="308">
        <v>1</v>
      </c>
      <c r="H14" s="309">
        <v>6500</v>
      </c>
      <c r="I14" s="309">
        <v>6500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5</v>
      </c>
      <c r="B15" s="342"/>
      <c r="C15" s="342" t="s">
        <v>173</v>
      </c>
      <c r="D15" s="340" t="s">
        <v>233</v>
      </c>
      <c r="E15" s="342"/>
      <c r="F15" s="345" t="s">
        <v>230</v>
      </c>
      <c r="G15" s="308">
        <v>1</v>
      </c>
      <c r="H15" s="309">
        <v>9500</v>
      </c>
      <c r="I15" s="309">
        <v>9500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5</v>
      </c>
      <c r="B16" s="342"/>
      <c r="C16" s="342" t="s">
        <v>173</v>
      </c>
      <c r="D16" s="340" t="s">
        <v>234</v>
      </c>
      <c r="E16" s="342"/>
      <c r="F16" s="345" t="s">
        <v>230</v>
      </c>
      <c r="G16" s="308">
        <v>1</v>
      </c>
      <c r="H16" s="309">
        <v>8000</v>
      </c>
      <c r="I16" s="309">
        <v>8000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5</v>
      </c>
      <c r="B17" s="342"/>
      <c r="C17" s="342" t="s">
        <v>173</v>
      </c>
      <c r="D17" s="340" t="s">
        <v>235</v>
      </c>
      <c r="E17" s="342"/>
      <c r="F17" s="345" t="s">
        <v>230</v>
      </c>
      <c r="G17" s="308">
        <v>1</v>
      </c>
      <c r="H17" s="309">
        <v>5000</v>
      </c>
      <c r="I17" s="309">
        <v>5000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5</v>
      </c>
      <c r="B18" s="342"/>
      <c r="C18" s="342" t="s">
        <v>173</v>
      </c>
      <c r="D18" s="340" t="s">
        <v>236</v>
      </c>
      <c r="E18" s="342"/>
      <c r="F18" s="345" t="s">
        <v>230</v>
      </c>
      <c r="G18" s="308">
        <v>2</v>
      </c>
      <c r="H18" s="309">
        <v>8000</v>
      </c>
      <c r="I18" s="309">
        <v>16000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5</v>
      </c>
      <c r="B19" s="342"/>
      <c r="C19" s="342" t="s">
        <v>173</v>
      </c>
      <c r="D19" s="340" t="s">
        <v>237</v>
      </c>
      <c r="E19" s="342"/>
      <c r="F19" s="345" t="s">
        <v>230</v>
      </c>
      <c r="G19" s="308">
        <v>1</v>
      </c>
      <c r="H19" s="309">
        <v>10000</v>
      </c>
      <c r="I19" s="309">
        <v>10000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5</v>
      </c>
      <c r="B20" s="342"/>
      <c r="C20" s="342" t="s">
        <v>173</v>
      </c>
      <c r="D20" s="340" t="s">
        <v>238</v>
      </c>
      <c r="E20" s="342"/>
      <c r="F20" s="345" t="s">
        <v>230</v>
      </c>
      <c r="G20" s="308">
        <v>2</v>
      </c>
      <c r="H20" s="309">
        <v>6000</v>
      </c>
      <c r="I20" s="309">
        <v>12000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5</v>
      </c>
      <c r="B21" s="342"/>
      <c r="C21" s="342" t="s">
        <v>173</v>
      </c>
      <c r="D21" s="340" t="s">
        <v>239</v>
      </c>
      <c r="E21" s="342"/>
      <c r="F21" s="345" t="s">
        <v>166</v>
      </c>
      <c r="G21" s="308">
        <v>1</v>
      </c>
      <c r="H21" s="309">
        <v>50000</v>
      </c>
      <c r="I21" s="309">
        <v>50000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5</v>
      </c>
      <c r="B22" s="342"/>
      <c r="C22" s="342" t="s">
        <v>173</v>
      </c>
      <c r="D22" s="340" t="s">
        <v>240</v>
      </c>
      <c r="E22" s="342"/>
      <c r="F22" s="345" t="s">
        <v>166</v>
      </c>
      <c r="G22" s="308">
        <v>1</v>
      </c>
      <c r="H22" s="309">
        <v>200</v>
      </c>
      <c r="I22" s="309">
        <v>200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 t="s">
        <v>241</v>
      </c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4</v>
      </c>
      <c r="B23" s="342"/>
      <c r="C23" s="342" t="s">
        <v>220</v>
      </c>
      <c r="D23" s="340" t="s">
        <v>221</v>
      </c>
      <c r="E23" s="342" t="s">
        <v>242</v>
      </c>
      <c r="F23" s="345" t="s">
        <v>218</v>
      </c>
      <c r="G23" s="308">
        <v>300</v>
      </c>
      <c r="H23" s="309">
        <v>1400</v>
      </c>
      <c r="I23" s="309">
        <v>420000</v>
      </c>
      <c r="J23" s="211">
        <v>300</v>
      </c>
      <c r="K23" s="212" t="str">
        <f>IF(OR(J23="",G23=J23),"","*")</f>
        <v/>
      </c>
      <c r="L23" s="338" t="str">
        <f>IF($A23&lt;=L$1,I23/I$4,"")</f>
        <v/>
      </c>
      <c r="M23" s="343"/>
      <c r="N23" s="344" t="s">
        <v>243</v>
      </c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5</v>
      </c>
      <c r="B24" s="342"/>
      <c r="C24" s="342" t="s">
        <v>173</v>
      </c>
      <c r="D24" s="340" t="s">
        <v>244</v>
      </c>
      <c r="E24" s="342"/>
      <c r="F24" s="345" t="s">
        <v>230</v>
      </c>
      <c r="G24" s="308">
        <v>1</v>
      </c>
      <c r="H24" s="309">
        <v>220000</v>
      </c>
      <c r="I24" s="309">
        <v>220000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5</v>
      </c>
      <c r="B25" s="342"/>
      <c r="C25" s="342" t="s">
        <v>173</v>
      </c>
      <c r="D25" s="340" t="s">
        <v>245</v>
      </c>
      <c r="E25" s="342"/>
      <c r="F25" s="345" t="s">
        <v>218</v>
      </c>
      <c r="G25" s="308">
        <v>370</v>
      </c>
      <c r="H25" s="309">
        <v>70</v>
      </c>
      <c r="I25" s="309">
        <v>25900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5</v>
      </c>
      <c r="B26" s="342"/>
      <c r="C26" s="342" t="s">
        <v>173</v>
      </c>
      <c r="D26" s="340" t="s">
        <v>246</v>
      </c>
      <c r="E26" s="342"/>
      <c r="F26" s="345" t="s">
        <v>230</v>
      </c>
      <c r="G26" s="308">
        <v>1</v>
      </c>
      <c r="H26" s="309">
        <v>15000</v>
      </c>
      <c r="I26" s="309">
        <v>15000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5</v>
      </c>
      <c r="B27" s="342"/>
      <c r="C27" s="342" t="s">
        <v>173</v>
      </c>
      <c r="D27" s="340" t="s">
        <v>247</v>
      </c>
      <c r="E27" s="342"/>
      <c r="F27" s="345" t="s">
        <v>230</v>
      </c>
      <c r="G27" s="308">
        <v>1</v>
      </c>
      <c r="H27" s="309">
        <v>90000</v>
      </c>
      <c r="I27" s="309">
        <v>90000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5</v>
      </c>
      <c r="B28" s="342"/>
      <c r="C28" s="342" t="s">
        <v>173</v>
      </c>
      <c r="D28" s="340" t="s">
        <v>228</v>
      </c>
      <c r="E28" s="342"/>
      <c r="F28" s="345" t="s">
        <v>227</v>
      </c>
      <c r="G28" s="308">
        <v>2</v>
      </c>
      <c r="H28" s="309">
        <v>4500</v>
      </c>
      <c r="I28" s="309">
        <v>9000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5</v>
      </c>
      <c r="B29" s="342"/>
      <c r="C29" s="342" t="s">
        <v>173</v>
      </c>
      <c r="D29" s="340" t="s">
        <v>239</v>
      </c>
      <c r="E29" s="342"/>
      <c r="F29" s="345" t="s">
        <v>166</v>
      </c>
      <c r="G29" s="308">
        <v>1</v>
      </c>
      <c r="H29" s="309">
        <v>60100</v>
      </c>
      <c r="I29" s="309">
        <v>60100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4</v>
      </c>
      <c r="B30" s="342"/>
      <c r="C30" s="342" t="s">
        <v>171</v>
      </c>
      <c r="D30" s="340" t="s">
        <v>248</v>
      </c>
      <c r="E30" s="342"/>
      <c r="F30" s="345" t="s">
        <v>249</v>
      </c>
      <c r="G30" s="308">
        <v>37</v>
      </c>
      <c r="H30" s="309">
        <v>15900</v>
      </c>
      <c r="I30" s="309">
        <v>588300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250</v>
      </c>
    </row>
    <row r="31" spans="1:32">
      <c r="A31" s="307">
        <v>4</v>
      </c>
      <c r="B31" s="342"/>
      <c r="C31" s="342" t="s">
        <v>171</v>
      </c>
      <c r="D31" s="340" t="s">
        <v>251</v>
      </c>
      <c r="E31" s="342"/>
      <c r="F31" s="345" t="s">
        <v>249</v>
      </c>
      <c r="G31" s="308">
        <v>11</v>
      </c>
      <c r="H31" s="309">
        <v>15600</v>
      </c>
      <c r="I31" s="309">
        <v>171600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252</v>
      </c>
    </row>
    <row r="32" spans="1:32">
      <c r="A32" s="307">
        <v>4</v>
      </c>
      <c r="B32" s="342"/>
      <c r="C32" s="342" t="s">
        <v>171</v>
      </c>
      <c r="D32" s="340" t="s">
        <v>253</v>
      </c>
      <c r="E32" s="342"/>
      <c r="F32" s="345" t="s">
        <v>225</v>
      </c>
      <c r="G32" s="308">
        <v>120</v>
      </c>
      <c r="H32" s="309">
        <v>155</v>
      </c>
      <c r="I32" s="309">
        <v>18600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4</v>
      </c>
      <c r="B33" s="342"/>
      <c r="C33" s="342" t="s">
        <v>171</v>
      </c>
      <c r="D33" s="340" t="s">
        <v>254</v>
      </c>
      <c r="E33" s="342" t="s">
        <v>255</v>
      </c>
      <c r="F33" s="345" t="s">
        <v>256</v>
      </c>
      <c r="G33" s="308">
        <v>6</v>
      </c>
      <c r="H33" s="309">
        <v>25000</v>
      </c>
      <c r="I33" s="309">
        <v>150000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257</v>
      </c>
    </row>
    <row r="34" spans="1:32">
      <c r="A34" s="307">
        <v>4</v>
      </c>
      <c r="B34" s="342"/>
      <c r="C34" s="342" t="s">
        <v>174</v>
      </c>
      <c r="D34" s="340" t="s">
        <v>258</v>
      </c>
      <c r="E34" s="342"/>
      <c r="F34" s="345" t="s">
        <v>230</v>
      </c>
      <c r="G34" s="308">
        <v>1</v>
      </c>
      <c r="H34" s="309">
        <v>45000</v>
      </c>
      <c r="I34" s="309">
        <v>45000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4</v>
      </c>
      <c r="B35" s="342"/>
      <c r="C35" s="342" t="s">
        <v>174</v>
      </c>
      <c r="D35" s="340" t="s">
        <v>259</v>
      </c>
      <c r="E35" s="342" t="s">
        <v>260</v>
      </c>
      <c r="F35" s="345" t="s">
        <v>230</v>
      </c>
      <c r="G35" s="308">
        <v>1</v>
      </c>
      <c r="H35" s="309">
        <v>50000</v>
      </c>
      <c r="I35" s="309">
        <v>50000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4</v>
      </c>
      <c r="B36" s="342"/>
      <c r="C36" s="342" t="s">
        <v>175</v>
      </c>
      <c r="D36" s="340" t="s">
        <v>261</v>
      </c>
      <c r="E36" s="342"/>
      <c r="F36" s="345" t="s">
        <v>230</v>
      </c>
      <c r="G36" s="308">
        <v>5</v>
      </c>
      <c r="H36" s="309">
        <v>48000</v>
      </c>
      <c r="I36" s="309">
        <v>240000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4</v>
      </c>
      <c r="B37" s="342"/>
      <c r="C37" s="342" t="s">
        <v>175</v>
      </c>
      <c r="D37" s="340" t="s">
        <v>262</v>
      </c>
      <c r="E37" s="342"/>
      <c r="F37" s="345" t="s">
        <v>249</v>
      </c>
      <c r="G37" s="308">
        <v>45</v>
      </c>
      <c r="H37" s="309">
        <v>700</v>
      </c>
      <c r="I37" s="309">
        <v>31500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4</v>
      </c>
      <c r="B38" s="342"/>
      <c r="C38" s="342" t="s">
        <v>171</v>
      </c>
      <c r="D38" s="340" t="s">
        <v>263</v>
      </c>
      <c r="E38" s="342"/>
      <c r="F38" s="345" t="s">
        <v>166</v>
      </c>
      <c r="G38" s="308">
        <v>1</v>
      </c>
      <c r="H38" s="309">
        <v>4800</v>
      </c>
      <c r="I38" s="309">
        <v>4800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3</v>
      </c>
      <c r="B39" s="342"/>
      <c r="C39" s="342" t="s">
        <v>214</v>
      </c>
      <c r="D39" s="340" t="s">
        <v>264</v>
      </c>
      <c r="E39" s="342"/>
      <c r="F39" s="345" t="s">
        <v>218</v>
      </c>
      <c r="G39" s="308">
        <v>300</v>
      </c>
      <c r="H39" s="309">
        <v>2900</v>
      </c>
      <c r="I39" s="309">
        <v>870000</v>
      </c>
      <c r="J39" s="211">
        <v>300</v>
      </c>
      <c r="K39" s="212" t="str">
        <f>IF(OR(J39="",G39=J39),"","*")</f>
        <v/>
      </c>
      <c r="L39" s="338">
        <f>IF($A39&lt;=L$1,I39/I$4,"")</f>
        <v>1.510618187329018E-2</v>
      </c>
      <c r="M39" s="343"/>
      <c r="N39" s="344" t="s">
        <v>265</v>
      </c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/>
    </row>
    <row r="40" spans="1:32">
      <c r="A40" s="307">
        <v>4</v>
      </c>
      <c r="B40" s="342"/>
      <c r="C40" s="342" t="s">
        <v>174</v>
      </c>
      <c r="D40" s="340" t="s">
        <v>266</v>
      </c>
      <c r="E40" s="342"/>
      <c r="F40" s="345" t="s">
        <v>230</v>
      </c>
      <c r="G40" s="308">
        <v>2</v>
      </c>
      <c r="H40" s="309">
        <v>150000</v>
      </c>
      <c r="I40" s="309">
        <v>300000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4</v>
      </c>
      <c r="B41" s="342"/>
      <c r="C41" s="342" t="s">
        <v>171</v>
      </c>
      <c r="D41" s="340" t="s">
        <v>267</v>
      </c>
      <c r="E41" s="342" t="s">
        <v>268</v>
      </c>
      <c r="F41" s="345" t="s">
        <v>166</v>
      </c>
      <c r="G41" s="308">
        <v>1</v>
      </c>
      <c r="H41" s="309">
        <v>150000</v>
      </c>
      <c r="I41" s="309">
        <v>150000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4</v>
      </c>
      <c r="B42" s="342"/>
      <c r="C42" s="342" t="s">
        <v>175</v>
      </c>
      <c r="D42" s="340" t="s">
        <v>269</v>
      </c>
      <c r="E42" s="342"/>
      <c r="F42" s="345" t="s">
        <v>166</v>
      </c>
      <c r="G42" s="308">
        <v>1</v>
      </c>
      <c r="H42" s="309">
        <v>50000</v>
      </c>
      <c r="I42" s="309">
        <v>50000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/>
    </row>
    <row r="43" spans="1:32">
      <c r="A43" s="307">
        <v>4</v>
      </c>
      <c r="B43" s="342"/>
      <c r="C43" s="342" t="s">
        <v>172</v>
      </c>
      <c r="D43" s="340" t="s">
        <v>270</v>
      </c>
      <c r="E43" s="342"/>
      <c r="F43" s="345" t="s">
        <v>227</v>
      </c>
      <c r="G43" s="308">
        <v>10</v>
      </c>
      <c r="H43" s="309">
        <v>20000</v>
      </c>
      <c r="I43" s="309">
        <v>200000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4</v>
      </c>
      <c r="B44" s="342"/>
      <c r="C44" s="342" t="s">
        <v>178</v>
      </c>
      <c r="D44" s="340" t="s">
        <v>271</v>
      </c>
      <c r="E44" s="342"/>
      <c r="F44" s="345" t="s">
        <v>227</v>
      </c>
      <c r="G44" s="308">
        <v>10</v>
      </c>
      <c r="H44" s="309">
        <v>3100</v>
      </c>
      <c r="I44" s="309">
        <v>31000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4</v>
      </c>
      <c r="B45" s="342"/>
      <c r="C45" s="342" t="s">
        <v>174</v>
      </c>
      <c r="D45" s="340" t="s">
        <v>272</v>
      </c>
      <c r="E45" s="342" t="s">
        <v>273</v>
      </c>
      <c r="F45" s="345" t="s">
        <v>230</v>
      </c>
      <c r="G45" s="308">
        <v>2</v>
      </c>
      <c r="H45" s="309">
        <v>15000</v>
      </c>
      <c r="I45" s="309">
        <v>30000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/>
    </row>
    <row r="46" spans="1:32">
      <c r="A46" s="307">
        <v>4</v>
      </c>
      <c r="B46" s="342"/>
      <c r="C46" s="342" t="s">
        <v>175</v>
      </c>
      <c r="D46" s="340" t="s">
        <v>274</v>
      </c>
      <c r="E46" s="342"/>
      <c r="F46" s="345" t="s">
        <v>230</v>
      </c>
      <c r="G46" s="308">
        <v>4</v>
      </c>
      <c r="H46" s="309">
        <v>8000</v>
      </c>
      <c r="I46" s="309">
        <v>32000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/>
    </row>
    <row r="47" spans="1:32">
      <c r="A47" s="307">
        <v>4</v>
      </c>
      <c r="B47" s="342"/>
      <c r="C47" s="342" t="s">
        <v>175</v>
      </c>
      <c r="D47" s="340" t="s">
        <v>275</v>
      </c>
      <c r="E47" s="342"/>
      <c r="F47" s="345" t="s">
        <v>230</v>
      </c>
      <c r="G47" s="308">
        <v>4</v>
      </c>
      <c r="H47" s="309">
        <v>6000</v>
      </c>
      <c r="I47" s="309">
        <v>24000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4</v>
      </c>
      <c r="B48" s="342"/>
      <c r="C48" s="342" t="s">
        <v>171</v>
      </c>
      <c r="D48" s="340" t="s">
        <v>263</v>
      </c>
      <c r="E48" s="342" t="s">
        <v>276</v>
      </c>
      <c r="F48" s="345" t="s">
        <v>166</v>
      </c>
      <c r="G48" s="308">
        <v>1</v>
      </c>
      <c r="H48" s="309">
        <v>13000</v>
      </c>
      <c r="I48" s="309">
        <v>13000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4</v>
      </c>
      <c r="B49" s="342"/>
      <c r="C49" s="342" t="s">
        <v>173</v>
      </c>
      <c r="D49" s="340" t="s">
        <v>277</v>
      </c>
      <c r="E49" s="342"/>
      <c r="F49" s="345" t="s">
        <v>166</v>
      </c>
      <c r="G49" s="308">
        <v>1</v>
      </c>
      <c r="H49" s="309">
        <v>40000</v>
      </c>
      <c r="I49" s="309">
        <v>40000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3</v>
      </c>
      <c r="B50" s="342"/>
      <c r="C50" s="342" t="s">
        <v>214</v>
      </c>
      <c r="D50" s="340" t="s">
        <v>278</v>
      </c>
      <c r="E50" s="342"/>
      <c r="F50" s="345" t="s">
        <v>166</v>
      </c>
      <c r="G50" s="308">
        <v>1</v>
      </c>
      <c r="H50" s="309">
        <v>55000</v>
      </c>
      <c r="I50" s="309">
        <v>55000</v>
      </c>
      <c r="J50" s="211">
        <v>1</v>
      </c>
      <c r="K50" s="212" t="str">
        <f>IF(OR(J50="",G50=J50),"","*")</f>
        <v/>
      </c>
      <c r="L50" s="338">
        <f>IF($A50&lt;=L$1,I50/I$4,"")</f>
        <v>9.5498850923098836E-4</v>
      </c>
      <c r="M50" s="343"/>
      <c r="N50" s="344" t="s">
        <v>279</v>
      </c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4</v>
      </c>
      <c r="B51" s="342"/>
      <c r="C51" s="342" t="s">
        <v>173</v>
      </c>
      <c r="D51" s="340" t="s">
        <v>280</v>
      </c>
      <c r="E51" s="342"/>
      <c r="F51" s="345" t="s">
        <v>166</v>
      </c>
      <c r="G51" s="308">
        <v>1</v>
      </c>
      <c r="H51" s="309">
        <v>55000</v>
      </c>
      <c r="I51" s="309">
        <v>55000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2</v>
      </c>
      <c r="B52" s="342"/>
      <c r="C52" s="342" t="s">
        <v>214</v>
      </c>
      <c r="D52" s="340" t="s">
        <v>281</v>
      </c>
      <c r="E52" s="342"/>
      <c r="F52" s="345" t="s">
        <v>166</v>
      </c>
      <c r="G52" s="308">
        <v>1</v>
      </c>
      <c r="H52" s="309">
        <v>1913000</v>
      </c>
      <c r="I52" s="309">
        <v>1913000</v>
      </c>
      <c r="J52" s="211">
        <v>1</v>
      </c>
      <c r="K52" s="212" t="str">
        <f>IF(OR(J52="",G52=J52),"","*")</f>
        <v/>
      </c>
      <c r="L52" s="338">
        <f>IF($A52&lt;=L$1,I52/I$4,"")</f>
        <v>3.3216236693797835E-2</v>
      </c>
      <c r="M52" s="343"/>
      <c r="N52" s="344" t="s">
        <v>282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214</v>
      </c>
      <c r="D53" s="340" t="s">
        <v>283</v>
      </c>
      <c r="E53" s="342" t="s">
        <v>284</v>
      </c>
      <c r="F53" s="345" t="s">
        <v>285</v>
      </c>
      <c r="G53" s="308">
        <v>200</v>
      </c>
      <c r="H53" s="309">
        <v>400</v>
      </c>
      <c r="I53" s="309">
        <v>80000</v>
      </c>
      <c r="J53" s="211">
        <v>200</v>
      </c>
      <c r="K53" s="212" t="str">
        <f>IF(OR(J53="",G53=J53),"","*")</f>
        <v/>
      </c>
      <c r="L53" s="338">
        <f>IF($A53&lt;=L$1,I53/I$4,"")</f>
        <v>1.3890741952450739E-3</v>
      </c>
      <c r="M53" s="343"/>
      <c r="N53" s="344" t="s">
        <v>286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173</v>
      </c>
      <c r="D54" s="340" t="s">
        <v>287</v>
      </c>
      <c r="E54" s="342" t="s">
        <v>288</v>
      </c>
      <c r="F54" s="345" t="s">
        <v>285</v>
      </c>
      <c r="G54" s="308">
        <v>200</v>
      </c>
      <c r="H54" s="309">
        <v>200</v>
      </c>
      <c r="I54" s="309">
        <v>40000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4</v>
      </c>
      <c r="B55" s="342"/>
      <c r="C55" s="342" t="s">
        <v>173</v>
      </c>
      <c r="D55" s="340" t="s">
        <v>289</v>
      </c>
      <c r="E55" s="342"/>
      <c r="F55" s="345" t="s">
        <v>285</v>
      </c>
      <c r="G55" s="308">
        <v>200</v>
      </c>
      <c r="H55" s="309">
        <v>100</v>
      </c>
      <c r="I55" s="309">
        <v>20000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173</v>
      </c>
      <c r="D56" s="340" t="s">
        <v>290</v>
      </c>
      <c r="E56" s="342"/>
      <c r="F56" s="345" t="s">
        <v>166</v>
      </c>
      <c r="G56" s="308">
        <v>1</v>
      </c>
      <c r="H56" s="309">
        <v>20000</v>
      </c>
      <c r="I56" s="309">
        <v>20000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214</v>
      </c>
      <c r="D57" s="340" t="s">
        <v>291</v>
      </c>
      <c r="E57" s="342" t="s">
        <v>292</v>
      </c>
      <c r="F57" s="345" t="s">
        <v>293</v>
      </c>
      <c r="G57" s="308">
        <v>5</v>
      </c>
      <c r="H57" s="309">
        <v>286600</v>
      </c>
      <c r="I57" s="309">
        <v>1433000</v>
      </c>
      <c r="J57" s="211">
        <v>5</v>
      </c>
      <c r="K57" s="212" t="str">
        <f>IF(OR(J57="",G57=J57),"","*")</f>
        <v/>
      </c>
      <c r="L57" s="338">
        <f>IF($A57&lt;=L$1,I57/I$4,"")</f>
        <v>2.4881791522327387E-2</v>
      </c>
      <c r="M57" s="343"/>
      <c r="N57" s="344" t="s">
        <v>294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4</v>
      </c>
      <c r="B58" s="342"/>
      <c r="C58" s="342" t="s">
        <v>220</v>
      </c>
      <c r="D58" s="340" t="s">
        <v>295</v>
      </c>
      <c r="E58" s="342"/>
      <c r="F58" s="345" t="s">
        <v>166</v>
      </c>
      <c r="G58" s="308">
        <v>1</v>
      </c>
      <c r="H58" s="309">
        <v>1350000</v>
      </c>
      <c r="I58" s="309">
        <v>1350000</v>
      </c>
      <c r="J58" s="211">
        <v>1</v>
      </c>
      <c r="K58" s="212" t="str">
        <f>IF(OR(J58="",G58=J58),"","*")</f>
        <v/>
      </c>
      <c r="L58" s="338" t="str">
        <f>IF($A58&lt;=L$1,I58/I$4,"")</f>
        <v/>
      </c>
      <c r="M58" s="343"/>
      <c r="N58" s="344" t="s">
        <v>296</v>
      </c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5</v>
      </c>
      <c r="B59" s="342"/>
      <c r="C59" s="342" t="s">
        <v>173</v>
      </c>
      <c r="D59" s="340" t="s">
        <v>297</v>
      </c>
      <c r="E59" s="342" t="s">
        <v>298</v>
      </c>
      <c r="F59" s="345" t="s">
        <v>293</v>
      </c>
      <c r="G59" s="308">
        <v>5</v>
      </c>
      <c r="H59" s="309">
        <v>120000</v>
      </c>
      <c r="I59" s="309">
        <v>600000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5</v>
      </c>
      <c r="B60" s="342"/>
      <c r="C60" s="342" t="s">
        <v>173</v>
      </c>
      <c r="D60" s="340" t="s">
        <v>299</v>
      </c>
      <c r="E60" s="342"/>
      <c r="F60" s="345" t="s">
        <v>166</v>
      </c>
      <c r="G60" s="308">
        <v>1</v>
      </c>
      <c r="H60" s="309">
        <v>50000</v>
      </c>
      <c r="I60" s="309">
        <v>50000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5</v>
      </c>
      <c r="B61" s="342"/>
      <c r="C61" s="342" t="s">
        <v>173</v>
      </c>
      <c r="D61" s="340" t="s">
        <v>300</v>
      </c>
      <c r="E61" s="342"/>
      <c r="F61" s="345" t="s">
        <v>166</v>
      </c>
      <c r="G61" s="308">
        <v>1</v>
      </c>
      <c r="H61" s="309">
        <v>50000</v>
      </c>
      <c r="I61" s="309">
        <v>50000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5</v>
      </c>
      <c r="B62" s="342"/>
      <c r="C62" s="342" t="s">
        <v>173</v>
      </c>
      <c r="D62" s="340" t="s">
        <v>301</v>
      </c>
      <c r="E62" s="342"/>
      <c r="F62" s="345" t="s">
        <v>302</v>
      </c>
      <c r="G62" s="308">
        <v>5</v>
      </c>
      <c r="H62" s="309">
        <v>6000</v>
      </c>
      <c r="I62" s="309">
        <v>30000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5</v>
      </c>
      <c r="B63" s="342"/>
      <c r="C63" s="342" t="s">
        <v>173</v>
      </c>
      <c r="D63" s="340" t="s">
        <v>303</v>
      </c>
      <c r="E63" s="342"/>
      <c r="F63" s="345" t="s">
        <v>302</v>
      </c>
      <c r="G63" s="308">
        <v>5</v>
      </c>
      <c r="H63" s="309">
        <v>2550</v>
      </c>
      <c r="I63" s="309">
        <v>12750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5</v>
      </c>
      <c r="B64" s="342"/>
      <c r="C64" s="342" t="s">
        <v>173</v>
      </c>
      <c r="D64" s="340" t="s">
        <v>304</v>
      </c>
      <c r="E64" s="342"/>
      <c r="F64" s="345" t="s">
        <v>302</v>
      </c>
      <c r="G64" s="308">
        <v>0.5</v>
      </c>
      <c r="H64" s="309">
        <v>35000</v>
      </c>
      <c r="I64" s="309">
        <v>17500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5</v>
      </c>
      <c r="B65" s="342"/>
      <c r="C65" s="342" t="s">
        <v>173</v>
      </c>
      <c r="D65" s="340" t="s">
        <v>224</v>
      </c>
      <c r="E65" s="342"/>
      <c r="F65" s="345" t="s">
        <v>225</v>
      </c>
      <c r="G65" s="308">
        <v>100</v>
      </c>
      <c r="H65" s="309">
        <v>160</v>
      </c>
      <c r="I65" s="309">
        <v>16000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5</v>
      </c>
      <c r="B66" s="342"/>
      <c r="C66" s="342" t="s">
        <v>173</v>
      </c>
      <c r="D66" s="340" t="s">
        <v>305</v>
      </c>
      <c r="E66" s="342"/>
      <c r="F66" s="345" t="s">
        <v>227</v>
      </c>
      <c r="G66" s="308">
        <v>12</v>
      </c>
      <c r="H66" s="309">
        <v>20000</v>
      </c>
      <c r="I66" s="309">
        <v>240000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5</v>
      </c>
      <c r="B67" s="342"/>
      <c r="C67" s="342" t="s">
        <v>173</v>
      </c>
      <c r="D67" s="340" t="s">
        <v>228</v>
      </c>
      <c r="E67" s="342"/>
      <c r="F67" s="345" t="s">
        <v>227</v>
      </c>
      <c r="G67" s="308">
        <v>12</v>
      </c>
      <c r="H67" s="309">
        <v>3100</v>
      </c>
      <c r="I67" s="309">
        <v>37200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5</v>
      </c>
      <c r="B68" s="342"/>
      <c r="C68" s="342" t="s">
        <v>173</v>
      </c>
      <c r="D68" s="340" t="s">
        <v>234</v>
      </c>
      <c r="E68" s="342"/>
      <c r="F68" s="345" t="s">
        <v>230</v>
      </c>
      <c r="G68" s="308">
        <v>2</v>
      </c>
      <c r="H68" s="309">
        <v>8000</v>
      </c>
      <c r="I68" s="309">
        <v>16000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5</v>
      </c>
      <c r="B69" s="342"/>
      <c r="C69" s="342" t="s">
        <v>173</v>
      </c>
      <c r="D69" s="340" t="s">
        <v>306</v>
      </c>
      <c r="E69" s="342"/>
      <c r="F69" s="345" t="s">
        <v>230</v>
      </c>
      <c r="G69" s="308">
        <v>2</v>
      </c>
      <c r="H69" s="309">
        <v>3500</v>
      </c>
      <c r="I69" s="309">
        <v>7000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5</v>
      </c>
      <c r="B70" s="342"/>
      <c r="C70" s="342" t="s">
        <v>173</v>
      </c>
      <c r="D70" s="340" t="s">
        <v>235</v>
      </c>
      <c r="E70" s="342" t="s">
        <v>307</v>
      </c>
      <c r="F70" s="345" t="s">
        <v>230</v>
      </c>
      <c r="G70" s="308">
        <v>2</v>
      </c>
      <c r="H70" s="309">
        <v>10000</v>
      </c>
      <c r="I70" s="309">
        <v>20000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5</v>
      </c>
      <c r="B71" s="342"/>
      <c r="C71" s="342" t="s">
        <v>173</v>
      </c>
      <c r="D71" s="340" t="s">
        <v>308</v>
      </c>
      <c r="E71" s="342"/>
      <c r="F71" s="345" t="s">
        <v>230</v>
      </c>
      <c r="G71" s="308">
        <v>2</v>
      </c>
      <c r="H71" s="309">
        <v>5000</v>
      </c>
      <c r="I71" s="309">
        <v>10000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5</v>
      </c>
      <c r="B72" s="342"/>
      <c r="C72" s="342" t="s">
        <v>173</v>
      </c>
      <c r="D72" s="340" t="s">
        <v>236</v>
      </c>
      <c r="E72" s="342"/>
      <c r="F72" s="345" t="s">
        <v>230</v>
      </c>
      <c r="G72" s="308">
        <v>2</v>
      </c>
      <c r="H72" s="309">
        <v>8000</v>
      </c>
      <c r="I72" s="309">
        <v>16000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5</v>
      </c>
      <c r="B73" s="342"/>
      <c r="C73" s="342" t="s">
        <v>173</v>
      </c>
      <c r="D73" s="340" t="s">
        <v>238</v>
      </c>
      <c r="E73" s="342"/>
      <c r="F73" s="345" t="s">
        <v>230</v>
      </c>
      <c r="G73" s="308">
        <v>2</v>
      </c>
      <c r="H73" s="309">
        <v>6000</v>
      </c>
      <c r="I73" s="309">
        <v>12000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5</v>
      </c>
      <c r="B74" s="342"/>
      <c r="C74" s="342" t="s">
        <v>173</v>
      </c>
      <c r="D74" s="340" t="s">
        <v>309</v>
      </c>
      <c r="E74" s="342"/>
      <c r="F74" s="345" t="s">
        <v>302</v>
      </c>
      <c r="G74" s="308">
        <v>15</v>
      </c>
      <c r="H74" s="309">
        <v>3500</v>
      </c>
      <c r="I74" s="309">
        <v>52500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5</v>
      </c>
      <c r="B75" s="342"/>
      <c r="C75" s="342" t="s">
        <v>173</v>
      </c>
      <c r="D75" s="340" t="s">
        <v>239</v>
      </c>
      <c r="E75" s="342"/>
      <c r="F75" s="345" t="s">
        <v>166</v>
      </c>
      <c r="G75" s="308">
        <v>1</v>
      </c>
      <c r="H75" s="309">
        <v>150000</v>
      </c>
      <c r="I75" s="309">
        <v>150000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307">
        <v>5</v>
      </c>
      <c r="B76" s="342"/>
      <c r="C76" s="342" t="s">
        <v>173</v>
      </c>
      <c r="D76" s="340" t="s">
        <v>310</v>
      </c>
      <c r="E76" s="342"/>
      <c r="F76" s="345" t="s">
        <v>166</v>
      </c>
      <c r="G76" s="308">
        <v>1</v>
      </c>
      <c r="H76" s="309">
        <v>13050</v>
      </c>
      <c r="I76" s="309">
        <v>13050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/>
    </row>
    <row r="77" spans="1:32">
      <c r="A77" s="307">
        <v>4</v>
      </c>
      <c r="B77" s="342"/>
      <c r="C77" s="342" t="s">
        <v>171</v>
      </c>
      <c r="D77" s="340" t="s">
        <v>311</v>
      </c>
      <c r="E77" s="342" t="s">
        <v>312</v>
      </c>
      <c r="F77" s="345" t="s">
        <v>249</v>
      </c>
      <c r="G77" s="308">
        <v>5</v>
      </c>
      <c r="H77" s="309">
        <v>15900</v>
      </c>
      <c r="I77" s="309">
        <v>79500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4</v>
      </c>
      <c r="B78" s="342"/>
      <c r="C78" s="342" t="s">
        <v>175</v>
      </c>
      <c r="D78" s="340" t="s">
        <v>313</v>
      </c>
      <c r="E78" s="342"/>
      <c r="F78" s="345" t="s">
        <v>249</v>
      </c>
      <c r="G78" s="308">
        <v>5</v>
      </c>
      <c r="H78" s="309">
        <v>700</v>
      </c>
      <c r="I78" s="309">
        <v>3500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3</v>
      </c>
      <c r="B79" s="342"/>
      <c r="C79" s="342" t="s">
        <v>214</v>
      </c>
      <c r="D79" s="340" t="s">
        <v>314</v>
      </c>
      <c r="E79" s="342" t="s">
        <v>315</v>
      </c>
      <c r="F79" s="345" t="s">
        <v>285</v>
      </c>
      <c r="G79" s="308">
        <v>200</v>
      </c>
      <c r="H79" s="309">
        <v>2000</v>
      </c>
      <c r="I79" s="309">
        <v>400000</v>
      </c>
      <c r="J79" s="211">
        <v>200</v>
      </c>
      <c r="K79" s="212" t="str">
        <f>IF(OR(J79="",G79=J79),"","*")</f>
        <v/>
      </c>
      <c r="L79" s="338">
        <f>IF($A79&lt;=L$1,I79/I$4,"")</f>
        <v>6.9453709762253698E-3</v>
      </c>
      <c r="M79" s="343"/>
      <c r="N79" s="344" t="s">
        <v>316</v>
      </c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307">
        <v>4</v>
      </c>
      <c r="B80" s="342"/>
      <c r="C80" s="342" t="s">
        <v>171</v>
      </c>
      <c r="D80" s="340" t="s">
        <v>317</v>
      </c>
      <c r="E80" s="342" t="s">
        <v>318</v>
      </c>
      <c r="F80" s="345" t="s">
        <v>285</v>
      </c>
      <c r="G80" s="308">
        <v>200</v>
      </c>
      <c r="H80" s="309">
        <v>1000</v>
      </c>
      <c r="I80" s="309">
        <v>200000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/>
    </row>
    <row r="81" spans="1:32">
      <c r="A81" s="307">
        <v>4</v>
      </c>
      <c r="B81" s="342"/>
      <c r="C81" s="342" t="s">
        <v>171</v>
      </c>
      <c r="D81" s="340" t="s">
        <v>319</v>
      </c>
      <c r="E81" s="342"/>
      <c r="F81" s="345" t="s">
        <v>225</v>
      </c>
      <c r="G81" s="308">
        <v>60</v>
      </c>
      <c r="H81" s="309">
        <v>160</v>
      </c>
      <c r="I81" s="309">
        <v>9600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/>
    </row>
    <row r="82" spans="1:32">
      <c r="A82" s="307">
        <v>4</v>
      </c>
      <c r="B82" s="342"/>
      <c r="C82" s="342" t="s">
        <v>172</v>
      </c>
      <c r="D82" s="340" t="s">
        <v>270</v>
      </c>
      <c r="E82" s="342"/>
      <c r="F82" s="345" t="s">
        <v>227</v>
      </c>
      <c r="G82" s="308">
        <v>6</v>
      </c>
      <c r="H82" s="309">
        <v>20000</v>
      </c>
      <c r="I82" s="309">
        <v>120000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/>
    </row>
    <row r="83" spans="1:32">
      <c r="A83" s="307">
        <v>4</v>
      </c>
      <c r="B83" s="342"/>
      <c r="C83" s="342" t="s">
        <v>178</v>
      </c>
      <c r="D83" s="340" t="s">
        <v>271</v>
      </c>
      <c r="E83" s="342"/>
      <c r="F83" s="345" t="s">
        <v>227</v>
      </c>
      <c r="G83" s="308">
        <v>6</v>
      </c>
      <c r="H83" s="309">
        <v>3100</v>
      </c>
      <c r="I83" s="309">
        <v>18600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/>
    </row>
    <row r="84" spans="1:32">
      <c r="A84" s="307">
        <v>4</v>
      </c>
      <c r="B84" s="342"/>
      <c r="C84" s="342" t="s">
        <v>174</v>
      </c>
      <c r="D84" s="340" t="s">
        <v>272</v>
      </c>
      <c r="E84" s="342"/>
      <c r="F84" s="345" t="s">
        <v>230</v>
      </c>
      <c r="G84" s="308">
        <v>2</v>
      </c>
      <c r="H84" s="309">
        <v>5000</v>
      </c>
      <c r="I84" s="309">
        <v>10000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/>
    </row>
    <row r="85" spans="1:32">
      <c r="A85" s="307">
        <v>4</v>
      </c>
      <c r="B85" s="342"/>
      <c r="C85" s="342" t="s">
        <v>175</v>
      </c>
      <c r="D85" s="340" t="s">
        <v>274</v>
      </c>
      <c r="E85" s="342"/>
      <c r="F85" s="345" t="s">
        <v>230</v>
      </c>
      <c r="G85" s="308">
        <v>2</v>
      </c>
      <c r="H85" s="309">
        <v>8000</v>
      </c>
      <c r="I85" s="309">
        <v>16000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/>
    </row>
    <row r="86" spans="1:32">
      <c r="A86" s="307">
        <v>4</v>
      </c>
      <c r="B86" s="342"/>
      <c r="C86" s="342" t="s">
        <v>175</v>
      </c>
      <c r="D86" s="340" t="s">
        <v>275</v>
      </c>
      <c r="E86" s="342"/>
      <c r="F86" s="345" t="s">
        <v>230</v>
      </c>
      <c r="G86" s="308">
        <v>2</v>
      </c>
      <c r="H86" s="309">
        <v>6000</v>
      </c>
      <c r="I86" s="309">
        <v>12000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4</v>
      </c>
      <c r="B87" s="342"/>
      <c r="C87" s="342" t="s">
        <v>171</v>
      </c>
      <c r="D87" s="340" t="s">
        <v>263</v>
      </c>
      <c r="E87" s="342"/>
      <c r="F87" s="345" t="s">
        <v>166</v>
      </c>
      <c r="G87" s="308">
        <v>1</v>
      </c>
      <c r="H87" s="309">
        <v>13800</v>
      </c>
      <c r="I87" s="309">
        <v>13800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307">
        <v>2</v>
      </c>
      <c r="B88" s="342"/>
      <c r="C88" s="342" t="s">
        <v>214</v>
      </c>
      <c r="D88" s="340" t="s">
        <v>320</v>
      </c>
      <c r="E88" s="342"/>
      <c r="F88" s="345" t="s">
        <v>167</v>
      </c>
      <c r="G88" s="308">
        <v>201</v>
      </c>
      <c r="H88" s="309">
        <v>56533</v>
      </c>
      <c r="I88" s="309">
        <v>11363133</v>
      </c>
      <c r="J88" s="211">
        <v>201</v>
      </c>
      <c r="K88" s="212" t="str">
        <f>IF(OR(J88="",G88=J88),"","*")</f>
        <v/>
      </c>
      <c r="L88" s="338">
        <f>IF($A88&lt;=L$1,I88/I$4,"")</f>
        <v>0.1973029353429718</v>
      </c>
      <c r="M88" s="343"/>
      <c r="N88" s="344" t="s">
        <v>321</v>
      </c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/>
      <c r="AF88" s="341"/>
    </row>
    <row r="89" spans="1:32">
      <c r="A89" s="307">
        <v>3</v>
      </c>
      <c r="B89" s="342"/>
      <c r="C89" s="342" t="s">
        <v>214</v>
      </c>
      <c r="D89" s="340" t="s">
        <v>322</v>
      </c>
      <c r="E89" s="342"/>
      <c r="F89" s="345" t="s">
        <v>167</v>
      </c>
      <c r="G89" s="308">
        <v>201</v>
      </c>
      <c r="H89" s="309">
        <v>56533</v>
      </c>
      <c r="I89" s="309">
        <v>11363133</v>
      </c>
      <c r="J89" s="211">
        <v>201</v>
      </c>
      <c r="K89" s="212" t="str">
        <f>IF(OR(J89="",G89=J89),"","*")</f>
        <v/>
      </c>
      <c r="L89" s="338">
        <f>IF($A89&lt;=L$1,I89/I$4,"")</f>
        <v>0.1973029353429718</v>
      </c>
      <c r="M89" s="343"/>
      <c r="N89" s="344" t="s">
        <v>323</v>
      </c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/>
      <c r="AF89" s="341"/>
    </row>
    <row r="90" spans="1:32">
      <c r="A90" s="307">
        <v>4</v>
      </c>
      <c r="B90" s="342"/>
      <c r="C90" s="342" t="s">
        <v>220</v>
      </c>
      <c r="D90" s="340" t="s">
        <v>324</v>
      </c>
      <c r="E90" s="342" t="s">
        <v>325</v>
      </c>
      <c r="F90" s="345" t="s">
        <v>166</v>
      </c>
      <c r="G90" s="308">
        <v>1</v>
      </c>
      <c r="H90" s="309">
        <v>4032750</v>
      </c>
      <c r="I90" s="309">
        <v>4032750</v>
      </c>
      <c r="J90" s="211">
        <v>1</v>
      </c>
      <c r="K90" s="212" t="str">
        <f>IF(OR(J90="",G90=J90),"","*")</f>
        <v/>
      </c>
      <c r="L90" s="338" t="str">
        <f>IF($A90&lt;=L$1,I90/I$4,"")</f>
        <v/>
      </c>
      <c r="M90" s="343"/>
      <c r="N90" s="344" t="s">
        <v>326</v>
      </c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5</v>
      </c>
      <c r="B91" s="342"/>
      <c r="C91" s="342" t="s">
        <v>173</v>
      </c>
      <c r="D91" s="340" t="s">
        <v>327</v>
      </c>
      <c r="E91" s="342"/>
      <c r="F91" s="345" t="s">
        <v>227</v>
      </c>
      <c r="G91" s="308">
        <v>6</v>
      </c>
      <c r="H91" s="309">
        <v>25000</v>
      </c>
      <c r="I91" s="309">
        <v>150000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5</v>
      </c>
      <c r="B92" s="342"/>
      <c r="C92" s="342" t="s">
        <v>173</v>
      </c>
      <c r="D92" s="340" t="s">
        <v>328</v>
      </c>
      <c r="E92" s="342" t="s">
        <v>329</v>
      </c>
      <c r="F92" s="345" t="s">
        <v>227</v>
      </c>
      <c r="G92" s="308">
        <v>55</v>
      </c>
      <c r="H92" s="309">
        <v>25000</v>
      </c>
      <c r="I92" s="309">
        <v>1375000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/>
      <c r="AF92" s="341"/>
    </row>
    <row r="93" spans="1:32">
      <c r="A93" s="307">
        <v>5</v>
      </c>
      <c r="B93" s="342"/>
      <c r="C93" s="342" t="s">
        <v>173</v>
      </c>
      <c r="D93" s="340" t="s">
        <v>330</v>
      </c>
      <c r="E93" s="342"/>
      <c r="F93" s="345" t="s">
        <v>227</v>
      </c>
      <c r="G93" s="308">
        <v>10</v>
      </c>
      <c r="H93" s="309">
        <v>25000</v>
      </c>
      <c r="I93" s="309">
        <v>250000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/>
    </row>
    <row r="94" spans="1:32">
      <c r="A94" s="307">
        <v>5</v>
      </c>
      <c r="B94" s="342"/>
      <c r="C94" s="342" t="s">
        <v>173</v>
      </c>
      <c r="D94" s="340" t="s">
        <v>331</v>
      </c>
      <c r="E94" s="342"/>
      <c r="F94" s="345" t="s">
        <v>166</v>
      </c>
      <c r="G94" s="308">
        <v>1</v>
      </c>
      <c r="H94" s="309">
        <v>500000</v>
      </c>
      <c r="I94" s="309">
        <v>500000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/>
    </row>
    <row r="95" spans="1:32">
      <c r="A95" s="307">
        <v>5</v>
      </c>
      <c r="B95" s="342"/>
      <c r="C95" s="342" t="s">
        <v>173</v>
      </c>
      <c r="D95" s="340" t="s">
        <v>332</v>
      </c>
      <c r="E95" s="342" t="s">
        <v>333</v>
      </c>
      <c r="F95" s="345" t="s">
        <v>166</v>
      </c>
      <c r="G95" s="308">
        <v>1</v>
      </c>
      <c r="H95" s="309">
        <v>180000</v>
      </c>
      <c r="I95" s="309">
        <v>180000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/>
    </row>
    <row r="96" spans="1:32">
      <c r="A96" s="307">
        <v>5</v>
      </c>
      <c r="B96" s="342"/>
      <c r="C96" s="342" t="s">
        <v>173</v>
      </c>
      <c r="D96" s="340" t="s">
        <v>334</v>
      </c>
      <c r="E96" s="342" t="s">
        <v>335</v>
      </c>
      <c r="F96" s="345" t="s">
        <v>166</v>
      </c>
      <c r="G96" s="308">
        <v>1</v>
      </c>
      <c r="H96" s="309">
        <v>200000</v>
      </c>
      <c r="I96" s="309">
        <v>200000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/>
    </row>
    <row r="97" spans="1:32">
      <c r="A97" s="307">
        <v>5</v>
      </c>
      <c r="B97" s="342"/>
      <c r="C97" s="342" t="s">
        <v>173</v>
      </c>
      <c r="D97" s="340" t="s">
        <v>334</v>
      </c>
      <c r="E97" s="342" t="s">
        <v>336</v>
      </c>
      <c r="F97" s="345" t="s">
        <v>227</v>
      </c>
      <c r="G97" s="308">
        <v>65</v>
      </c>
      <c r="H97" s="309">
        <v>10000</v>
      </c>
      <c r="I97" s="309">
        <v>650000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/>
    </row>
    <row r="98" spans="1:32">
      <c r="A98" s="307">
        <v>5</v>
      </c>
      <c r="B98" s="342"/>
      <c r="C98" s="342" t="s">
        <v>173</v>
      </c>
      <c r="D98" s="340" t="s">
        <v>337</v>
      </c>
      <c r="E98" s="342"/>
      <c r="F98" s="345" t="s">
        <v>166</v>
      </c>
      <c r="G98" s="308">
        <v>1</v>
      </c>
      <c r="H98" s="309">
        <v>447300</v>
      </c>
      <c r="I98" s="309">
        <v>447300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/>
      <c r="AF98" s="341"/>
    </row>
    <row r="99" spans="1:32">
      <c r="A99" s="307">
        <v>5</v>
      </c>
      <c r="B99" s="342"/>
      <c r="C99" s="342" t="s">
        <v>173</v>
      </c>
      <c r="D99" s="340" t="s">
        <v>228</v>
      </c>
      <c r="E99" s="342"/>
      <c r="F99" s="345" t="s">
        <v>166</v>
      </c>
      <c r="G99" s="308">
        <v>1</v>
      </c>
      <c r="H99" s="309">
        <v>280450</v>
      </c>
      <c r="I99" s="309">
        <v>280450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/>
    </row>
    <row r="100" spans="1:32">
      <c r="A100" s="307">
        <v>4</v>
      </c>
      <c r="B100" s="342"/>
      <c r="C100" s="342" t="s">
        <v>171</v>
      </c>
      <c r="D100" s="340" t="s">
        <v>338</v>
      </c>
      <c r="E100" s="342" t="s">
        <v>339</v>
      </c>
      <c r="F100" s="345" t="s">
        <v>340</v>
      </c>
      <c r="G100" s="308">
        <v>200</v>
      </c>
      <c r="H100" s="309">
        <v>11550</v>
      </c>
      <c r="I100" s="309">
        <v>2310000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/>
      <c r="AF100" s="341"/>
    </row>
    <row r="101" spans="1:32">
      <c r="A101" s="307">
        <v>4</v>
      </c>
      <c r="B101" s="342"/>
      <c r="C101" s="342" t="s">
        <v>171</v>
      </c>
      <c r="D101" s="340" t="s">
        <v>341</v>
      </c>
      <c r="E101" s="342"/>
      <c r="F101" s="345" t="s">
        <v>340</v>
      </c>
      <c r="G101" s="308">
        <v>200</v>
      </c>
      <c r="H101" s="309">
        <v>500</v>
      </c>
      <c r="I101" s="309">
        <v>100000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/>
    </row>
    <row r="102" spans="1:32">
      <c r="A102" s="307">
        <v>4</v>
      </c>
      <c r="B102" s="342"/>
      <c r="C102" s="342" t="s">
        <v>171</v>
      </c>
      <c r="D102" s="340" t="s">
        <v>342</v>
      </c>
      <c r="E102" s="342" t="s">
        <v>343</v>
      </c>
      <c r="F102" s="345" t="s">
        <v>344</v>
      </c>
      <c r="G102" s="308">
        <v>60</v>
      </c>
      <c r="H102" s="309">
        <v>1575</v>
      </c>
      <c r="I102" s="309">
        <v>94500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/>
      <c r="AF102" s="341"/>
    </row>
    <row r="103" spans="1:32">
      <c r="A103" s="307">
        <v>4</v>
      </c>
      <c r="B103" s="342"/>
      <c r="C103" s="342" t="s">
        <v>171</v>
      </c>
      <c r="D103" s="340" t="s">
        <v>341</v>
      </c>
      <c r="E103" s="342"/>
      <c r="F103" s="345" t="s">
        <v>344</v>
      </c>
      <c r="G103" s="308">
        <v>60</v>
      </c>
      <c r="H103" s="309">
        <v>1000</v>
      </c>
      <c r="I103" s="309">
        <v>60000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/>
      <c r="AF103" s="341"/>
    </row>
    <row r="104" spans="1:32">
      <c r="A104" s="307">
        <v>4</v>
      </c>
      <c r="B104" s="342"/>
      <c r="C104" s="342" t="s">
        <v>171</v>
      </c>
      <c r="D104" s="340" t="s">
        <v>345</v>
      </c>
      <c r="E104" s="342"/>
      <c r="F104" s="345" t="s">
        <v>346</v>
      </c>
      <c r="G104" s="308">
        <v>100</v>
      </c>
      <c r="H104" s="309">
        <v>9000</v>
      </c>
      <c r="I104" s="309">
        <v>900000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/>
      <c r="AF104" s="341" t="s">
        <v>347</v>
      </c>
    </row>
    <row r="105" spans="1:32">
      <c r="A105" s="307">
        <v>4</v>
      </c>
      <c r="B105" s="342"/>
      <c r="C105" s="342" t="s">
        <v>171</v>
      </c>
      <c r="D105" s="340" t="s">
        <v>348</v>
      </c>
      <c r="E105" s="342" t="s">
        <v>349</v>
      </c>
      <c r="F105" s="345" t="s">
        <v>256</v>
      </c>
      <c r="G105" s="308">
        <v>110</v>
      </c>
      <c r="H105" s="309">
        <v>1200</v>
      </c>
      <c r="I105" s="309">
        <v>132000</v>
      </c>
      <c r="J105" s="211"/>
      <c r="K105" s="212" t="str">
        <f>IF(OR(J105="",G105=J105),"","*")</f>
        <v/>
      </c>
      <c r="L105" s="338" t="str">
        <f>IF($A105&lt;=L$1,I105/I$4,"")</f>
        <v/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/>
    </row>
    <row r="106" spans="1:32">
      <c r="A106" s="307">
        <v>4</v>
      </c>
      <c r="B106" s="342"/>
      <c r="C106" s="342" t="s">
        <v>171</v>
      </c>
      <c r="D106" s="340" t="s">
        <v>350</v>
      </c>
      <c r="E106" s="342" t="s">
        <v>349</v>
      </c>
      <c r="F106" s="345" t="s">
        <v>340</v>
      </c>
      <c r="G106" s="308">
        <v>4</v>
      </c>
      <c r="H106" s="309">
        <v>3000</v>
      </c>
      <c r="I106" s="309">
        <v>12000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/>
      <c r="AF106" s="341"/>
    </row>
    <row r="107" spans="1:32">
      <c r="A107" s="307">
        <v>4</v>
      </c>
      <c r="B107" s="342"/>
      <c r="C107" s="342" t="s">
        <v>171</v>
      </c>
      <c r="D107" s="340" t="s">
        <v>351</v>
      </c>
      <c r="E107" s="342" t="s">
        <v>352</v>
      </c>
      <c r="F107" s="345" t="s">
        <v>166</v>
      </c>
      <c r="G107" s="308">
        <v>1</v>
      </c>
      <c r="H107" s="309">
        <v>200000</v>
      </c>
      <c r="I107" s="309">
        <v>200000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/>
      <c r="AF107" s="341"/>
    </row>
    <row r="108" spans="1:32">
      <c r="A108" s="307">
        <v>4</v>
      </c>
      <c r="B108" s="342"/>
      <c r="C108" s="342" t="s">
        <v>171</v>
      </c>
      <c r="D108" s="340" t="s">
        <v>263</v>
      </c>
      <c r="E108" s="342" t="s">
        <v>353</v>
      </c>
      <c r="F108" s="345" t="s">
        <v>354</v>
      </c>
      <c r="G108" s="308">
        <v>12</v>
      </c>
      <c r="H108" s="309">
        <v>10000</v>
      </c>
      <c r="I108" s="309">
        <v>120000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/>
    </row>
    <row r="109" spans="1:32">
      <c r="A109" s="307">
        <v>4</v>
      </c>
      <c r="B109" s="342"/>
      <c r="C109" s="342" t="s">
        <v>172</v>
      </c>
      <c r="D109" s="340" t="s">
        <v>355</v>
      </c>
      <c r="E109" s="342" t="s">
        <v>356</v>
      </c>
      <c r="F109" s="345" t="s">
        <v>227</v>
      </c>
      <c r="G109" s="308">
        <v>75</v>
      </c>
      <c r="H109" s="309">
        <v>20000</v>
      </c>
      <c r="I109" s="309">
        <v>1500000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/>
      <c r="AF109" s="341"/>
    </row>
    <row r="110" spans="1:32">
      <c r="A110" s="307">
        <v>4</v>
      </c>
      <c r="B110" s="342"/>
      <c r="C110" s="342" t="s">
        <v>178</v>
      </c>
      <c r="D110" s="340" t="s">
        <v>271</v>
      </c>
      <c r="E110" s="342"/>
      <c r="F110" s="345" t="s">
        <v>227</v>
      </c>
      <c r="G110" s="308">
        <v>75</v>
      </c>
      <c r="H110" s="309">
        <v>3100</v>
      </c>
      <c r="I110" s="309">
        <v>232500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/>
    </row>
    <row r="111" spans="1:32">
      <c r="A111" s="307">
        <v>4</v>
      </c>
      <c r="B111" s="342"/>
      <c r="C111" s="342" t="s">
        <v>175</v>
      </c>
      <c r="D111" s="340" t="s">
        <v>274</v>
      </c>
      <c r="E111" s="342"/>
      <c r="F111" s="345" t="s">
        <v>230</v>
      </c>
      <c r="G111" s="308">
        <v>30</v>
      </c>
      <c r="H111" s="309">
        <v>8000</v>
      </c>
      <c r="I111" s="309">
        <v>240000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4</v>
      </c>
      <c r="B112" s="342"/>
      <c r="C112" s="342" t="s">
        <v>175</v>
      </c>
      <c r="D112" s="340" t="s">
        <v>275</v>
      </c>
      <c r="E112" s="342"/>
      <c r="F112" s="345" t="s">
        <v>230</v>
      </c>
      <c r="G112" s="308">
        <v>30</v>
      </c>
      <c r="H112" s="309">
        <v>6000</v>
      </c>
      <c r="I112" s="309">
        <v>180000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/>
    </row>
    <row r="113" spans="1:32">
      <c r="A113" s="307">
        <v>4</v>
      </c>
      <c r="B113" s="342"/>
      <c r="C113" s="342" t="s">
        <v>171</v>
      </c>
      <c r="D113" s="340" t="s">
        <v>263</v>
      </c>
      <c r="E113" s="342"/>
      <c r="F113" s="345" t="s">
        <v>354</v>
      </c>
      <c r="G113" s="308">
        <v>15</v>
      </c>
      <c r="H113" s="309">
        <v>5000</v>
      </c>
      <c r="I113" s="309">
        <v>75000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/>
      <c r="AF113" s="341"/>
    </row>
    <row r="114" spans="1:32">
      <c r="A114" s="307">
        <v>4</v>
      </c>
      <c r="B114" s="342"/>
      <c r="C114" s="342" t="s">
        <v>174</v>
      </c>
      <c r="D114" s="340" t="s">
        <v>357</v>
      </c>
      <c r="E114" s="342" t="s">
        <v>358</v>
      </c>
      <c r="F114" s="345" t="s">
        <v>354</v>
      </c>
      <c r="G114" s="308">
        <v>15</v>
      </c>
      <c r="H114" s="309">
        <v>50000</v>
      </c>
      <c r="I114" s="309">
        <v>750000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/>
      <c r="AF114" s="341"/>
    </row>
    <row r="115" spans="1:32">
      <c r="A115" s="307">
        <v>4</v>
      </c>
      <c r="B115" s="342"/>
      <c r="C115" s="342" t="s">
        <v>173</v>
      </c>
      <c r="D115" s="340" t="s">
        <v>359</v>
      </c>
      <c r="E115" s="342"/>
      <c r="F115" s="345" t="s">
        <v>230</v>
      </c>
      <c r="G115" s="308">
        <v>3</v>
      </c>
      <c r="H115" s="309">
        <v>35000</v>
      </c>
      <c r="I115" s="309">
        <v>105000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/>
    </row>
    <row r="116" spans="1:32">
      <c r="A116" s="307">
        <v>4</v>
      </c>
      <c r="B116" s="342"/>
      <c r="C116" s="342" t="s">
        <v>173</v>
      </c>
      <c r="D116" s="340" t="s">
        <v>277</v>
      </c>
      <c r="E116" s="342"/>
      <c r="F116" s="345" t="s">
        <v>166</v>
      </c>
      <c r="G116" s="308">
        <v>1</v>
      </c>
      <c r="H116" s="309">
        <v>300000</v>
      </c>
      <c r="I116" s="309">
        <v>300000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/>
    </row>
    <row r="117" spans="1:32">
      <c r="A117" s="307">
        <v>4</v>
      </c>
      <c r="B117" s="342"/>
      <c r="C117" s="342" t="s">
        <v>171</v>
      </c>
      <c r="D117" s="340" t="s">
        <v>360</v>
      </c>
      <c r="E117" s="342"/>
      <c r="F117" s="345" t="s">
        <v>166</v>
      </c>
      <c r="G117" s="308">
        <v>1</v>
      </c>
      <c r="H117" s="309">
        <v>19208</v>
      </c>
      <c r="I117" s="309">
        <v>19208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/>
      <c r="AF117" s="341"/>
    </row>
    <row r="118" spans="1:32">
      <c r="A118" s="307">
        <v>4</v>
      </c>
      <c r="B118" s="342"/>
      <c r="C118" s="342"/>
      <c r="D118" s="340" t="s">
        <v>267</v>
      </c>
      <c r="E118" s="342"/>
      <c r="F118" s="345" t="s">
        <v>166</v>
      </c>
      <c r="G118" s="308">
        <v>1</v>
      </c>
      <c r="H118" s="309">
        <v>175</v>
      </c>
      <c r="I118" s="309">
        <v>175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/>
      <c r="AF118" s="341"/>
    </row>
    <row r="119" spans="1:32">
      <c r="A119" s="307">
        <v>2</v>
      </c>
      <c r="B119" s="342"/>
      <c r="C119" s="342" t="s">
        <v>214</v>
      </c>
      <c r="D119" s="340" t="s">
        <v>361</v>
      </c>
      <c r="E119" s="342"/>
      <c r="F119" s="345" t="s">
        <v>166</v>
      </c>
      <c r="G119" s="308">
        <v>1</v>
      </c>
      <c r="H119" s="309">
        <v>5176800</v>
      </c>
      <c r="I119" s="309">
        <v>5176800</v>
      </c>
      <c r="J119" s="211">
        <v>1</v>
      </c>
      <c r="K119" s="212" t="str">
        <f>IF(OR(J119="",G119=J119),"","*")</f>
        <v/>
      </c>
      <c r="L119" s="338">
        <f>IF($A119&lt;=L$1,I119/I$4,"")</f>
        <v>8.9886991174308734E-2</v>
      </c>
      <c r="M119" s="343"/>
      <c r="N119" s="344" t="s">
        <v>362</v>
      </c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/>
    </row>
    <row r="120" spans="1:32">
      <c r="A120" s="307">
        <v>3</v>
      </c>
      <c r="B120" s="342"/>
      <c r="C120" s="342" t="s">
        <v>214</v>
      </c>
      <c r="D120" s="340" t="s">
        <v>363</v>
      </c>
      <c r="E120" s="342" t="s">
        <v>284</v>
      </c>
      <c r="F120" s="345" t="s">
        <v>285</v>
      </c>
      <c r="G120" s="308">
        <v>160</v>
      </c>
      <c r="H120" s="309">
        <v>4980</v>
      </c>
      <c r="I120" s="309">
        <v>796800</v>
      </c>
      <c r="J120" s="211">
        <v>160</v>
      </c>
      <c r="K120" s="212" t="str">
        <f>IF(OR(J120="",G120=J120),"","*")</f>
        <v/>
      </c>
      <c r="L120" s="338">
        <f>IF($A120&lt;=L$1,I120/I$4,"")</f>
        <v>1.3835178984640937E-2</v>
      </c>
      <c r="M120" s="343"/>
      <c r="N120" s="344" t="s">
        <v>364</v>
      </c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/>
      <c r="AF120" s="341"/>
    </row>
    <row r="121" spans="1:32">
      <c r="A121" s="307">
        <v>4</v>
      </c>
      <c r="B121" s="342"/>
      <c r="C121" s="342" t="s">
        <v>171</v>
      </c>
      <c r="D121" s="340" t="s">
        <v>263</v>
      </c>
      <c r="E121" s="342" t="s">
        <v>365</v>
      </c>
      <c r="F121" s="345" t="s">
        <v>166</v>
      </c>
      <c r="G121" s="308">
        <v>1</v>
      </c>
      <c r="H121" s="309">
        <v>100000</v>
      </c>
      <c r="I121" s="309">
        <v>100000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/>
      <c r="AF121" s="341"/>
    </row>
    <row r="122" spans="1:32">
      <c r="A122" s="307">
        <v>4</v>
      </c>
      <c r="B122" s="342"/>
      <c r="C122" s="342" t="s">
        <v>172</v>
      </c>
      <c r="D122" s="340" t="s">
        <v>270</v>
      </c>
      <c r="E122" s="342" t="s">
        <v>366</v>
      </c>
      <c r="F122" s="345" t="s">
        <v>227</v>
      </c>
      <c r="G122" s="308">
        <v>15</v>
      </c>
      <c r="H122" s="309">
        <v>20000</v>
      </c>
      <c r="I122" s="309">
        <v>300000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/>
      <c r="AF122" s="341"/>
    </row>
    <row r="123" spans="1:32">
      <c r="A123" s="307">
        <v>4</v>
      </c>
      <c r="B123" s="342"/>
      <c r="C123" s="342" t="s">
        <v>178</v>
      </c>
      <c r="D123" s="340" t="s">
        <v>271</v>
      </c>
      <c r="E123" s="342"/>
      <c r="F123" s="345" t="s">
        <v>227</v>
      </c>
      <c r="G123" s="308">
        <v>15</v>
      </c>
      <c r="H123" s="309">
        <v>3100</v>
      </c>
      <c r="I123" s="309">
        <v>46500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/>
      <c r="AF123" s="341"/>
    </row>
    <row r="124" spans="1:32">
      <c r="A124" s="307">
        <v>4</v>
      </c>
      <c r="B124" s="342"/>
      <c r="C124" s="342" t="s">
        <v>174</v>
      </c>
      <c r="D124" s="340" t="s">
        <v>357</v>
      </c>
      <c r="E124" s="342" t="s">
        <v>367</v>
      </c>
      <c r="F124" s="345" t="s">
        <v>354</v>
      </c>
      <c r="G124" s="308">
        <v>3</v>
      </c>
      <c r="H124" s="309">
        <v>50000</v>
      </c>
      <c r="I124" s="309">
        <v>150000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/>
      <c r="AF124" s="341"/>
    </row>
    <row r="125" spans="1:32">
      <c r="A125" s="307">
        <v>4</v>
      </c>
      <c r="B125" s="342"/>
      <c r="C125" s="342" t="s">
        <v>175</v>
      </c>
      <c r="D125" s="340" t="s">
        <v>274</v>
      </c>
      <c r="E125" s="342"/>
      <c r="F125" s="345" t="s">
        <v>230</v>
      </c>
      <c r="G125" s="308">
        <v>6</v>
      </c>
      <c r="H125" s="309">
        <v>8000</v>
      </c>
      <c r="I125" s="309">
        <v>48000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/>
      <c r="AF125" s="341"/>
    </row>
    <row r="126" spans="1:32">
      <c r="A126" s="307">
        <v>4</v>
      </c>
      <c r="B126" s="342"/>
      <c r="C126" s="342" t="s">
        <v>175</v>
      </c>
      <c r="D126" s="340" t="s">
        <v>275</v>
      </c>
      <c r="E126" s="342"/>
      <c r="F126" s="345" t="s">
        <v>230</v>
      </c>
      <c r="G126" s="308">
        <v>6</v>
      </c>
      <c r="H126" s="309">
        <v>6000</v>
      </c>
      <c r="I126" s="309">
        <v>36000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/>
    </row>
    <row r="127" spans="1:32">
      <c r="A127" s="307">
        <v>4</v>
      </c>
      <c r="B127" s="342"/>
      <c r="C127" s="342" t="s">
        <v>175</v>
      </c>
      <c r="D127" s="340" t="s">
        <v>313</v>
      </c>
      <c r="E127" s="342"/>
      <c r="F127" s="345" t="s">
        <v>249</v>
      </c>
      <c r="G127" s="308">
        <v>2</v>
      </c>
      <c r="H127" s="309">
        <v>700</v>
      </c>
      <c r="I127" s="309">
        <v>1400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/>
      <c r="AF127" s="341"/>
    </row>
    <row r="128" spans="1:32">
      <c r="A128" s="307">
        <v>4</v>
      </c>
      <c r="B128" s="342"/>
      <c r="C128" s="342" t="s">
        <v>171</v>
      </c>
      <c r="D128" s="340" t="s">
        <v>368</v>
      </c>
      <c r="E128" s="342"/>
      <c r="F128" s="345" t="s">
        <v>354</v>
      </c>
      <c r="G128" s="308">
        <v>3</v>
      </c>
      <c r="H128" s="309">
        <v>5000</v>
      </c>
      <c r="I128" s="309">
        <v>15000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/>
      <c r="AF128" s="341"/>
    </row>
    <row r="129" spans="1:32">
      <c r="A129" s="307">
        <v>4</v>
      </c>
      <c r="B129" s="342"/>
      <c r="C129" s="342" t="s">
        <v>173</v>
      </c>
      <c r="D129" s="340" t="s">
        <v>277</v>
      </c>
      <c r="E129" s="342"/>
      <c r="F129" s="345" t="s">
        <v>166</v>
      </c>
      <c r="G129" s="308">
        <v>1</v>
      </c>
      <c r="H129" s="309">
        <v>100000</v>
      </c>
      <c r="I129" s="309">
        <v>100000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/>
      <c r="AF129" s="341"/>
    </row>
    <row r="130" spans="1:32">
      <c r="A130" s="307">
        <v>3</v>
      </c>
      <c r="B130" s="342"/>
      <c r="C130" s="342" t="s">
        <v>214</v>
      </c>
      <c r="D130" s="340" t="s">
        <v>369</v>
      </c>
      <c r="E130" s="342"/>
      <c r="F130" s="345" t="s">
        <v>166</v>
      </c>
      <c r="G130" s="308">
        <v>1</v>
      </c>
      <c r="H130" s="309">
        <v>2940000</v>
      </c>
      <c r="I130" s="309">
        <v>2940000</v>
      </c>
      <c r="J130" s="211">
        <v>1</v>
      </c>
      <c r="K130" s="212" t="str">
        <f>IF(OR(J130="",G130=J130),"","*")</f>
        <v/>
      </c>
      <c r="L130" s="338">
        <f>IF($A130&lt;=L$1,I130/I$4,"")</f>
        <v>5.1048476675256471E-2</v>
      </c>
      <c r="M130" s="343"/>
      <c r="N130" s="344" t="s">
        <v>370</v>
      </c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/>
      <c r="AF130" s="341"/>
    </row>
    <row r="131" spans="1:32">
      <c r="A131" s="307">
        <v>4</v>
      </c>
      <c r="B131" s="342"/>
      <c r="C131" s="342" t="s">
        <v>220</v>
      </c>
      <c r="D131" s="340" t="s">
        <v>371</v>
      </c>
      <c r="E131" s="342"/>
      <c r="F131" s="345" t="s">
        <v>166</v>
      </c>
      <c r="G131" s="308">
        <v>1</v>
      </c>
      <c r="H131" s="309">
        <v>2940000</v>
      </c>
      <c r="I131" s="309">
        <v>2940000</v>
      </c>
      <c r="J131" s="211">
        <v>1</v>
      </c>
      <c r="K131" s="212" t="str">
        <f>IF(OR(J131="",G131=J131),"","*")</f>
        <v/>
      </c>
      <c r="L131" s="338" t="str">
        <f>IF($A131&lt;=L$1,I131/I$4,"")</f>
        <v/>
      </c>
      <c r="M131" s="343"/>
      <c r="N131" s="344" t="s">
        <v>372</v>
      </c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/>
      <c r="AF131" s="341"/>
    </row>
    <row r="132" spans="1:32">
      <c r="A132" s="307">
        <v>5</v>
      </c>
      <c r="B132" s="342"/>
      <c r="C132" s="342" t="s">
        <v>173</v>
      </c>
      <c r="D132" s="340" t="s">
        <v>373</v>
      </c>
      <c r="E132" s="342"/>
      <c r="F132" s="345" t="s">
        <v>166</v>
      </c>
      <c r="G132" s="308">
        <v>1</v>
      </c>
      <c r="H132" s="309">
        <v>261600</v>
      </c>
      <c r="I132" s="309">
        <v>261600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/>
      <c r="AF132" s="341"/>
    </row>
    <row r="133" spans="1:32">
      <c r="A133" s="307">
        <v>5</v>
      </c>
      <c r="B133" s="342"/>
      <c r="C133" s="342" t="s">
        <v>173</v>
      </c>
      <c r="D133" s="340" t="s">
        <v>374</v>
      </c>
      <c r="E133" s="342"/>
      <c r="F133" s="345" t="s">
        <v>285</v>
      </c>
      <c r="G133" s="308">
        <v>2722</v>
      </c>
      <c r="H133" s="309">
        <v>288</v>
      </c>
      <c r="I133" s="309">
        <v>783936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/>
      <c r="AF133" s="341"/>
    </row>
    <row r="134" spans="1:32">
      <c r="A134" s="307">
        <v>5</v>
      </c>
      <c r="B134" s="342"/>
      <c r="C134" s="342" t="s">
        <v>173</v>
      </c>
      <c r="D134" s="340" t="s">
        <v>375</v>
      </c>
      <c r="E134" s="342"/>
      <c r="F134" s="345" t="s">
        <v>285</v>
      </c>
      <c r="G134" s="308">
        <v>2596</v>
      </c>
      <c r="H134" s="309">
        <v>468</v>
      </c>
      <c r="I134" s="309">
        <v>1214928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/>
      <c r="AF134" s="341"/>
    </row>
    <row r="135" spans="1:32">
      <c r="A135" s="307">
        <v>5</v>
      </c>
      <c r="B135" s="342"/>
      <c r="C135" s="342" t="s">
        <v>173</v>
      </c>
      <c r="D135" s="340" t="s">
        <v>376</v>
      </c>
      <c r="E135" s="342"/>
      <c r="F135" s="345" t="s">
        <v>166</v>
      </c>
      <c r="G135" s="308">
        <v>1</v>
      </c>
      <c r="H135" s="309">
        <v>384000</v>
      </c>
      <c r="I135" s="309">
        <v>384000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/>
    </row>
    <row r="136" spans="1:32">
      <c r="A136" s="307">
        <v>5</v>
      </c>
      <c r="B136" s="342"/>
      <c r="C136" s="342" t="s">
        <v>173</v>
      </c>
      <c r="D136" s="340" t="s">
        <v>377</v>
      </c>
      <c r="E136" s="342"/>
      <c r="F136" s="345" t="s">
        <v>166</v>
      </c>
      <c r="G136" s="308">
        <v>1</v>
      </c>
      <c r="H136" s="309">
        <v>108000</v>
      </c>
      <c r="I136" s="309">
        <v>108000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/>
    </row>
    <row r="137" spans="1:32">
      <c r="A137" s="307">
        <v>5</v>
      </c>
      <c r="B137" s="342"/>
      <c r="C137" s="342" t="s">
        <v>173</v>
      </c>
      <c r="D137" s="340" t="s">
        <v>337</v>
      </c>
      <c r="E137" s="342"/>
      <c r="F137" s="345" t="s">
        <v>166</v>
      </c>
      <c r="G137" s="308">
        <v>1</v>
      </c>
      <c r="H137" s="309">
        <v>187536</v>
      </c>
      <c r="I137" s="309">
        <v>187536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/>
      <c r="AF137" s="341"/>
    </row>
    <row r="138" spans="1:32">
      <c r="A138" s="307">
        <v>3</v>
      </c>
      <c r="B138" s="342"/>
      <c r="C138" s="342" t="s">
        <v>214</v>
      </c>
      <c r="D138" s="340" t="s">
        <v>378</v>
      </c>
      <c r="E138" s="342"/>
      <c r="F138" s="345" t="s">
        <v>218</v>
      </c>
      <c r="G138" s="308">
        <v>8</v>
      </c>
      <c r="H138" s="309">
        <v>180000</v>
      </c>
      <c r="I138" s="309">
        <v>1440000</v>
      </c>
      <c r="J138" s="211">
        <v>8</v>
      </c>
      <c r="K138" s="212" t="str">
        <f>IF(OR(J138="",G138=J138),"","*")</f>
        <v/>
      </c>
      <c r="L138" s="338">
        <f>IF($A138&lt;=L$1,I138/I$4,"")</f>
        <v>2.5003335514411331E-2</v>
      </c>
      <c r="M138" s="343"/>
      <c r="N138" s="344" t="s">
        <v>379</v>
      </c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/>
      <c r="AF138" s="341"/>
    </row>
    <row r="139" spans="1:32">
      <c r="A139" s="307">
        <v>4</v>
      </c>
      <c r="B139" s="342"/>
      <c r="C139" s="342" t="s">
        <v>171</v>
      </c>
      <c r="D139" s="340" t="s">
        <v>263</v>
      </c>
      <c r="E139" s="342" t="s">
        <v>353</v>
      </c>
      <c r="F139" s="345" t="s">
        <v>166</v>
      </c>
      <c r="G139" s="308">
        <v>1</v>
      </c>
      <c r="H139" s="309">
        <v>11250</v>
      </c>
      <c r="I139" s="309">
        <v>11250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/>
      <c r="AF139" s="341"/>
    </row>
    <row r="140" spans="1:32">
      <c r="A140" s="307">
        <v>4</v>
      </c>
      <c r="B140" s="342"/>
      <c r="C140" s="342" t="s">
        <v>171</v>
      </c>
      <c r="D140" s="340" t="s">
        <v>338</v>
      </c>
      <c r="E140" s="342" t="s">
        <v>339</v>
      </c>
      <c r="F140" s="345" t="s">
        <v>340</v>
      </c>
      <c r="G140" s="308">
        <v>50</v>
      </c>
      <c r="H140" s="309">
        <v>11550</v>
      </c>
      <c r="I140" s="309">
        <v>577500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/>
      <c r="AF140" s="341"/>
    </row>
    <row r="141" spans="1:32">
      <c r="A141" s="307">
        <v>4</v>
      </c>
      <c r="B141" s="342"/>
      <c r="C141" s="342" t="s">
        <v>171</v>
      </c>
      <c r="D141" s="340" t="s">
        <v>341</v>
      </c>
      <c r="E141" s="342"/>
      <c r="F141" s="345" t="s">
        <v>340</v>
      </c>
      <c r="G141" s="308">
        <v>50</v>
      </c>
      <c r="H141" s="309">
        <v>500</v>
      </c>
      <c r="I141" s="309">
        <v>25000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/>
      <c r="AF141" s="341"/>
    </row>
    <row r="142" spans="1:32">
      <c r="A142" s="307">
        <v>4</v>
      </c>
      <c r="B142" s="342"/>
      <c r="C142" s="342" t="s">
        <v>171</v>
      </c>
      <c r="D142" s="340" t="s">
        <v>342</v>
      </c>
      <c r="E142" s="342" t="s">
        <v>343</v>
      </c>
      <c r="F142" s="345" t="s">
        <v>344</v>
      </c>
      <c r="G142" s="308">
        <v>10</v>
      </c>
      <c r="H142" s="309">
        <v>1575</v>
      </c>
      <c r="I142" s="309">
        <v>15750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/>
    </row>
    <row r="143" spans="1:32">
      <c r="A143" s="307">
        <v>4</v>
      </c>
      <c r="B143" s="342"/>
      <c r="C143" s="342" t="s">
        <v>171</v>
      </c>
      <c r="D143" s="340" t="s">
        <v>341</v>
      </c>
      <c r="E143" s="342"/>
      <c r="F143" s="345" t="s">
        <v>344</v>
      </c>
      <c r="G143" s="308">
        <v>10</v>
      </c>
      <c r="H143" s="309">
        <v>1000</v>
      </c>
      <c r="I143" s="309">
        <v>10000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/>
      <c r="AF143" s="341"/>
    </row>
    <row r="144" spans="1:32">
      <c r="A144" s="307">
        <v>4</v>
      </c>
      <c r="B144" s="342"/>
      <c r="C144" s="342" t="s">
        <v>171</v>
      </c>
      <c r="D144" s="340" t="s">
        <v>380</v>
      </c>
      <c r="E144" s="342" t="s">
        <v>381</v>
      </c>
      <c r="F144" s="345" t="s">
        <v>344</v>
      </c>
      <c r="G144" s="308">
        <v>20</v>
      </c>
      <c r="H144" s="309">
        <v>3000</v>
      </c>
      <c r="I144" s="309">
        <v>60000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/>
      <c r="AF144" s="341"/>
    </row>
    <row r="145" spans="1:32">
      <c r="A145" s="307">
        <v>4</v>
      </c>
      <c r="B145" s="342"/>
      <c r="C145" s="342" t="s">
        <v>171</v>
      </c>
      <c r="D145" s="340" t="s">
        <v>382</v>
      </c>
      <c r="E145" s="342" t="s">
        <v>381</v>
      </c>
      <c r="F145" s="345" t="s">
        <v>344</v>
      </c>
      <c r="G145" s="308">
        <v>30</v>
      </c>
      <c r="H145" s="309">
        <v>6000</v>
      </c>
      <c r="I145" s="309">
        <v>180000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/>
    </row>
    <row r="146" spans="1:32">
      <c r="A146" s="307">
        <v>4</v>
      </c>
      <c r="B146" s="342"/>
      <c r="C146" s="342" t="s">
        <v>172</v>
      </c>
      <c r="D146" s="340" t="s">
        <v>270</v>
      </c>
      <c r="E146" s="342"/>
      <c r="F146" s="345" t="s">
        <v>227</v>
      </c>
      <c r="G146" s="308">
        <v>15</v>
      </c>
      <c r="H146" s="309">
        <v>20000</v>
      </c>
      <c r="I146" s="309">
        <v>300000</v>
      </c>
      <c r="J146" s="211"/>
      <c r="K146" s="212" t="str">
        <f>IF(OR(J146="",G146=J146),"","*")</f>
        <v/>
      </c>
      <c r="L146" s="338" t="str">
        <f>IF($A146&lt;=L$1,I146/I$4,"")</f>
        <v/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/>
    </row>
    <row r="147" spans="1:32">
      <c r="A147" s="307">
        <v>4</v>
      </c>
      <c r="B147" s="342"/>
      <c r="C147" s="342" t="s">
        <v>178</v>
      </c>
      <c r="D147" s="340" t="s">
        <v>271</v>
      </c>
      <c r="E147" s="342"/>
      <c r="F147" s="345" t="s">
        <v>227</v>
      </c>
      <c r="G147" s="308">
        <v>15</v>
      </c>
      <c r="H147" s="309">
        <v>3100</v>
      </c>
      <c r="I147" s="309">
        <v>46500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4</v>
      </c>
      <c r="B148" s="342"/>
      <c r="C148" s="342" t="s">
        <v>174</v>
      </c>
      <c r="D148" s="340" t="s">
        <v>357</v>
      </c>
      <c r="E148" s="342"/>
      <c r="F148" s="345" t="s">
        <v>354</v>
      </c>
      <c r="G148" s="308">
        <v>3</v>
      </c>
      <c r="H148" s="309">
        <v>10000</v>
      </c>
      <c r="I148" s="309">
        <v>30000</v>
      </c>
      <c r="J148" s="211"/>
      <c r="K148" s="212" t="str">
        <f>IF(OR(J148="",G148=J148),"","*")</f>
        <v/>
      </c>
      <c r="L148" s="338" t="str">
        <f>IF($A148&lt;=L$1,I148/I$4,"")</f>
        <v/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4</v>
      </c>
      <c r="B149" s="342"/>
      <c r="C149" s="342" t="s">
        <v>175</v>
      </c>
      <c r="D149" s="340" t="s">
        <v>274</v>
      </c>
      <c r="E149" s="342"/>
      <c r="F149" s="345" t="s">
        <v>230</v>
      </c>
      <c r="G149" s="308">
        <v>6</v>
      </c>
      <c r="H149" s="309">
        <v>8000</v>
      </c>
      <c r="I149" s="309">
        <v>48000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/>
      <c r="AF149" s="341"/>
    </row>
    <row r="150" spans="1:32">
      <c r="A150" s="307">
        <v>4</v>
      </c>
      <c r="B150" s="342"/>
      <c r="C150" s="342" t="s">
        <v>175</v>
      </c>
      <c r="D150" s="340" t="s">
        <v>275</v>
      </c>
      <c r="E150" s="342"/>
      <c r="F150" s="345" t="s">
        <v>230</v>
      </c>
      <c r="G150" s="308">
        <v>6</v>
      </c>
      <c r="H150" s="309">
        <v>6000</v>
      </c>
      <c r="I150" s="309">
        <v>36000</v>
      </c>
      <c r="J150" s="211"/>
      <c r="K150" s="212" t="str">
        <f>IF(OR(J150="",G150=J150),"","*")</f>
        <v/>
      </c>
      <c r="L150" s="338" t="str">
        <f>IF($A150&lt;=L$1,I150/I$4,"")</f>
        <v/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/>
      <c r="AF150" s="341"/>
    </row>
    <row r="151" spans="1:32">
      <c r="A151" s="307">
        <v>4</v>
      </c>
      <c r="B151" s="342"/>
      <c r="C151" s="342" t="s">
        <v>173</v>
      </c>
      <c r="D151" s="340" t="s">
        <v>277</v>
      </c>
      <c r="E151" s="342"/>
      <c r="F151" s="345" t="s">
        <v>166</v>
      </c>
      <c r="G151" s="308">
        <v>1</v>
      </c>
      <c r="H151" s="309">
        <v>100000</v>
      </c>
      <c r="I151" s="309">
        <v>100000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/>
      <c r="AF151" s="341"/>
    </row>
    <row r="152" spans="1:32">
      <c r="A152" s="307">
        <v>2</v>
      </c>
      <c r="B152" s="342"/>
      <c r="C152" s="342" t="s">
        <v>214</v>
      </c>
      <c r="D152" s="340" t="s">
        <v>383</v>
      </c>
      <c r="E152" s="342"/>
      <c r="F152" s="345" t="s">
        <v>166</v>
      </c>
      <c r="G152" s="308">
        <v>1</v>
      </c>
      <c r="H152" s="309">
        <v>28885083</v>
      </c>
      <c r="I152" s="309">
        <v>28885083</v>
      </c>
      <c r="J152" s="211">
        <v>1</v>
      </c>
      <c r="K152" s="212" t="str">
        <f>IF(OR(J152="",G152=J152),"","*")</f>
        <v/>
      </c>
      <c r="L152" s="338">
        <f>IF($A152&lt;=L$1,I152/I$4,"")</f>
        <v>0.50154404278515208</v>
      </c>
      <c r="M152" s="343"/>
      <c r="N152" s="344" t="s">
        <v>384</v>
      </c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/>
      <c r="AF152" s="341"/>
    </row>
    <row r="153" spans="1:32">
      <c r="A153" s="307">
        <v>3</v>
      </c>
      <c r="B153" s="342"/>
      <c r="C153" s="342" t="s">
        <v>214</v>
      </c>
      <c r="D153" s="340" t="s">
        <v>385</v>
      </c>
      <c r="E153" s="342" t="s">
        <v>386</v>
      </c>
      <c r="F153" s="345" t="s">
        <v>387</v>
      </c>
      <c r="G153" s="308">
        <v>1</v>
      </c>
      <c r="H153" s="309">
        <v>420000</v>
      </c>
      <c r="I153" s="309">
        <v>420000</v>
      </c>
      <c r="J153" s="211">
        <v>1</v>
      </c>
      <c r="K153" s="212" t="str">
        <f>IF(OR(J153="",G153=J153),"","*")</f>
        <v/>
      </c>
      <c r="L153" s="338">
        <f>IF($A153&lt;=L$1,I153/I$4,"")</f>
        <v>7.2926395250366384E-3</v>
      </c>
      <c r="M153" s="343"/>
      <c r="N153" s="344" t="s">
        <v>388</v>
      </c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/>
      <c r="AF153" s="341"/>
    </row>
    <row r="154" spans="1:32">
      <c r="A154" s="307">
        <v>4</v>
      </c>
      <c r="B154" s="342"/>
      <c r="C154" s="342" t="s">
        <v>220</v>
      </c>
      <c r="D154" s="340" t="s">
        <v>389</v>
      </c>
      <c r="E154" s="342"/>
      <c r="F154" s="345" t="s">
        <v>166</v>
      </c>
      <c r="G154" s="308">
        <v>1</v>
      </c>
      <c r="H154" s="309">
        <v>420000</v>
      </c>
      <c r="I154" s="309">
        <v>420000</v>
      </c>
      <c r="J154" s="211">
        <v>1</v>
      </c>
      <c r="K154" s="212" t="str">
        <f>IF(OR(J154="",G154=J154),"","*")</f>
        <v/>
      </c>
      <c r="L154" s="338" t="str">
        <f>IF($A154&lt;=L$1,I154/I$4,"")</f>
        <v/>
      </c>
      <c r="M154" s="343"/>
      <c r="N154" s="344" t="s">
        <v>390</v>
      </c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/>
      <c r="AF154" s="341"/>
    </row>
    <row r="155" spans="1:32">
      <c r="A155" s="307">
        <v>5</v>
      </c>
      <c r="B155" s="342"/>
      <c r="C155" s="342" t="s">
        <v>173</v>
      </c>
      <c r="D155" s="340" t="s">
        <v>391</v>
      </c>
      <c r="E155" s="342" t="s">
        <v>392</v>
      </c>
      <c r="F155" s="345" t="s">
        <v>302</v>
      </c>
      <c r="G155" s="308">
        <v>1.5</v>
      </c>
      <c r="H155" s="309">
        <v>28000</v>
      </c>
      <c r="I155" s="309">
        <v>42000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/>
      <c r="AF155" s="341"/>
    </row>
    <row r="156" spans="1:32">
      <c r="A156" s="307">
        <v>5</v>
      </c>
      <c r="B156" s="342"/>
      <c r="C156" s="342" t="s">
        <v>173</v>
      </c>
      <c r="D156" s="340" t="s">
        <v>303</v>
      </c>
      <c r="E156" s="342" t="s">
        <v>288</v>
      </c>
      <c r="F156" s="345" t="s">
        <v>302</v>
      </c>
      <c r="G156" s="308">
        <v>1</v>
      </c>
      <c r="H156" s="309">
        <v>2550</v>
      </c>
      <c r="I156" s="309">
        <v>2550</v>
      </c>
      <c r="J156" s="211"/>
      <c r="K156" s="212" t="str">
        <f>IF(OR(J156="",G156=J156),"","*")</f>
        <v/>
      </c>
      <c r="L156" s="338" t="str">
        <f>IF($A156&lt;=L$1,I156/I$4,"")</f>
        <v/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/>
      <c r="AF156" s="341"/>
    </row>
    <row r="157" spans="1:32">
      <c r="A157" s="307">
        <v>5</v>
      </c>
      <c r="B157" s="342"/>
      <c r="C157" s="342" t="s">
        <v>173</v>
      </c>
      <c r="D157" s="340" t="s">
        <v>393</v>
      </c>
      <c r="E157" s="342"/>
      <c r="F157" s="345" t="s">
        <v>218</v>
      </c>
      <c r="G157" s="308">
        <v>5</v>
      </c>
      <c r="H157" s="309">
        <v>5000</v>
      </c>
      <c r="I157" s="309">
        <v>25000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/>
      <c r="AF157" s="341"/>
    </row>
    <row r="158" spans="1:32">
      <c r="A158" s="307">
        <v>5</v>
      </c>
      <c r="B158" s="342"/>
      <c r="C158" s="342" t="s">
        <v>173</v>
      </c>
      <c r="D158" s="340" t="s">
        <v>394</v>
      </c>
      <c r="E158" s="342" t="s">
        <v>395</v>
      </c>
      <c r="F158" s="345" t="s">
        <v>218</v>
      </c>
      <c r="G158" s="308">
        <v>3.5</v>
      </c>
      <c r="H158" s="309">
        <v>3500</v>
      </c>
      <c r="I158" s="309">
        <v>12250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/>
      <c r="AF158" s="341"/>
    </row>
    <row r="159" spans="1:32">
      <c r="A159" s="307">
        <v>5</v>
      </c>
      <c r="B159" s="342"/>
      <c r="C159" s="342" t="s">
        <v>173</v>
      </c>
      <c r="D159" s="340" t="s">
        <v>310</v>
      </c>
      <c r="E159" s="342" t="s">
        <v>353</v>
      </c>
      <c r="F159" s="345" t="s">
        <v>166</v>
      </c>
      <c r="G159" s="308">
        <v>1</v>
      </c>
      <c r="H159" s="309">
        <v>10400</v>
      </c>
      <c r="I159" s="309">
        <v>10400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/>
      <c r="AF159" s="341"/>
    </row>
    <row r="160" spans="1:32">
      <c r="A160" s="307">
        <v>5</v>
      </c>
      <c r="B160" s="342"/>
      <c r="C160" s="342" t="s">
        <v>173</v>
      </c>
      <c r="D160" s="340" t="s">
        <v>305</v>
      </c>
      <c r="E160" s="342"/>
      <c r="F160" s="345" t="s">
        <v>227</v>
      </c>
      <c r="G160" s="308">
        <v>8</v>
      </c>
      <c r="H160" s="309">
        <v>20000</v>
      </c>
      <c r="I160" s="309">
        <v>160000</v>
      </c>
      <c r="J160" s="211"/>
      <c r="K160" s="212" t="str">
        <f>IF(OR(J160="",G160=J160),"","*")</f>
        <v/>
      </c>
      <c r="L160" s="338" t="str">
        <f>IF($A160&lt;=L$1,I160/I$4,"")</f>
        <v/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/>
      <c r="AF160" s="341"/>
    </row>
    <row r="161" spans="1:32">
      <c r="A161" s="307">
        <v>5</v>
      </c>
      <c r="B161" s="342"/>
      <c r="C161" s="342" t="s">
        <v>173</v>
      </c>
      <c r="D161" s="340" t="s">
        <v>228</v>
      </c>
      <c r="E161" s="342"/>
      <c r="F161" s="345" t="s">
        <v>227</v>
      </c>
      <c r="G161" s="308">
        <v>8</v>
      </c>
      <c r="H161" s="309">
        <v>3100</v>
      </c>
      <c r="I161" s="309">
        <v>24800</v>
      </c>
      <c r="J161" s="211"/>
      <c r="K161" s="212" t="str">
        <f>IF(OR(J161="",G161=J161),"","*")</f>
        <v/>
      </c>
      <c r="L161" s="338" t="str">
        <f>IF($A161&lt;=L$1,I161/I$4,"")</f>
        <v/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/>
      <c r="AF161" s="341"/>
    </row>
    <row r="162" spans="1:32">
      <c r="A162" s="307">
        <v>5</v>
      </c>
      <c r="B162" s="342"/>
      <c r="C162" s="342" t="s">
        <v>173</v>
      </c>
      <c r="D162" s="340" t="s">
        <v>396</v>
      </c>
      <c r="E162" s="342"/>
      <c r="F162" s="345" t="s">
        <v>227</v>
      </c>
      <c r="G162" s="308">
        <v>1</v>
      </c>
      <c r="H162" s="309">
        <v>35000</v>
      </c>
      <c r="I162" s="309">
        <v>35000</v>
      </c>
      <c r="J162" s="211"/>
      <c r="K162" s="212" t="str">
        <f>IF(OR(J162="",G162=J162),"","*")</f>
        <v/>
      </c>
      <c r="L162" s="338" t="str">
        <f>IF($A162&lt;=L$1,I162/I$4,"")</f>
        <v/>
      </c>
      <c r="M162" s="343"/>
      <c r="N162" s="344"/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/>
      <c r="AF162" s="341"/>
    </row>
    <row r="163" spans="1:32">
      <c r="A163" s="307">
        <v>5</v>
      </c>
      <c r="B163" s="342"/>
      <c r="C163" s="342" t="s">
        <v>173</v>
      </c>
      <c r="D163" s="340" t="s">
        <v>228</v>
      </c>
      <c r="E163" s="342"/>
      <c r="F163" s="345" t="s">
        <v>227</v>
      </c>
      <c r="G163" s="308">
        <v>1</v>
      </c>
      <c r="H163" s="309">
        <v>5500</v>
      </c>
      <c r="I163" s="309">
        <v>5500</v>
      </c>
      <c r="J163" s="211"/>
      <c r="K163" s="212" t="str">
        <f>IF(OR(J163="",G163=J163),"","*")</f>
        <v/>
      </c>
      <c r="L163" s="338" t="str">
        <f>IF($A163&lt;=L$1,I163/I$4,"")</f>
        <v/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/>
      <c r="AF163" s="341"/>
    </row>
    <row r="164" spans="1:32">
      <c r="A164" s="307">
        <v>5</v>
      </c>
      <c r="B164" s="342"/>
      <c r="C164" s="342" t="s">
        <v>173</v>
      </c>
      <c r="D164" s="340" t="s">
        <v>234</v>
      </c>
      <c r="E164" s="342"/>
      <c r="F164" s="345" t="s">
        <v>230</v>
      </c>
      <c r="G164" s="308">
        <v>2</v>
      </c>
      <c r="H164" s="309">
        <v>8000</v>
      </c>
      <c r="I164" s="309">
        <v>16000</v>
      </c>
      <c r="J164" s="211"/>
      <c r="K164" s="212" t="str">
        <f>IF(OR(J164="",G164=J164),"","*")</f>
        <v/>
      </c>
      <c r="L164" s="338" t="str">
        <f>IF($A164&lt;=L$1,I164/I$4,"")</f>
        <v/>
      </c>
      <c r="M164" s="343"/>
      <c r="N164" s="344"/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/>
      <c r="AF164" s="341"/>
    </row>
    <row r="165" spans="1:32">
      <c r="A165" s="307">
        <v>5</v>
      </c>
      <c r="B165" s="342"/>
      <c r="C165" s="342" t="s">
        <v>173</v>
      </c>
      <c r="D165" s="340" t="s">
        <v>235</v>
      </c>
      <c r="E165" s="342" t="s">
        <v>397</v>
      </c>
      <c r="F165" s="345" t="s">
        <v>230</v>
      </c>
      <c r="G165" s="308">
        <v>2</v>
      </c>
      <c r="H165" s="309">
        <v>10000</v>
      </c>
      <c r="I165" s="309">
        <v>20000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/>
      <c r="AF165" s="341"/>
    </row>
    <row r="166" spans="1:32">
      <c r="A166" s="307">
        <v>5</v>
      </c>
      <c r="B166" s="342"/>
      <c r="C166" s="342" t="s">
        <v>173</v>
      </c>
      <c r="D166" s="340" t="s">
        <v>236</v>
      </c>
      <c r="E166" s="342"/>
      <c r="F166" s="345" t="s">
        <v>230</v>
      </c>
      <c r="G166" s="308">
        <v>4</v>
      </c>
      <c r="H166" s="309">
        <v>8000</v>
      </c>
      <c r="I166" s="309">
        <v>32000</v>
      </c>
      <c r="J166" s="211"/>
      <c r="K166" s="212" t="str">
        <f>IF(OR(J166="",G166=J166),"","*")</f>
        <v/>
      </c>
      <c r="L166" s="338" t="str">
        <f>IF($A166&lt;=L$1,I166/I$4,"")</f>
        <v/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/>
      <c r="AF166" s="341"/>
    </row>
    <row r="167" spans="1:32">
      <c r="A167" s="307">
        <v>5</v>
      </c>
      <c r="B167" s="342"/>
      <c r="C167" s="342" t="s">
        <v>173</v>
      </c>
      <c r="D167" s="340" t="s">
        <v>238</v>
      </c>
      <c r="E167" s="342"/>
      <c r="F167" s="345" t="s">
        <v>230</v>
      </c>
      <c r="G167" s="308">
        <v>4</v>
      </c>
      <c r="H167" s="309">
        <v>6000</v>
      </c>
      <c r="I167" s="309">
        <v>24000</v>
      </c>
      <c r="J167" s="211"/>
      <c r="K167" s="212" t="str">
        <f>IF(OR(J167="",G167=J167),"","*")</f>
        <v/>
      </c>
      <c r="L167" s="338" t="str">
        <f>IF($A167&lt;=L$1,I167/I$4,"")</f>
        <v/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/>
      <c r="AF167" s="341"/>
    </row>
    <row r="168" spans="1:32">
      <c r="A168" s="307">
        <v>5</v>
      </c>
      <c r="B168" s="342"/>
      <c r="C168" s="342" t="s">
        <v>173</v>
      </c>
      <c r="D168" s="340" t="s">
        <v>309</v>
      </c>
      <c r="E168" s="342"/>
      <c r="F168" s="345" t="s">
        <v>302</v>
      </c>
      <c r="G168" s="308">
        <v>3</v>
      </c>
      <c r="H168" s="309">
        <v>3500</v>
      </c>
      <c r="I168" s="309">
        <v>10500</v>
      </c>
      <c r="J168" s="211"/>
      <c r="K168" s="212" t="str">
        <f>IF(OR(J168="",G168=J168),"","*")</f>
        <v/>
      </c>
      <c r="L168" s="338" t="str">
        <f>IF($A168&lt;=L$1,I168/I$4,"")</f>
        <v/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/>
      <c r="AF168" s="341"/>
    </row>
    <row r="169" spans="1:32">
      <c r="A169" s="307">
        <v>3</v>
      </c>
      <c r="B169" s="342"/>
      <c r="C169" s="342" t="s">
        <v>214</v>
      </c>
      <c r="D169" s="340" t="s">
        <v>314</v>
      </c>
      <c r="E169" s="342"/>
      <c r="F169" s="345" t="s">
        <v>285</v>
      </c>
      <c r="G169" s="308">
        <v>60</v>
      </c>
      <c r="H169" s="309">
        <v>3134</v>
      </c>
      <c r="I169" s="309">
        <v>188040</v>
      </c>
      <c r="J169" s="211">
        <v>60</v>
      </c>
      <c r="K169" s="212" t="str">
        <f>IF(OR(J169="",G169=J169),"","*")</f>
        <v/>
      </c>
      <c r="L169" s="338">
        <f>IF($A169&lt;=L$1,I169/I$4,"")</f>
        <v>3.2650188959235465E-3</v>
      </c>
      <c r="M169" s="343"/>
      <c r="N169" s="344" t="s">
        <v>398</v>
      </c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/>
      <c r="AF169" s="341"/>
    </row>
    <row r="170" spans="1:32">
      <c r="A170" s="307">
        <v>4</v>
      </c>
      <c r="B170" s="342"/>
      <c r="C170" s="342" t="s">
        <v>220</v>
      </c>
      <c r="D170" s="340" t="s">
        <v>399</v>
      </c>
      <c r="E170" s="342"/>
      <c r="F170" s="345" t="s">
        <v>285</v>
      </c>
      <c r="G170" s="308">
        <v>60</v>
      </c>
      <c r="H170" s="309">
        <v>3134</v>
      </c>
      <c r="I170" s="309">
        <v>188040</v>
      </c>
      <c r="J170" s="211">
        <v>60</v>
      </c>
      <c r="K170" s="212" t="str">
        <f>IF(OR(J170="",G170=J170),"","*")</f>
        <v/>
      </c>
      <c r="L170" s="338" t="str">
        <f>IF($A170&lt;=L$1,I170/I$4,"")</f>
        <v/>
      </c>
      <c r="M170" s="343"/>
      <c r="N170" s="344" t="s">
        <v>400</v>
      </c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/>
      <c r="AF170" s="341"/>
    </row>
    <row r="171" spans="1:32">
      <c r="A171" s="307">
        <v>5</v>
      </c>
      <c r="B171" s="342"/>
      <c r="C171" s="342" t="s">
        <v>173</v>
      </c>
      <c r="D171" s="340" t="s">
        <v>401</v>
      </c>
      <c r="E171" s="342"/>
      <c r="F171" s="345" t="s">
        <v>285</v>
      </c>
      <c r="G171" s="308">
        <v>60</v>
      </c>
      <c r="H171" s="309">
        <v>400</v>
      </c>
      <c r="I171" s="309">
        <v>24000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/>
      <c r="AF171" s="341"/>
    </row>
    <row r="172" spans="1:32">
      <c r="A172" s="307">
        <v>5</v>
      </c>
      <c r="B172" s="342"/>
      <c r="C172" s="342" t="s">
        <v>173</v>
      </c>
      <c r="D172" s="340" t="s">
        <v>402</v>
      </c>
      <c r="E172" s="342" t="s">
        <v>403</v>
      </c>
      <c r="F172" s="345" t="s">
        <v>285</v>
      </c>
      <c r="G172" s="308">
        <v>5</v>
      </c>
      <c r="H172" s="309">
        <v>2000</v>
      </c>
      <c r="I172" s="309">
        <v>10000</v>
      </c>
      <c r="J172" s="211"/>
      <c r="K172" s="212" t="str">
        <f>IF(OR(J172="",G172=J172),"","*")</f>
        <v/>
      </c>
      <c r="L172" s="338" t="str">
        <f>IF($A172&lt;=L$1,I172/I$4,"")</f>
        <v/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/>
      <c r="AF172" s="341"/>
    </row>
    <row r="173" spans="1:32">
      <c r="A173" s="307">
        <v>5</v>
      </c>
      <c r="B173" s="342"/>
      <c r="C173" s="342" t="s">
        <v>173</v>
      </c>
      <c r="D173" s="340" t="s">
        <v>404</v>
      </c>
      <c r="E173" s="342"/>
      <c r="F173" s="345" t="s">
        <v>166</v>
      </c>
      <c r="G173" s="308">
        <v>1</v>
      </c>
      <c r="H173" s="309">
        <v>50000</v>
      </c>
      <c r="I173" s="309">
        <v>50000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/>
      <c r="AF173" s="341"/>
    </row>
    <row r="174" spans="1:32">
      <c r="A174" s="307">
        <v>5</v>
      </c>
      <c r="B174" s="342"/>
      <c r="C174" s="342" t="s">
        <v>173</v>
      </c>
      <c r="D174" s="340" t="s">
        <v>310</v>
      </c>
      <c r="E174" s="342" t="s">
        <v>353</v>
      </c>
      <c r="F174" s="345" t="s">
        <v>166</v>
      </c>
      <c r="G174" s="308">
        <v>1</v>
      </c>
      <c r="H174" s="309">
        <v>10000</v>
      </c>
      <c r="I174" s="309">
        <v>10000</v>
      </c>
      <c r="J174" s="211"/>
      <c r="K174" s="212" t="str">
        <f>IF(OR(J174="",G174=J174),"","*")</f>
        <v/>
      </c>
      <c r="L174" s="338" t="str">
        <f>IF($A174&lt;=L$1,I174/I$4,"")</f>
        <v/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/>
      <c r="AF174" s="341"/>
    </row>
    <row r="175" spans="1:32">
      <c r="A175" s="307">
        <v>5</v>
      </c>
      <c r="B175" s="342"/>
      <c r="C175" s="342" t="s">
        <v>173</v>
      </c>
      <c r="D175" s="340" t="s">
        <v>305</v>
      </c>
      <c r="E175" s="342"/>
      <c r="F175" s="345" t="s">
        <v>227</v>
      </c>
      <c r="G175" s="308">
        <v>3</v>
      </c>
      <c r="H175" s="309">
        <v>20000</v>
      </c>
      <c r="I175" s="309">
        <v>60000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/>
      <c r="AF175" s="341"/>
    </row>
    <row r="176" spans="1:32">
      <c r="A176" s="307">
        <v>5</v>
      </c>
      <c r="B176" s="342"/>
      <c r="C176" s="342" t="s">
        <v>173</v>
      </c>
      <c r="D176" s="340" t="s">
        <v>228</v>
      </c>
      <c r="E176" s="342"/>
      <c r="F176" s="345" t="s">
        <v>227</v>
      </c>
      <c r="G176" s="308">
        <v>3</v>
      </c>
      <c r="H176" s="309">
        <v>3360</v>
      </c>
      <c r="I176" s="309">
        <v>10080</v>
      </c>
      <c r="J176" s="211"/>
      <c r="K176" s="212" t="str">
        <f>IF(OR(J176="",G176=J176),"","*")</f>
        <v/>
      </c>
      <c r="L176" s="338" t="str">
        <f>IF($A176&lt;=L$1,I176/I$4,"")</f>
        <v/>
      </c>
      <c r="M176" s="343"/>
      <c r="N176" s="344"/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/>
      <c r="AF176" s="341"/>
    </row>
    <row r="177" spans="1:32">
      <c r="A177" s="307">
        <v>5</v>
      </c>
      <c r="B177" s="342"/>
      <c r="C177" s="342" t="s">
        <v>173</v>
      </c>
      <c r="D177" s="340" t="s">
        <v>405</v>
      </c>
      <c r="E177" s="342"/>
      <c r="F177" s="345" t="s">
        <v>166</v>
      </c>
      <c r="G177" s="308">
        <v>1</v>
      </c>
      <c r="H177" s="309">
        <v>10000</v>
      </c>
      <c r="I177" s="309">
        <v>10000</v>
      </c>
      <c r="J177" s="211"/>
      <c r="K177" s="212" t="str">
        <f>IF(OR(J177="",G177=J177),"","*")</f>
        <v/>
      </c>
      <c r="L177" s="338" t="str">
        <f>IF($A177&lt;=L$1,I177/I$4,"")</f>
        <v/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/>
      <c r="AF177" s="341"/>
    </row>
    <row r="178" spans="1:32">
      <c r="A178" s="307">
        <v>5</v>
      </c>
      <c r="B178" s="342"/>
      <c r="C178" s="342" t="s">
        <v>173</v>
      </c>
      <c r="D178" s="340" t="s">
        <v>236</v>
      </c>
      <c r="E178" s="342"/>
      <c r="F178" s="345" t="s">
        <v>230</v>
      </c>
      <c r="G178" s="308">
        <v>1</v>
      </c>
      <c r="H178" s="309">
        <v>8000</v>
      </c>
      <c r="I178" s="309">
        <v>8000</v>
      </c>
      <c r="J178" s="211"/>
      <c r="K178" s="212" t="str">
        <f>IF(OR(J178="",G178=J178),"","*")</f>
        <v/>
      </c>
      <c r="L178" s="338" t="str">
        <f>IF($A178&lt;=L$1,I178/I$4,"")</f>
        <v/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/>
      <c r="AF178" s="341"/>
    </row>
    <row r="179" spans="1:32">
      <c r="A179" s="307">
        <v>5</v>
      </c>
      <c r="B179" s="342"/>
      <c r="C179" s="342" t="s">
        <v>173</v>
      </c>
      <c r="D179" s="340" t="s">
        <v>238</v>
      </c>
      <c r="E179" s="342"/>
      <c r="F179" s="345" t="s">
        <v>230</v>
      </c>
      <c r="G179" s="308">
        <v>1</v>
      </c>
      <c r="H179" s="309">
        <v>6000</v>
      </c>
      <c r="I179" s="309">
        <v>6000</v>
      </c>
      <c r="J179" s="211"/>
      <c r="K179" s="212" t="str">
        <f>IF(OR(J179="",G179=J179),"","*")</f>
        <v/>
      </c>
      <c r="L179" s="338" t="str">
        <f>IF($A179&lt;=L$1,I179/I$4,"")</f>
        <v/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/>
      <c r="AF179" s="341"/>
    </row>
    <row r="180" spans="1:32">
      <c r="A180" s="307">
        <v>3</v>
      </c>
      <c r="B180" s="342"/>
      <c r="C180" s="342" t="s">
        <v>214</v>
      </c>
      <c r="D180" s="340" t="s">
        <v>406</v>
      </c>
      <c r="E180" s="342"/>
      <c r="F180" s="345" t="s">
        <v>407</v>
      </c>
      <c r="G180" s="308">
        <v>3</v>
      </c>
      <c r="H180" s="309">
        <v>26667</v>
      </c>
      <c r="I180" s="309">
        <v>80001</v>
      </c>
      <c r="J180" s="211">
        <v>3</v>
      </c>
      <c r="K180" s="212" t="str">
        <f>IF(OR(J180="",G180=J180),"","*")</f>
        <v/>
      </c>
      <c r="L180" s="338">
        <f>IF($A180&lt;=L$1,I180/I$4,"")</f>
        <v>1.3890915586725146E-3</v>
      </c>
      <c r="M180" s="343"/>
      <c r="N180" s="344" t="s">
        <v>408</v>
      </c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/>
      <c r="AF180" s="341"/>
    </row>
    <row r="181" spans="1:32">
      <c r="A181" s="307">
        <v>4</v>
      </c>
      <c r="B181" s="342"/>
      <c r="C181" s="342" t="s">
        <v>220</v>
      </c>
      <c r="D181" s="340" t="s">
        <v>409</v>
      </c>
      <c r="E181" s="342"/>
      <c r="F181" s="345" t="s">
        <v>387</v>
      </c>
      <c r="G181" s="308">
        <v>3</v>
      </c>
      <c r="H181" s="309">
        <v>26666</v>
      </c>
      <c r="I181" s="309">
        <v>79998</v>
      </c>
      <c r="J181" s="211">
        <v>3</v>
      </c>
      <c r="K181" s="212" t="str">
        <f>IF(OR(J181="",G181=J181),"","*")</f>
        <v/>
      </c>
      <c r="L181" s="338" t="str">
        <f>IF($A181&lt;=L$1,I181/I$4,"")</f>
        <v/>
      </c>
      <c r="M181" s="343"/>
      <c r="N181" s="344" t="s">
        <v>410</v>
      </c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/>
      <c r="AF181" s="341"/>
    </row>
    <row r="182" spans="1:32">
      <c r="A182" s="307">
        <v>5</v>
      </c>
      <c r="B182" s="342"/>
      <c r="C182" s="342" t="s">
        <v>174</v>
      </c>
      <c r="D182" s="340" t="s">
        <v>310</v>
      </c>
      <c r="E182" s="342"/>
      <c r="F182" s="345" t="s">
        <v>166</v>
      </c>
      <c r="G182" s="308">
        <v>1</v>
      </c>
      <c r="H182" s="309">
        <v>3800</v>
      </c>
      <c r="I182" s="309">
        <v>3800</v>
      </c>
      <c r="J182" s="211"/>
      <c r="K182" s="212" t="str">
        <f>IF(OR(J182="",G182=J182),"","*")</f>
        <v/>
      </c>
      <c r="L182" s="338" t="str">
        <f>IF($A182&lt;=L$1,I182/I$4,"")</f>
        <v/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/>
      <c r="AF182" s="341"/>
    </row>
    <row r="183" spans="1:32">
      <c r="A183" s="307">
        <v>5</v>
      </c>
      <c r="B183" s="342"/>
      <c r="C183" s="342" t="s">
        <v>172</v>
      </c>
      <c r="D183" s="340" t="s">
        <v>305</v>
      </c>
      <c r="E183" s="342"/>
      <c r="F183" s="345" t="s">
        <v>227</v>
      </c>
      <c r="G183" s="308">
        <v>2</v>
      </c>
      <c r="H183" s="309">
        <v>20000</v>
      </c>
      <c r="I183" s="309">
        <v>40000</v>
      </c>
      <c r="J183" s="211"/>
      <c r="K183" s="212" t="str">
        <f>IF(OR(J183="",G183=J183),"","*")</f>
        <v/>
      </c>
      <c r="L183" s="338" t="str">
        <f>IF($A183&lt;=L$1,I183/I$4,"")</f>
        <v/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/>
      <c r="AF183" s="341"/>
    </row>
    <row r="184" spans="1:32">
      <c r="A184" s="307">
        <v>5</v>
      </c>
      <c r="B184" s="342"/>
      <c r="C184" s="342" t="s">
        <v>178</v>
      </c>
      <c r="D184" s="340" t="s">
        <v>228</v>
      </c>
      <c r="E184" s="342"/>
      <c r="F184" s="345" t="s">
        <v>227</v>
      </c>
      <c r="G184" s="308">
        <v>2</v>
      </c>
      <c r="H184" s="309">
        <v>3100</v>
      </c>
      <c r="I184" s="309">
        <v>6200</v>
      </c>
      <c r="J184" s="211"/>
      <c r="K184" s="212" t="str">
        <f>IF(OR(J184="",G184=J184),"","*")</f>
        <v/>
      </c>
      <c r="L184" s="338" t="str">
        <f>IF($A184&lt;=L$1,I184/I$4,"")</f>
        <v/>
      </c>
      <c r="M184" s="343"/>
      <c r="N184" s="344"/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/>
      <c r="AF184" s="341"/>
    </row>
    <row r="185" spans="1:32">
      <c r="A185" s="307">
        <v>5</v>
      </c>
      <c r="B185" s="342"/>
      <c r="C185" s="342" t="s">
        <v>175</v>
      </c>
      <c r="D185" s="340" t="s">
        <v>411</v>
      </c>
      <c r="E185" s="342"/>
      <c r="F185" s="345" t="s">
        <v>230</v>
      </c>
      <c r="G185" s="308">
        <v>1</v>
      </c>
      <c r="H185" s="309">
        <v>30000</v>
      </c>
      <c r="I185" s="309">
        <v>30000</v>
      </c>
      <c r="J185" s="211"/>
      <c r="K185" s="212" t="str">
        <f>IF(OR(J185="",G185=J185),"","*")</f>
        <v/>
      </c>
      <c r="L185" s="338" t="str">
        <f>IF($A185&lt;=L$1,I185/I$4,"")</f>
        <v/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/>
      <c r="AF185" s="341"/>
    </row>
    <row r="186" spans="1:32">
      <c r="A186" s="307">
        <v>4</v>
      </c>
      <c r="B186" s="342"/>
      <c r="C186" s="342"/>
      <c r="D186" s="340" t="s">
        <v>267</v>
      </c>
      <c r="E186" s="342"/>
      <c r="F186" s="345" t="s">
        <v>166</v>
      </c>
      <c r="G186" s="308">
        <v>1</v>
      </c>
      <c r="H186" s="309">
        <v>3</v>
      </c>
      <c r="I186" s="309">
        <v>3</v>
      </c>
      <c r="J186" s="211"/>
      <c r="K186" s="212" t="str">
        <f>IF(OR(J186="",G186=J186),"","*")</f>
        <v/>
      </c>
      <c r="L186" s="338" t="str">
        <f>IF($A186&lt;=L$1,I186/I$4,"")</f>
        <v/>
      </c>
      <c r="M186" s="343"/>
      <c r="N186" s="344" t="s">
        <v>241</v>
      </c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/>
      <c r="AF186" s="341"/>
    </row>
    <row r="187" spans="1:32">
      <c r="A187" s="307">
        <v>3</v>
      </c>
      <c r="B187" s="342"/>
      <c r="C187" s="342" t="s">
        <v>214</v>
      </c>
      <c r="D187" s="340" t="s">
        <v>412</v>
      </c>
      <c r="E187" s="342"/>
      <c r="F187" s="345" t="s">
        <v>166</v>
      </c>
      <c r="G187" s="308">
        <v>1</v>
      </c>
      <c r="H187" s="309">
        <v>28197042</v>
      </c>
      <c r="I187" s="309">
        <v>28197042</v>
      </c>
      <c r="J187" s="211">
        <v>1</v>
      </c>
      <c r="K187" s="212" t="str">
        <f>IF(OR(J187="",G187=J187),"","*")</f>
        <v/>
      </c>
      <c r="L187" s="338">
        <f>IF($A187&lt;=L$1,I187/I$4,"")</f>
        <v>0.48959729280551939</v>
      </c>
      <c r="M187" s="343"/>
      <c r="N187" s="344" t="s">
        <v>413</v>
      </c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/>
      <c r="AF187" s="341"/>
    </row>
    <row r="188" spans="1:32">
      <c r="A188" s="307">
        <v>4</v>
      </c>
      <c r="B188" s="342"/>
      <c r="C188" s="342" t="s">
        <v>220</v>
      </c>
      <c r="D188" s="340" t="s">
        <v>414</v>
      </c>
      <c r="E188" s="342"/>
      <c r="F188" s="345" t="s">
        <v>166</v>
      </c>
      <c r="G188" s="308">
        <v>1</v>
      </c>
      <c r="H188" s="309">
        <v>28197042</v>
      </c>
      <c r="I188" s="309">
        <v>28197042</v>
      </c>
      <c r="J188" s="211">
        <v>1</v>
      </c>
      <c r="K188" s="212" t="str">
        <f>IF(OR(J188="",G188=J188),"","*")</f>
        <v/>
      </c>
      <c r="L188" s="338" t="str">
        <f>IF($A188&lt;=L$1,I188/I$4,"")</f>
        <v/>
      </c>
      <c r="M188" s="343"/>
      <c r="N188" s="344" t="s">
        <v>415</v>
      </c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/>
      <c r="AF188" s="341"/>
    </row>
    <row r="189" spans="1:32">
      <c r="A189" s="307">
        <v>5</v>
      </c>
      <c r="B189" s="342"/>
      <c r="C189" s="342" t="s">
        <v>173</v>
      </c>
      <c r="D189" s="340" t="s">
        <v>416</v>
      </c>
      <c r="E189" s="342"/>
      <c r="F189" s="345" t="s">
        <v>167</v>
      </c>
      <c r="G189" s="308">
        <v>201</v>
      </c>
      <c r="H189" s="309">
        <v>98642</v>
      </c>
      <c r="I189" s="309">
        <v>19827042</v>
      </c>
      <c r="J189" s="211"/>
      <c r="K189" s="212" t="str">
        <f>IF(OR(J189="",G189=J189),"","*")</f>
        <v/>
      </c>
      <c r="L189" s="338" t="str">
        <f>IF($A189&lt;=L$1,I189/I$4,"")</f>
        <v/>
      </c>
      <c r="M189" s="343"/>
      <c r="N189" s="344"/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/>
    </row>
    <row r="190" spans="1:32">
      <c r="A190" s="307">
        <v>5</v>
      </c>
      <c r="B190" s="342"/>
      <c r="C190" s="342" t="s">
        <v>173</v>
      </c>
      <c r="D190" s="340" t="s">
        <v>417</v>
      </c>
      <c r="E190" s="342" t="s">
        <v>418</v>
      </c>
      <c r="F190" s="345" t="s">
        <v>230</v>
      </c>
      <c r="G190" s="308">
        <v>8</v>
      </c>
      <c r="H190" s="309">
        <v>250850</v>
      </c>
      <c r="I190" s="309">
        <v>2006800</v>
      </c>
      <c r="J190" s="211"/>
      <c r="K190" s="212" t="str">
        <f>IF(OR(J190="",G190=J190),"","*")</f>
        <v/>
      </c>
      <c r="L190" s="338" t="str">
        <f>IF($A190&lt;=L$1,I190/I$4,"")</f>
        <v/>
      </c>
      <c r="M190" s="343"/>
      <c r="N190" s="344"/>
      <c r="O190" s="310">
        <v>0</v>
      </c>
      <c r="P190" s="311">
        <v>0</v>
      </c>
      <c r="Q190" s="311">
        <v>0</v>
      </c>
      <c r="R190" s="211">
        <v>0</v>
      </c>
      <c r="S190" s="212"/>
      <c r="T190" s="213" t="e">
        <v>#DIV/0!</v>
      </c>
      <c r="U190" s="214"/>
      <c r="V190" s="215"/>
      <c r="W190" s="310">
        <v>0</v>
      </c>
      <c r="X190" s="311">
        <v>0</v>
      </c>
      <c r="Y190" s="311">
        <v>0</v>
      </c>
      <c r="Z190" s="211">
        <v>0</v>
      </c>
      <c r="AA190" s="212"/>
      <c r="AB190" s="213" t="e">
        <v>#DIV/0!</v>
      </c>
      <c r="AC190" s="214"/>
      <c r="AD190" s="215"/>
      <c r="AE190" s="342"/>
      <c r="AF190" s="341"/>
    </row>
    <row r="191" spans="1:32">
      <c r="A191" s="307">
        <v>5</v>
      </c>
      <c r="B191" s="342"/>
      <c r="C191" s="342" t="s">
        <v>173</v>
      </c>
      <c r="D191" s="340" t="s">
        <v>419</v>
      </c>
      <c r="E191" s="342"/>
      <c r="F191" s="345" t="s">
        <v>230</v>
      </c>
      <c r="G191" s="308">
        <v>1</v>
      </c>
      <c r="H191" s="309">
        <v>164447</v>
      </c>
      <c r="I191" s="309">
        <v>164447</v>
      </c>
      <c r="J191" s="211"/>
      <c r="K191" s="212" t="str">
        <f>IF(OR(J191="",G191=J191),"","*")</f>
        <v/>
      </c>
      <c r="L191" s="338" t="str">
        <f>IF($A191&lt;=L$1,I191/I$4,"")</f>
        <v/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/>
      <c r="T191" s="213" t="e">
        <v>#DIV/0!</v>
      </c>
      <c r="U191" s="214"/>
      <c r="V191" s="215"/>
      <c r="W191" s="310">
        <v>0</v>
      </c>
      <c r="X191" s="311">
        <v>0</v>
      </c>
      <c r="Y191" s="311">
        <v>0</v>
      </c>
      <c r="Z191" s="211">
        <v>0</v>
      </c>
      <c r="AA191" s="212"/>
      <c r="AB191" s="213" t="e">
        <v>#DIV/0!</v>
      </c>
      <c r="AC191" s="214"/>
      <c r="AD191" s="215"/>
      <c r="AE191" s="342"/>
      <c r="AF191" s="341"/>
    </row>
    <row r="192" spans="1:32">
      <c r="A192" s="307">
        <v>5</v>
      </c>
      <c r="B192" s="342"/>
      <c r="C192" s="342" t="s">
        <v>173</v>
      </c>
      <c r="D192" s="340" t="s">
        <v>420</v>
      </c>
      <c r="E192" s="342"/>
      <c r="F192" s="345" t="s">
        <v>230</v>
      </c>
      <c r="G192" s="308">
        <v>1</v>
      </c>
      <c r="H192" s="309">
        <v>3511200</v>
      </c>
      <c r="I192" s="309">
        <v>3511200</v>
      </c>
      <c r="J192" s="211"/>
      <c r="K192" s="212" t="str">
        <f>IF(OR(J192="",G192=J192),"","*")</f>
        <v/>
      </c>
      <c r="L192" s="338" t="str">
        <f>IF($A192&lt;=L$1,I192/I$4,"")</f>
        <v/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/>
      <c r="T192" s="213" t="e">
        <v>#DIV/0!</v>
      </c>
      <c r="U192" s="214"/>
      <c r="V192" s="215"/>
      <c r="W192" s="310">
        <v>0</v>
      </c>
      <c r="X192" s="311">
        <v>0</v>
      </c>
      <c r="Y192" s="311">
        <v>0</v>
      </c>
      <c r="Z192" s="211">
        <v>0</v>
      </c>
      <c r="AA192" s="212"/>
      <c r="AB192" s="213" t="e">
        <v>#DIV/0!</v>
      </c>
      <c r="AC192" s="214"/>
      <c r="AD192" s="215"/>
      <c r="AE192" s="342"/>
      <c r="AF192" s="341"/>
    </row>
    <row r="193" spans="1:32">
      <c r="A193" s="307">
        <v>5</v>
      </c>
      <c r="B193" s="342"/>
      <c r="C193" s="342" t="s">
        <v>173</v>
      </c>
      <c r="D193" s="340" t="s">
        <v>421</v>
      </c>
      <c r="E193" s="342"/>
      <c r="F193" s="345" t="s">
        <v>230</v>
      </c>
      <c r="G193" s="308">
        <v>1</v>
      </c>
      <c r="H193" s="309">
        <v>784300</v>
      </c>
      <c r="I193" s="309">
        <v>784300</v>
      </c>
      <c r="J193" s="211"/>
      <c r="K193" s="212" t="str">
        <f>IF(OR(J193="",G193=J193),"","*")</f>
        <v/>
      </c>
      <c r="L193" s="338" t="str">
        <f>IF($A193&lt;=L$1,I193/I$4,"")</f>
        <v/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/>
      <c r="T193" s="213" t="e">
        <v>#DIV/0!</v>
      </c>
      <c r="U193" s="214"/>
      <c r="V193" s="215"/>
      <c r="W193" s="310">
        <v>0</v>
      </c>
      <c r="X193" s="311">
        <v>0</v>
      </c>
      <c r="Y193" s="311">
        <v>0</v>
      </c>
      <c r="Z193" s="211">
        <v>0</v>
      </c>
      <c r="AA193" s="212"/>
      <c r="AB193" s="213" t="e">
        <v>#DIV/0!</v>
      </c>
      <c r="AC193" s="214"/>
      <c r="AD193" s="215"/>
      <c r="AE193" s="342"/>
      <c r="AF193" s="341"/>
    </row>
    <row r="194" spans="1:32">
      <c r="A194" s="307">
        <v>5</v>
      </c>
      <c r="B194" s="342"/>
      <c r="C194" s="342" t="s">
        <v>173</v>
      </c>
      <c r="D194" s="340" t="s">
        <v>422</v>
      </c>
      <c r="E194" s="342"/>
      <c r="F194" s="345" t="s">
        <v>230</v>
      </c>
      <c r="G194" s="308">
        <v>1</v>
      </c>
      <c r="H194" s="309">
        <v>303600</v>
      </c>
      <c r="I194" s="309">
        <v>303600</v>
      </c>
      <c r="J194" s="211"/>
      <c r="K194" s="212" t="str">
        <f>IF(OR(J194="",G194=J194),"","*")</f>
        <v/>
      </c>
      <c r="L194" s="338" t="str">
        <f>IF($A194&lt;=L$1,I194/I$4,"")</f>
        <v/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/>
      <c r="T194" s="213" t="e">
        <v>#DIV/0!</v>
      </c>
      <c r="U194" s="214"/>
      <c r="V194" s="215"/>
      <c r="W194" s="310">
        <v>0</v>
      </c>
      <c r="X194" s="311">
        <v>0</v>
      </c>
      <c r="Y194" s="311">
        <v>0</v>
      </c>
      <c r="Z194" s="211">
        <v>0</v>
      </c>
      <c r="AA194" s="212"/>
      <c r="AB194" s="213" t="e">
        <v>#DIV/0!</v>
      </c>
      <c r="AC194" s="214"/>
      <c r="AD194" s="215"/>
      <c r="AE194" s="342"/>
      <c r="AF194" s="341"/>
    </row>
    <row r="195" spans="1:32">
      <c r="A195" s="307">
        <v>5</v>
      </c>
      <c r="B195" s="342"/>
      <c r="C195" s="342" t="s">
        <v>173</v>
      </c>
      <c r="D195" s="340" t="s">
        <v>423</v>
      </c>
      <c r="E195" s="342"/>
      <c r="F195" s="345" t="s">
        <v>166</v>
      </c>
      <c r="G195" s="308">
        <v>1</v>
      </c>
      <c r="H195" s="309">
        <v>191180</v>
      </c>
      <c r="I195" s="309">
        <v>191180</v>
      </c>
      <c r="J195" s="211"/>
      <c r="K195" s="212" t="str">
        <f>IF(OR(J195="",G195=J195),"","*")</f>
        <v/>
      </c>
      <c r="L195" s="338" t="str">
        <f>IF($A195&lt;=L$1,I195/I$4,"")</f>
        <v/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/>
      <c r="T195" s="213" t="e">
        <v>#DIV/0!</v>
      </c>
      <c r="U195" s="214"/>
      <c r="V195" s="215"/>
      <c r="W195" s="310">
        <v>0</v>
      </c>
      <c r="X195" s="311">
        <v>0</v>
      </c>
      <c r="Y195" s="311">
        <v>0</v>
      </c>
      <c r="Z195" s="211">
        <v>0</v>
      </c>
      <c r="AA195" s="212"/>
      <c r="AB195" s="213" t="e">
        <v>#DIV/0!</v>
      </c>
      <c r="AC195" s="214"/>
      <c r="AD195" s="215"/>
      <c r="AE195" s="342"/>
      <c r="AF195" s="341"/>
    </row>
    <row r="196" spans="1:32">
      <c r="A196" s="307">
        <v>5</v>
      </c>
      <c r="B196" s="342"/>
      <c r="C196" s="342" t="s">
        <v>173</v>
      </c>
      <c r="D196" s="340" t="s">
        <v>424</v>
      </c>
      <c r="E196" s="342"/>
      <c r="F196" s="345" t="s">
        <v>166</v>
      </c>
      <c r="G196" s="308">
        <v>1</v>
      </c>
      <c r="H196" s="309">
        <v>162800</v>
      </c>
      <c r="I196" s="309">
        <v>162800</v>
      </c>
      <c r="J196" s="211"/>
      <c r="K196" s="212" t="str">
        <f>IF(OR(J196="",G196=J196),"","*")</f>
        <v/>
      </c>
      <c r="L196" s="338" t="str">
        <f>IF($A196&lt;=L$1,I196/I$4,"")</f>
        <v/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/>
      <c r="T196" s="213" t="e">
        <v>#DIV/0!</v>
      </c>
      <c r="U196" s="214"/>
      <c r="V196" s="215"/>
      <c r="W196" s="310">
        <v>0</v>
      </c>
      <c r="X196" s="311">
        <v>0</v>
      </c>
      <c r="Y196" s="311">
        <v>0</v>
      </c>
      <c r="Z196" s="211">
        <v>0</v>
      </c>
      <c r="AA196" s="212"/>
      <c r="AB196" s="213" t="e">
        <v>#DIV/0!</v>
      </c>
      <c r="AC196" s="214"/>
      <c r="AD196" s="215"/>
      <c r="AE196" s="342"/>
      <c r="AF196" s="341"/>
    </row>
    <row r="197" spans="1:32">
      <c r="A197" s="307">
        <v>5</v>
      </c>
      <c r="B197" s="342"/>
      <c r="C197" s="342" t="s">
        <v>173</v>
      </c>
      <c r="D197" s="340" t="s">
        <v>425</v>
      </c>
      <c r="E197" s="342"/>
      <c r="F197" s="345" t="s">
        <v>166</v>
      </c>
      <c r="G197" s="308">
        <v>1</v>
      </c>
      <c r="H197" s="309">
        <v>100000</v>
      </c>
      <c r="I197" s="309">
        <v>100000</v>
      </c>
      <c r="J197" s="211"/>
      <c r="K197" s="212" t="str">
        <f>IF(OR(J197="",G197=J197),"","*")</f>
        <v/>
      </c>
      <c r="L197" s="338" t="str">
        <f>IF($A197&lt;=L$1,I197/I$4,"")</f>
        <v/>
      </c>
      <c r="M197" s="343"/>
      <c r="N197" s="344"/>
      <c r="O197" s="310">
        <v>0</v>
      </c>
      <c r="P197" s="311">
        <v>0</v>
      </c>
      <c r="Q197" s="311">
        <v>0</v>
      </c>
      <c r="R197" s="211">
        <v>0</v>
      </c>
      <c r="S197" s="212"/>
      <c r="T197" s="213" t="e">
        <v>#DIV/0!</v>
      </c>
      <c r="U197" s="214"/>
      <c r="V197" s="215"/>
      <c r="W197" s="310">
        <v>0</v>
      </c>
      <c r="X197" s="311">
        <v>0</v>
      </c>
      <c r="Y197" s="311">
        <v>0</v>
      </c>
      <c r="Z197" s="211">
        <v>0</v>
      </c>
      <c r="AA197" s="212"/>
      <c r="AB197" s="213" t="e">
        <v>#DIV/0!</v>
      </c>
      <c r="AC197" s="214"/>
      <c r="AD197" s="215"/>
      <c r="AE197" s="342"/>
      <c r="AF197" s="341"/>
    </row>
    <row r="198" spans="1:32">
      <c r="A198" s="307">
        <v>5</v>
      </c>
      <c r="B198" s="342"/>
      <c r="C198" s="342" t="s">
        <v>173</v>
      </c>
      <c r="D198" s="340" t="s">
        <v>426</v>
      </c>
      <c r="E198" s="342"/>
      <c r="F198" s="345" t="s">
        <v>166</v>
      </c>
      <c r="G198" s="308">
        <v>1</v>
      </c>
      <c r="H198" s="309">
        <v>1031730</v>
      </c>
      <c r="I198" s="309">
        <v>1031730</v>
      </c>
      <c r="J198" s="211"/>
      <c r="K198" s="212" t="str">
        <f>IF(OR(J198="",G198=J198),"","*")</f>
        <v/>
      </c>
      <c r="L198" s="338" t="str">
        <f>IF($A198&lt;=L$1,I198/I$4,"")</f>
        <v/>
      </c>
      <c r="M198" s="343"/>
      <c r="N198" s="344"/>
      <c r="O198" s="310">
        <v>0</v>
      </c>
      <c r="P198" s="311">
        <v>0</v>
      </c>
      <c r="Q198" s="311">
        <v>0</v>
      </c>
      <c r="R198" s="211">
        <v>0</v>
      </c>
      <c r="S198" s="212"/>
      <c r="T198" s="213" t="e">
        <v>#DIV/0!</v>
      </c>
      <c r="U198" s="214"/>
      <c r="V198" s="215"/>
      <c r="W198" s="310">
        <v>0</v>
      </c>
      <c r="X198" s="311">
        <v>0</v>
      </c>
      <c r="Y198" s="311">
        <v>0</v>
      </c>
      <c r="Z198" s="211">
        <v>0</v>
      </c>
      <c r="AA198" s="212"/>
      <c r="AB198" s="213" t="e">
        <v>#DIV/0!</v>
      </c>
      <c r="AC198" s="214"/>
      <c r="AD198" s="215"/>
      <c r="AE198" s="342"/>
      <c r="AF198" s="341"/>
    </row>
    <row r="199" spans="1:32">
      <c r="A199" s="307">
        <v>5</v>
      </c>
      <c r="B199" s="342"/>
      <c r="C199" s="342" t="s">
        <v>173</v>
      </c>
      <c r="D199" s="340" t="s">
        <v>427</v>
      </c>
      <c r="E199" s="342"/>
      <c r="F199" s="345" t="s">
        <v>166</v>
      </c>
      <c r="G199" s="308">
        <v>1</v>
      </c>
      <c r="H199" s="309">
        <v>123280</v>
      </c>
      <c r="I199" s="309">
        <v>123280</v>
      </c>
      <c r="J199" s="211"/>
      <c r="K199" s="212" t="str">
        <f>IF(OR(J199="",G199=J199),"","*")</f>
        <v/>
      </c>
      <c r="L199" s="338" t="str">
        <f>IF($A199&lt;=L$1,I199/I$4,"")</f>
        <v/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/>
      <c r="T199" s="213" t="e">
        <v>#DIV/0!</v>
      </c>
      <c r="U199" s="214"/>
      <c r="V199" s="215"/>
      <c r="W199" s="310">
        <v>0</v>
      </c>
      <c r="X199" s="311">
        <v>0</v>
      </c>
      <c r="Y199" s="311">
        <v>0</v>
      </c>
      <c r="Z199" s="211">
        <v>0</v>
      </c>
      <c r="AA199" s="212"/>
      <c r="AB199" s="213" t="e">
        <v>#DIV/0!</v>
      </c>
      <c r="AC199" s="214"/>
      <c r="AD199" s="215"/>
      <c r="AE199" s="342"/>
      <c r="AF199" s="341"/>
    </row>
    <row r="200" spans="1:32">
      <c r="A200" s="307">
        <v>5</v>
      </c>
      <c r="B200" s="342"/>
      <c r="C200" s="342" t="s">
        <v>173</v>
      </c>
      <c r="D200" s="340" t="s">
        <v>428</v>
      </c>
      <c r="E200" s="342"/>
      <c r="F200" s="345" t="s">
        <v>166</v>
      </c>
      <c r="G200" s="308">
        <v>1</v>
      </c>
      <c r="H200" s="309">
        <v>-9337</v>
      </c>
      <c r="I200" s="309">
        <v>-9337</v>
      </c>
      <c r="J200" s="211"/>
      <c r="K200" s="212" t="str">
        <f>IF(OR(J200="",G200=J200),"","*")</f>
        <v/>
      </c>
      <c r="L200" s="338" t="str">
        <f>IF($A200&lt;=L$1,I200/I$4,"")</f>
        <v/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/>
      <c r="T200" s="213" t="e">
        <v>#DIV/0!</v>
      </c>
      <c r="U200" s="214"/>
      <c r="V200" s="215"/>
      <c r="W200" s="310">
        <v>0</v>
      </c>
      <c r="X200" s="311">
        <v>0</v>
      </c>
      <c r="Y200" s="311">
        <v>0</v>
      </c>
      <c r="Z200" s="211">
        <v>0</v>
      </c>
      <c r="AA200" s="212"/>
      <c r="AB200" s="213" t="e">
        <v>#DIV/0!</v>
      </c>
      <c r="AC200" s="214"/>
      <c r="AD200" s="215"/>
      <c r="AE200" s="342"/>
      <c r="AF200" s="341"/>
    </row>
    <row r="201" spans="1:32">
      <c r="A201" s="217"/>
      <c r="B201" s="217"/>
      <c r="C201" s="312"/>
      <c r="D201" s="217"/>
      <c r="E201" s="217"/>
      <c r="F201" s="218"/>
      <c r="G201" s="217"/>
      <c r="H201" s="217"/>
      <c r="I201" s="217"/>
      <c r="J201" s="217"/>
      <c r="K201" s="218"/>
      <c r="L201" s="217"/>
      <c r="M201" s="217"/>
      <c r="N201" s="217"/>
      <c r="O201" s="217"/>
      <c r="P201" s="217"/>
      <c r="Q201" s="217"/>
      <c r="R201" s="217"/>
      <c r="S201" s="218"/>
      <c r="T201" s="217"/>
      <c r="U201" s="217"/>
      <c r="V201" s="217"/>
      <c r="W201" s="217"/>
      <c r="X201" s="217"/>
      <c r="Y201" s="217"/>
      <c r="Z201" s="217"/>
      <c r="AA201" s="218"/>
      <c r="AB201" s="217"/>
      <c r="AC201" s="217"/>
      <c r="AD201" s="217"/>
      <c r="AE201" s="217"/>
      <c r="AF20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00 AF4:AF20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0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160</v>
      </c>
      <c r="D4" s="315">
        <v>479100</v>
      </c>
      <c r="E4" s="120"/>
      <c r="F4" s="119" t="s">
        <v>164</v>
      </c>
      <c r="G4" s="316">
        <v>4000000</v>
      </c>
      <c r="H4" s="69"/>
    </row>
    <row r="5" spans="1:8" ht="27" customHeight="1">
      <c r="A5" s="69"/>
      <c r="B5" s="118"/>
      <c r="C5" s="119" t="s">
        <v>161</v>
      </c>
      <c r="D5" s="315">
        <v>850400</v>
      </c>
      <c r="E5" s="120"/>
      <c r="F5" s="119"/>
      <c r="G5" s="316"/>
      <c r="H5" s="69"/>
    </row>
    <row r="6" spans="1:8" ht="27" customHeight="1">
      <c r="A6" s="69"/>
      <c r="B6" s="118"/>
      <c r="C6" s="119" t="s">
        <v>162</v>
      </c>
      <c r="D6" s="315">
        <v>1360000</v>
      </c>
      <c r="E6" s="120"/>
      <c r="F6" s="119" t="s">
        <v>209</v>
      </c>
      <c r="G6" s="316">
        <v>4000000</v>
      </c>
      <c r="H6" s="69"/>
    </row>
    <row r="7" spans="1:8" ht="27" customHeight="1">
      <c r="A7" s="69"/>
      <c r="B7" s="118"/>
      <c r="C7" s="119" t="s">
        <v>163</v>
      </c>
      <c r="D7" s="315">
        <v>460000</v>
      </c>
      <c r="E7" s="120"/>
      <c r="F7" s="119"/>
      <c r="G7" s="316"/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 t="s">
        <v>209</v>
      </c>
      <c r="D9" s="315">
        <v>3149500</v>
      </c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171</v>
      </c>
      <c r="H3" s="128" t="s">
        <v>172</v>
      </c>
      <c r="I3" s="128" t="s">
        <v>173</v>
      </c>
      <c r="J3" s="128" t="s">
        <v>174</v>
      </c>
      <c r="K3" s="128" t="s">
        <v>175</v>
      </c>
      <c r="L3" s="128" t="s">
        <v>176</v>
      </c>
      <c r="M3" s="128" t="s">
        <v>177</v>
      </c>
      <c r="N3" s="129" t="s">
        <v>178</v>
      </c>
      <c r="O3" s="69"/>
    </row>
    <row r="4" spans="1:15" ht="30" customHeight="1">
      <c r="A4" s="69"/>
      <c r="B4" s="130" t="s">
        <v>160</v>
      </c>
      <c r="C4" s="131" t="s">
        <v>166</v>
      </c>
      <c r="D4" s="320">
        <v>1</v>
      </c>
      <c r="E4" s="321">
        <v>479100</v>
      </c>
      <c r="F4" s="322">
        <v>479100</v>
      </c>
      <c r="G4" s="323"/>
      <c r="H4" s="324"/>
      <c r="I4" s="324">
        <v>-9900</v>
      </c>
      <c r="J4" s="324"/>
      <c r="K4" s="324">
        <v>450000</v>
      </c>
      <c r="L4" s="324">
        <v>30000</v>
      </c>
      <c r="M4" s="324"/>
      <c r="N4" s="325">
        <v>9000</v>
      </c>
      <c r="O4" s="69"/>
    </row>
    <row r="5" spans="1:15" ht="30" customHeight="1">
      <c r="A5" s="69"/>
      <c r="B5" s="130" t="s">
        <v>161</v>
      </c>
      <c r="C5" s="131" t="s">
        <v>166</v>
      </c>
      <c r="D5" s="326">
        <v>1</v>
      </c>
      <c r="E5" s="321">
        <v>850400</v>
      </c>
      <c r="F5" s="322">
        <v>850400</v>
      </c>
      <c r="G5" s="323">
        <v>230000</v>
      </c>
      <c r="H5" s="324">
        <v>300000</v>
      </c>
      <c r="I5" s="324">
        <v>50000</v>
      </c>
      <c r="J5" s="324"/>
      <c r="K5" s="324">
        <v>120000</v>
      </c>
      <c r="L5" s="324"/>
      <c r="M5" s="324">
        <v>100000</v>
      </c>
      <c r="N5" s="325">
        <v>50400</v>
      </c>
      <c r="O5" s="69"/>
    </row>
    <row r="6" spans="1:15" ht="30" customHeight="1">
      <c r="A6" s="69"/>
      <c r="B6" s="130" t="s">
        <v>162</v>
      </c>
      <c r="C6" s="131" t="s">
        <v>166</v>
      </c>
      <c r="D6" s="326">
        <v>1</v>
      </c>
      <c r="E6" s="321">
        <v>1360000</v>
      </c>
      <c r="F6" s="322">
        <v>1360000</v>
      </c>
      <c r="G6" s="323"/>
      <c r="H6" s="324"/>
      <c r="I6" s="324"/>
      <c r="J6" s="324"/>
      <c r="K6" s="324"/>
      <c r="L6" s="324"/>
      <c r="M6" s="324">
        <v>1360000</v>
      </c>
      <c r="N6" s="325"/>
      <c r="O6" s="69"/>
    </row>
    <row r="7" spans="1:15" ht="30" customHeight="1">
      <c r="A7" s="69"/>
      <c r="B7" s="130" t="s">
        <v>163</v>
      </c>
      <c r="C7" s="131" t="s">
        <v>166</v>
      </c>
      <c r="D7" s="326">
        <v>1</v>
      </c>
      <c r="E7" s="321">
        <v>460000</v>
      </c>
      <c r="F7" s="322">
        <v>460000</v>
      </c>
      <c r="G7" s="323">
        <v>300000</v>
      </c>
      <c r="H7" s="324"/>
      <c r="I7" s="324">
        <v>160000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209</v>
      </c>
      <c r="C9" s="131"/>
      <c r="D9" s="326"/>
      <c r="E9" s="321"/>
      <c r="F9" s="322">
        <v>3149500</v>
      </c>
      <c r="G9" s="323">
        <v>530000</v>
      </c>
      <c r="H9" s="324">
        <v>300000</v>
      </c>
      <c r="I9" s="324">
        <v>200100</v>
      </c>
      <c r="J9" s="324"/>
      <c r="K9" s="324">
        <v>570000</v>
      </c>
      <c r="L9" s="324">
        <v>30000</v>
      </c>
      <c r="M9" s="324">
        <v>1460000</v>
      </c>
      <c r="N9" s="325">
        <v>59400</v>
      </c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3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藤森工業㈱三重工場Wattway設置工事</v>
      </c>
      <c r="G1" s="306"/>
      <c r="H1" s="190" t="s">
        <v>131</v>
      </c>
      <c r="I1" s="333">
        <v>68600000</v>
      </c>
      <c r="J1" s="339">
        <f>I4/I$1</f>
        <v>0.83953813411078715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429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211</v>
      </c>
      <c r="D4" s="340" t="s">
        <v>179</v>
      </c>
      <c r="E4" s="342"/>
      <c r="F4" s="345" t="s">
        <v>166</v>
      </c>
      <c r="G4" s="308">
        <v>1</v>
      </c>
      <c r="H4" s="309">
        <v>57592316</v>
      </c>
      <c r="I4" s="309">
        <v>57592316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212</v>
      </c>
      <c r="D5" s="340" t="s">
        <v>430</v>
      </c>
      <c r="E5" s="342"/>
      <c r="F5" s="345" t="s">
        <v>166</v>
      </c>
      <c r="G5" s="308">
        <v>1</v>
      </c>
      <c r="H5" s="309">
        <v>3149500</v>
      </c>
      <c r="I5" s="309">
        <v>3149500</v>
      </c>
      <c r="J5" s="211"/>
      <c r="K5" s="212" t="str">
        <f>IF(OR(J5="",G5=J5),"","*")</f>
        <v/>
      </c>
      <c r="L5" s="338">
        <f>IF($A5&lt;=L$1,I5/I$4,"")</f>
        <v>5.4686114724054505E-2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214</v>
      </c>
      <c r="D6" s="340" t="s">
        <v>431</v>
      </c>
      <c r="E6" s="342"/>
      <c r="F6" s="345" t="s">
        <v>166</v>
      </c>
      <c r="G6" s="308">
        <v>1</v>
      </c>
      <c r="H6" s="309">
        <v>479100</v>
      </c>
      <c r="I6" s="309">
        <v>479100</v>
      </c>
      <c r="J6" s="211">
        <v>1</v>
      </c>
      <c r="K6" s="212" t="str">
        <f>IF(OR(J6="",G6=J6),"","*")</f>
        <v/>
      </c>
      <c r="L6" s="338">
        <f>IF($A6&lt;=L$1,I6/I$4,"")</f>
        <v>8.3188180867739374E-3</v>
      </c>
      <c r="M6" s="343"/>
      <c r="N6" s="344" t="s">
        <v>432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 t="s">
        <v>175</v>
      </c>
      <c r="D7" s="340" t="s">
        <v>433</v>
      </c>
      <c r="E7" s="342" t="s">
        <v>434</v>
      </c>
      <c r="F7" s="345" t="s">
        <v>435</v>
      </c>
      <c r="G7" s="308">
        <v>2</v>
      </c>
      <c r="H7" s="309">
        <v>95000</v>
      </c>
      <c r="I7" s="309">
        <v>190000</v>
      </c>
      <c r="J7" s="211"/>
      <c r="K7" s="212" t="str">
        <f>IF(OR(J7="",G7=J7),"","*")</f>
        <v/>
      </c>
      <c r="L7" s="338">
        <f>IF($A7&lt;=L$1,I7/I$4,"")</f>
        <v>3.2990512137070506E-3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3</v>
      </c>
      <c r="B8" s="342"/>
      <c r="C8" s="342" t="s">
        <v>176</v>
      </c>
      <c r="D8" s="340" t="s">
        <v>433</v>
      </c>
      <c r="E8" s="342" t="s">
        <v>436</v>
      </c>
      <c r="F8" s="345" t="s">
        <v>166</v>
      </c>
      <c r="G8" s="308">
        <v>1</v>
      </c>
      <c r="H8" s="309">
        <v>30000</v>
      </c>
      <c r="I8" s="309">
        <v>30000</v>
      </c>
      <c r="J8" s="211"/>
      <c r="K8" s="212" t="str">
        <f>IF(OR(J8="",G8=J8),"","*")</f>
        <v/>
      </c>
      <c r="L8" s="338">
        <f>IF($A8&lt;=L$1,I8/I$4,"")</f>
        <v>5.209028232169028E-4</v>
      </c>
      <c r="M8" s="343"/>
      <c r="N8" s="344"/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3</v>
      </c>
      <c r="B9" s="342"/>
      <c r="C9" s="342" t="s">
        <v>175</v>
      </c>
      <c r="D9" s="340" t="s">
        <v>433</v>
      </c>
      <c r="E9" s="342" t="s">
        <v>437</v>
      </c>
      <c r="F9" s="345" t="s">
        <v>435</v>
      </c>
      <c r="G9" s="308">
        <v>4</v>
      </c>
      <c r="H9" s="309">
        <v>25000</v>
      </c>
      <c r="I9" s="309">
        <v>100000</v>
      </c>
      <c r="J9" s="211"/>
      <c r="K9" s="212" t="str">
        <f>IF(OR(J9="",G9=J9),"","*")</f>
        <v/>
      </c>
      <c r="L9" s="338">
        <f>IF($A9&lt;=L$1,I9/I$4,"")</f>
        <v>1.7363427440563425E-3</v>
      </c>
      <c r="M9" s="343"/>
      <c r="N9" s="344"/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3</v>
      </c>
      <c r="B10" s="342"/>
      <c r="C10" s="342" t="s">
        <v>175</v>
      </c>
      <c r="D10" s="340" t="s">
        <v>433</v>
      </c>
      <c r="E10" s="342" t="s">
        <v>438</v>
      </c>
      <c r="F10" s="345" t="s">
        <v>435</v>
      </c>
      <c r="G10" s="308">
        <v>8</v>
      </c>
      <c r="H10" s="309">
        <v>20000</v>
      </c>
      <c r="I10" s="309">
        <v>160000</v>
      </c>
      <c r="J10" s="211"/>
      <c r="K10" s="212" t="str">
        <f>IF(OR(J10="",G10=J10),"","*")</f>
        <v/>
      </c>
      <c r="L10" s="338">
        <f>IF($A10&lt;=L$1,I10/I$4,"")</f>
        <v>2.7781483904901478E-3</v>
      </c>
      <c r="M10" s="343"/>
      <c r="N10" s="344"/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3</v>
      </c>
      <c r="B11" s="342"/>
      <c r="C11" s="342" t="s">
        <v>173</v>
      </c>
      <c r="D11" s="340" t="s">
        <v>439</v>
      </c>
      <c r="E11" s="342" t="s">
        <v>434</v>
      </c>
      <c r="F11" s="345" t="s">
        <v>166</v>
      </c>
      <c r="G11" s="308">
        <v>1</v>
      </c>
      <c r="H11" s="309">
        <v>57090</v>
      </c>
      <c r="I11" s="309">
        <v>57090</v>
      </c>
      <c r="J11" s="211"/>
      <c r="K11" s="212" t="str">
        <f>IF(OR(J11="",G11=J11),"","*")</f>
        <v/>
      </c>
      <c r="L11" s="338">
        <f>IF($A11&lt;=L$1,I11/I$4,"")</f>
        <v>9.9127807258176585E-4</v>
      </c>
      <c r="M11" s="343"/>
      <c r="N11" s="344"/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3</v>
      </c>
      <c r="B12" s="342"/>
      <c r="C12" s="342" t="s">
        <v>178</v>
      </c>
      <c r="D12" s="340" t="s">
        <v>440</v>
      </c>
      <c r="E12" s="342" t="s">
        <v>441</v>
      </c>
      <c r="F12" s="345" t="s">
        <v>227</v>
      </c>
      <c r="G12" s="308">
        <v>2</v>
      </c>
      <c r="H12" s="309">
        <v>4500</v>
      </c>
      <c r="I12" s="309">
        <v>9000</v>
      </c>
      <c r="J12" s="211"/>
      <c r="K12" s="212" t="str">
        <f>IF(OR(J12="",G12=J12),"","*")</f>
        <v/>
      </c>
      <c r="L12" s="338">
        <f>IF($A12&lt;=L$1,I12/I$4,"")</f>
        <v>1.5627084696507082E-4</v>
      </c>
      <c r="M12" s="343"/>
      <c r="N12" s="344"/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3</v>
      </c>
      <c r="B13" s="342"/>
      <c r="C13" s="342" t="s">
        <v>173</v>
      </c>
      <c r="D13" s="340" t="s">
        <v>442</v>
      </c>
      <c r="E13" s="342" t="s">
        <v>443</v>
      </c>
      <c r="F13" s="345" t="s">
        <v>166</v>
      </c>
      <c r="G13" s="308">
        <v>1</v>
      </c>
      <c r="H13" s="309">
        <v>-66990</v>
      </c>
      <c r="I13" s="309">
        <v>-66990</v>
      </c>
      <c r="J13" s="211"/>
      <c r="K13" s="212" t="str">
        <f>IF(OR(J13="",G13=J13),"","*")</f>
        <v/>
      </c>
      <c r="L13" s="338">
        <f>IF($A13&lt;=L$1,I13/I$4,"")</f>
        <v>-1.1631760042433439E-3</v>
      </c>
      <c r="M13" s="343"/>
      <c r="N13" s="344"/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307">
        <v>2</v>
      </c>
      <c r="B14" s="342"/>
      <c r="C14" s="342" t="s">
        <v>214</v>
      </c>
      <c r="D14" s="340" t="s">
        <v>444</v>
      </c>
      <c r="E14" s="342" t="s">
        <v>168</v>
      </c>
      <c r="F14" s="345" t="s">
        <v>166</v>
      </c>
      <c r="G14" s="308">
        <v>1</v>
      </c>
      <c r="H14" s="309">
        <v>850400</v>
      </c>
      <c r="I14" s="309">
        <v>850400</v>
      </c>
      <c r="J14" s="211">
        <v>1</v>
      </c>
      <c r="K14" s="212" t="str">
        <f>IF(OR(J14="",G14=J14),"","*")</f>
        <v/>
      </c>
      <c r="L14" s="338">
        <f>IF($A14&lt;=L$1,I14/I$4,"")</f>
        <v>1.4765858695455136E-2</v>
      </c>
      <c r="M14" s="343"/>
      <c r="N14" s="344" t="s">
        <v>445</v>
      </c>
      <c r="O14" s="346">
        <v>0</v>
      </c>
      <c r="P14" s="347">
        <v>0</v>
      </c>
      <c r="Q14" s="347">
        <v>0</v>
      </c>
      <c r="R14" s="348">
        <v>0</v>
      </c>
      <c r="S14" s="349" t="s">
        <v>117</v>
      </c>
      <c r="T14" s="343" t="e">
        <v>#DIV/0!</v>
      </c>
      <c r="U14" s="343" t="s">
        <v>117</v>
      </c>
      <c r="V14" s="344" t="s">
        <v>117</v>
      </c>
      <c r="W14" s="346">
        <v>0</v>
      </c>
      <c r="X14" s="347">
        <v>0</v>
      </c>
      <c r="Y14" s="347">
        <v>0</v>
      </c>
      <c r="Z14" s="348">
        <v>0</v>
      </c>
      <c r="AA14" s="349" t="s">
        <v>117</v>
      </c>
      <c r="AB14" s="343" t="e">
        <v>#DIV/0!</v>
      </c>
      <c r="AC14" s="343" t="s">
        <v>117</v>
      </c>
      <c r="AD14" s="344" t="s">
        <v>117</v>
      </c>
      <c r="AE14" s="342"/>
      <c r="AF14" s="341" t="s">
        <v>117</v>
      </c>
    </row>
    <row r="15" spans="1:32">
      <c r="A15" s="307">
        <v>3</v>
      </c>
      <c r="B15" s="342"/>
      <c r="C15" s="342" t="s">
        <v>171</v>
      </c>
      <c r="D15" s="340" t="s">
        <v>446</v>
      </c>
      <c r="E15" s="342" t="s">
        <v>447</v>
      </c>
      <c r="F15" s="345" t="s">
        <v>166</v>
      </c>
      <c r="G15" s="308">
        <v>1</v>
      </c>
      <c r="H15" s="309">
        <v>30000</v>
      </c>
      <c r="I15" s="309">
        <v>30000</v>
      </c>
      <c r="J15" s="211"/>
      <c r="K15" s="212" t="str">
        <f>IF(OR(J15="",G15=J15),"","*")</f>
        <v/>
      </c>
      <c r="L15" s="338">
        <f>IF($A15&lt;=L$1,I15/I$4,"")</f>
        <v>5.209028232169028E-4</v>
      </c>
      <c r="M15" s="343"/>
      <c r="N15" s="344"/>
      <c r="O15" s="346">
        <v>0</v>
      </c>
      <c r="P15" s="347">
        <v>0</v>
      </c>
      <c r="Q15" s="347">
        <v>0</v>
      </c>
      <c r="R15" s="348">
        <v>0</v>
      </c>
      <c r="S15" s="349" t="s">
        <v>117</v>
      </c>
      <c r="T15" s="343" t="e">
        <v>#DIV/0!</v>
      </c>
      <c r="U15" s="343" t="s">
        <v>117</v>
      </c>
      <c r="V15" s="344" t="s">
        <v>117</v>
      </c>
      <c r="W15" s="346">
        <v>0</v>
      </c>
      <c r="X15" s="347">
        <v>0</v>
      </c>
      <c r="Y15" s="347">
        <v>0</v>
      </c>
      <c r="Z15" s="348">
        <v>0</v>
      </c>
      <c r="AA15" s="349" t="s">
        <v>117</v>
      </c>
      <c r="AB15" s="343" t="e">
        <v>#DIV/0!</v>
      </c>
      <c r="AC15" s="343" t="s">
        <v>117</v>
      </c>
      <c r="AD15" s="344" t="s">
        <v>117</v>
      </c>
      <c r="AE15" s="342"/>
      <c r="AF15" s="341" t="s">
        <v>117</v>
      </c>
    </row>
    <row r="16" spans="1:32">
      <c r="A16" s="307">
        <v>3</v>
      </c>
      <c r="B16" s="342"/>
      <c r="C16" s="342" t="s">
        <v>171</v>
      </c>
      <c r="D16" s="340" t="s">
        <v>448</v>
      </c>
      <c r="E16" s="342"/>
      <c r="F16" s="345" t="s">
        <v>166</v>
      </c>
      <c r="G16" s="308">
        <v>1</v>
      </c>
      <c r="H16" s="309">
        <v>200000</v>
      </c>
      <c r="I16" s="309">
        <v>200000</v>
      </c>
      <c r="J16" s="211"/>
      <c r="K16" s="212" t="str">
        <f>IF(OR(J16="",G16=J16),"","*")</f>
        <v/>
      </c>
      <c r="L16" s="338">
        <f>IF($A16&lt;=L$1,I16/I$4,"")</f>
        <v>3.4726854881126849E-3</v>
      </c>
      <c r="M16" s="343"/>
      <c r="N16" s="344"/>
      <c r="O16" s="346">
        <v>0</v>
      </c>
      <c r="P16" s="347">
        <v>0</v>
      </c>
      <c r="Q16" s="347">
        <v>0</v>
      </c>
      <c r="R16" s="348">
        <v>0</v>
      </c>
      <c r="S16" s="349" t="s">
        <v>117</v>
      </c>
      <c r="T16" s="343" t="e">
        <v>#DIV/0!</v>
      </c>
      <c r="U16" s="343" t="s">
        <v>117</v>
      </c>
      <c r="V16" s="344" t="s">
        <v>117</v>
      </c>
      <c r="W16" s="346">
        <v>0</v>
      </c>
      <c r="X16" s="347">
        <v>0</v>
      </c>
      <c r="Y16" s="347">
        <v>0</v>
      </c>
      <c r="Z16" s="348">
        <v>0</v>
      </c>
      <c r="AA16" s="349" t="s">
        <v>117</v>
      </c>
      <c r="AB16" s="343" t="e">
        <v>#DIV/0!</v>
      </c>
      <c r="AC16" s="343" t="s">
        <v>117</v>
      </c>
      <c r="AD16" s="344" t="s">
        <v>117</v>
      </c>
      <c r="AE16" s="342"/>
      <c r="AF16" s="341" t="s">
        <v>117</v>
      </c>
    </row>
    <row r="17" spans="1:32">
      <c r="A17" s="307">
        <v>3</v>
      </c>
      <c r="B17" s="342"/>
      <c r="C17" s="342" t="s">
        <v>172</v>
      </c>
      <c r="D17" s="340" t="s">
        <v>449</v>
      </c>
      <c r="E17" s="342"/>
      <c r="F17" s="345" t="s">
        <v>227</v>
      </c>
      <c r="G17" s="308">
        <v>15</v>
      </c>
      <c r="H17" s="309">
        <v>20000</v>
      </c>
      <c r="I17" s="309">
        <v>300000</v>
      </c>
      <c r="J17" s="211"/>
      <c r="K17" s="212" t="str">
        <f>IF(OR(J17="",G17=J17),"","*")</f>
        <v/>
      </c>
      <c r="L17" s="338">
        <f>IF($A17&lt;=L$1,I17/I$4,"")</f>
        <v>5.2090282321690272E-3</v>
      </c>
      <c r="M17" s="343"/>
      <c r="N17" s="344"/>
      <c r="O17" s="346">
        <v>0</v>
      </c>
      <c r="P17" s="347">
        <v>0</v>
      </c>
      <c r="Q17" s="347">
        <v>0</v>
      </c>
      <c r="R17" s="348">
        <v>0</v>
      </c>
      <c r="S17" s="349" t="s">
        <v>117</v>
      </c>
      <c r="T17" s="343" t="e">
        <v>#DIV/0!</v>
      </c>
      <c r="U17" s="343" t="s">
        <v>117</v>
      </c>
      <c r="V17" s="344" t="s">
        <v>117</v>
      </c>
      <c r="W17" s="346">
        <v>0</v>
      </c>
      <c r="X17" s="347">
        <v>0</v>
      </c>
      <c r="Y17" s="347">
        <v>0</v>
      </c>
      <c r="Z17" s="348">
        <v>0</v>
      </c>
      <c r="AA17" s="349" t="s">
        <v>117</v>
      </c>
      <c r="AB17" s="343" t="e">
        <v>#DIV/0!</v>
      </c>
      <c r="AC17" s="343" t="s">
        <v>117</v>
      </c>
      <c r="AD17" s="344" t="s">
        <v>117</v>
      </c>
      <c r="AE17" s="342"/>
      <c r="AF17" s="341" t="s">
        <v>117</v>
      </c>
    </row>
    <row r="18" spans="1:32">
      <c r="A18" s="307">
        <v>3</v>
      </c>
      <c r="B18" s="342"/>
      <c r="C18" s="342" t="s">
        <v>178</v>
      </c>
      <c r="D18" s="340" t="s">
        <v>440</v>
      </c>
      <c r="E18" s="342"/>
      <c r="F18" s="345" t="s">
        <v>227</v>
      </c>
      <c r="G18" s="308">
        <v>15</v>
      </c>
      <c r="H18" s="309">
        <v>3360</v>
      </c>
      <c r="I18" s="309">
        <v>50400</v>
      </c>
      <c r="J18" s="211"/>
      <c r="K18" s="212" t="str">
        <f>IF(OR(J18="",G18=J18),"","*")</f>
        <v/>
      </c>
      <c r="L18" s="338">
        <f>IF($A18&lt;=L$1,I18/I$4,"")</f>
        <v>8.7511674300439662E-4</v>
      </c>
      <c r="M18" s="343"/>
      <c r="N18" s="344"/>
      <c r="O18" s="346">
        <v>0</v>
      </c>
      <c r="P18" s="347">
        <v>0</v>
      </c>
      <c r="Q18" s="347">
        <v>0</v>
      </c>
      <c r="R18" s="348">
        <v>0</v>
      </c>
      <c r="S18" s="349" t="s">
        <v>117</v>
      </c>
      <c r="T18" s="343" t="e">
        <v>#DIV/0!</v>
      </c>
      <c r="U18" s="343" t="s">
        <v>117</v>
      </c>
      <c r="V18" s="344" t="s">
        <v>117</v>
      </c>
      <c r="W18" s="346">
        <v>0</v>
      </c>
      <c r="X18" s="347">
        <v>0</v>
      </c>
      <c r="Y18" s="347">
        <v>0</v>
      </c>
      <c r="Z18" s="348">
        <v>0</v>
      </c>
      <c r="AA18" s="349" t="s">
        <v>117</v>
      </c>
      <c r="AB18" s="343" t="e">
        <v>#DIV/0!</v>
      </c>
      <c r="AC18" s="343" t="s">
        <v>117</v>
      </c>
      <c r="AD18" s="344" t="s">
        <v>117</v>
      </c>
      <c r="AE18" s="342"/>
      <c r="AF18" s="341" t="s">
        <v>117</v>
      </c>
    </row>
    <row r="19" spans="1:32">
      <c r="A19" s="307">
        <v>3</v>
      </c>
      <c r="B19" s="342"/>
      <c r="C19" s="342" t="s">
        <v>175</v>
      </c>
      <c r="D19" s="340" t="s">
        <v>450</v>
      </c>
      <c r="E19" s="342"/>
      <c r="F19" s="345" t="s">
        <v>230</v>
      </c>
      <c r="G19" s="308">
        <v>5</v>
      </c>
      <c r="H19" s="309">
        <v>10000</v>
      </c>
      <c r="I19" s="309">
        <v>50000</v>
      </c>
      <c r="J19" s="211"/>
      <c r="K19" s="212" t="str">
        <f>IF(OR(J19="",G19=J19),"","*")</f>
        <v/>
      </c>
      <c r="L19" s="338">
        <f>IF($A19&lt;=L$1,I19/I$4,"")</f>
        <v>8.6817137202817123E-4</v>
      </c>
      <c r="M19" s="343"/>
      <c r="N19" s="344"/>
      <c r="O19" s="346">
        <v>0</v>
      </c>
      <c r="P19" s="347">
        <v>0</v>
      </c>
      <c r="Q19" s="347">
        <v>0</v>
      </c>
      <c r="R19" s="348">
        <v>0</v>
      </c>
      <c r="S19" s="349" t="s">
        <v>117</v>
      </c>
      <c r="T19" s="343" t="e">
        <v>#DIV/0!</v>
      </c>
      <c r="U19" s="343" t="s">
        <v>117</v>
      </c>
      <c r="V19" s="344" t="s">
        <v>117</v>
      </c>
      <c r="W19" s="346">
        <v>0</v>
      </c>
      <c r="X19" s="347">
        <v>0</v>
      </c>
      <c r="Y19" s="347">
        <v>0</v>
      </c>
      <c r="Z19" s="348">
        <v>0</v>
      </c>
      <c r="AA19" s="349" t="s">
        <v>117</v>
      </c>
      <c r="AB19" s="343" t="e">
        <v>#DIV/0!</v>
      </c>
      <c r="AC19" s="343" t="s">
        <v>117</v>
      </c>
      <c r="AD19" s="344" t="s">
        <v>117</v>
      </c>
      <c r="AE19" s="342"/>
      <c r="AF19" s="341" t="s">
        <v>117</v>
      </c>
    </row>
    <row r="20" spans="1:32">
      <c r="A20" s="307">
        <v>3</v>
      </c>
      <c r="B20" s="342"/>
      <c r="C20" s="342" t="s">
        <v>175</v>
      </c>
      <c r="D20" s="340" t="s">
        <v>451</v>
      </c>
      <c r="E20" s="342"/>
      <c r="F20" s="345" t="s">
        <v>230</v>
      </c>
      <c r="G20" s="308">
        <v>5</v>
      </c>
      <c r="H20" s="309">
        <v>8000</v>
      </c>
      <c r="I20" s="309">
        <v>40000</v>
      </c>
      <c r="J20" s="211"/>
      <c r="K20" s="212" t="str">
        <f>IF(OR(J20="",G20=J20),"","*")</f>
        <v/>
      </c>
      <c r="L20" s="338">
        <f>IF($A20&lt;=L$1,I20/I$4,"")</f>
        <v>6.9453709762253696E-4</v>
      </c>
      <c r="M20" s="343"/>
      <c r="N20" s="344"/>
      <c r="O20" s="346">
        <v>0</v>
      </c>
      <c r="P20" s="347">
        <v>0</v>
      </c>
      <c r="Q20" s="347">
        <v>0</v>
      </c>
      <c r="R20" s="348">
        <v>0</v>
      </c>
      <c r="S20" s="349" t="s">
        <v>117</v>
      </c>
      <c r="T20" s="343" t="e">
        <v>#DIV/0!</v>
      </c>
      <c r="U20" s="343" t="s">
        <v>117</v>
      </c>
      <c r="V20" s="344" t="s">
        <v>117</v>
      </c>
      <c r="W20" s="346">
        <v>0</v>
      </c>
      <c r="X20" s="347">
        <v>0</v>
      </c>
      <c r="Y20" s="347">
        <v>0</v>
      </c>
      <c r="Z20" s="348">
        <v>0</v>
      </c>
      <c r="AA20" s="349" t="s">
        <v>117</v>
      </c>
      <c r="AB20" s="343" t="e">
        <v>#DIV/0!</v>
      </c>
      <c r="AC20" s="343" t="s">
        <v>117</v>
      </c>
      <c r="AD20" s="344" t="s">
        <v>117</v>
      </c>
      <c r="AE20" s="342"/>
      <c r="AF20" s="341" t="s">
        <v>117</v>
      </c>
    </row>
    <row r="21" spans="1:32">
      <c r="A21" s="307">
        <v>3</v>
      </c>
      <c r="B21" s="342"/>
      <c r="C21" s="342" t="s">
        <v>175</v>
      </c>
      <c r="D21" s="340" t="s">
        <v>452</v>
      </c>
      <c r="E21" s="342"/>
      <c r="F21" s="345" t="s">
        <v>230</v>
      </c>
      <c r="G21" s="308">
        <v>5</v>
      </c>
      <c r="H21" s="309">
        <v>6000</v>
      </c>
      <c r="I21" s="309">
        <v>30000</v>
      </c>
      <c r="J21" s="211"/>
      <c r="K21" s="212" t="str">
        <f>IF(OR(J21="",G21=J21),"","*")</f>
        <v/>
      </c>
      <c r="L21" s="338">
        <f>IF($A21&lt;=L$1,I21/I$4,"")</f>
        <v>5.209028232169028E-4</v>
      </c>
      <c r="M21" s="343"/>
      <c r="N21" s="344"/>
      <c r="O21" s="346">
        <v>0</v>
      </c>
      <c r="P21" s="347">
        <v>0</v>
      </c>
      <c r="Q21" s="347">
        <v>0</v>
      </c>
      <c r="R21" s="348">
        <v>0</v>
      </c>
      <c r="S21" s="349" t="s">
        <v>117</v>
      </c>
      <c r="T21" s="343" t="e">
        <v>#DIV/0!</v>
      </c>
      <c r="U21" s="343" t="s">
        <v>117</v>
      </c>
      <c r="V21" s="344" t="s">
        <v>117</v>
      </c>
      <c r="W21" s="346">
        <v>0</v>
      </c>
      <c r="X21" s="347">
        <v>0</v>
      </c>
      <c r="Y21" s="347">
        <v>0</v>
      </c>
      <c r="Z21" s="348">
        <v>0</v>
      </c>
      <c r="AA21" s="349" t="s">
        <v>117</v>
      </c>
      <c r="AB21" s="343" t="e">
        <v>#DIV/0!</v>
      </c>
      <c r="AC21" s="343" t="s">
        <v>117</v>
      </c>
      <c r="AD21" s="344" t="s">
        <v>117</v>
      </c>
      <c r="AE21" s="342"/>
      <c r="AF21" s="341" t="s">
        <v>117</v>
      </c>
    </row>
    <row r="22" spans="1:32">
      <c r="A22" s="307">
        <v>3</v>
      </c>
      <c r="B22" s="342"/>
      <c r="C22" s="342" t="s">
        <v>177</v>
      </c>
      <c r="D22" s="340" t="s">
        <v>453</v>
      </c>
      <c r="E22" s="342" t="s">
        <v>454</v>
      </c>
      <c r="F22" s="345" t="s">
        <v>166</v>
      </c>
      <c r="G22" s="308">
        <v>1</v>
      </c>
      <c r="H22" s="309">
        <v>100000</v>
      </c>
      <c r="I22" s="309">
        <v>100000</v>
      </c>
      <c r="J22" s="211"/>
      <c r="K22" s="212" t="str">
        <f>IF(OR(J22="",G22=J22),"","*")</f>
        <v/>
      </c>
      <c r="L22" s="338">
        <f>IF($A22&lt;=L$1,I22/I$4,"")</f>
        <v>1.7363427440563425E-3</v>
      </c>
      <c r="M22" s="343"/>
      <c r="N22" s="344"/>
      <c r="O22" s="346">
        <v>0</v>
      </c>
      <c r="P22" s="347">
        <v>0</v>
      </c>
      <c r="Q22" s="347">
        <v>0</v>
      </c>
      <c r="R22" s="348">
        <v>0</v>
      </c>
      <c r="S22" s="349" t="s">
        <v>117</v>
      </c>
      <c r="T22" s="343" t="e">
        <v>#DIV/0!</v>
      </c>
      <c r="U22" s="343" t="s">
        <v>117</v>
      </c>
      <c r="V22" s="344" t="s">
        <v>117</v>
      </c>
      <c r="W22" s="346">
        <v>0</v>
      </c>
      <c r="X22" s="347">
        <v>0</v>
      </c>
      <c r="Y22" s="347">
        <v>0</v>
      </c>
      <c r="Z22" s="348">
        <v>0</v>
      </c>
      <c r="AA22" s="349" t="s">
        <v>117</v>
      </c>
      <c r="AB22" s="343" t="e">
        <v>#DIV/0!</v>
      </c>
      <c r="AC22" s="343" t="s">
        <v>117</v>
      </c>
      <c r="AD22" s="344" t="s">
        <v>117</v>
      </c>
      <c r="AE22" s="342"/>
      <c r="AF22" s="341" t="s">
        <v>117</v>
      </c>
    </row>
    <row r="23" spans="1:32">
      <c r="A23" s="307">
        <v>3</v>
      </c>
      <c r="B23" s="342"/>
      <c r="C23" s="342" t="s">
        <v>173</v>
      </c>
      <c r="D23" s="340" t="s">
        <v>455</v>
      </c>
      <c r="E23" s="342"/>
      <c r="F23" s="345" t="s">
        <v>166</v>
      </c>
      <c r="G23" s="308">
        <v>1</v>
      </c>
      <c r="H23" s="309">
        <v>50000</v>
      </c>
      <c r="I23" s="309">
        <v>50000</v>
      </c>
      <c r="J23" s="211"/>
      <c r="K23" s="212" t="str">
        <f>IF(OR(J23="",G23=J23),"","*")</f>
        <v/>
      </c>
      <c r="L23" s="338">
        <f>IF($A23&lt;=L$1,I23/I$4,"")</f>
        <v>8.6817137202817123E-4</v>
      </c>
      <c r="M23" s="343"/>
      <c r="N23" s="344"/>
      <c r="O23" s="346">
        <v>0</v>
      </c>
      <c r="P23" s="347">
        <v>0</v>
      </c>
      <c r="Q23" s="347">
        <v>0</v>
      </c>
      <c r="R23" s="348">
        <v>0</v>
      </c>
      <c r="S23" s="349" t="s">
        <v>117</v>
      </c>
      <c r="T23" s="343" t="e">
        <v>#DIV/0!</v>
      </c>
      <c r="U23" s="343" t="s">
        <v>117</v>
      </c>
      <c r="V23" s="344" t="s">
        <v>117</v>
      </c>
      <c r="W23" s="346">
        <v>0</v>
      </c>
      <c r="X23" s="347">
        <v>0</v>
      </c>
      <c r="Y23" s="347">
        <v>0</v>
      </c>
      <c r="Z23" s="348">
        <v>0</v>
      </c>
      <c r="AA23" s="349" t="s">
        <v>117</v>
      </c>
      <c r="AB23" s="343" t="e">
        <v>#DIV/0!</v>
      </c>
      <c r="AC23" s="343" t="s">
        <v>117</v>
      </c>
      <c r="AD23" s="344" t="s">
        <v>117</v>
      </c>
      <c r="AE23" s="342"/>
      <c r="AF23" s="341" t="s">
        <v>117</v>
      </c>
    </row>
    <row r="24" spans="1:32">
      <c r="A24" s="307">
        <v>2</v>
      </c>
      <c r="B24" s="342"/>
      <c r="C24" s="342" t="s">
        <v>214</v>
      </c>
      <c r="D24" s="340" t="s">
        <v>456</v>
      </c>
      <c r="E24" s="342" t="s">
        <v>169</v>
      </c>
      <c r="F24" s="345" t="s">
        <v>166</v>
      </c>
      <c r="G24" s="308">
        <v>1</v>
      </c>
      <c r="H24" s="309">
        <v>1360000</v>
      </c>
      <c r="I24" s="309">
        <v>1360000</v>
      </c>
      <c r="J24" s="211">
        <v>1</v>
      </c>
      <c r="K24" s="212" t="str">
        <f>IF(OR(J24="",G24=J24),"","*")</f>
        <v/>
      </c>
      <c r="L24" s="338">
        <f>IF($A24&lt;=L$1,I24/I$4,"")</f>
        <v>2.3614261319166257E-2</v>
      </c>
      <c r="M24" s="343"/>
      <c r="N24" s="344" t="s">
        <v>457</v>
      </c>
      <c r="O24" s="346">
        <v>0</v>
      </c>
      <c r="P24" s="347">
        <v>0</v>
      </c>
      <c r="Q24" s="347">
        <v>0</v>
      </c>
      <c r="R24" s="348">
        <v>0</v>
      </c>
      <c r="S24" s="349" t="s">
        <v>117</v>
      </c>
      <c r="T24" s="343" t="e">
        <v>#DIV/0!</v>
      </c>
      <c r="U24" s="343" t="s">
        <v>117</v>
      </c>
      <c r="V24" s="344" t="s">
        <v>117</v>
      </c>
      <c r="W24" s="346">
        <v>0</v>
      </c>
      <c r="X24" s="347">
        <v>0</v>
      </c>
      <c r="Y24" s="347">
        <v>0</v>
      </c>
      <c r="Z24" s="348">
        <v>0</v>
      </c>
      <c r="AA24" s="349" t="s">
        <v>117</v>
      </c>
      <c r="AB24" s="343" t="e">
        <v>#DIV/0!</v>
      </c>
      <c r="AC24" s="343" t="s">
        <v>117</v>
      </c>
      <c r="AD24" s="344" t="s">
        <v>117</v>
      </c>
      <c r="AE24" s="342"/>
      <c r="AF24" s="341" t="s">
        <v>117</v>
      </c>
    </row>
    <row r="25" spans="1:32">
      <c r="A25" s="307">
        <v>3</v>
      </c>
      <c r="B25" s="342"/>
      <c r="C25" s="342" t="s">
        <v>177</v>
      </c>
      <c r="D25" s="340" t="s">
        <v>458</v>
      </c>
      <c r="E25" s="342"/>
      <c r="F25" s="345" t="s">
        <v>459</v>
      </c>
      <c r="G25" s="308">
        <v>2</v>
      </c>
      <c r="H25" s="309">
        <v>100000</v>
      </c>
      <c r="I25" s="309">
        <v>200000</v>
      </c>
      <c r="J25" s="211"/>
      <c r="K25" s="212" t="str">
        <f>IF(OR(J25="",G25=J25),"","*")</f>
        <v/>
      </c>
      <c r="L25" s="338">
        <f>IF($A25&lt;=L$1,I25/I$4,"")</f>
        <v>3.4726854881126849E-3</v>
      </c>
      <c r="M25" s="343"/>
      <c r="N25" s="344"/>
      <c r="O25" s="346">
        <v>0</v>
      </c>
      <c r="P25" s="347">
        <v>0</v>
      </c>
      <c r="Q25" s="347">
        <v>0</v>
      </c>
      <c r="R25" s="348">
        <v>0</v>
      </c>
      <c r="S25" s="349" t="s">
        <v>117</v>
      </c>
      <c r="T25" s="343" t="e">
        <v>#DIV/0!</v>
      </c>
      <c r="U25" s="343" t="s">
        <v>117</v>
      </c>
      <c r="V25" s="344" t="s">
        <v>117</v>
      </c>
      <c r="W25" s="346">
        <v>0</v>
      </c>
      <c r="X25" s="347">
        <v>0</v>
      </c>
      <c r="Y25" s="347">
        <v>0</v>
      </c>
      <c r="Z25" s="348">
        <v>0</v>
      </c>
      <c r="AA25" s="349" t="s">
        <v>117</v>
      </c>
      <c r="AB25" s="343" t="e">
        <v>#DIV/0!</v>
      </c>
      <c r="AC25" s="343" t="s">
        <v>117</v>
      </c>
      <c r="AD25" s="344" t="s">
        <v>117</v>
      </c>
      <c r="AE25" s="342"/>
      <c r="AF25" s="341" t="s">
        <v>117</v>
      </c>
    </row>
    <row r="26" spans="1:32">
      <c r="A26" s="307">
        <v>3</v>
      </c>
      <c r="B26" s="342"/>
      <c r="C26" s="342" t="s">
        <v>177</v>
      </c>
      <c r="D26" s="340" t="s">
        <v>460</v>
      </c>
      <c r="E26" s="342"/>
      <c r="F26" s="345" t="s">
        <v>459</v>
      </c>
      <c r="G26" s="308">
        <v>3</v>
      </c>
      <c r="H26" s="309">
        <v>100000</v>
      </c>
      <c r="I26" s="309">
        <v>300000</v>
      </c>
      <c r="J26" s="211"/>
      <c r="K26" s="212" t="str">
        <f>IF(OR(J26="",G26=J26),"","*")</f>
        <v/>
      </c>
      <c r="L26" s="338">
        <f>IF($A26&lt;=L$1,I26/I$4,"")</f>
        <v>5.2090282321690272E-3</v>
      </c>
      <c r="M26" s="343"/>
      <c r="N26" s="344"/>
      <c r="O26" s="346">
        <v>0</v>
      </c>
      <c r="P26" s="347">
        <v>0</v>
      </c>
      <c r="Q26" s="347">
        <v>0</v>
      </c>
      <c r="R26" s="348">
        <v>0</v>
      </c>
      <c r="S26" s="349" t="s">
        <v>117</v>
      </c>
      <c r="T26" s="343" t="e">
        <v>#DIV/0!</v>
      </c>
      <c r="U26" s="343" t="s">
        <v>117</v>
      </c>
      <c r="V26" s="344" t="s">
        <v>117</v>
      </c>
      <c r="W26" s="346">
        <v>0</v>
      </c>
      <c r="X26" s="347">
        <v>0</v>
      </c>
      <c r="Y26" s="347">
        <v>0</v>
      </c>
      <c r="Z26" s="348">
        <v>0</v>
      </c>
      <c r="AA26" s="349" t="s">
        <v>117</v>
      </c>
      <c r="AB26" s="343" t="e">
        <v>#DIV/0!</v>
      </c>
      <c r="AC26" s="343" t="s">
        <v>117</v>
      </c>
      <c r="AD26" s="344" t="s">
        <v>117</v>
      </c>
      <c r="AE26" s="342"/>
      <c r="AF26" s="341" t="s">
        <v>117</v>
      </c>
    </row>
    <row r="27" spans="1:32">
      <c r="A27" s="307">
        <v>3</v>
      </c>
      <c r="B27" s="342"/>
      <c r="C27" s="342" t="s">
        <v>177</v>
      </c>
      <c r="D27" s="340" t="s">
        <v>461</v>
      </c>
      <c r="E27" s="342" t="s">
        <v>462</v>
      </c>
      <c r="F27" s="345" t="s">
        <v>459</v>
      </c>
      <c r="G27" s="308">
        <v>3</v>
      </c>
      <c r="H27" s="309">
        <v>100000</v>
      </c>
      <c r="I27" s="309">
        <v>300000</v>
      </c>
      <c r="J27" s="211"/>
      <c r="K27" s="212" t="str">
        <f>IF(OR(J27="",G27=J27),"","*")</f>
        <v/>
      </c>
      <c r="L27" s="338">
        <f>IF($A27&lt;=L$1,I27/I$4,"")</f>
        <v>5.2090282321690272E-3</v>
      </c>
      <c r="M27" s="343"/>
      <c r="N27" s="344"/>
      <c r="O27" s="346">
        <v>0</v>
      </c>
      <c r="P27" s="347">
        <v>0</v>
      </c>
      <c r="Q27" s="347">
        <v>0</v>
      </c>
      <c r="R27" s="348">
        <v>0</v>
      </c>
      <c r="S27" s="349" t="s">
        <v>117</v>
      </c>
      <c r="T27" s="343" t="e">
        <v>#DIV/0!</v>
      </c>
      <c r="U27" s="343" t="s">
        <v>117</v>
      </c>
      <c r="V27" s="344" t="s">
        <v>117</v>
      </c>
      <c r="W27" s="346">
        <v>0</v>
      </c>
      <c r="X27" s="347">
        <v>0</v>
      </c>
      <c r="Y27" s="347">
        <v>0</v>
      </c>
      <c r="Z27" s="348">
        <v>0</v>
      </c>
      <c r="AA27" s="349" t="s">
        <v>117</v>
      </c>
      <c r="AB27" s="343" t="e">
        <v>#DIV/0!</v>
      </c>
      <c r="AC27" s="343" t="s">
        <v>117</v>
      </c>
      <c r="AD27" s="344" t="s">
        <v>117</v>
      </c>
      <c r="AE27" s="342"/>
      <c r="AF27" s="341" t="s">
        <v>117</v>
      </c>
    </row>
    <row r="28" spans="1:32">
      <c r="A28" s="307">
        <v>3</v>
      </c>
      <c r="B28" s="342"/>
      <c r="C28" s="342" t="s">
        <v>177</v>
      </c>
      <c r="D28" s="340" t="s">
        <v>463</v>
      </c>
      <c r="E28" s="342"/>
      <c r="F28" s="345" t="s">
        <v>435</v>
      </c>
      <c r="G28" s="308">
        <v>3</v>
      </c>
      <c r="H28" s="309">
        <v>20000</v>
      </c>
      <c r="I28" s="309">
        <v>60000</v>
      </c>
      <c r="J28" s="211"/>
      <c r="K28" s="212" t="str">
        <f>IF(OR(J28="",G28=J28),"","*")</f>
        <v/>
      </c>
      <c r="L28" s="338">
        <f>IF($A28&lt;=L$1,I28/I$4,"")</f>
        <v>1.0418056464338056E-3</v>
      </c>
      <c r="M28" s="343"/>
      <c r="N28" s="344"/>
      <c r="O28" s="346">
        <v>0</v>
      </c>
      <c r="P28" s="347">
        <v>0</v>
      </c>
      <c r="Q28" s="347">
        <v>0</v>
      </c>
      <c r="R28" s="348">
        <v>0</v>
      </c>
      <c r="S28" s="349" t="s">
        <v>117</v>
      </c>
      <c r="T28" s="343" t="e">
        <v>#DIV/0!</v>
      </c>
      <c r="U28" s="343" t="s">
        <v>117</v>
      </c>
      <c r="V28" s="344" t="s">
        <v>117</v>
      </c>
      <c r="W28" s="346">
        <v>0</v>
      </c>
      <c r="X28" s="347">
        <v>0</v>
      </c>
      <c r="Y28" s="347">
        <v>0</v>
      </c>
      <c r="Z28" s="348">
        <v>0</v>
      </c>
      <c r="AA28" s="349" t="s">
        <v>117</v>
      </c>
      <c r="AB28" s="343" t="e">
        <v>#DIV/0!</v>
      </c>
      <c r="AC28" s="343" t="s">
        <v>117</v>
      </c>
      <c r="AD28" s="344" t="s">
        <v>117</v>
      </c>
      <c r="AE28" s="342"/>
      <c r="AF28" s="341" t="s">
        <v>117</v>
      </c>
    </row>
    <row r="29" spans="1:32">
      <c r="A29" s="307">
        <v>3</v>
      </c>
      <c r="B29" s="342"/>
      <c r="C29" s="342" t="s">
        <v>177</v>
      </c>
      <c r="D29" s="340" t="s">
        <v>464</v>
      </c>
      <c r="E29" s="342"/>
      <c r="F29" s="345" t="s">
        <v>166</v>
      </c>
      <c r="G29" s="308">
        <v>1</v>
      </c>
      <c r="H29" s="309">
        <v>150000</v>
      </c>
      <c r="I29" s="309">
        <v>150000</v>
      </c>
      <c r="J29" s="211"/>
      <c r="K29" s="212" t="str">
        <f>IF(OR(J29="",G29=J29),"","*")</f>
        <v/>
      </c>
      <c r="L29" s="338">
        <f>IF($A29&lt;=L$1,I29/I$4,"")</f>
        <v>2.6045141160845136E-3</v>
      </c>
      <c r="M29" s="343"/>
      <c r="N29" s="344"/>
      <c r="O29" s="346">
        <v>0</v>
      </c>
      <c r="P29" s="347">
        <v>0</v>
      </c>
      <c r="Q29" s="347">
        <v>0</v>
      </c>
      <c r="R29" s="348">
        <v>0</v>
      </c>
      <c r="S29" s="349" t="s">
        <v>117</v>
      </c>
      <c r="T29" s="343" t="e">
        <v>#DIV/0!</v>
      </c>
      <c r="U29" s="343" t="s">
        <v>117</v>
      </c>
      <c r="V29" s="344" t="s">
        <v>117</v>
      </c>
      <c r="W29" s="346">
        <v>0</v>
      </c>
      <c r="X29" s="347">
        <v>0</v>
      </c>
      <c r="Y29" s="347">
        <v>0</v>
      </c>
      <c r="Z29" s="348">
        <v>0</v>
      </c>
      <c r="AA29" s="349" t="s">
        <v>117</v>
      </c>
      <c r="AB29" s="343" t="e">
        <v>#DIV/0!</v>
      </c>
      <c r="AC29" s="343" t="s">
        <v>117</v>
      </c>
      <c r="AD29" s="344" t="s">
        <v>117</v>
      </c>
      <c r="AE29" s="342"/>
      <c r="AF29" s="341" t="s">
        <v>117</v>
      </c>
    </row>
    <row r="30" spans="1:32">
      <c r="A30" s="307">
        <v>3</v>
      </c>
      <c r="B30" s="342"/>
      <c r="C30" s="342" t="s">
        <v>177</v>
      </c>
      <c r="D30" s="340" t="s">
        <v>465</v>
      </c>
      <c r="E30" s="342" t="s">
        <v>276</v>
      </c>
      <c r="F30" s="345" t="s">
        <v>166</v>
      </c>
      <c r="G30" s="308">
        <v>1</v>
      </c>
      <c r="H30" s="309">
        <v>150000</v>
      </c>
      <c r="I30" s="309">
        <v>150000</v>
      </c>
      <c r="J30" s="211"/>
      <c r="K30" s="212" t="str">
        <f>IF(OR(J30="",G30=J30),"","*")</f>
        <v/>
      </c>
      <c r="L30" s="338">
        <f>IF($A30&lt;=L$1,I30/I$4,"")</f>
        <v>2.6045141160845136E-3</v>
      </c>
      <c r="M30" s="343"/>
      <c r="N30" s="344"/>
      <c r="O30" s="346">
        <v>0</v>
      </c>
      <c r="P30" s="347">
        <v>0</v>
      </c>
      <c r="Q30" s="347">
        <v>0</v>
      </c>
      <c r="R30" s="348">
        <v>0</v>
      </c>
      <c r="S30" s="349" t="s">
        <v>117</v>
      </c>
      <c r="T30" s="343" t="e">
        <v>#DIV/0!</v>
      </c>
      <c r="U30" s="343" t="s">
        <v>117</v>
      </c>
      <c r="V30" s="344" t="s">
        <v>117</v>
      </c>
      <c r="W30" s="346">
        <v>0</v>
      </c>
      <c r="X30" s="347">
        <v>0</v>
      </c>
      <c r="Y30" s="347">
        <v>0</v>
      </c>
      <c r="Z30" s="348">
        <v>0</v>
      </c>
      <c r="AA30" s="349" t="s">
        <v>117</v>
      </c>
      <c r="AB30" s="343" t="e">
        <v>#DIV/0!</v>
      </c>
      <c r="AC30" s="343" t="s">
        <v>117</v>
      </c>
      <c r="AD30" s="344" t="s">
        <v>117</v>
      </c>
      <c r="AE30" s="342"/>
      <c r="AF30" s="341" t="s">
        <v>117</v>
      </c>
    </row>
    <row r="31" spans="1:32">
      <c r="A31" s="307">
        <v>3</v>
      </c>
      <c r="B31" s="342"/>
      <c r="C31" s="342" t="s">
        <v>177</v>
      </c>
      <c r="D31" s="340" t="s">
        <v>466</v>
      </c>
      <c r="E31" s="342"/>
      <c r="F31" s="345" t="s">
        <v>459</v>
      </c>
      <c r="G31" s="308">
        <v>2</v>
      </c>
      <c r="H31" s="309">
        <v>100000</v>
      </c>
      <c r="I31" s="309">
        <v>200000</v>
      </c>
      <c r="J31" s="211"/>
      <c r="K31" s="212" t="str">
        <f>IF(OR(J31="",G31=J31),"","*")</f>
        <v/>
      </c>
      <c r="L31" s="338">
        <f>IF($A31&lt;=L$1,I31/I$4,"")</f>
        <v>3.4726854881126849E-3</v>
      </c>
      <c r="M31" s="343"/>
      <c r="N31" s="344"/>
      <c r="O31" s="346">
        <v>0</v>
      </c>
      <c r="P31" s="347">
        <v>0</v>
      </c>
      <c r="Q31" s="347">
        <v>0</v>
      </c>
      <c r="R31" s="348">
        <v>0</v>
      </c>
      <c r="S31" s="349" t="s">
        <v>117</v>
      </c>
      <c r="T31" s="343" t="e">
        <v>#DIV/0!</v>
      </c>
      <c r="U31" s="343" t="s">
        <v>117</v>
      </c>
      <c r="V31" s="344" t="s">
        <v>117</v>
      </c>
      <c r="W31" s="346">
        <v>0</v>
      </c>
      <c r="X31" s="347">
        <v>0</v>
      </c>
      <c r="Y31" s="347">
        <v>0</v>
      </c>
      <c r="Z31" s="348">
        <v>0</v>
      </c>
      <c r="AA31" s="349" t="s">
        <v>117</v>
      </c>
      <c r="AB31" s="343" t="e">
        <v>#DIV/0!</v>
      </c>
      <c r="AC31" s="343" t="s">
        <v>117</v>
      </c>
      <c r="AD31" s="344" t="s">
        <v>117</v>
      </c>
      <c r="AE31" s="342"/>
      <c r="AF31" s="341" t="s">
        <v>117</v>
      </c>
    </row>
    <row r="32" spans="1:32">
      <c r="A32" s="307">
        <v>2</v>
      </c>
      <c r="B32" s="342"/>
      <c r="C32" s="342" t="s">
        <v>214</v>
      </c>
      <c r="D32" s="340" t="s">
        <v>467</v>
      </c>
      <c r="E32" s="342" t="s">
        <v>170</v>
      </c>
      <c r="F32" s="345" t="s">
        <v>166</v>
      </c>
      <c r="G32" s="308">
        <v>1</v>
      </c>
      <c r="H32" s="309">
        <v>460000</v>
      </c>
      <c r="I32" s="309">
        <v>460000</v>
      </c>
      <c r="J32" s="211">
        <v>1</v>
      </c>
      <c r="K32" s="212" t="str">
        <f>IF(OR(J32="",G32=J32),"","*")</f>
        <v/>
      </c>
      <c r="L32" s="338">
        <f>IF($A32&lt;=L$1,I32/I$4,"")</f>
        <v>7.9871766226591763E-3</v>
      </c>
      <c r="M32" s="343"/>
      <c r="N32" s="344" t="s">
        <v>468</v>
      </c>
      <c r="O32" s="346">
        <v>0</v>
      </c>
      <c r="P32" s="347">
        <v>0</v>
      </c>
      <c r="Q32" s="347">
        <v>0</v>
      </c>
      <c r="R32" s="348">
        <v>0</v>
      </c>
      <c r="S32" s="349" t="s">
        <v>117</v>
      </c>
      <c r="T32" s="343" t="e">
        <v>#DIV/0!</v>
      </c>
      <c r="U32" s="343" t="s">
        <v>117</v>
      </c>
      <c r="V32" s="344" t="s">
        <v>117</v>
      </c>
      <c r="W32" s="346">
        <v>0</v>
      </c>
      <c r="X32" s="347">
        <v>0</v>
      </c>
      <c r="Y32" s="347">
        <v>0</v>
      </c>
      <c r="Z32" s="348">
        <v>0</v>
      </c>
      <c r="AA32" s="349" t="s">
        <v>117</v>
      </c>
      <c r="AB32" s="343" t="e">
        <v>#DIV/0!</v>
      </c>
      <c r="AC32" s="343" t="s">
        <v>117</v>
      </c>
      <c r="AD32" s="344" t="s">
        <v>117</v>
      </c>
      <c r="AE32" s="342"/>
      <c r="AF32" s="341" t="s">
        <v>117</v>
      </c>
    </row>
    <row r="33" spans="1:32">
      <c r="A33" s="307">
        <v>3</v>
      </c>
      <c r="B33" s="342"/>
      <c r="C33" s="342" t="s">
        <v>173</v>
      </c>
      <c r="D33" s="340" t="s">
        <v>469</v>
      </c>
      <c r="E33" s="342" t="s">
        <v>470</v>
      </c>
      <c r="F33" s="345" t="s">
        <v>227</v>
      </c>
      <c r="G33" s="308">
        <v>10</v>
      </c>
      <c r="H33" s="309">
        <v>16000</v>
      </c>
      <c r="I33" s="309">
        <v>160000</v>
      </c>
      <c r="J33" s="211"/>
      <c r="K33" s="212" t="str">
        <f>IF(OR(J33="",G33=J33),"","*")</f>
        <v/>
      </c>
      <c r="L33" s="338">
        <f>IF($A33&lt;=L$1,I33/I$4,"")</f>
        <v>2.7781483904901478E-3</v>
      </c>
      <c r="M33" s="343"/>
      <c r="N33" s="344"/>
      <c r="O33" s="346">
        <v>0</v>
      </c>
      <c r="P33" s="347">
        <v>0</v>
      </c>
      <c r="Q33" s="347">
        <v>0</v>
      </c>
      <c r="R33" s="348">
        <v>0</v>
      </c>
      <c r="S33" s="349" t="s">
        <v>117</v>
      </c>
      <c r="T33" s="343" t="e">
        <v>#DIV/0!</v>
      </c>
      <c r="U33" s="343" t="s">
        <v>117</v>
      </c>
      <c r="V33" s="344" t="s">
        <v>117</v>
      </c>
      <c r="W33" s="346">
        <v>0</v>
      </c>
      <c r="X33" s="347">
        <v>0</v>
      </c>
      <c r="Y33" s="347">
        <v>0</v>
      </c>
      <c r="Z33" s="348">
        <v>0</v>
      </c>
      <c r="AA33" s="349" t="s">
        <v>117</v>
      </c>
      <c r="AB33" s="343" t="e">
        <v>#DIV/0!</v>
      </c>
      <c r="AC33" s="343" t="s">
        <v>117</v>
      </c>
      <c r="AD33" s="344" t="s">
        <v>117</v>
      </c>
      <c r="AE33" s="342"/>
      <c r="AF33" s="341" t="s">
        <v>117</v>
      </c>
    </row>
    <row r="34" spans="1:32">
      <c r="A34" s="307">
        <v>3</v>
      </c>
      <c r="B34" s="342"/>
      <c r="C34" s="342" t="s">
        <v>171</v>
      </c>
      <c r="D34" s="340" t="s">
        <v>471</v>
      </c>
      <c r="E34" s="342"/>
      <c r="F34" s="345" t="s">
        <v>459</v>
      </c>
      <c r="G34" s="308">
        <v>3</v>
      </c>
      <c r="H34" s="309">
        <v>100000</v>
      </c>
      <c r="I34" s="309">
        <v>300000</v>
      </c>
      <c r="J34" s="211"/>
      <c r="K34" s="212" t="str">
        <f>IF(OR(J34="",G34=J34),"","*")</f>
        <v/>
      </c>
      <c r="L34" s="338">
        <f>IF($A34&lt;=L$1,I34/I$4,"")</f>
        <v>5.2090282321690272E-3</v>
      </c>
      <c r="M34" s="343"/>
      <c r="N34" s="344"/>
      <c r="O34" s="346">
        <v>0</v>
      </c>
      <c r="P34" s="347">
        <v>0</v>
      </c>
      <c r="Q34" s="347">
        <v>0</v>
      </c>
      <c r="R34" s="348">
        <v>0</v>
      </c>
      <c r="S34" s="349" t="s">
        <v>117</v>
      </c>
      <c r="T34" s="343" t="e">
        <v>#DIV/0!</v>
      </c>
      <c r="U34" s="343" t="s">
        <v>117</v>
      </c>
      <c r="V34" s="344" t="s">
        <v>117</v>
      </c>
      <c r="W34" s="346">
        <v>0</v>
      </c>
      <c r="X34" s="347">
        <v>0</v>
      </c>
      <c r="Y34" s="347">
        <v>0</v>
      </c>
      <c r="Z34" s="348">
        <v>0</v>
      </c>
      <c r="AA34" s="349" t="s">
        <v>117</v>
      </c>
      <c r="AB34" s="343" t="e">
        <v>#DIV/0!</v>
      </c>
      <c r="AC34" s="343" t="s">
        <v>117</v>
      </c>
      <c r="AD34" s="344" t="s">
        <v>117</v>
      </c>
      <c r="AE34" s="342"/>
      <c r="AF34" s="341" t="s">
        <v>117</v>
      </c>
    </row>
    <row r="35" spans="1:32">
      <c r="A35" s="217"/>
      <c r="B35" s="217"/>
      <c r="C35" s="312"/>
      <c r="D35" s="217"/>
      <c r="E35" s="217"/>
      <c r="F35" s="218"/>
      <c r="G35" s="217"/>
      <c r="H35" s="217"/>
      <c r="I35" s="217"/>
      <c r="J35" s="217"/>
      <c r="K35" s="218"/>
      <c r="L35" s="217"/>
      <c r="M35" s="217"/>
      <c r="N35" s="217"/>
      <c r="O35" s="217"/>
      <c r="P35" s="217"/>
      <c r="Q35" s="217"/>
      <c r="R35" s="217"/>
      <c r="S35" s="218"/>
      <c r="T35" s="217"/>
      <c r="U35" s="217"/>
      <c r="V35" s="217"/>
      <c r="W35" s="217"/>
      <c r="X35" s="217"/>
      <c r="Y35" s="217"/>
      <c r="Z35" s="217"/>
      <c r="AA35" s="218"/>
      <c r="AB35" s="217"/>
      <c r="AC35" s="217"/>
      <c r="AD35" s="217"/>
      <c r="AE35" s="217"/>
      <c r="AF35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34 AF4:AF34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34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164</v>
      </c>
      <c r="C3" s="561"/>
      <c r="D3" s="563" t="s">
        <v>166</v>
      </c>
      <c r="E3" s="565">
        <v>1</v>
      </c>
      <c r="F3" s="521">
        <v>4000000</v>
      </c>
      <c r="G3" s="557">
        <v>4000000</v>
      </c>
      <c r="H3" s="138" t="s">
        <v>472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193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209</v>
      </c>
      <c r="C7" s="561"/>
      <c r="D7" s="563"/>
      <c r="E7" s="565"/>
      <c r="F7" s="521"/>
      <c r="G7" s="557">
        <v>4000000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藤森工業㈱三重工場Wattway設置工事</v>
      </c>
      <c r="G1" s="306"/>
      <c r="H1" s="190" t="s">
        <v>131</v>
      </c>
      <c r="I1" s="333">
        <v>68600000</v>
      </c>
      <c r="J1" s="339">
        <f>I4/I$1</f>
        <v>0.83953813411078715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429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211</v>
      </c>
      <c r="D4" s="340" t="s">
        <v>179</v>
      </c>
      <c r="E4" s="342"/>
      <c r="F4" s="345" t="s">
        <v>166</v>
      </c>
      <c r="G4" s="308">
        <v>1</v>
      </c>
      <c r="H4" s="309">
        <v>57592316</v>
      </c>
      <c r="I4" s="309">
        <v>57592316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212</v>
      </c>
      <c r="D5" s="340" t="s">
        <v>473</v>
      </c>
      <c r="E5" s="342"/>
      <c r="F5" s="345" t="s">
        <v>166</v>
      </c>
      <c r="G5" s="308">
        <v>1</v>
      </c>
      <c r="H5" s="309">
        <v>4000000</v>
      </c>
      <c r="I5" s="309">
        <v>4000000</v>
      </c>
      <c r="J5" s="211"/>
      <c r="K5" s="212" t="str">
        <f>IF(OR(J5="",G5=J5),"","*")</f>
        <v/>
      </c>
      <c r="L5" s="338">
        <f>IF($A5&lt;=L$1,I5/I$4,"")</f>
        <v>6.9453709762253707E-2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214</v>
      </c>
      <c r="D6" s="340" t="s">
        <v>474</v>
      </c>
      <c r="E6" s="342"/>
      <c r="F6" s="345" t="s">
        <v>166</v>
      </c>
      <c r="G6" s="308">
        <v>1</v>
      </c>
      <c r="H6" s="309">
        <v>4000000</v>
      </c>
      <c r="I6" s="309">
        <v>4000000</v>
      </c>
      <c r="J6" s="211">
        <v>1</v>
      </c>
      <c r="K6" s="212" t="str">
        <f>IF(OR(J6="",G6=J6),"","*")</f>
        <v/>
      </c>
      <c r="L6" s="338">
        <f>IF($A6&lt;=L$1,I6/I$4,"")</f>
        <v>6.9453709762253707E-2</v>
      </c>
      <c r="M6" s="343"/>
      <c r="N6" s="344" t="s">
        <v>475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 t="s">
        <v>177</v>
      </c>
      <c r="D7" s="340" t="s">
        <v>476</v>
      </c>
      <c r="E7" s="342"/>
      <c r="F7" s="345" t="s">
        <v>459</v>
      </c>
      <c r="G7" s="308">
        <v>4</v>
      </c>
      <c r="H7" s="309">
        <v>1000000</v>
      </c>
      <c r="I7" s="309">
        <v>4000000</v>
      </c>
      <c r="J7" s="211"/>
      <c r="K7" s="212" t="str">
        <f>IF(OR(J7="",G7=J7),"","*")</f>
        <v/>
      </c>
      <c r="L7" s="338">
        <f>IF($A7&lt;=L$1,I7/I$4,"")</f>
        <v>6.9453709762253707E-2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217"/>
      <c r="B8" s="217"/>
      <c r="C8" s="312"/>
      <c r="D8" s="217"/>
      <c r="E8" s="217"/>
      <c r="F8" s="218"/>
      <c r="G8" s="217"/>
      <c r="H8" s="217"/>
      <c r="I8" s="217"/>
      <c r="J8" s="217"/>
      <c r="K8" s="218"/>
      <c r="L8" s="217"/>
      <c r="M8" s="217"/>
      <c r="N8" s="217"/>
      <c r="O8" s="217"/>
      <c r="P8" s="217"/>
      <c r="Q8" s="217"/>
      <c r="R8" s="217"/>
      <c r="S8" s="218"/>
      <c r="T8" s="217"/>
      <c r="U8" s="217"/>
      <c r="V8" s="217"/>
      <c r="W8" s="217"/>
      <c r="X8" s="217"/>
      <c r="Y8" s="217"/>
      <c r="Z8" s="217"/>
      <c r="AA8" s="218"/>
      <c r="AB8" s="217"/>
      <c r="AC8" s="217"/>
      <c r="AD8" s="217"/>
      <c r="AE8" s="217"/>
      <c r="AF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7 AF4:AF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477</v>
      </c>
      <c r="C3" s="146" t="s">
        <v>478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479</v>
      </c>
      <c r="K4" s="69"/>
    </row>
    <row r="5" spans="1:11" ht="18" customHeight="1">
      <c r="A5" s="69"/>
      <c r="B5" s="574" t="s">
        <v>480</v>
      </c>
      <c r="C5" s="575"/>
      <c r="D5" s="153" t="s">
        <v>85</v>
      </c>
      <c r="E5" s="153" t="s">
        <v>481</v>
      </c>
      <c r="F5" s="153" t="s">
        <v>482</v>
      </c>
      <c r="G5" s="153" t="s">
        <v>483</v>
      </c>
      <c r="H5" s="154" t="s">
        <v>484</v>
      </c>
      <c r="I5" s="153" t="s">
        <v>485</v>
      </c>
      <c r="J5" s="155" t="s">
        <v>486</v>
      </c>
      <c r="K5" s="69"/>
    </row>
    <row r="6" spans="1:11" ht="10.5" customHeight="1">
      <c r="A6" s="69"/>
      <c r="B6" s="156" t="s">
        <v>487</v>
      </c>
      <c r="C6" s="157"/>
      <c r="D6" s="576" t="s">
        <v>488</v>
      </c>
      <c r="E6" s="578">
        <v>20</v>
      </c>
      <c r="F6" s="580">
        <v>3000</v>
      </c>
      <c r="G6" s="582">
        <v>60000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489</v>
      </c>
      <c r="C7" s="160"/>
      <c r="D7" s="577"/>
      <c r="E7" s="579"/>
      <c r="F7" s="581"/>
      <c r="G7" s="583"/>
      <c r="H7" s="356"/>
      <c r="I7" s="356" t="s">
        <v>490</v>
      </c>
      <c r="J7" s="161"/>
      <c r="K7" s="69" t="s">
        <v>96</v>
      </c>
    </row>
    <row r="8" spans="1:11" ht="10.5" customHeight="1">
      <c r="A8" s="69"/>
      <c r="B8" s="156" t="s">
        <v>491</v>
      </c>
      <c r="C8" s="157"/>
      <c r="D8" s="576" t="s">
        <v>492</v>
      </c>
      <c r="E8" s="578">
        <v>200</v>
      </c>
      <c r="F8" s="580">
        <v>1000</v>
      </c>
      <c r="G8" s="582">
        <v>200000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493</v>
      </c>
      <c r="C9" s="160"/>
      <c r="D9" s="577"/>
      <c r="E9" s="579"/>
      <c r="F9" s="581"/>
      <c r="G9" s="583"/>
      <c r="H9" s="356"/>
      <c r="I9" s="356" t="s">
        <v>490</v>
      </c>
      <c r="J9" s="162"/>
      <c r="K9" s="69" t="s">
        <v>96</v>
      </c>
    </row>
    <row r="10" spans="1:11" ht="10.5" customHeight="1">
      <c r="A10" s="69"/>
      <c r="B10" s="156" t="s">
        <v>494</v>
      </c>
      <c r="C10" s="157"/>
      <c r="D10" s="576" t="s">
        <v>495</v>
      </c>
      <c r="E10" s="578">
        <v>6</v>
      </c>
      <c r="F10" s="580">
        <v>25000</v>
      </c>
      <c r="G10" s="582">
        <v>150000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496</v>
      </c>
      <c r="C11" s="160"/>
      <c r="D11" s="577"/>
      <c r="E11" s="579"/>
      <c r="F11" s="581"/>
      <c r="G11" s="583"/>
      <c r="H11" s="356"/>
      <c r="I11" s="356" t="s">
        <v>490</v>
      </c>
      <c r="J11" s="161"/>
      <c r="K11" s="69" t="s">
        <v>96</v>
      </c>
    </row>
    <row r="12" spans="1:11" ht="10.5" customHeight="1">
      <c r="A12" s="69"/>
      <c r="B12" s="156" t="s">
        <v>497</v>
      </c>
      <c r="C12" s="157"/>
      <c r="D12" s="576" t="s">
        <v>495</v>
      </c>
      <c r="E12" s="584">
        <v>110</v>
      </c>
      <c r="F12" s="580">
        <v>1200</v>
      </c>
      <c r="G12" s="582">
        <v>132000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498</v>
      </c>
      <c r="C13" s="160"/>
      <c r="D13" s="577"/>
      <c r="E13" s="585"/>
      <c r="F13" s="581"/>
      <c r="G13" s="583"/>
      <c r="H13" s="356"/>
      <c r="I13" s="356" t="s">
        <v>490</v>
      </c>
      <c r="J13" s="161"/>
      <c r="K13" s="69" t="s">
        <v>96</v>
      </c>
    </row>
    <row r="14" spans="1:11" ht="10.5" customHeight="1">
      <c r="A14" s="69"/>
      <c r="B14" s="156" t="s">
        <v>499</v>
      </c>
      <c r="C14" s="157"/>
      <c r="D14" s="576" t="s">
        <v>500</v>
      </c>
      <c r="E14" s="584">
        <v>4</v>
      </c>
      <c r="F14" s="580">
        <v>3000</v>
      </c>
      <c r="G14" s="582">
        <v>12000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498</v>
      </c>
      <c r="C15" s="160"/>
      <c r="D15" s="577"/>
      <c r="E15" s="585"/>
      <c r="F15" s="581"/>
      <c r="G15" s="583"/>
      <c r="H15" s="356"/>
      <c r="I15" s="356" t="s">
        <v>490</v>
      </c>
      <c r="J15" s="161"/>
      <c r="K15" s="69" t="s">
        <v>96</v>
      </c>
    </row>
    <row r="16" spans="1:11" ht="10.5" customHeight="1">
      <c r="A16" s="69"/>
      <c r="B16" s="156" t="s">
        <v>501</v>
      </c>
      <c r="C16" s="157"/>
      <c r="D16" s="576" t="s">
        <v>502</v>
      </c>
      <c r="E16" s="584">
        <v>120</v>
      </c>
      <c r="F16" s="580">
        <v>155</v>
      </c>
      <c r="G16" s="582">
        <v>18600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490</v>
      </c>
      <c r="J17" s="161"/>
      <c r="K17" s="69" t="s">
        <v>96</v>
      </c>
    </row>
    <row r="18" spans="1:11" ht="10.5" customHeight="1">
      <c r="A18" s="69"/>
      <c r="B18" s="156" t="s">
        <v>503</v>
      </c>
      <c r="C18" s="157"/>
      <c r="D18" s="576" t="s">
        <v>504</v>
      </c>
      <c r="E18" s="584">
        <v>100</v>
      </c>
      <c r="F18" s="580">
        <v>9000</v>
      </c>
      <c r="G18" s="582">
        <v>900000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490</v>
      </c>
      <c r="J19" s="161"/>
      <c r="K19" s="69" t="s">
        <v>96</v>
      </c>
    </row>
    <row r="20" spans="1:11" ht="10.5" customHeight="1">
      <c r="A20" s="69"/>
      <c r="B20" s="156" t="s">
        <v>505</v>
      </c>
      <c r="C20" s="157"/>
      <c r="D20" s="576" t="s">
        <v>506</v>
      </c>
      <c r="E20" s="584">
        <v>1</v>
      </c>
      <c r="F20" s="580">
        <v>200000</v>
      </c>
      <c r="G20" s="582">
        <v>200000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490</v>
      </c>
      <c r="J21" s="161"/>
      <c r="K21" s="69" t="s">
        <v>96</v>
      </c>
    </row>
    <row r="22" spans="1:11" ht="10.5" customHeight="1">
      <c r="A22" s="69"/>
      <c r="B22" s="156" t="s">
        <v>507</v>
      </c>
      <c r="C22" s="157"/>
      <c r="D22" s="576" t="s">
        <v>508</v>
      </c>
      <c r="E22" s="584">
        <v>11</v>
      </c>
      <c r="F22" s="580">
        <v>15600</v>
      </c>
      <c r="G22" s="582">
        <v>171600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490</v>
      </c>
      <c r="J23" s="161"/>
      <c r="K23" s="69" t="s">
        <v>96</v>
      </c>
    </row>
    <row r="24" spans="1:11" ht="10.5" customHeight="1">
      <c r="A24" s="69"/>
      <c r="B24" s="156" t="s">
        <v>509</v>
      </c>
      <c r="C24" s="157"/>
      <c r="D24" s="576" t="s">
        <v>508</v>
      </c>
      <c r="E24" s="578">
        <v>37</v>
      </c>
      <c r="F24" s="580">
        <v>15900</v>
      </c>
      <c r="G24" s="582">
        <v>588300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490</v>
      </c>
      <c r="J25" s="161"/>
      <c r="K25" s="69" t="s">
        <v>96</v>
      </c>
    </row>
    <row r="26" spans="1:11" ht="10.5" customHeight="1">
      <c r="A26" s="69"/>
      <c r="B26" s="156" t="s">
        <v>510</v>
      </c>
      <c r="C26" s="157"/>
      <c r="D26" s="576" t="s">
        <v>511</v>
      </c>
      <c r="E26" s="584">
        <v>3</v>
      </c>
      <c r="F26" s="580">
        <v>100000</v>
      </c>
      <c r="G26" s="582">
        <v>300000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490</v>
      </c>
      <c r="J27" s="161"/>
      <c r="K27" s="69" t="s">
        <v>96</v>
      </c>
    </row>
    <row r="28" spans="1:11" ht="10.5" customHeight="1">
      <c r="A28" s="69"/>
      <c r="B28" s="156" t="s">
        <v>512</v>
      </c>
      <c r="C28" s="157"/>
      <c r="D28" s="576" t="s">
        <v>488</v>
      </c>
      <c r="E28" s="584">
        <v>30</v>
      </c>
      <c r="F28" s="580">
        <v>6000</v>
      </c>
      <c r="G28" s="582">
        <v>180000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489</v>
      </c>
      <c r="C29" s="160"/>
      <c r="D29" s="577"/>
      <c r="E29" s="585"/>
      <c r="F29" s="581"/>
      <c r="G29" s="583"/>
      <c r="H29" s="356"/>
      <c r="I29" s="356" t="s">
        <v>490</v>
      </c>
      <c r="J29" s="161"/>
      <c r="K29" s="69" t="s">
        <v>96</v>
      </c>
    </row>
    <row r="30" spans="1:11" ht="10.5" customHeight="1">
      <c r="A30" s="69"/>
      <c r="B30" s="156" t="s">
        <v>513</v>
      </c>
      <c r="C30" s="157"/>
      <c r="D30" s="576" t="s">
        <v>506</v>
      </c>
      <c r="E30" s="584">
        <v>1</v>
      </c>
      <c r="F30" s="580">
        <v>19208</v>
      </c>
      <c r="G30" s="582">
        <v>19208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490</v>
      </c>
      <c r="J31" s="161"/>
      <c r="K31" s="69" t="s">
        <v>96</v>
      </c>
    </row>
    <row r="32" spans="1:11" ht="10.5" customHeight="1">
      <c r="A32" s="69"/>
      <c r="B32" s="156" t="s">
        <v>514</v>
      </c>
      <c r="C32" s="157"/>
      <c r="D32" s="576" t="s">
        <v>515</v>
      </c>
      <c r="E32" s="584">
        <v>15</v>
      </c>
      <c r="F32" s="580">
        <v>5000</v>
      </c>
      <c r="G32" s="582">
        <v>75000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490</v>
      </c>
      <c r="J33" s="161"/>
      <c r="K33" s="69" t="s">
        <v>96</v>
      </c>
    </row>
    <row r="34" spans="1:11" ht="10.5" customHeight="1">
      <c r="A34" s="69"/>
      <c r="B34" s="156" t="s">
        <v>514</v>
      </c>
      <c r="C34" s="157"/>
      <c r="D34" s="576" t="s">
        <v>506</v>
      </c>
      <c r="E34" s="584">
        <v>1</v>
      </c>
      <c r="F34" s="580">
        <v>13800</v>
      </c>
      <c r="G34" s="582">
        <v>13800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490</v>
      </c>
      <c r="J35" s="161"/>
      <c r="K35" s="69" t="s">
        <v>96</v>
      </c>
    </row>
    <row r="36" spans="1:11" ht="10.5" customHeight="1">
      <c r="A36" s="69"/>
      <c r="B36" s="156" t="s">
        <v>514</v>
      </c>
      <c r="C36" s="157"/>
      <c r="D36" s="576" t="s">
        <v>506</v>
      </c>
      <c r="E36" s="584">
        <v>1</v>
      </c>
      <c r="F36" s="580">
        <v>4800</v>
      </c>
      <c r="G36" s="582">
        <v>4800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490</v>
      </c>
      <c r="J37" s="161"/>
      <c r="K37" s="69" t="s">
        <v>96</v>
      </c>
    </row>
    <row r="38" spans="1:11" ht="10.5" customHeight="1">
      <c r="A38" s="69"/>
      <c r="B38" s="156" t="s">
        <v>514</v>
      </c>
      <c r="C38" s="157"/>
      <c r="D38" s="576" t="s">
        <v>506</v>
      </c>
      <c r="E38" s="584">
        <v>1</v>
      </c>
      <c r="F38" s="580">
        <v>13000</v>
      </c>
      <c r="G38" s="582">
        <v>13000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516</v>
      </c>
      <c r="C39" s="160"/>
      <c r="D39" s="577"/>
      <c r="E39" s="585"/>
      <c r="F39" s="581"/>
      <c r="G39" s="583"/>
      <c r="H39" s="356"/>
      <c r="I39" s="356" t="s">
        <v>490</v>
      </c>
      <c r="J39" s="161"/>
      <c r="K39" s="69" t="s">
        <v>96</v>
      </c>
    </row>
    <row r="40" spans="1:11" ht="10.5" customHeight="1">
      <c r="A40" s="69"/>
      <c r="B40" s="156" t="s">
        <v>514</v>
      </c>
      <c r="C40" s="157"/>
      <c r="D40" s="576" t="s">
        <v>506</v>
      </c>
      <c r="E40" s="584">
        <v>1</v>
      </c>
      <c r="F40" s="580">
        <v>100000</v>
      </c>
      <c r="G40" s="582">
        <v>100000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517</v>
      </c>
      <c r="C41" s="160"/>
      <c r="D41" s="577"/>
      <c r="E41" s="585"/>
      <c r="F41" s="581"/>
      <c r="G41" s="583"/>
      <c r="H41" s="356"/>
      <c r="I41" s="356" t="s">
        <v>490</v>
      </c>
      <c r="J41" s="161"/>
      <c r="K41" s="69" t="s">
        <v>96</v>
      </c>
    </row>
    <row r="42" spans="1:11" ht="10.5" customHeight="1">
      <c r="A42" s="69"/>
      <c r="B42" s="156" t="s">
        <v>514</v>
      </c>
      <c r="C42" s="157"/>
      <c r="D42" s="576" t="s">
        <v>515</v>
      </c>
      <c r="E42" s="584">
        <v>12</v>
      </c>
      <c r="F42" s="580">
        <v>10000</v>
      </c>
      <c r="G42" s="582">
        <v>120000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518</v>
      </c>
      <c r="C43" s="160"/>
      <c r="D43" s="577"/>
      <c r="E43" s="585"/>
      <c r="F43" s="581"/>
      <c r="G43" s="583"/>
      <c r="H43" s="356"/>
      <c r="I43" s="356" t="s">
        <v>490</v>
      </c>
      <c r="J43" s="161"/>
      <c r="K43" s="69" t="s">
        <v>96</v>
      </c>
    </row>
    <row r="44" spans="1:11" ht="10.5" customHeight="1">
      <c r="A44" s="69"/>
      <c r="B44" s="156" t="s">
        <v>514</v>
      </c>
      <c r="C44" s="157"/>
      <c r="D44" s="576" t="s">
        <v>506</v>
      </c>
      <c r="E44" s="584">
        <v>1</v>
      </c>
      <c r="F44" s="580">
        <v>11250</v>
      </c>
      <c r="G44" s="582">
        <v>11250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518</v>
      </c>
      <c r="C45" s="160"/>
      <c r="D45" s="577"/>
      <c r="E45" s="585"/>
      <c r="F45" s="581"/>
      <c r="G45" s="583"/>
      <c r="H45" s="356"/>
      <c r="I45" s="356" t="s">
        <v>490</v>
      </c>
      <c r="J45" s="161"/>
      <c r="K45" s="69" t="s">
        <v>96</v>
      </c>
    </row>
    <row r="46" spans="1:11" ht="10.5" customHeight="1">
      <c r="A46" s="69"/>
      <c r="B46" s="156" t="s">
        <v>519</v>
      </c>
      <c r="C46" s="157"/>
      <c r="D46" s="586" t="s">
        <v>500</v>
      </c>
      <c r="E46" s="588">
        <v>250</v>
      </c>
      <c r="F46" s="590">
        <v>11550</v>
      </c>
      <c r="G46" s="592">
        <v>2887500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520</v>
      </c>
      <c r="C47" s="164"/>
      <c r="D47" s="587"/>
      <c r="E47" s="589"/>
      <c r="F47" s="591"/>
      <c r="G47" s="593"/>
      <c r="H47" s="357"/>
      <c r="I47" s="357" t="s">
        <v>490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521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477</v>
      </c>
      <c r="C52" s="146" t="s">
        <v>478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479</v>
      </c>
      <c r="K53" s="69"/>
    </row>
    <row r="54" spans="1:11" ht="18" customHeight="1">
      <c r="A54" s="69"/>
      <c r="B54" s="574" t="s">
        <v>480</v>
      </c>
      <c r="C54" s="575"/>
      <c r="D54" s="153" t="s">
        <v>85</v>
      </c>
      <c r="E54" s="153" t="s">
        <v>481</v>
      </c>
      <c r="F54" s="153" t="s">
        <v>482</v>
      </c>
      <c r="G54" s="153" t="s">
        <v>483</v>
      </c>
      <c r="H54" s="154" t="s">
        <v>484</v>
      </c>
      <c r="I54" s="153" t="s">
        <v>485</v>
      </c>
      <c r="J54" s="155" t="s">
        <v>486</v>
      </c>
      <c r="K54" s="69"/>
    </row>
    <row r="55" spans="1:11" ht="10.5" customHeight="1">
      <c r="A55" s="69"/>
      <c r="B55" s="156" t="s">
        <v>522</v>
      </c>
      <c r="C55" s="157"/>
      <c r="D55" s="576" t="s">
        <v>506</v>
      </c>
      <c r="E55" s="578">
        <v>1</v>
      </c>
      <c r="F55" s="580">
        <v>30000</v>
      </c>
      <c r="G55" s="582">
        <v>30000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523</v>
      </c>
      <c r="C56" s="160"/>
      <c r="D56" s="577"/>
      <c r="E56" s="579"/>
      <c r="F56" s="581"/>
      <c r="G56" s="583"/>
      <c r="H56" s="356"/>
      <c r="I56" s="356" t="s">
        <v>490</v>
      </c>
      <c r="J56" s="161"/>
      <c r="K56" s="69" t="s">
        <v>96</v>
      </c>
    </row>
    <row r="57" spans="1:11" ht="10.5" customHeight="1">
      <c r="A57" s="69"/>
      <c r="B57" s="156" t="s">
        <v>522</v>
      </c>
      <c r="C57" s="157"/>
      <c r="D57" s="576" t="s">
        <v>506</v>
      </c>
      <c r="E57" s="578">
        <v>1</v>
      </c>
      <c r="F57" s="580">
        <v>150000</v>
      </c>
      <c r="G57" s="582">
        <v>150000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524</v>
      </c>
      <c r="C58" s="160"/>
      <c r="D58" s="577"/>
      <c r="E58" s="579"/>
      <c r="F58" s="581"/>
      <c r="G58" s="583"/>
      <c r="H58" s="356"/>
      <c r="I58" s="356" t="s">
        <v>490</v>
      </c>
      <c r="J58" s="162"/>
      <c r="K58" s="69" t="s">
        <v>96</v>
      </c>
    </row>
    <row r="59" spans="1:11" ht="10.5" customHeight="1">
      <c r="A59" s="69"/>
      <c r="B59" s="156" t="s">
        <v>525</v>
      </c>
      <c r="C59" s="157"/>
      <c r="D59" s="576" t="s">
        <v>500</v>
      </c>
      <c r="E59" s="578">
        <v>250</v>
      </c>
      <c r="F59" s="580">
        <v>500</v>
      </c>
      <c r="G59" s="582">
        <v>125000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490</v>
      </c>
      <c r="J60" s="161"/>
      <c r="K60" s="69" t="s">
        <v>96</v>
      </c>
    </row>
    <row r="61" spans="1:11" ht="10.5" customHeight="1">
      <c r="A61" s="69"/>
      <c r="B61" s="156" t="s">
        <v>525</v>
      </c>
      <c r="C61" s="157"/>
      <c r="D61" s="576" t="s">
        <v>488</v>
      </c>
      <c r="E61" s="584">
        <v>70</v>
      </c>
      <c r="F61" s="580">
        <v>1000</v>
      </c>
      <c r="G61" s="582">
        <v>70000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490</v>
      </c>
      <c r="J62" s="161"/>
      <c r="K62" s="69" t="s">
        <v>96</v>
      </c>
    </row>
    <row r="63" spans="1:11" ht="10.5" customHeight="1">
      <c r="A63" s="69"/>
      <c r="B63" s="156" t="s">
        <v>518</v>
      </c>
      <c r="C63" s="157"/>
      <c r="D63" s="576" t="s">
        <v>515</v>
      </c>
      <c r="E63" s="584">
        <v>3</v>
      </c>
      <c r="F63" s="580">
        <v>5000</v>
      </c>
      <c r="G63" s="582">
        <v>15000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490</v>
      </c>
      <c r="J64" s="161"/>
      <c r="K64" s="69" t="s">
        <v>96</v>
      </c>
    </row>
    <row r="65" spans="1:11" ht="10.5" customHeight="1">
      <c r="A65" s="69"/>
      <c r="B65" s="156" t="s">
        <v>526</v>
      </c>
      <c r="C65" s="157"/>
      <c r="D65" s="576" t="s">
        <v>502</v>
      </c>
      <c r="E65" s="584">
        <v>60</v>
      </c>
      <c r="F65" s="580">
        <v>160</v>
      </c>
      <c r="G65" s="582">
        <v>9600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490</v>
      </c>
      <c r="J66" s="161"/>
      <c r="K66" s="69" t="s">
        <v>96</v>
      </c>
    </row>
    <row r="67" spans="1:11" ht="10.5" customHeight="1">
      <c r="A67" s="69"/>
      <c r="B67" s="156" t="s">
        <v>527</v>
      </c>
      <c r="C67" s="157"/>
      <c r="D67" s="576" t="s">
        <v>508</v>
      </c>
      <c r="E67" s="584">
        <v>5</v>
      </c>
      <c r="F67" s="580">
        <v>15900</v>
      </c>
      <c r="G67" s="582">
        <v>79500</v>
      </c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528</v>
      </c>
      <c r="C68" s="160"/>
      <c r="D68" s="577"/>
      <c r="E68" s="585"/>
      <c r="F68" s="581"/>
      <c r="G68" s="583"/>
      <c r="H68" s="356"/>
      <c r="I68" s="356" t="s">
        <v>490</v>
      </c>
      <c r="J68" s="161"/>
      <c r="K68" s="69" t="s">
        <v>96</v>
      </c>
    </row>
    <row r="69" spans="1:11" ht="10.5" customHeight="1">
      <c r="A69" s="69"/>
      <c r="B69" s="156" t="s">
        <v>529</v>
      </c>
      <c r="C69" s="157"/>
      <c r="D69" s="576" t="s">
        <v>506</v>
      </c>
      <c r="E69" s="584">
        <v>1</v>
      </c>
      <c r="F69" s="580">
        <v>200000</v>
      </c>
      <c r="G69" s="582">
        <v>200000</v>
      </c>
      <c r="H69" s="355"/>
      <c r="I69" s="355"/>
      <c r="J69" s="158"/>
      <c r="K69" s="69" t="s">
        <v>96</v>
      </c>
    </row>
    <row r="70" spans="1:11" ht="10.5" customHeight="1">
      <c r="A70" s="69"/>
      <c r="B70" s="159" t="s">
        <v>530</v>
      </c>
      <c r="C70" s="160"/>
      <c r="D70" s="577"/>
      <c r="E70" s="585"/>
      <c r="F70" s="581"/>
      <c r="G70" s="583"/>
      <c r="H70" s="356"/>
      <c r="I70" s="356" t="s">
        <v>490</v>
      </c>
      <c r="J70" s="161"/>
      <c r="K70" s="69" t="s">
        <v>96</v>
      </c>
    </row>
    <row r="71" spans="1:11" ht="10.5" customHeight="1">
      <c r="A71" s="69"/>
      <c r="B71" s="156" t="s">
        <v>531</v>
      </c>
      <c r="C71" s="157"/>
      <c r="D71" s="576" t="s">
        <v>488</v>
      </c>
      <c r="E71" s="584">
        <v>70</v>
      </c>
      <c r="F71" s="580">
        <v>1575</v>
      </c>
      <c r="G71" s="582">
        <v>110250</v>
      </c>
      <c r="H71" s="355"/>
      <c r="I71" s="355"/>
      <c r="J71" s="158"/>
      <c r="K71" s="69" t="s">
        <v>96</v>
      </c>
    </row>
    <row r="72" spans="1:11" ht="10.5" customHeight="1">
      <c r="A72" s="69"/>
      <c r="B72" s="159" t="s">
        <v>532</v>
      </c>
      <c r="C72" s="160"/>
      <c r="D72" s="577"/>
      <c r="E72" s="585"/>
      <c r="F72" s="581"/>
      <c r="G72" s="583"/>
      <c r="H72" s="356"/>
      <c r="I72" s="356" t="s">
        <v>490</v>
      </c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 t="s">
        <v>533</v>
      </c>
      <c r="C75" s="157"/>
      <c r="D75" s="576"/>
      <c r="E75" s="584"/>
      <c r="F75" s="580"/>
      <c r="G75" s="582">
        <v>6946408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477</v>
      </c>
      <c r="C3" s="146" t="s">
        <v>478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479</v>
      </c>
      <c r="K4" s="69"/>
    </row>
    <row r="5" spans="1:11" ht="18" customHeight="1">
      <c r="A5" s="69"/>
      <c r="B5" s="574" t="s">
        <v>480</v>
      </c>
      <c r="C5" s="575"/>
      <c r="D5" s="153" t="s">
        <v>85</v>
      </c>
      <c r="E5" s="153" t="s">
        <v>481</v>
      </c>
      <c r="F5" s="153" t="s">
        <v>482</v>
      </c>
      <c r="G5" s="153" t="s">
        <v>483</v>
      </c>
      <c r="H5" s="154" t="s">
        <v>484</v>
      </c>
      <c r="I5" s="153" t="s">
        <v>485</v>
      </c>
      <c r="J5" s="155" t="s">
        <v>486</v>
      </c>
      <c r="K5" s="69"/>
    </row>
    <row r="6" spans="1:11" ht="10.5" customHeight="1">
      <c r="A6" s="69"/>
      <c r="B6" s="156" t="s">
        <v>534</v>
      </c>
      <c r="C6" s="157"/>
      <c r="D6" s="576" t="s">
        <v>535</v>
      </c>
      <c r="E6" s="578">
        <v>15</v>
      </c>
      <c r="F6" s="580">
        <v>20000</v>
      </c>
      <c r="G6" s="582">
        <v>300000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536</v>
      </c>
      <c r="J7" s="161"/>
      <c r="K7" s="69" t="s">
        <v>96</v>
      </c>
    </row>
    <row r="8" spans="1:11" ht="10.5" customHeight="1">
      <c r="A8" s="69"/>
      <c r="B8" s="156" t="s">
        <v>534</v>
      </c>
      <c r="C8" s="157"/>
      <c r="D8" s="576" t="s">
        <v>535</v>
      </c>
      <c r="E8" s="578">
        <v>75</v>
      </c>
      <c r="F8" s="580">
        <v>20000</v>
      </c>
      <c r="G8" s="582">
        <v>1500000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537</v>
      </c>
      <c r="C9" s="160"/>
      <c r="D9" s="577"/>
      <c r="E9" s="579"/>
      <c r="F9" s="581"/>
      <c r="G9" s="583"/>
      <c r="H9" s="356"/>
      <c r="I9" s="356" t="s">
        <v>536</v>
      </c>
      <c r="J9" s="162"/>
      <c r="K9" s="69" t="s">
        <v>96</v>
      </c>
    </row>
    <row r="10" spans="1:11" ht="10.5" customHeight="1">
      <c r="A10" s="69"/>
      <c r="B10" s="156" t="s">
        <v>538</v>
      </c>
      <c r="C10" s="157"/>
      <c r="D10" s="576" t="s">
        <v>535</v>
      </c>
      <c r="E10" s="578">
        <v>15</v>
      </c>
      <c r="F10" s="580">
        <v>20000</v>
      </c>
      <c r="G10" s="582">
        <v>300000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536</v>
      </c>
      <c r="J11" s="161"/>
      <c r="K11" s="69" t="s">
        <v>96</v>
      </c>
    </row>
    <row r="12" spans="1:11" ht="10.5" customHeight="1">
      <c r="A12" s="69"/>
      <c r="B12" s="156" t="s">
        <v>538</v>
      </c>
      <c r="C12" s="157"/>
      <c r="D12" s="576" t="s">
        <v>535</v>
      </c>
      <c r="E12" s="584">
        <v>10</v>
      </c>
      <c r="F12" s="580">
        <v>20000</v>
      </c>
      <c r="G12" s="582">
        <v>200000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536</v>
      </c>
      <c r="J13" s="161"/>
      <c r="K13" s="69" t="s">
        <v>96</v>
      </c>
    </row>
    <row r="14" spans="1:11" ht="10.5" customHeight="1">
      <c r="A14" s="69"/>
      <c r="B14" s="156" t="s">
        <v>538</v>
      </c>
      <c r="C14" s="157"/>
      <c r="D14" s="576" t="s">
        <v>535</v>
      </c>
      <c r="E14" s="584">
        <v>6</v>
      </c>
      <c r="F14" s="580">
        <v>20000</v>
      </c>
      <c r="G14" s="582">
        <v>120000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536</v>
      </c>
      <c r="J15" s="161"/>
      <c r="K15" s="69" t="s">
        <v>96</v>
      </c>
    </row>
    <row r="16" spans="1:11" ht="10.5" customHeight="1">
      <c r="A16" s="69"/>
      <c r="B16" s="156" t="s">
        <v>538</v>
      </c>
      <c r="C16" s="157"/>
      <c r="D16" s="576" t="s">
        <v>535</v>
      </c>
      <c r="E16" s="584">
        <v>2</v>
      </c>
      <c r="F16" s="580">
        <v>20000</v>
      </c>
      <c r="G16" s="582">
        <v>40000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536</v>
      </c>
      <c r="J17" s="161"/>
      <c r="K17" s="69" t="s">
        <v>96</v>
      </c>
    </row>
    <row r="18" spans="1:11" ht="10.5" customHeight="1">
      <c r="A18" s="69"/>
      <c r="B18" s="156" t="s">
        <v>538</v>
      </c>
      <c r="C18" s="157"/>
      <c r="D18" s="576" t="s">
        <v>535</v>
      </c>
      <c r="E18" s="584">
        <v>15</v>
      </c>
      <c r="F18" s="580">
        <v>20000</v>
      </c>
      <c r="G18" s="582">
        <v>300000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539</v>
      </c>
      <c r="C19" s="160"/>
      <c r="D19" s="577"/>
      <c r="E19" s="585"/>
      <c r="F19" s="581"/>
      <c r="G19" s="583"/>
      <c r="H19" s="356"/>
      <c r="I19" s="356" t="s">
        <v>536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533</v>
      </c>
      <c r="C22" s="157"/>
      <c r="D22" s="576"/>
      <c r="E22" s="584"/>
      <c r="F22" s="580"/>
      <c r="G22" s="582">
        <v>2760000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245"/>
  <sheetViews>
    <sheetView topLeftCell="A153"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477</v>
      </c>
      <c r="C3" s="146" t="s">
        <v>478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479</v>
      </c>
      <c r="K4" s="69"/>
    </row>
    <row r="5" spans="1:11" ht="18" customHeight="1">
      <c r="A5" s="69"/>
      <c r="B5" s="574" t="s">
        <v>480</v>
      </c>
      <c r="C5" s="575"/>
      <c r="D5" s="153" t="s">
        <v>85</v>
      </c>
      <c r="E5" s="153" t="s">
        <v>481</v>
      </c>
      <c r="F5" s="153" t="s">
        <v>482</v>
      </c>
      <c r="G5" s="153" t="s">
        <v>483</v>
      </c>
      <c r="H5" s="154" t="s">
        <v>484</v>
      </c>
      <c r="I5" s="153" t="s">
        <v>485</v>
      </c>
      <c r="J5" s="155" t="s">
        <v>486</v>
      </c>
      <c r="K5" s="69"/>
    </row>
    <row r="6" spans="1:11" ht="10.5" customHeight="1">
      <c r="A6" s="69"/>
      <c r="B6" s="156" t="s">
        <v>540</v>
      </c>
      <c r="C6" s="157"/>
      <c r="D6" s="576" t="s">
        <v>541</v>
      </c>
      <c r="E6" s="578">
        <v>4</v>
      </c>
      <c r="F6" s="580">
        <v>8000</v>
      </c>
      <c r="G6" s="582">
        <v>32000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542</v>
      </c>
      <c r="J7" s="161"/>
      <c r="K7" s="69" t="s">
        <v>96</v>
      </c>
    </row>
    <row r="8" spans="1:11" ht="10.5" customHeight="1">
      <c r="A8" s="69"/>
      <c r="B8" s="156" t="s">
        <v>540</v>
      </c>
      <c r="C8" s="157"/>
      <c r="D8" s="576" t="s">
        <v>541</v>
      </c>
      <c r="E8" s="578">
        <v>2</v>
      </c>
      <c r="F8" s="580">
        <v>8000</v>
      </c>
      <c r="G8" s="582">
        <v>16000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542</v>
      </c>
      <c r="J9" s="162"/>
      <c r="K9" s="69" t="s">
        <v>96</v>
      </c>
    </row>
    <row r="10" spans="1:11" ht="10.5" customHeight="1">
      <c r="A10" s="69"/>
      <c r="B10" s="156" t="s">
        <v>540</v>
      </c>
      <c r="C10" s="157"/>
      <c r="D10" s="576" t="s">
        <v>541</v>
      </c>
      <c r="E10" s="578">
        <v>2</v>
      </c>
      <c r="F10" s="580">
        <v>8000</v>
      </c>
      <c r="G10" s="582">
        <v>16000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542</v>
      </c>
      <c r="J11" s="161"/>
      <c r="K11" s="69" t="s">
        <v>96</v>
      </c>
    </row>
    <row r="12" spans="1:11" ht="10.5" customHeight="1">
      <c r="A12" s="69"/>
      <c r="B12" s="156" t="s">
        <v>540</v>
      </c>
      <c r="C12" s="157"/>
      <c r="D12" s="576" t="s">
        <v>541</v>
      </c>
      <c r="E12" s="584">
        <v>1</v>
      </c>
      <c r="F12" s="580">
        <v>8000</v>
      </c>
      <c r="G12" s="582">
        <v>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542</v>
      </c>
      <c r="J13" s="161"/>
      <c r="K13" s="69" t="s">
        <v>96</v>
      </c>
    </row>
    <row r="14" spans="1:11" ht="10.5" customHeight="1">
      <c r="A14" s="69"/>
      <c r="B14" s="156" t="s">
        <v>543</v>
      </c>
      <c r="C14" s="157"/>
      <c r="D14" s="576" t="s">
        <v>541</v>
      </c>
      <c r="E14" s="584">
        <v>1</v>
      </c>
      <c r="F14" s="580">
        <v>10000</v>
      </c>
      <c r="G14" s="582">
        <v>10000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542</v>
      </c>
      <c r="J15" s="161"/>
      <c r="K15" s="69" t="s">
        <v>96</v>
      </c>
    </row>
    <row r="16" spans="1:11" ht="10.5" customHeight="1">
      <c r="A16" s="69"/>
      <c r="B16" s="156" t="s">
        <v>544</v>
      </c>
      <c r="C16" s="157"/>
      <c r="D16" s="576" t="s">
        <v>541</v>
      </c>
      <c r="E16" s="584">
        <v>1</v>
      </c>
      <c r="F16" s="580">
        <v>65000</v>
      </c>
      <c r="G16" s="582">
        <v>65000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542</v>
      </c>
      <c r="J17" s="161"/>
      <c r="K17" s="69" t="s">
        <v>96</v>
      </c>
    </row>
    <row r="18" spans="1:11" ht="10.5" customHeight="1">
      <c r="A18" s="69"/>
      <c r="B18" s="156" t="s">
        <v>545</v>
      </c>
      <c r="C18" s="157"/>
      <c r="D18" s="576" t="s">
        <v>541</v>
      </c>
      <c r="E18" s="584">
        <v>1</v>
      </c>
      <c r="F18" s="580">
        <v>6500</v>
      </c>
      <c r="G18" s="582">
        <v>6500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542</v>
      </c>
      <c r="J19" s="161"/>
      <c r="K19" s="69" t="s">
        <v>96</v>
      </c>
    </row>
    <row r="20" spans="1:11" ht="10.5" customHeight="1">
      <c r="A20" s="69"/>
      <c r="B20" s="156" t="s">
        <v>546</v>
      </c>
      <c r="C20" s="157"/>
      <c r="D20" s="576" t="s">
        <v>492</v>
      </c>
      <c r="E20" s="584">
        <v>2596</v>
      </c>
      <c r="F20" s="580">
        <v>468</v>
      </c>
      <c r="G20" s="582">
        <v>1214928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542</v>
      </c>
      <c r="J21" s="161"/>
      <c r="K21" s="69" t="s">
        <v>96</v>
      </c>
    </row>
    <row r="22" spans="1:11" ht="10.5" customHeight="1">
      <c r="A22" s="69"/>
      <c r="B22" s="156" t="s">
        <v>547</v>
      </c>
      <c r="C22" s="157"/>
      <c r="D22" s="576" t="s">
        <v>492</v>
      </c>
      <c r="E22" s="584">
        <v>2722</v>
      </c>
      <c r="F22" s="580">
        <v>288</v>
      </c>
      <c r="G22" s="582">
        <v>783936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542</v>
      </c>
      <c r="J23" s="161"/>
      <c r="K23" s="69" t="s">
        <v>96</v>
      </c>
    </row>
    <row r="24" spans="1:11" ht="10.5" customHeight="1">
      <c r="A24" s="69"/>
      <c r="B24" s="156" t="s">
        <v>548</v>
      </c>
      <c r="C24" s="157"/>
      <c r="D24" s="576" t="s">
        <v>492</v>
      </c>
      <c r="E24" s="578">
        <v>60</v>
      </c>
      <c r="F24" s="580">
        <v>400</v>
      </c>
      <c r="G24" s="582">
        <v>24000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542</v>
      </c>
      <c r="J25" s="161"/>
      <c r="K25" s="69" t="s">
        <v>96</v>
      </c>
    </row>
    <row r="26" spans="1:11" ht="10.5" customHeight="1">
      <c r="A26" s="69"/>
      <c r="B26" s="156" t="s">
        <v>549</v>
      </c>
      <c r="C26" s="157"/>
      <c r="D26" s="576" t="s">
        <v>541</v>
      </c>
      <c r="E26" s="584">
        <v>2</v>
      </c>
      <c r="F26" s="580">
        <v>8000</v>
      </c>
      <c r="G26" s="582">
        <v>16000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542</v>
      </c>
      <c r="J27" s="161"/>
      <c r="K27" s="69" t="s">
        <v>96</v>
      </c>
    </row>
    <row r="28" spans="1:11" ht="10.5" customHeight="1">
      <c r="A28" s="69"/>
      <c r="B28" s="156" t="s">
        <v>549</v>
      </c>
      <c r="C28" s="157"/>
      <c r="D28" s="576" t="s">
        <v>541</v>
      </c>
      <c r="E28" s="584">
        <v>2</v>
      </c>
      <c r="F28" s="580">
        <v>8000</v>
      </c>
      <c r="G28" s="582">
        <v>16000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542</v>
      </c>
      <c r="J29" s="161"/>
      <c r="K29" s="69" t="s">
        <v>96</v>
      </c>
    </row>
    <row r="30" spans="1:11" ht="10.5" customHeight="1">
      <c r="A30" s="69"/>
      <c r="B30" s="156" t="s">
        <v>549</v>
      </c>
      <c r="C30" s="157"/>
      <c r="D30" s="576" t="s">
        <v>541</v>
      </c>
      <c r="E30" s="584">
        <v>1</v>
      </c>
      <c r="F30" s="580">
        <v>8000</v>
      </c>
      <c r="G30" s="582">
        <v>8000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542</v>
      </c>
      <c r="J31" s="161"/>
      <c r="K31" s="69" t="s">
        <v>96</v>
      </c>
    </row>
    <row r="32" spans="1:11" ht="10.5" customHeight="1">
      <c r="A32" s="69"/>
      <c r="B32" s="156" t="s">
        <v>550</v>
      </c>
      <c r="C32" s="157"/>
      <c r="D32" s="576" t="s">
        <v>551</v>
      </c>
      <c r="E32" s="584">
        <v>5</v>
      </c>
      <c r="F32" s="580">
        <v>2550</v>
      </c>
      <c r="G32" s="582">
        <v>12750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542</v>
      </c>
      <c r="J33" s="161"/>
      <c r="K33" s="69" t="s">
        <v>96</v>
      </c>
    </row>
    <row r="34" spans="1:11" ht="10.5" customHeight="1">
      <c r="A34" s="69"/>
      <c r="B34" s="156" t="s">
        <v>550</v>
      </c>
      <c r="C34" s="157"/>
      <c r="D34" s="576" t="s">
        <v>551</v>
      </c>
      <c r="E34" s="584">
        <v>1</v>
      </c>
      <c r="F34" s="580">
        <v>2550</v>
      </c>
      <c r="G34" s="582">
        <v>2550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552</v>
      </c>
      <c r="C35" s="160"/>
      <c r="D35" s="577"/>
      <c r="E35" s="585"/>
      <c r="F35" s="581"/>
      <c r="G35" s="583"/>
      <c r="H35" s="356"/>
      <c r="I35" s="356" t="s">
        <v>542</v>
      </c>
      <c r="J35" s="161"/>
      <c r="K35" s="69" t="s">
        <v>96</v>
      </c>
    </row>
    <row r="36" spans="1:11" ht="10.5" customHeight="1">
      <c r="A36" s="69"/>
      <c r="B36" s="156" t="s">
        <v>553</v>
      </c>
      <c r="C36" s="157"/>
      <c r="D36" s="576" t="s">
        <v>541</v>
      </c>
      <c r="E36" s="584">
        <v>1</v>
      </c>
      <c r="F36" s="580">
        <v>9500</v>
      </c>
      <c r="G36" s="582">
        <v>9500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542</v>
      </c>
      <c r="J37" s="161"/>
      <c r="K37" s="69" t="s">
        <v>96</v>
      </c>
    </row>
    <row r="38" spans="1:11" ht="10.5" customHeight="1">
      <c r="A38" s="69"/>
      <c r="B38" s="156" t="s">
        <v>554</v>
      </c>
      <c r="C38" s="157"/>
      <c r="D38" s="576" t="s">
        <v>541</v>
      </c>
      <c r="E38" s="584">
        <v>4</v>
      </c>
      <c r="F38" s="580">
        <v>6000</v>
      </c>
      <c r="G38" s="582">
        <v>24000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542</v>
      </c>
      <c r="J39" s="161"/>
      <c r="K39" s="69" t="s">
        <v>96</v>
      </c>
    </row>
    <row r="40" spans="1:11" ht="10.5" customHeight="1">
      <c r="A40" s="69"/>
      <c r="B40" s="156" t="s">
        <v>554</v>
      </c>
      <c r="C40" s="157"/>
      <c r="D40" s="576" t="s">
        <v>541</v>
      </c>
      <c r="E40" s="584">
        <v>2</v>
      </c>
      <c r="F40" s="580">
        <v>6000</v>
      </c>
      <c r="G40" s="582">
        <v>12000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542</v>
      </c>
      <c r="J41" s="161"/>
      <c r="K41" s="69" t="s">
        <v>96</v>
      </c>
    </row>
    <row r="42" spans="1:11" ht="10.5" customHeight="1">
      <c r="A42" s="69"/>
      <c r="B42" s="156" t="s">
        <v>554</v>
      </c>
      <c r="C42" s="157"/>
      <c r="D42" s="576" t="s">
        <v>541</v>
      </c>
      <c r="E42" s="584">
        <v>2</v>
      </c>
      <c r="F42" s="580">
        <v>6000</v>
      </c>
      <c r="G42" s="582">
        <v>12000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542</v>
      </c>
      <c r="J43" s="161"/>
      <c r="K43" s="69" t="s">
        <v>96</v>
      </c>
    </row>
    <row r="44" spans="1:11" ht="10.5" customHeight="1">
      <c r="A44" s="69"/>
      <c r="B44" s="156" t="s">
        <v>554</v>
      </c>
      <c r="C44" s="157"/>
      <c r="D44" s="576" t="s">
        <v>541</v>
      </c>
      <c r="E44" s="584">
        <v>1</v>
      </c>
      <c r="F44" s="580">
        <v>6000</v>
      </c>
      <c r="G44" s="582">
        <v>6000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542</v>
      </c>
      <c r="J45" s="161"/>
      <c r="K45" s="69" t="s">
        <v>96</v>
      </c>
    </row>
    <row r="46" spans="1:11" ht="10.5" customHeight="1">
      <c r="A46" s="69"/>
      <c r="B46" s="156" t="s">
        <v>555</v>
      </c>
      <c r="C46" s="157"/>
      <c r="D46" s="586" t="s">
        <v>506</v>
      </c>
      <c r="E46" s="588">
        <v>1</v>
      </c>
      <c r="F46" s="590">
        <v>50000</v>
      </c>
      <c r="G46" s="592">
        <v>50000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542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556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477</v>
      </c>
      <c r="C52" s="146" t="s">
        <v>478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479</v>
      </c>
      <c r="K53" s="69"/>
    </row>
    <row r="54" spans="1:11" ht="18" customHeight="1">
      <c r="A54" s="69"/>
      <c r="B54" s="574" t="s">
        <v>480</v>
      </c>
      <c r="C54" s="575"/>
      <c r="D54" s="153" t="s">
        <v>85</v>
      </c>
      <c r="E54" s="153" t="s">
        <v>481</v>
      </c>
      <c r="F54" s="153" t="s">
        <v>482</v>
      </c>
      <c r="G54" s="153" t="s">
        <v>483</v>
      </c>
      <c r="H54" s="154" t="s">
        <v>484</v>
      </c>
      <c r="I54" s="153" t="s">
        <v>485</v>
      </c>
      <c r="J54" s="155" t="s">
        <v>486</v>
      </c>
      <c r="K54" s="69"/>
    </row>
    <row r="55" spans="1:11" ht="10.5" customHeight="1">
      <c r="A55" s="69"/>
      <c r="B55" s="156" t="s">
        <v>557</v>
      </c>
      <c r="C55" s="157"/>
      <c r="D55" s="576" t="s">
        <v>541</v>
      </c>
      <c r="E55" s="578">
        <v>3</v>
      </c>
      <c r="F55" s="580">
        <v>35000</v>
      </c>
      <c r="G55" s="582">
        <v>105000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542</v>
      </c>
      <c r="J56" s="161"/>
      <c r="K56" s="69" t="s">
        <v>96</v>
      </c>
    </row>
    <row r="57" spans="1:11" ht="10.5" customHeight="1">
      <c r="A57" s="69"/>
      <c r="B57" s="156" t="s">
        <v>558</v>
      </c>
      <c r="C57" s="157"/>
      <c r="D57" s="576" t="s">
        <v>541</v>
      </c>
      <c r="E57" s="578">
        <v>8</v>
      </c>
      <c r="F57" s="580">
        <v>250850</v>
      </c>
      <c r="G57" s="582">
        <v>2006800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559</v>
      </c>
      <c r="C58" s="160"/>
      <c r="D58" s="577"/>
      <c r="E58" s="579"/>
      <c r="F58" s="581"/>
      <c r="G58" s="583"/>
      <c r="H58" s="356"/>
      <c r="I58" s="356" t="s">
        <v>542</v>
      </c>
      <c r="J58" s="162"/>
      <c r="K58" s="69" t="s">
        <v>96</v>
      </c>
    </row>
    <row r="59" spans="1:11" ht="10.5" customHeight="1">
      <c r="A59" s="69"/>
      <c r="B59" s="156" t="s">
        <v>560</v>
      </c>
      <c r="C59" s="157"/>
      <c r="D59" s="576" t="s">
        <v>541</v>
      </c>
      <c r="E59" s="578">
        <v>1</v>
      </c>
      <c r="F59" s="580">
        <v>3511200</v>
      </c>
      <c r="G59" s="582">
        <v>3511200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542</v>
      </c>
      <c r="J60" s="161"/>
      <c r="K60" s="69" t="s">
        <v>96</v>
      </c>
    </row>
    <row r="61" spans="1:11" ht="10.5" customHeight="1">
      <c r="A61" s="69"/>
      <c r="B61" s="156" t="s">
        <v>561</v>
      </c>
      <c r="C61" s="157"/>
      <c r="D61" s="576" t="s">
        <v>541</v>
      </c>
      <c r="E61" s="584">
        <v>1</v>
      </c>
      <c r="F61" s="580">
        <v>15000</v>
      </c>
      <c r="G61" s="582">
        <v>15000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542</v>
      </c>
      <c r="J62" s="161"/>
      <c r="K62" s="69" t="s">
        <v>96</v>
      </c>
    </row>
    <row r="63" spans="1:11" ht="10.5" customHeight="1">
      <c r="A63" s="69"/>
      <c r="B63" s="156" t="s">
        <v>562</v>
      </c>
      <c r="C63" s="157"/>
      <c r="D63" s="576" t="s">
        <v>535</v>
      </c>
      <c r="E63" s="584">
        <v>55</v>
      </c>
      <c r="F63" s="580">
        <v>25000</v>
      </c>
      <c r="G63" s="582">
        <v>1375000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563</v>
      </c>
      <c r="C64" s="160"/>
      <c r="D64" s="577"/>
      <c r="E64" s="585"/>
      <c r="F64" s="581"/>
      <c r="G64" s="583"/>
      <c r="H64" s="356"/>
      <c r="I64" s="356" t="s">
        <v>542</v>
      </c>
      <c r="J64" s="161"/>
      <c r="K64" s="69" t="s">
        <v>96</v>
      </c>
    </row>
    <row r="65" spans="1:11" ht="10.5" customHeight="1">
      <c r="A65" s="69"/>
      <c r="B65" s="156" t="s">
        <v>564</v>
      </c>
      <c r="C65" s="157"/>
      <c r="D65" s="576" t="s">
        <v>541</v>
      </c>
      <c r="E65" s="584">
        <v>1</v>
      </c>
      <c r="F65" s="580">
        <v>784300</v>
      </c>
      <c r="G65" s="582">
        <v>784300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542</v>
      </c>
      <c r="J66" s="161"/>
      <c r="K66" s="69" t="s">
        <v>96</v>
      </c>
    </row>
    <row r="67" spans="1:11" ht="10.5" customHeight="1">
      <c r="A67" s="69"/>
      <c r="B67" s="156" t="s">
        <v>565</v>
      </c>
      <c r="C67" s="157"/>
      <c r="D67" s="576" t="s">
        <v>541</v>
      </c>
      <c r="E67" s="584">
        <v>1</v>
      </c>
      <c r="F67" s="580">
        <v>303600</v>
      </c>
      <c r="G67" s="582">
        <v>303600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542</v>
      </c>
      <c r="J68" s="161"/>
      <c r="K68" s="69" t="s">
        <v>96</v>
      </c>
    </row>
    <row r="69" spans="1:11" ht="10.5" customHeight="1">
      <c r="A69" s="69"/>
      <c r="B69" s="156" t="s">
        <v>566</v>
      </c>
      <c r="C69" s="157"/>
      <c r="D69" s="576" t="s">
        <v>567</v>
      </c>
      <c r="E69" s="584">
        <v>370</v>
      </c>
      <c r="F69" s="580">
        <v>70</v>
      </c>
      <c r="G69" s="582">
        <v>25900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542</v>
      </c>
      <c r="J70" s="161"/>
      <c r="K70" s="69" t="s">
        <v>96</v>
      </c>
    </row>
    <row r="71" spans="1:11" ht="10.5" customHeight="1">
      <c r="A71" s="69"/>
      <c r="B71" s="156" t="s">
        <v>568</v>
      </c>
      <c r="C71" s="157"/>
      <c r="D71" s="576" t="s">
        <v>492</v>
      </c>
      <c r="E71" s="584">
        <v>5</v>
      </c>
      <c r="F71" s="580">
        <v>2000</v>
      </c>
      <c r="G71" s="582">
        <v>10000</v>
      </c>
      <c r="H71" s="355"/>
      <c r="I71" s="355"/>
      <c r="J71" s="158"/>
      <c r="K71" s="69" t="s">
        <v>96</v>
      </c>
    </row>
    <row r="72" spans="1:11" ht="10.5" customHeight="1">
      <c r="A72" s="69"/>
      <c r="B72" s="159" t="s">
        <v>569</v>
      </c>
      <c r="C72" s="160"/>
      <c r="D72" s="577"/>
      <c r="E72" s="585"/>
      <c r="F72" s="581"/>
      <c r="G72" s="583"/>
      <c r="H72" s="356"/>
      <c r="I72" s="356" t="s">
        <v>542</v>
      </c>
      <c r="J72" s="161"/>
      <c r="K72" s="69" t="s">
        <v>96</v>
      </c>
    </row>
    <row r="73" spans="1:11" ht="10.5" customHeight="1">
      <c r="A73" s="69"/>
      <c r="B73" s="156" t="s">
        <v>570</v>
      </c>
      <c r="C73" s="157"/>
      <c r="D73" s="576" t="s">
        <v>541</v>
      </c>
      <c r="E73" s="578">
        <v>1</v>
      </c>
      <c r="F73" s="580">
        <v>164447</v>
      </c>
      <c r="G73" s="582">
        <v>164447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542</v>
      </c>
      <c r="J74" s="161"/>
      <c r="K74" s="69" t="s">
        <v>96</v>
      </c>
    </row>
    <row r="75" spans="1:11" ht="10.5" customHeight="1">
      <c r="A75" s="69"/>
      <c r="B75" s="156" t="s">
        <v>571</v>
      </c>
      <c r="C75" s="157"/>
      <c r="D75" s="576" t="s">
        <v>551</v>
      </c>
      <c r="E75" s="584">
        <v>0.5</v>
      </c>
      <c r="F75" s="580">
        <v>35000</v>
      </c>
      <c r="G75" s="582">
        <v>17500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542</v>
      </c>
      <c r="J76" s="161"/>
      <c r="K76" s="69" t="s">
        <v>96</v>
      </c>
    </row>
    <row r="77" spans="1:11" ht="10.5" customHeight="1">
      <c r="A77" s="69"/>
      <c r="B77" s="156" t="s">
        <v>572</v>
      </c>
      <c r="C77" s="157"/>
      <c r="D77" s="576" t="s">
        <v>541</v>
      </c>
      <c r="E77" s="584">
        <v>2</v>
      </c>
      <c r="F77" s="580">
        <v>3500</v>
      </c>
      <c r="G77" s="582">
        <v>7000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542</v>
      </c>
      <c r="J78" s="161"/>
      <c r="K78" s="69" t="s">
        <v>96</v>
      </c>
    </row>
    <row r="79" spans="1:11" ht="10.5" customHeight="1">
      <c r="A79" s="69"/>
      <c r="B79" s="156" t="s">
        <v>573</v>
      </c>
      <c r="C79" s="157"/>
      <c r="D79" s="576" t="s">
        <v>541</v>
      </c>
      <c r="E79" s="584">
        <v>1</v>
      </c>
      <c r="F79" s="580">
        <v>90000</v>
      </c>
      <c r="G79" s="582">
        <v>90000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542</v>
      </c>
      <c r="J80" s="161"/>
      <c r="K80" s="69" t="s">
        <v>96</v>
      </c>
    </row>
    <row r="81" spans="1:11" ht="10.5" customHeight="1">
      <c r="A81" s="69"/>
      <c r="B81" s="156" t="s">
        <v>574</v>
      </c>
      <c r="C81" s="157"/>
      <c r="D81" s="576" t="s">
        <v>567</v>
      </c>
      <c r="E81" s="584">
        <v>3.5</v>
      </c>
      <c r="F81" s="580">
        <v>3500</v>
      </c>
      <c r="G81" s="582">
        <v>12250</v>
      </c>
      <c r="H81" s="355"/>
      <c r="I81" s="355"/>
      <c r="J81" s="158"/>
      <c r="K81" s="69" t="s">
        <v>96</v>
      </c>
    </row>
    <row r="82" spans="1:11" ht="10.5" customHeight="1">
      <c r="A82" s="69"/>
      <c r="B82" s="159" t="s">
        <v>575</v>
      </c>
      <c r="C82" s="160"/>
      <c r="D82" s="577"/>
      <c r="E82" s="585"/>
      <c r="F82" s="581"/>
      <c r="G82" s="583"/>
      <c r="H82" s="356"/>
      <c r="I82" s="356" t="s">
        <v>542</v>
      </c>
      <c r="J82" s="161"/>
      <c r="K82" s="69" t="s">
        <v>96</v>
      </c>
    </row>
    <row r="83" spans="1:11" ht="10.5" customHeight="1">
      <c r="A83" s="69"/>
      <c r="B83" s="156" t="s">
        <v>576</v>
      </c>
      <c r="C83" s="157"/>
      <c r="D83" s="576" t="s">
        <v>506</v>
      </c>
      <c r="E83" s="584">
        <v>1</v>
      </c>
      <c r="F83" s="580">
        <v>108000</v>
      </c>
      <c r="G83" s="582">
        <v>108000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542</v>
      </c>
      <c r="J84" s="161"/>
      <c r="K84" s="69" t="s">
        <v>96</v>
      </c>
    </row>
    <row r="85" spans="1:11" ht="10.5" customHeight="1">
      <c r="A85" s="69"/>
      <c r="B85" s="156" t="s">
        <v>577</v>
      </c>
      <c r="C85" s="157"/>
      <c r="D85" s="576" t="s">
        <v>506</v>
      </c>
      <c r="E85" s="584">
        <v>1</v>
      </c>
      <c r="F85" s="580">
        <v>261600</v>
      </c>
      <c r="G85" s="582">
        <v>261600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542</v>
      </c>
      <c r="J86" s="161"/>
      <c r="K86" s="69" t="s">
        <v>96</v>
      </c>
    </row>
    <row r="87" spans="1:11" ht="10.5" customHeight="1">
      <c r="A87" s="69"/>
      <c r="B87" s="156" t="s">
        <v>578</v>
      </c>
      <c r="C87" s="157"/>
      <c r="D87" s="576" t="s">
        <v>535</v>
      </c>
      <c r="E87" s="584">
        <v>10</v>
      </c>
      <c r="F87" s="580">
        <v>25000</v>
      </c>
      <c r="G87" s="582">
        <v>250000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542</v>
      </c>
      <c r="J88" s="161"/>
      <c r="K88" s="69" t="s">
        <v>96</v>
      </c>
    </row>
    <row r="89" spans="1:11" ht="10.5" customHeight="1">
      <c r="A89" s="69"/>
      <c r="B89" s="156" t="s">
        <v>579</v>
      </c>
      <c r="C89" s="157"/>
      <c r="D89" s="576" t="s">
        <v>506</v>
      </c>
      <c r="E89" s="584">
        <v>1</v>
      </c>
      <c r="F89" s="580">
        <v>123280</v>
      </c>
      <c r="G89" s="582">
        <v>123280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542</v>
      </c>
      <c r="J90" s="161"/>
      <c r="K90" s="69" t="s">
        <v>96</v>
      </c>
    </row>
    <row r="91" spans="1:11" ht="10.5" customHeight="1">
      <c r="A91" s="69"/>
      <c r="B91" s="156" t="s">
        <v>580</v>
      </c>
      <c r="C91" s="157"/>
      <c r="D91" s="576" t="s">
        <v>506</v>
      </c>
      <c r="E91" s="584">
        <v>1</v>
      </c>
      <c r="F91" s="580">
        <v>20000</v>
      </c>
      <c r="G91" s="582">
        <v>20000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542</v>
      </c>
      <c r="J92" s="161"/>
      <c r="K92" s="69" t="s">
        <v>96</v>
      </c>
    </row>
    <row r="93" spans="1:11" ht="10.5" customHeight="1">
      <c r="A93" s="69"/>
      <c r="B93" s="156" t="s">
        <v>581</v>
      </c>
      <c r="C93" s="157"/>
      <c r="D93" s="576" t="s">
        <v>492</v>
      </c>
      <c r="E93" s="584">
        <v>200</v>
      </c>
      <c r="F93" s="580">
        <v>100</v>
      </c>
      <c r="G93" s="582">
        <v>20000</v>
      </c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542</v>
      </c>
      <c r="J94" s="161"/>
      <c r="K94" s="69" t="s">
        <v>96</v>
      </c>
    </row>
    <row r="95" spans="1:11" ht="10.5" customHeight="1">
      <c r="A95" s="69"/>
      <c r="B95" s="156" t="s">
        <v>582</v>
      </c>
      <c r="C95" s="157"/>
      <c r="D95" s="586" t="s">
        <v>506</v>
      </c>
      <c r="E95" s="588">
        <v>1</v>
      </c>
      <c r="F95" s="590">
        <v>300000</v>
      </c>
      <c r="G95" s="592">
        <v>300000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542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556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477</v>
      </c>
      <c r="C101" s="146" t="s">
        <v>478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479</v>
      </c>
      <c r="K102" s="69"/>
    </row>
    <row r="103" spans="1:11" ht="18" customHeight="1">
      <c r="A103" s="69"/>
      <c r="B103" s="574" t="s">
        <v>480</v>
      </c>
      <c r="C103" s="575"/>
      <c r="D103" s="153" t="s">
        <v>85</v>
      </c>
      <c r="E103" s="153" t="s">
        <v>481</v>
      </c>
      <c r="F103" s="153" t="s">
        <v>482</v>
      </c>
      <c r="G103" s="153" t="s">
        <v>483</v>
      </c>
      <c r="H103" s="154" t="s">
        <v>484</v>
      </c>
      <c r="I103" s="153" t="s">
        <v>485</v>
      </c>
      <c r="J103" s="155" t="s">
        <v>486</v>
      </c>
      <c r="K103" s="69"/>
    </row>
    <row r="104" spans="1:11" ht="10.5" customHeight="1">
      <c r="A104" s="69"/>
      <c r="B104" s="156" t="s">
        <v>582</v>
      </c>
      <c r="C104" s="157"/>
      <c r="D104" s="576" t="s">
        <v>506</v>
      </c>
      <c r="E104" s="578">
        <v>1</v>
      </c>
      <c r="F104" s="580">
        <v>150000</v>
      </c>
      <c r="G104" s="582">
        <v>150000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542</v>
      </c>
      <c r="J105" s="161"/>
      <c r="K105" s="69" t="s">
        <v>96</v>
      </c>
    </row>
    <row r="106" spans="1:11" ht="10.5" customHeight="1">
      <c r="A106" s="69"/>
      <c r="B106" s="156" t="s">
        <v>582</v>
      </c>
      <c r="C106" s="157"/>
      <c r="D106" s="576" t="s">
        <v>506</v>
      </c>
      <c r="E106" s="578">
        <v>1</v>
      </c>
      <c r="F106" s="580">
        <v>100000</v>
      </c>
      <c r="G106" s="582">
        <v>100000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542</v>
      </c>
      <c r="J107" s="162"/>
      <c r="K107" s="69" t="s">
        <v>96</v>
      </c>
    </row>
    <row r="108" spans="1:11" ht="10.5" customHeight="1">
      <c r="A108" s="69"/>
      <c r="B108" s="156" t="s">
        <v>582</v>
      </c>
      <c r="C108" s="157"/>
      <c r="D108" s="576" t="s">
        <v>506</v>
      </c>
      <c r="E108" s="578">
        <v>1</v>
      </c>
      <c r="F108" s="580">
        <v>100000</v>
      </c>
      <c r="G108" s="582">
        <v>100000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542</v>
      </c>
      <c r="J109" s="161"/>
      <c r="K109" s="69" t="s">
        <v>96</v>
      </c>
    </row>
    <row r="110" spans="1:11" ht="10.5" customHeight="1">
      <c r="A110" s="69"/>
      <c r="B110" s="156" t="s">
        <v>582</v>
      </c>
      <c r="C110" s="157"/>
      <c r="D110" s="576" t="s">
        <v>506</v>
      </c>
      <c r="E110" s="584">
        <v>1</v>
      </c>
      <c r="F110" s="580">
        <v>60100</v>
      </c>
      <c r="G110" s="582">
        <v>60100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542</v>
      </c>
      <c r="J111" s="161"/>
      <c r="K111" s="69" t="s">
        <v>96</v>
      </c>
    </row>
    <row r="112" spans="1:11" ht="10.5" customHeight="1">
      <c r="A112" s="69"/>
      <c r="B112" s="156" t="s">
        <v>582</v>
      </c>
      <c r="C112" s="157"/>
      <c r="D112" s="576" t="s">
        <v>506</v>
      </c>
      <c r="E112" s="584">
        <v>1</v>
      </c>
      <c r="F112" s="580">
        <v>50000</v>
      </c>
      <c r="G112" s="582">
        <v>50000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542</v>
      </c>
      <c r="J113" s="161"/>
      <c r="K113" s="69" t="s">
        <v>96</v>
      </c>
    </row>
    <row r="114" spans="1:11" ht="10.5" customHeight="1">
      <c r="A114" s="69"/>
      <c r="B114" s="156" t="s">
        <v>582</v>
      </c>
      <c r="C114" s="157"/>
      <c r="D114" s="576" t="s">
        <v>506</v>
      </c>
      <c r="E114" s="584">
        <v>1</v>
      </c>
      <c r="F114" s="580">
        <v>50000</v>
      </c>
      <c r="G114" s="582">
        <v>50000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542</v>
      </c>
      <c r="J115" s="161"/>
      <c r="K115" s="69" t="s">
        <v>96</v>
      </c>
    </row>
    <row r="116" spans="1:11" ht="10.5" customHeight="1">
      <c r="A116" s="69"/>
      <c r="B116" s="156" t="s">
        <v>582</v>
      </c>
      <c r="C116" s="157"/>
      <c r="D116" s="576" t="s">
        <v>506</v>
      </c>
      <c r="E116" s="584">
        <v>1</v>
      </c>
      <c r="F116" s="580">
        <v>40000</v>
      </c>
      <c r="G116" s="582">
        <v>40000</v>
      </c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542</v>
      </c>
      <c r="J117" s="161"/>
      <c r="K117" s="69" t="s">
        <v>96</v>
      </c>
    </row>
    <row r="118" spans="1:11" ht="10.5" customHeight="1">
      <c r="A118" s="69"/>
      <c r="B118" s="156" t="s">
        <v>583</v>
      </c>
      <c r="C118" s="157"/>
      <c r="D118" s="576" t="s">
        <v>506</v>
      </c>
      <c r="E118" s="584">
        <v>1</v>
      </c>
      <c r="F118" s="580">
        <v>55000</v>
      </c>
      <c r="G118" s="582">
        <v>55000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542</v>
      </c>
      <c r="J119" s="161"/>
      <c r="K119" s="69" t="s">
        <v>96</v>
      </c>
    </row>
    <row r="120" spans="1:11" ht="10.5" customHeight="1">
      <c r="A120" s="69"/>
      <c r="B120" s="156" t="s">
        <v>584</v>
      </c>
      <c r="C120" s="157"/>
      <c r="D120" s="576" t="s">
        <v>567</v>
      </c>
      <c r="E120" s="584">
        <v>5</v>
      </c>
      <c r="F120" s="580">
        <v>5000</v>
      </c>
      <c r="G120" s="582">
        <v>25000</v>
      </c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542</v>
      </c>
      <c r="J121" s="161"/>
      <c r="K121" s="69" t="s">
        <v>96</v>
      </c>
    </row>
    <row r="122" spans="1:11" ht="10.5" customHeight="1">
      <c r="A122" s="69"/>
      <c r="B122" s="156" t="s">
        <v>585</v>
      </c>
      <c r="C122" s="157"/>
      <c r="D122" s="576" t="s">
        <v>506</v>
      </c>
      <c r="E122" s="578">
        <v>1</v>
      </c>
      <c r="F122" s="580">
        <v>191180</v>
      </c>
      <c r="G122" s="582">
        <v>191180</v>
      </c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542</v>
      </c>
      <c r="J123" s="161"/>
      <c r="K123" s="69" t="s">
        <v>96</v>
      </c>
    </row>
    <row r="124" spans="1:11" ht="10.5" customHeight="1">
      <c r="A124" s="69"/>
      <c r="B124" s="156" t="s">
        <v>586</v>
      </c>
      <c r="C124" s="157"/>
      <c r="D124" s="576" t="s">
        <v>535</v>
      </c>
      <c r="E124" s="584">
        <v>10</v>
      </c>
      <c r="F124" s="580">
        <v>16000</v>
      </c>
      <c r="G124" s="582">
        <v>160000</v>
      </c>
      <c r="H124" s="355"/>
      <c r="I124" s="355"/>
      <c r="J124" s="158"/>
      <c r="K124" s="69" t="s">
        <v>96</v>
      </c>
    </row>
    <row r="125" spans="1:11" ht="10.5" customHeight="1">
      <c r="A125" s="69"/>
      <c r="B125" s="159" t="s">
        <v>587</v>
      </c>
      <c r="C125" s="160"/>
      <c r="D125" s="577"/>
      <c r="E125" s="585"/>
      <c r="F125" s="581"/>
      <c r="G125" s="583"/>
      <c r="H125" s="356"/>
      <c r="I125" s="356" t="s">
        <v>542</v>
      </c>
      <c r="J125" s="161"/>
      <c r="K125" s="69" t="s">
        <v>96</v>
      </c>
    </row>
    <row r="126" spans="1:11" ht="10.5" customHeight="1">
      <c r="A126" s="69"/>
      <c r="B126" s="156" t="s">
        <v>588</v>
      </c>
      <c r="C126" s="157"/>
      <c r="D126" s="576" t="s">
        <v>535</v>
      </c>
      <c r="E126" s="584">
        <v>1</v>
      </c>
      <c r="F126" s="580">
        <v>35000</v>
      </c>
      <c r="G126" s="582">
        <v>35000</v>
      </c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542</v>
      </c>
      <c r="J127" s="161"/>
      <c r="K127" s="69" t="s">
        <v>96</v>
      </c>
    </row>
    <row r="128" spans="1:11" ht="10.5" customHeight="1">
      <c r="A128" s="69"/>
      <c r="B128" s="156" t="s">
        <v>512</v>
      </c>
      <c r="C128" s="157"/>
      <c r="D128" s="576" t="s">
        <v>551</v>
      </c>
      <c r="E128" s="584">
        <v>5</v>
      </c>
      <c r="F128" s="580">
        <v>6000</v>
      </c>
      <c r="G128" s="582">
        <v>30000</v>
      </c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542</v>
      </c>
      <c r="J129" s="161"/>
      <c r="K129" s="69" t="s">
        <v>96</v>
      </c>
    </row>
    <row r="130" spans="1:11" ht="10.5" customHeight="1">
      <c r="A130" s="69"/>
      <c r="B130" s="156" t="s">
        <v>589</v>
      </c>
      <c r="C130" s="157"/>
      <c r="D130" s="576" t="s">
        <v>506</v>
      </c>
      <c r="E130" s="584">
        <v>1</v>
      </c>
      <c r="F130" s="580">
        <v>10000</v>
      </c>
      <c r="G130" s="582">
        <v>10000</v>
      </c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 t="s">
        <v>542</v>
      </c>
      <c r="J131" s="161"/>
      <c r="K131" s="69" t="s">
        <v>96</v>
      </c>
    </row>
    <row r="132" spans="1:11" ht="10.5" customHeight="1">
      <c r="A132" s="69"/>
      <c r="B132" s="156" t="s">
        <v>514</v>
      </c>
      <c r="C132" s="157"/>
      <c r="D132" s="576" t="s">
        <v>506</v>
      </c>
      <c r="E132" s="584">
        <v>1</v>
      </c>
      <c r="F132" s="580">
        <v>13050</v>
      </c>
      <c r="G132" s="582">
        <v>13050</v>
      </c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 t="s">
        <v>542</v>
      </c>
      <c r="J133" s="161"/>
      <c r="K133" s="69" t="s">
        <v>96</v>
      </c>
    </row>
    <row r="134" spans="1:11" ht="10.5" customHeight="1">
      <c r="A134" s="69"/>
      <c r="B134" s="156" t="s">
        <v>514</v>
      </c>
      <c r="C134" s="157"/>
      <c r="D134" s="576" t="s">
        <v>506</v>
      </c>
      <c r="E134" s="584">
        <v>1</v>
      </c>
      <c r="F134" s="580">
        <v>10400</v>
      </c>
      <c r="G134" s="582">
        <v>10400</v>
      </c>
      <c r="H134" s="355"/>
      <c r="I134" s="355"/>
      <c r="J134" s="158"/>
      <c r="K134" s="69" t="s">
        <v>96</v>
      </c>
    </row>
    <row r="135" spans="1:11" ht="10.5" customHeight="1">
      <c r="A135" s="69"/>
      <c r="B135" s="159" t="s">
        <v>518</v>
      </c>
      <c r="C135" s="160"/>
      <c r="D135" s="577"/>
      <c r="E135" s="585"/>
      <c r="F135" s="581"/>
      <c r="G135" s="583"/>
      <c r="H135" s="356"/>
      <c r="I135" s="356" t="s">
        <v>542</v>
      </c>
      <c r="J135" s="161"/>
      <c r="K135" s="69" t="s">
        <v>96</v>
      </c>
    </row>
    <row r="136" spans="1:11" ht="10.5" customHeight="1">
      <c r="A136" s="69"/>
      <c r="B136" s="156" t="s">
        <v>514</v>
      </c>
      <c r="C136" s="157"/>
      <c r="D136" s="576" t="s">
        <v>506</v>
      </c>
      <c r="E136" s="584">
        <v>1</v>
      </c>
      <c r="F136" s="580">
        <v>10000</v>
      </c>
      <c r="G136" s="582">
        <v>10000</v>
      </c>
      <c r="H136" s="355"/>
      <c r="I136" s="355"/>
      <c r="J136" s="158"/>
      <c r="K136" s="69" t="s">
        <v>96</v>
      </c>
    </row>
    <row r="137" spans="1:11" ht="10.5" customHeight="1">
      <c r="A137" s="69"/>
      <c r="B137" s="159" t="s">
        <v>518</v>
      </c>
      <c r="C137" s="160"/>
      <c r="D137" s="577"/>
      <c r="E137" s="585"/>
      <c r="F137" s="581"/>
      <c r="G137" s="583"/>
      <c r="H137" s="356"/>
      <c r="I137" s="356" t="s">
        <v>542</v>
      </c>
      <c r="J137" s="161"/>
      <c r="K137" s="69" t="s">
        <v>96</v>
      </c>
    </row>
    <row r="138" spans="1:11" ht="10.5" customHeight="1">
      <c r="A138" s="69"/>
      <c r="B138" s="156" t="s">
        <v>590</v>
      </c>
      <c r="C138" s="157"/>
      <c r="D138" s="576" t="s">
        <v>541</v>
      </c>
      <c r="E138" s="584">
        <v>1</v>
      </c>
      <c r="F138" s="580">
        <v>15000</v>
      </c>
      <c r="G138" s="582">
        <v>15000</v>
      </c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 t="s">
        <v>542</v>
      </c>
      <c r="J139" s="161"/>
      <c r="K139" s="69" t="s">
        <v>96</v>
      </c>
    </row>
    <row r="140" spans="1:11" ht="10.5" customHeight="1">
      <c r="A140" s="69"/>
      <c r="B140" s="156" t="s">
        <v>591</v>
      </c>
      <c r="C140" s="157"/>
      <c r="D140" s="576" t="s">
        <v>551</v>
      </c>
      <c r="E140" s="584">
        <v>15</v>
      </c>
      <c r="F140" s="580">
        <v>3500</v>
      </c>
      <c r="G140" s="582">
        <v>52500</v>
      </c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 t="s">
        <v>542</v>
      </c>
      <c r="J141" s="161"/>
      <c r="K141" s="69" t="s">
        <v>96</v>
      </c>
    </row>
    <row r="142" spans="1:11" ht="10.5" customHeight="1">
      <c r="A142" s="69"/>
      <c r="B142" s="156" t="s">
        <v>591</v>
      </c>
      <c r="C142" s="157"/>
      <c r="D142" s="576" t="s">
        <v>551</v>
      </c>
      <c r="E142" s="584">
        <v>3</v>
      </c>
      <c r="F142" s="580">
        <v>3500</v>
      </c>
      <c r="G142" s="582">
        <v>10500</v>
      </c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 t="s">
        <v>542</v>
      </c>
      <c r="J143" s="161"/>
      <c r="K143" s="69" t="s">
        <v>96</v>
      </c>
    </row>
    <row r="144" spans="1:11" ht="10.5" customHeight="1">
      <c r="A144" s="69"/>
      <c r="B144" s="156" t="s">
        <v>592</v>
      </c>
      <c r="C144" s="157"/>
      <c r="D144" s="586" t="s">
        <v>506</v>
      </c>
      <c r="E144" s="588">
        <v>1</v>
      </c>
      <c r="F144" s="590">
        <v>1031730</v>
      </c>
      <c r="G144" s="592">
        <v>1031730</v>
      </c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 t="s">
        <v>542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556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477</v>
      </c>
      <c r="C150" s="146" t="s">
        <v>478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479</v>
      </c>
      <c r="K151" s="69"/>
    </row>
    <row r="152" spans="1:11" ht="18" customHeight="1">
      <c r="A152" s="69"/>
      <c r="B152" s="574" t="s">
        <v>480</v>
      </c>
      <c r="C152" s="575"/>
      <c r="D152" s="153" t="s">
        <v>85</v>
      </c>
      <c r="E152" s="153" t="s">
        <v>481</v>
      </c>
      <c r="F152" s="153" t="s">
        <v>482</v>
      </c>
      <c r="G152" s="153" t="s">
        <v>483</v>
      </c>
      <c r="H152" s="154" t="s">
        <v>484</v>
      </c>
      <c r="I152" s="153" t="s">
        <v>485</v>
      </c>
      <c r="J152" s="155" t="s">
        <v>486</v>
      </c>
      <c r="K152" s="69"/>
    </row>
    <row r="153" spans="1:11" ht="10.5" customHeight="1">
      <c r="A153" s="69"/>
      <c r="B153" s="156" t="s">
        <v>593</v>
      </c>
      <c r="C153" s="157"/>
      <c r="D153" s="576" t="s">
        <v>506</v>
      </c>
      <c r="E153" s="578">
        <v>1</v>
      </c>
      <c r="F153" s="580">
        <v>180000</v>
      </c>
      <c r="G153" s="582">
        <v>180000</v>
      </c>
      <c r="H153" s="355"/>
      <c r="I153" s="355"/>
      <c r="J153" s="158"/>
      <c r="K153" s="69" t="s">
        <v>96</v>
      </c>
    </row>
    <row r="154" spans="1:11" ht="10.5" customHeight="1">
      <c r="A154" s="69"/>
      <c r="B154" s="159" t="s">
        <v>594</v>
      </c>
      <c r="C154" s="160"/>
      <c r="D154" s="577"/>
      <c r="E154" s="579"/>
      <c r="F154" s="581"/>
      <c r="G154" s="583"/>
      <c r="H154" s="356"/>
      <c r="I154" s="356" t="s">
        <v>542</v>
      </c>
      <c r="J154" s="161"/>
      <c r="K154" s="69" t="s">
        <v>96</v>
      </c>
    </row>
    <row r="155" spans="1:11" ht="10.5" customHeight="1">
      <c r="A155" s="69"/>
      <c r="B155" s="156" t="s">
        <v>595</v>
      </c>
      <c r="C155" s="157"/>
      <c r="D155" s="576" t="s">
        <v>506</v>
      </c>
      <c r="E155" s="578">
        <v>1</v>
      </c>
      <c r="F155" s="580">
        <v>50000</v>
      </c>
      <c r="G155" s="582">
        <v>50000</v>
      </c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 t="s">
        <v>542</v>
      </c>
      <c r="J156" s="162"/>
      <c r="K156" s="69" t="s">
        <v>96</v>
      </c>
    </row>
    <row r="157" spans="1:11" ht="10.5" customHeight="1">
      <c r="A157" s="69"/>
      <c r="B157" s="156" t="s">
        <v>596</v>
      </c>
      <c r="C157" s="157"/>
      <c r="D157" s="576" t="s">
        <v>506</v>
      </c>
      <c r="E157" s="578">
        <v>1</v>
      </c>
      <c r="F157" s="580">
        <v>200000</v>
      </c>
      <c r="G157" s="582">
        <v>200000</v>
      </c>
      <c r="H157" s="355"/>
      <c r="I157" s="355"/>
      <c r="J157" s="158"/>
      <c r="K157" s="69" t="s">
        <v>96</v>
      </c>
    </row>
    <row r="158" spans="1:11" ht="10.5" customHeight="1">
      <c r="A158" s="69"/>
      <c r="B158" s="159" t="s">
        <v>597</v>
      </c>
      <c r="C158" s="160"/>
      <c r="D158" s="577"/>
      <c r="E158" s="579"/>
      <c r="F158" s="581"/>
      <c r="G158" s="583"/>
      <c r="H158" s="356"/>
      <c r="I158" s="356" t="s">
        <v>542</v>
      </c>
      <c r="J158" s="161"/>
      <c r="K158" s="69" t="s">
        <v>96</v>
      </c>
    </row>
    <row r="159" spans="1:11" ht="10.5" customHeight="1">
      <c r="A159" s="69"/>
      <c r="B159" s="156" t="s">
        <v>596</v>
      </c>
      <c r="C159" s="157"/>
      <c r="D159" s="576" t="s">
        <v>535</v>
      </c>
      <c r="E159" s="584">
        <v>65</v>
      </c>
      <c r="F159" s="580">
        <v>10000</v>
      </c>
      <c r="G159" s="582">
        <v>650000</v>
      </c>
      <c r="H159" s="355"/>
      <c r="I159" s="355"/>
      <c r="J159" s="158"/>
      <c r="K159" s="69" t="s">
        <v>96</v>
      </c>
    </row>
    <row r="160" spans="1:11" ht="10.5" customHeight="1">
      <c r="A160" s="69"/>
      <c r="B160" s="159" t="s">
        <v>598</v>
      </c>
      <c r="C160" s="160"/>
      <c r="D160" s="577"/>
      <c r="E160" s="585"/>
      <c r="F160" s="581"/>
      <c r="G160" s="583"/>
      <c r="H160" s="356"/>
      <c r="I160" s="356" t="s">
        <v>542</v>
      </c>
      <c r="J160" s="161"/>
      <c r="K160" s="69" t="s">
        <v>96</v>
      </c>
    </row>
    <row r="161" spans="1:11" ht="10.5" customHeight="1">
      <c r="A161" s="69"/>
      <c r="B161" s="156" t="s">
        <v>599</v>
      </c>
      <c r="C161" s="157"/>
      <c r="D161" s="576" t="s">
        <v>535</v>
      </c>
      <c r="E161" s="584">
        <v>6</v>
      </c>
      <c r="F161" s="580">
        <v>25000</v>
      </c>
      <c r="G161" s="582">
        <v>150000</v>
      </c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 t="s">
        <v>542</v>
      </c>
      <c r="J162" s="161"/>
      <c r="K162" s="69" t="s">
        <v>96</v>
      </c>
    </row>
    <row r="163" spans="1:11" ht="10.5" customHeight="1">
      <c r="A163" s="69"/>
      <c r="B163" s="156" t="s">
        <v>600</v>
      </c>
      <c r="C163" s="157"/>
      <c r="D163" s="576" t="s">
        <v>506</v>
      </c>
      <c r="E163" s="584">
        <v>1</v>
      </c>
      <c r="F163" s="580">
        <v>447300</v>
      </c>
      <c r="G163" s="582">
        <v>447300</v>
      </c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 t="s">
        <v>542</v>
      </c>
      <c r="J164" s="161"/>
      <c r="K164" s="69" t="s">
        <v>96</v>
      </c>
    </row>
    <row r="165" spans="1:11" ht="10.5" customHeight="1">
      <c r="A165" s="69"/>
      <c r="B165" s="156" t="s">
        <v>600</v>
      </c>
      <c r="C165" s="157"/>
      <c r="D165" s="576" t="s">
        <v>506</v>
      </c>
      <c r="E165" s="584">
        <v>1</v>
      </c>
      <c r="F165" s="580">
        <v>187536</v>
      </c>
      <c r="G165" s="582">
        <v>187536</v>
      </c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 t="s">
        <v>542</v>
      </c>
      <c r="J166" s="161"/>
      <c r="K166" s="69" t="s">
        <v>96</v>
      </c>
    </row>
    <row r="167" spans="1:11" ht="10.5" customHeight="1">
      <c r="A167" s="69"/>
      <c r="B167" s="156" t="s">
        <v>600</v>
      </c>
      <c r="C167" s="157"/>
      <c r="D167" s="576" t="s">
        <v>506</v>
      </c>
      <c r="E167" s="584">
        <v>1</v>
      </c>
      <c r="F167" s="580">
        <v>57090</v>
      </c>
      <c r="G167" s="582">
        <v>57090</v>
      </c>
      <c r="H167" s="355"/>
      <c r="I167" s="355"/>
      <c r="J167" s="158"/>
      <c r="K167" s="69" t="s">
        <v>96</v>
      </c>
    </row>
    <row r="168" spans="1:11" ht="10.5" customHeight="1">
      <c r="A168" s="69"/>
      <c r="B168" s="159" t="s">
        <v>601</v>
      </c>
      <c r="C168" s="160"/>
      <c r="D168" s="577"/>
      <c r="E168" s="585"/>
      <c r="F168" s="581"/>
      <c r="G168" s="583"/>
      <c r="H168" s="356"/>
      <c r="I168" s="356" t="s">
        <v>542</v>
      </c>
      <c r="J168" s="161"/>
      <c r="K168" s="69" t="s">
        <v>96</v>
      </c>
    </row>
    <row r="169" spans="1:11" ht="10.5" customHeight="1">
      <c r="A169" s="69"/>
      <c r="B169" s="156" t="s">
        <v>522</v>
      </c>
      <c r="C169" s="157"/>
      <c r="D169" s="576" t="s">
        <v>506</v>
      </c>
      <c r="E169" s="584">
        <v>1</v>
      </c>
      <c r="F169" s="580">
        <v>200</v>
      </c>
      <c r="G169" s="582">
        <v>200</v>
      </c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 t="s">
        <v>542</v>
      </c>
      <c r="J170" s="161"/>
      <c r="K170" s="69" t="s">
        <v>96</v>
      </c>
    </row>
    <row r="171" spans="1:11" ht="10.5" customHeight="1">
      <c r="A171" s="69"/>
      <c r="B171" s="156" t="s">
        <v>602</v>
      </c>
      <c r="C171" s="157"/>
      <c r="D171" s="576" t="s">
        <v>541</v>
      </c>
      <c r="E171" s="578">
        <v>1</v>
      </c>
      <c r="F171" s="580">
        <v>5000</v>
      </c>
      <c r="G171" s="582">
        <v>5000</v>
      </c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 t="s">
        <v>542</v>
      </c>
      <c r="J172" s="161"/>
      <c r="K172" s="69" t="s">
        <v>96</v>
      </c>
    </row>
    <row r="173" spans="1:11" ht="10.5" customHeight="1">
      <c r="A173" s="69"/>
      <c r="B173" s="156" t="s">
        <v>602</v>
      </c>
      <c r="C173" s="157"/>
      <c r="D173" s="576" t="s">
        <v>541</v>
      </c>
      <c r="E173" s="584">
        <v>2</v>
      </c>
      <c r="F173" s="580">
        <v>10000</v>
      </c>
      <c r="G173" s="582">
        <v>20000</v>
      </c>
      <c r="H173" s="355"/>
      <c r="I173" s="355"/>
      <c r="J173" s="158"/>
      <c r="K173" s="69" t="s">
        <v>96</v>
      </c>
    </row>
    <row r="174" spans="1:11" ht="10.5" customHeight="1">
      <c r="A174" s="69"/>
      <c r="B174" s="159" t="s">
        <v>603</v>
      </c>
      <c r="C174" s="160"/>
      <c r="D174" s="577"/>
      <c r="E174" s="585"/>
      <c r="F174" s="581"/>
      <c r="G174" s="583"/>
      <c r="H174" s="356"/>
      <c r="I174" s="356" t="s">
        <v>542</v>
      </c>
      <c r="J174" s="161"/>
      <c r="K174" s="69" t="s">
        <v>96</v>
      </c>
    </row>
    <row r="175" spans="1:11" ht="10.5" customHeight="1">
      <c r="A175" s="69"/>
      <c r="B175" s="156" t="s">
        <v>602</v>
      </c>
      <c r="C175" s="157"/>
      <c r="D175" s="576" t="s">
        <v>541</v>
      </c>
      <c r="E175" s="584">
        <v>2</v>
      </c>
      <c r="F175" s="580">
        <v>10000</v>
      </c>
      <c r="G175" s="582">
        <v>20000</v>
      </c>
      <c r="H175" s="355"/>
      <c r="I175" s="355"/>
      <c r="J175" s="158"/>
      <c r="K175" s="69" t="s">
        <v>96</v>
      </c>
    </row>
    <row r="176" spans="1:11" ht="10.5" customHeight="1">
      <c r="A176" s="69"/>
      <c r="B176" s="159" t="s">
        <v>604</v>
      </c>
      <c r="C176" s="160"/>
      <c r="D176" s="577"/>
      <c r="E176" s="585"/>
      <c r="F176" s="581"/>
      <c r="G176" s="583"/>
      <c r="H176" s="356"/>
      <c r="I176" s="356" t="s">
        <v>542</v>
      </c>
      <c r="J176" s="161"/>
      <c r="K176" s="69" t="s">
        <v>96</v>
      </c>
    </row>
    <row r="177" spans="1:11" ht="10.5" customHeight="1">
      <c r="A177" s="69"/>
      <c r="B177" s="156" t="s">
        <v>605</v>
      </c>
      <c r="C177" s="157"/>
      <c r="D177" s="576" t="s">
        <v>506</v>
      </c>
      <c r="E177" s="584">
        <v>1</v>
      </c>
      <c r="F177" s="580">
        <v>500000</v>
      </c>
      <c r="G177" s="582">
        <v>500000</v>
      </c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 t="s">
        <v>542</v>
      </c>
      <c r="J178" s="161"/>
      <c r="K178" s="69" t="s">
        <v>96</v>
      </c>
    </row>
    <row r="179" spans="1:11" ht="10.5" customHeight="1">
      <c r="A179" s="69"/>
      <c r="B179" s="156" t="s">
        <v>606</v>
      </c>
      <c r="C179" s="157"/>
      <c r="D179" s="576" t="s">
        <v>551</v>
      </c>
      <c r="E179" s="584">
        <v>1.5</v>
      </c>
      <c r="F179" s="580">
        <v>28000</v>
      </c>
      <c r="G179" s="582">
        <v>42000</v>
      </c>
      <c r="H179" s="355"/>
      <c r="I179" s="355"/>
      <c r="J179" s="158"/>
      <c r="K179" s="69" t="s">
        <v>96</v>
      </c>
    </row>
    <row r="180" spans="1:11" ht="10.5" customHeight="1">
      <c r="A180" s="69"/>
      <c r="B180" s="159" t="s">
        <v>607</v>
      </c>
      <c r="C180" s="160"/>
      <c r="D180" s="577"/>
      <c r="E180" s="585"/>
      <c r="F180" s="581"/>
      <c r="G180" s="583"/>
      <c r="H180" s="356"/>
      <c r="I180" s="356" t="s">
        <v>542</v>
      </c>
      <c r="J180" s="161"/>
      <c r="K180" s="69" t="s">
        <v>96</v>
      </c>
    </row>
    <row r="181" spans="1:11" ht="10.5" customHeight="1">
      <c r="A181" s="69"/>
      <c r="B181" s="156" t="s">
        <v>601</v>
      </c>
      <c r="C181" s="157"/>
      <c r="D181" s="576" t="s">
        <v>541</v>
      </c>
      <c r="E181" s="584">
        <v>1</v>
      </c>
      <c r="F181" s="580">
        <v>220000</v>
      </c>
      <c r="G181" s="582">
        <v>220000</v>
      </c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 t="s">
        <v>542</v>
      </c>
      <c r="J182" s="161"/>
      <c r="K182" s="69" t="s">
        <v>96</v>
      </c>
    </row>
    <row r="183" spans="1:11" ht="10.5" customHeight="1">
      <c r="A183" s="69"/>
      <c r="B183" s="156" t="s">
        <v>608</v>
      </c>
      <c r="C183" s="157"/>
      <c r="D183" s="576" t="s">
        <v>609</v>
      </c>
      <c r="E183" s="584">
        <v>201</v>
      </c>
      <c r="F183" s="580">
        <v>98642</v>
      </c>
      <c r="G183" s="582">
        <v>19827042</v>
      </c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 t="s">
        <v>542</v>
      </c>
      <c r="J184" s="161"/>
      <c r="K184" s="69" t="s">
        <v>96</v>
      </c>
    </row>
    <row r="185" spans="1:11" ht="10.5" customHeight="1">
      <c r="A185" s="69"/>
      <c r="B185" s="156" t="s">
        <v>610</v>
      </c>
      <c r="C185" s="157"/>
      <c r="D185" s="576" t="s">
        <v>506</v>
      </c>
      <c r="E185" s="584">
        <v>1</v>
      </c>
      <c r="F185" s="580">
        <v>-9337</v>
      </c>
      <c r="G185" s="582">
        <v>-9337</v>
      </c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 t="s">
        <v>542</v>
      </c>
      <c r="J186" s="161"/>
      <c r="K186" s="69" t="s">
        <v>96</v>
      </c>
    </row>
    <row r="187" spans="1:11" ht="10.5" customHeight="1">
      <c r="A187" s="69"/>
      <c r="B187" s="156" t="s">
        <v>611</v>
      </c>
      <c r="C187" s="157"/>
      <c r="D187" s="576" t="s">
        <v>506</v>
      </c>
      <c r="E187" s="584">
        <v>1</v>
      </c>
      <c r="F187" s="580">
        <v>162800</v>
      </c>
      <c r="G187" s="582">
        <v>162800</v>
      </c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 t="s">
        <v>542</v>
      </c>
      <c r="J188" s="161"/>
      <c r="K188" s="69" t="s">
        <v>96</v>
      </c>
    </row>
    <row r="189" spans="1:11" ht="10.5" customHeight="1">
      <c r="A189" s="69"/>
      <c r="B189" s="156" t="s">
        <v>612</v>
      </c>
      <c r="C189" s="157"/>
      <c r="D189" s="576" t="s">
        <v>613</v>
      </c>
      <c r="E189" s="584">
        <v>5</v>
      </c>
      <c r="F189" s="580">
        <v>120000</v>
      </c>
      <c r="G189" s="582">
        <v>600000</v>
      </c>
      <c r="H189" s="355"/>
      <c r="I189" s="355"/>
      <c r="J189" s="158"/>
      <c r="K189" s="69" t="s">
        <v>96</v>
      </c>
    </row>
    <row r="190" spans="1:11" ht="10.5" customHeight="1">
      <c r="A190" s="69"/>
      <c r="B190" s="159" t="s">
        <v>614</v>
      </c>
      <c r="C190" s="160"/>
      <c r="D190" s="577"/>
      <c r="E190" s="585"/>
      <c r="F190" s="581"/>
      <c r="G190" s="583"/>
      <c r="H190" s="356"/>
      <c r="I190" s="356" t="s">
        <v>542</v>
      </c>
      <c r="J190" s="161"/>
      <c r="K190" s="69" t="s">
        <v>96</v>
      </c>
    </row>
    <row r="191" spans="1:11" ht="10.5" customHeight="1">
      <c r="A191" s="69"/>
      <c r="B191" s="156" t="s">
        <v>615</v>
      </c>
      <c r="C191" s="157"/>
      <c r="D191" s="576" t="s">
        <v>506</v>
      </c>
      <c r="E191" s="584">
        <v>1</v>
      </c>
      <c r="F191" s="580">
        <v>50000</v>
      </c>
      <c r="G191" s="582">
        <v>50000</v>
      </c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 t="s">
        <v>542</v>
      </c>
      <c r="J192" s="161"/>
      <c r="K192" s="69" t="s">
        <v>96</v>
      </c>
    </row>
    <row r="193" spans="1:11" ht="10.5" customHeight="1">
      <c r="A193" s="69"/>
      <c r="B193" s="156" t="s">
        <v>616</v>
      </c>
      <c r="C193" s="157"/>
      <c r="D193" s="586" t="s">
        <v>506</v>
      </c>
      <c r="E193" s="588">
        <v>1</v>
      </c>
      <c r="F193" s="590">
        <v>-66990</v>
      </c>
      <c r="G193" s="592">
        <v>-66990</v>
      </c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 t="s">
        <v>617</v>
      </c>
      <c r="C194" s="164"/>
      <c r="D194" s="587"/>
      <c r="E194" s="589"/>
      <c r="F194" s="591"/>
      <c r="G194" s="593"/>
      <c r="H194" s="357"/>
      <c r="I194" s="357" t="s">
        <v>542</v>
      </c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  <row r="197" spans="1:11" ht="26.1" customHeight="1" thickBot="1">
      <c r="B197" s="142"/>
      <c r="C197" s="142"/>
      <c r="D197" s="533" t="s">
        <v>556</v>
      </c>
      <c r="E197" s="533"/>
      <c r="F197" s="533"/>
      <c r="G197" s="533"/>
      <c r="H197" s="69"/>
      <c r="I197" s="69"/>
      <c r="J197" s="69"/>
      <c r="K197" s="69"/>
    </row>
    <row r="198" spans="1:11" ht="13.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</row>
    <row r="199" spans="1:11" ht="21" customHeight="1">
      <c r="A199" s="144"/>
      <c r="B199" s="145" t="s">
        <v>477</v>
      </c>
      <c r="C199" s="146" t="s">
        <v>478</v>
      </c>
      <c r="D199" s="147"/>
      <c r="E199" s="148"/>
      <c r="F199" s="149"/>
      <c r="G199" s="149"/>
      <c r="H199" s="149"/>
      <c r="I199" s="149"/>
      <c r="J199" s="150"/>
      <c r="K199" s="144"/>
    </row>
    <row r="200" spans="1:11" ht="12.75" customHeight="1" thickBot="1">
      <c r="A200" s="69"/>
      <c r="B200" s="151"/>
      <c r="C200" s="151"/>
      <c r="D200" s="151"/>
      <c r="E200" s="151"/>
      <c r="F200" s="151"/>
      <c r="G200" s="151"/>
      <c r="H200" s="151"/>
      <c r="I200" s="151"/>
      <c r="J200" s="152" t="s">
        <v>479</v>
      </c>
      <c r="K200" s="69"/>
    </row>
    <row r="201" spans="1:11" ht="18" customHeight="1">
      <c r="A201" s="69"/>
      <c r="B201" s="574" t="s">
        <v>480</v>
      </c>
      <c r="C201" s="575"/>
      <c r="D201" s="153" t="s">
        <v>85</v>
      </c>
      <c r="E201" s="153" t="s">
        <v>481</v>
      </c>
      <c r="F201" s="153" t="s">
        <v>482</v>
      </c>
      <c r="G201" s="153" t="s">
        <v>483</v>
      </c>
      <c r="H201" s="154" t="s">
        <v>484</v>
      </c>
      <c r="I201" s="153" t="s">
        <v>485</v>
      </c>
      <c r="J201" s="155" t="s">
        <v>486</v>
      </c>
      <c r="K201" s="69"/>
    </row>
    <row r="202" spans="1:11" ht="10.5" customHeight="1">
      <c r="A202" s="69"/>
      <c r="B202" s="156" t="s">
        <v>618</v>
      </c>
      <c r="C202" s="157"/>
      <c r="D202" s="576" t="s">
        <v>506</v>
      </c>
      <c r="E202" s="578">
        <v>1</v>
      </c>
      <c r="F202" s="580">
        <v>100000</v>
      </c>
      <c r="G202" s="582">
        <v>100000</v>
      </c>
      <c r="H202" s="355"/>
      <c r="I202" s="355"/>
      <c r="J202" s="158"/>
      <c r="K202" s="69" t="s">
        <v>96</v>
      </c>
    </row>
    <row r="203" spans="1:11" ht="10.5" customHeight="1">
      <c r="A203" s="69"/>
      <c r="B203" s="159"/>
      <c r="C203" s="160"/>
      <c r="D203" s="577"/>
      <c r="E203" s="579"/>
      <c r="F203" s="581"/>
      <c r="G203" s="583"/>
      <c r="H203" s="356"/>
      <c r="I203" s="356" t="s">
        <v>542</v>
      </c>
      <c r="J203" s="161"/>
      <c r="K203" s="69" t="s">
        <v>96</v>
      </c>
    </row>
    <row r="204" spans="1:11" ht="10.5" customHeight="1">
      <c r="A204" s="69"/>
      <c r="B204" s="156" t="s">
        <v>526</v>
      </c>
      <c r="C204" s="157"/>
      <c r="D204" s="576" t="s">
        <v>502</v>
      </c>
      <c r="E204" s="578">
        <v>200</v>
      </c>
      <c r="F204" s="580">
        <v>160</v>
      </c>
      <c r="G204" s="582">
        <v>32000</v>
      </c>
      <c r="H204" s="355"/>
      <c r="I204" s="355"/>
      <c r="J204" s="162"/>
      <c r="K204" s="69" t="s">
        <v>96</v>
      </c>
    </row>
    <row r="205" spans="1:11" ht="10.5" customHeight="1">
      <c r="A205" s="69"/>
      <c r="B205" s="159"/>
      <c r="C205" s="160"/>
      <c r="D205" s="577"/>
      <c r="E205" s="579"/>
      <c r="F205" s="581"/>
      <c r="G205" s="583"/>
      <c r="H205" s="356"/>
      <c r="I205" s="356" t="s">
        <v>542</v>
      </c>
      <c r="J205" s="162"/>
      <c r="K205" s="69" t="s">
        <v>96</v>
      </c>
    </row>
    <row r="206" spans="1:11" ht="10.5" customHeight="1">
      <c r="A206" s="69"/>
      <c r="B206" s="156" t="s">
        <v>526</v>
      </c>
      <c r="C206" s="157"/>
      <c r="D206" s="576" t="s">
        <v>502</v>
      </c>
      <c r="E206" s="578">
        <v>100</v>
      </c>
      <c r="F206" s="580">
        <v>160</v>
      </c>
      <c r="G206" s="582">
        <v>16000</v>
      </c>
      <c r="H206" s="355"/>
      <c r="I206" s="355"/>
      <c r="J206" s="158"/>
      <c r="K206" s="69" t="s">
        <v>96</v>
      </c>
    </row>
    <row r="207" spans="1:11" ht="10.5" customHeight="1">
      <c r="A207" s="69"/>
      <c r="B207" s="159"/>
      <c r="C207" s="160"/>
      <c r="D207" s="577"/>
      <c r="E207" s="579"/>
      <c r="F207" s="581"/>
      <c r="G207" s="583"/>
      <c r="H207" s="356"/>
      <c r="I207" s="356" t="s">
        <v>542</v>
      </c>
      <c r="J207" s="161"/>
      <c r="K207" s="69" t="s">
        <v>96</v>
      </c>
    </row>
    <row r="208" spans="1:11" ht="10.5" customHeight="1">
      <c r="A208" s="69"/>
      <c r="B208" s="156" t="s">
        <v>619</v>
      </c>
      <c r="C208" s="157"/>
      <c r="D208" s="576" t="s">
        <v>506</v>
      </c>
      <c r="E208" s="584">
        <v>1</v>
      </c>
      <c r="F208" s="580">
        <v>384000</v>
      </c>
      <c r="G208" s="582">
        <v>384000</v>
      </c>
      <c r="H208" s="355"/>
      <c r="I208" s="355"/>
      <c r="J208" s="158"/>
      <c r="K208" s="69" t="s">
        <v>96</v>
      </c>
    </row>
    <row r="209" spans="1:11" ht="10.5" customHeight="1">
      <c r="A209" s="69"/>
      <c r="B209" s="159"/>
      <c r="C209" s="160"/>
      <c r="D209" s="577"/>
      <c r="E209" s="585"/>
      <c r="F209" s="581"/>
      <c r="G209" s="583"/>
      <c r="H209" s="356"/>
      <c r="I209" s="356" t="s">
        <v>542</v>
      </c>
      <c r="J209" s="161"/>
      <c r="K209" s="69" t="s">
        <v>96</v>
      </c>
    </row>
    <row r="210" spans="1:11" ht="10.5" customHeight="1">
      <c r="A210" s="69"/>
      <c r="B210" s="156" t="s">
        <v>620</v>
      </c>
      <c r="C210" s="157"/>
      <c r="D210" s="576" t="s">
        <v>541</v>
      </c>
      <c r="E210" s="584">
        <v>2</v>
      </c>
      <c r="F210" s="580">
        <v>5000</v>
      </c>
      <c r="G210" s="582">
        <v>10000</v>
      </c>
      <c r="H210" s="355"/>
      <c r="I210" s="355"/>
      <c r="J210" s="158"/>
      <c r="K210" s="69" t="s">
        <v>96</v>
      </c>
    </row>
    <row r="211" spans="1:11" ht="10.5" customHeight="1">
      <c r="A211" s="69"/>
      <c r="B211" s="159"/>
      <c r="C211" s="160"/>
      <c r="D211" s="577"/>
      <c r="E211" s="585"/>
      <c r="F211" s="581"/>
      <c r="G211" s="583"/>
      <c r="H211" s="356"/>
      <c r="I211" s="356" t="s">
        <v>542</v>
      </c>
      <c r="J211" s="161"/>
      <c r="K211" s="69" t="s">
        <v>96</v>
      </c>
    </row>
    <row r="212" spans="1:11" ht="10.5" customHeight="1">
      <c r="A212" s="69"/>
      <c r="B212" s="156" t="s">
        <v>621</v>
      </c>
      <c r="C212" s="157"/>
      <c r="D212" s="576" t="s">
        <v>492</v>
      </c>
      <c r="E212" s="584">
        <v>200</v>
      </c>
      <c r="F212" s="580">
        <v>200</v>
      </c>
      <c r="G212" s="582">
        <v>40000</v>
      </c>
      <c r="H212" s="355"/>
      <c r="I212" s="355"/>
      <c r="J212" s="158"/>
      <c r="K212" s="69" t="s">
        <v>96</v>
      </c>
    </row>
    <row r="213" spans="1:11" ht="10.5" customHeight="1">
      <c r="A213" s="69"/>
      <c r="B213" s="159" t="s">
        <v>552</v>
      </c>
      <c r="C213" s="160"/>
      <c r="D213" s="577"/>
      <c r="E213" s="585"/>
      <c r="F213" s="581"/>
      <c r="G213" s="583"/>
      <c r="H213" s="356"/>
      <c r="I213" s="356" t="s">
        <v>542</v>
      </c>
      <c r="J213" s="161"/>
      <c r="K213" s="69" t="s">
        <v>96</v>
      </c>
    </row>
    <row r="214" spans="1:11" ht="10.5" customHeight="1">
      <c r="A214" s="69"/>
      <c r="B214" s="156" t="s">
        <v>622</v>
      </c>
      <c r="C214" s="157"/>
      <c r="D214" s="576" t="s">
        <v>506</v>
      </c>
      <c r="E214" s="584">
        <v>1</v>
      </c>
      <c r="F214" s="580">
        <v>280450</v>
      </c>
      <c r="G214" s="582">
        <v>280450</v>
      </c>
      <c r="H214" s="355"/>
      <c r="I214" s="355"/>
      <c r="J214" s="158"/>
      <c r="K214" s="69" t="s">
        <v>96</v>
      </c>
    </row>
    <row r="215" spans="1:11" ht="10.5" customHeight="1">
      <c r="A215" s="69"/>
      <c r="B215" s="159"/>
      <c r="C215" s="160"/>
      <c r="D215" s="577"/>
      <c r="E215" s="585"/>
      <c r="F215" s="581"/>
      <c r="G215" s="583"/>
      <c r="H215" s="356"/>
      <c r="I215" s="356" t="s">
        <v>542</v>
      </c>
      <c r="J215" s="161"/>
      <c r="K215" s="69" t="s">
        <v>96</v>
      </c>
    </row>
    <row r="216" spans="1:11" ht="10.5" customHeight="1">
      <c r="A216" s="69"/>
      <c r="B216" s="156" t="s">
        <v>622</v>
      </c>
      <c r="C216" s="157"/>
      <c r="D216" s="576" t="s">
        <v>535</v>
      </c>
      <c r="E216" s="584">
        <v>12</v>
      </c>
      <c r="F216" s="580">
        <v>3100</v>
      </c>
      <c r="G216" s="582">
        <v>37200</v>
      </c>
      <c r="H216" s="355"/>
      <c r="I216" s="355"/>
      <c r="J216" s="158"/>
      <c r="K216" s="69" t="s">
        <v>96</v>
      </c>
    </row>
    <row r="217" spans="1:11" ht="10.5" customHeight="1">
      <c r="A217" s="69"/>
      <c r="B217" s="159"/>
      <c r="C217" s="160"/>
      <c r="D217" s="577"/>
      <c r="E217" s="585"/>
      <c r="F217" s="581"/>
      <c r="G217" s="583"/>
      <c r="H217" s="356"/>
      <c r="I217" s="356" t="s">
        <v>542</v>
      </c>
      <c r="J217" s="161"/>
      <c r="K217" s="69" t="s">
        <v>96</v>
      </c>
    </row>
    <row r="218" spans="1:11" ht="10.5" customHeight="1">
      <c r="A218" s="69"/>
      <c r="B218" s="156" t="s">
        <v>622</v>
      </c>
      <c r="C218" s="157"/>
      <c r="D218" s="576" t="s">
        <v>535</v>
      </c>
      <c r="E218" s="584">
        <v>10</v>
      </c>
      <c r="F218" s="580">
        <v>3100</v>
      </c>
      <c r="G218" s="582">
        <v>31000</v>
      </c>
      <c r="H218" s="355"/>
      <c r="I218" s="355"/>
      <c r="J218" s="158"/>
      <c r="K218" s="69" t="s">
        <v>96</v>
      </c>
    </row>
    <row r="219" spans="1:11" ht="10.5" customHeight="1">
      <c r="A219" s="69"/>
      <c r="B219" s="159"/>
      <c r="C219" s="160"/>
      <c r="D219" s="577"/>
      <c r="E219" s="585"/>
      <c r="F219" s="581"/>
      <c r="G219" s="583"/>
      <c r="H219" s="356"/>
      <c r="I219" s="356" t="s">
        <v>542</v>
      </c>
      <c r="J219" s="161"/>
      <c r="K219" s="69" t="s">
        <v>96</v>
      </c>
    </row>
    <row r="220" spans="1:11" ht="10.5" customHeight="1">
      <c r="A220" s="69"/>
      <c r="B220" s="156" t="s">
        <v>622</v>
      </c>
      <c r="C220" s="157"/>
      <c r="D220" s="576" t="s">
        <v>535</v>
      </c>
      <c r="E220" s="578">
        <v>8</v>
      </c>
      <c r="F220" s="580">
        <v>3100</v>
      </c>
      <c r="G220" s="582">
        <v>24800</v>
      </c>
      <c r="H220" s="355"/>
      <c r="I220" s="355"/>
      <c r="J220" s="158"/>
      <c r="K220" s="69" t="s">
        <v>96</v>
      </c>
    </row>
    <row r="221" spans="1:11" ht="10.5" customHeight="1">
      <c r="A221" s="69"/>
      <c r="B221" s="159"/>
      <c r="C221" s="160"/>
      <c r="D221" s="577"/>
      <c r="E221" s="579"/>
      <c r="F221" s="581"/>
      <c r="G221" s="583"/>
      <c r="H221" s="356"/>
      <c r="I221" s="356" t="s">
        <v>542</v>
      </c>
      <c r="J221" s="161"/>
      <c r="K221" s="69" t="s">
        <v>96</v>
      </c>
    </row>
    <row r="222" spans="1:11" ht="10.5" customHeight="1">
      <c r="A222" s="69"/>
      <c r="B222" s="156" t="s">
        <v>622</v>
      </c>
      <c r="C222" s="157"/>
      <c r="D222" s="576" t="s">
        <v>535</v>
      </c>
      <c r="E222" s="584">
        <v>3</v>
      </c>
      <c r="F222" s="580">
        <v>3360</v>
      </c>
      <c r="G222" s="582">
        <v>10080</v>
      </c>
      <c r="H222" s="355"/>
      <c r="I222" s="355"/>
      <c r="J222" s="158"/>
      <c r="K222" s="69" t="s">
        <v>96</v>
      </c>
    </row>
    <row r="223" spans="1:11" ht="10.5" customHeight="1">
      <c r="A223" s="69"/>
      <c r="B223" s="159"/>
      <c r="C223" s="160"/>
      <c r="D223" s="577"/>
      <c r="E223" s="585"/>
      <c r="F223" s="581"/>
      <c r="G223" s="583"/>
      <c r="H223" s="356"/>
      <c r="I223" s="356" t="s">
        <v>542</v>
      </c>
      <c r="J223" s="161"/>
      <c r="K223" s="69" t="s">
        <v>96</v>
      </c>
    </row>
    <row r="224" spans="1:11" ht="10.5" customHeight="1">
      <c r="A224" s="69"/>
      <c r="B224" s="156" t="s">
        <v>622</v>
      </c>
      <c r="C224" s="157"/>
      <c r="D224" s="576" t="s">
        <v>535</v>
      </c>
      <c r="E224" s="584">
        <v>2</v>
      </c>
      <c r="F224" s="580">
        <v>4500</v>
      </c>
      <c r="G224" s="582">
        <v>9000</v>
      </c>
      <c r="H224" s="355"/>
      <c r="I224" s="355"/>
      <c r="J224" s="158"/>
      <c r="K224" s="69" t="s">
        <v>96</v>
      </c>
    </row>
    <row r="225" spans="1:11" ht="10.5" customHeight="1">
      <c r="A225" s="69"/>
      <c r="B225" s="159"/>
      <c r="C225" s="160"/>
      <c r="D225" s="577"/>
      <c r="E225" s="585"/>
      <c r="F225" s="581"/>
      <c r="G225" s="583"/>
      <c r="H225" s="356"/>
      <c r="I225" s="356" t="s">
        <v>542</v>
      </c>
      <c r="J225" s="161"/>
      <c r="K225" s="69" t="s">
        <v>96</v>
      </c>
    </row>
    <row r="226" spans="1:11" ht="10.5" customHeight="1">
      <c r="A226" s="69"/>
      <c r="B226" s="156" t="s">
        <v>622</v>
      </c>
      <c r="C226" s="157"/>
      <c r="D226" s="576" t="s">
        <v>535</v>
      </c>
      <c r="E226" s="584">
        <v>1</v>
      </c>
      <c r="F226" s="580">
        <v>5500</v>
      </c>
      <c r="G226" s="582">
        <v>5500</v>
      </c>
      <c r="H226" s="355"/>
      <c r="I226" s="355"/>
      <c r="J226" s="158"/>
      <c r="K226" s="69" t="s">
        <v>96</v>
      </c>
    </row>
    <row r="227" spans="1:11" ht="10.5" customHeight="1">
      <c r="A227" s="69"/>
      <c r="B227" s="159"/>
      <c r="C227" s="160"/>
      <c r="D227" s="577"/>
      <c r="E227" s="585"/>
      <c r="F227" s="581"/>
      <c r="G227" s="583"/>
      <c r="H227" s="356"/>
      <c r="I227" s="356" t="s">
        <v>542</v>
      </c>
      <c r="J227" s="161"/>
      <c r="K227" s="69" t="s">
        <v>96</v>
      </c>
    </row>
    <row r="228" spans="1:11" ht="10.5" customHeight="1">
      <c r="A228" s="69"/>
      <c r="B228" s="156" t="s">
        <v>538</v>
      </c>
      <c r="C228" s="157"/>
      <c r="D228" s="576" t="s">
        <v>535</v>
      </c>
      <c r="E228" s="584">
        <v>12</v>
      </c>
      <c r="F228" s="580">
        <v>20000</v>
      </c>
      <c r="G228" s="582">
        <v>240000</v>
      </c>
      <c r="H228" s="355"/>
      <c r="I228" s="355"/>
      <c r="J228" s="158"/>
      <c r="K228" s="69" t="s">
        <v>96</v>
      </c>
    </row>
    <row r="229" spans="1:11" ht="10.5" customHeight="1">
      <c r="A229" s="69"/>
      <c r="B229" s="159"/>
      <c r="C229" s="160"/>
      <c r="D229" s="577"/>
      <c r="E229" s="585"/>
      <c r="F229" s="581"/>
      <c r="G229" s="583"/>
      <c r="H229" s="356"/>
      <c r="I229" s="356" t="s">
        <v>542</v>
      </c>
      <c r="J229" s="161"/>
      <c r="K229" s="69" t="s">
        <v>96</v>
      </c>
    </row>
    <row r="230" spans="1:11" ht="10.5" customHeight="1">
      <c r="A230" s="69"/>
      <c r="B230" s="156" t="s">
        <v>538</v>
      </c>
      <c r="C230" s="157"/>
      <c r="D230" s="576" t="s">
        <v>535</v>
      </c>
      <c r="E230" s="584">
        <v>8</v>
      </c>
      <c r="F230" s="580">
        <v>20000</v>
      </c>
      <c r="G230" s="582">
        <v>160000</v>
      </c>
      <c r="H230" s="355"/>
      <c r="I230" s="355"/>
      <c r="J230" s="158"/>
      <c r="K230" s="69" t="s">
        <v>96</v>
      </c>
    </row>
    <row r="231" spans="1:11" ht="10.5" customHeight="1">
      <c r="A231" s="69"/>
      <c r="B231" s="159"/>
      <c r="C231" s="160"/>
      <c r="D231" s="577"/>
      <c r="E231" s="585"/>
      <c r="F231" s="581"/>
      <c r="G231" s="583"/>
      <c r="H231" s="356"/>
      <c r="I231" s="356" t="s">
        <v>542</v>
      </c>
      <c r="J231" s="161"/>
      <c r="K231" s="69" t="s">
        <v>96</v>
      </c>
    </row>
    <row r="232" spans="1:11" ht="10.5" customHeight="1">
      <c r="A232" s="69"/>
      <c r="B232" s="156" t="s">
        <v>538</v>
      </c>
      <c r="C232" s="157"/>
      <c r="D232" s="576" t="s">
        <v>535</v>
      </c>
      <c r="E232" s="584">
        <v>3</v>
      </c>
      <c r="F232" s="580">
        <v>20000</v>
      </c>
      <c r="G232" s="582">
        <v>60000</v>
      </c>
      <c r="H232" s="355"/>
      <c r="I232" s="355"/>
      <c r="J232" s="158"/>
      <c r="K232" s="69" t="s">
        <v>96</v>
      </c>
    </row>
    <row r="233" spans="1:11" ht="10.5" customHeight="1">
      <c r="A233" s="69"/>
      <c r="B233" s="159"/>
      <c r="C233" s="160"/>
      <c r="D233" s="577"/>
      <c r="E233" s="585"/>
      <c r="F233" s="581"/>
      <c r="G233" s="583"/>
      <c r="H233" s="356"/>
      <c r="I233" s="356" t="s">
        <v>542</v>
      </c>
      <c r="J233" s="161"/>
      <c r="K233" s="69" t="s">
        <v>96</v>
      </c>
    </row>
    <row r="234" spans="1:11" ht="10.5" customHeight="1">
      <c r="A234" s="69"/>
      <c r="B234" s="156" t="s">
        <v>536</v>
      </c>
      <c r="C234" s="157"/>
      <c r="D234" s="576" t="s">
        <v>535</v>
      </c>
      <c r="E234" s="584">
        <v>10</v>
      </c>
      <c r="F234" s="580">
        <v>20000</v>
      </c>
      <c r="G234" s="582">
        <v>200000</v>
      </c>
      <c r="H234" s="355"/>
      <c r="I234" s="355"/>
      <c r="J234" s="158"/>
      <c r="K234" s="69" t="s">
        <v>96</v>
      </c>
    </row>
    <row r="235" spans="1:11" ht="10.5" customHeight="1">
      <c r="A235" s="69"/>
      <c r="B235" s="159"/>
      <c r="C235" s="160"/>
      <c r="D235" s="577"/>
      <c r="E235" s="585"/>
      <c r="F235" s="581"/>
      <c r="G235" s="583"/>
      <c r="H235" s="356"/>
      <c r="I235" s="356" t="s">
        <v>542</v>
      </c>
      <c r="J235" s="161"/>
      <c r="K235" s="69" t="s">
        <v>96</v>
      </c>
    </row>
    <row r="236" spans="1:11" ht="10.5" customHeight="1">
      <c r="A236" s="69"/>
      <c r="B236" s="156"/>
      <c r="C236" s="157"/>
      <c r="D236" s="576"/>
      <c r="E236" s="584"/>
      <c r="F236" s="580"/>
      <c r="G236" s="582"/>
      <c r="H236" s="355"/>
      <c r="I236" s="355"/>
      <c r="J236" s="158"/>
      <c r="K236" s="69" t="s">
        <v>96</v>
      </c>
    </row>
    <row r="237" spans="1:11" ht="10.5" customHeight="1">
      <c r="A237" s="69"/>
      <c r="B237" s="159"/>
      <c r="C237" s="160"/>
      <c r="D237" s="577"/>
      <c r="E237" s="585"/>
      <c r="F237" s="581"/>
      <c r="G237" s="583"/>
      <c r="H237" s="356"/>
      <c r="I237" s="356"/>
      <c r="J237" s="161"/>
      <c r="K237" s="69" t="s">
        <v>96</v>
      </c>
    </row>
    <row r="238" spans="1:11" ht="10.5" customHeight="1">
      <c r="A238" s="69"/>
      <c r="B238" s="156" t="s">
        <v>533</v>
      </c>
      <c r="C238" s="157"/>
      <c r="D238" s="576"/>
      <c r="E238" s="584"/>
      <c r="F238" s="580"/>
      <c r="G238" s="582">
        <v>38988172</v>
      </c>
      <c r="H238" s="355"/>
      <c r="I238" s="355"/>
      <c r="J238" s="158"/>
      <c r="K238" s="69" t="s">
        <v>96</v>
      </c>
    </row>
    <row r="239" spans="1:11" ht="10.5" customHeight="1">
      <c r="A239" s="69"/>
      <c r="B239" s="159"/>
      <c r="C239" s="160"/>
      <c r="D239" s="577"/>
      <c r="E239" s="585"/>
      <c r="F239" s="581"/>
      <c r="G239" s="583"/>
      <c r="H239" s="356"/>
      <c r="I239" s="356"/>
      <c r="J239" s="161"/>
      <c r="K239" s="69" t="s">
        <v>96</v>
      </c>
    </row>
    <row r="240" spans="1:11" ht="10.5" customHeight="1">
      <c r="A240" s="69"/>
      <c r="B240" s="156"/>
      <c r="C240" s="157"/>
      <c r="D240" s="576"/>
      <c r="E240" s="584"/>
      <c r="F240" s="580"/>
      <c r="G240" s="582"/>
      <c r="H240" s="355"/>
      <c r="I240" s="355"/>
      <c r="J240" s="158"/>
      <c r="K240" s="69" t="s">
        <v>96</v>
      </c>
    </row>
    <row r="241" spans="1:11" ht="10.5" customHeight="1">
      <c r="A241" s="69"/>
      <c r="B241" s="159"/>
      <c r="C241" s="160"/>
      <c r="D241" s="577"/>
      <c r="E241" s="585"/>
      <c r="F241" s="581"/>
      <c r="G241" s="583"/>
      <c r="H241" s="356"/>
      <c r="I241" s="356"/>
      <c r="J241" s="161"/>
      <c r="K241" s="69" t="s">
        <v>96</v>
      </c>
    </row>
    <row r="242" spans="1:11" ht="10.5" customHeight="1">
      <c r="A242" s="69"/>
      <c r="B242" s="156"/>
      <c r="C242" s="157"/>
      <c r="D242" s="586"/>
      <c r="E242" s="588"/>
      <c r="F242" s="590"/>
      <c r="G242" s="592"/>
      <c r="H242" s="355"/>
      <c r="I242" s="355"/>
      <c r="J242" s="162"/>
      <c r="K242" s="69" t="s">
        <v>96</v>
      </c>
    </row>
    <row r="243" spans="1:11" ht="10.5" customHeight="1" thickBot="1">
      <c r="A243" s="69"/>
      <c r="B243" s="163"/>
      <c r="C243" s="164"/>
      <c r="D243" s="587"/>
      <c r="E243" s="589"/>
      <c r="F243" s="591"/>
      <c r="G243" s="593"/>
      <c r="H243" s="357"/>
      <c r="I243" s="357"/>
      <c r="J243" s="165"/>
      <c r="K243" s="69" t="s">
        <v>96</v>
      </c>
    </row>
    <row r="244" spans="1:11" s="103" customFormat="1" ht="18" customHeight="1">
      <c r="A244" s="101"/>
      <c r="B244" s="166"/>
      <c r="C244" s="101"/>
      <c r="D244" s="101"/>
      <c r="E244" s="101"/>
      <c r="F244" s="101"/>
      <c r="G244" s="101"/>
      <c r="H244" s="101"/>
      <c r="I244" s="115"/>
      <c r="J244" s="115"/>
      <c r="K244" s="101"/>
    </row>
    <row r="245" spans="1:11" s="103" customFormat="1" ht="13.5" customHeight="1">
      <c r="A245" s="101"/>
      <c r="B245" s="166"/>
      <c r="C245" s="101"/>
      <c r="D245" s="101"/>
      <c r="E245" s="101"/>
      <c r="F245" s="101"/>
      <c r="G245" s="101"/>
      <c r="H245" s="101"/>
      <c r="I245" s="115"/>
      <c r="J245" s="115"/>
      <c r="K245" s="101"/>
    </row>
  </sheetData>
  <mergeCells count="430"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4:D225"/>
    <mergeCell ref="E224:E225"/>
    <mergeCell ref="F224:F225"/>
    <mergeCell ref="G224:G225"/>
    <mergeCell ref="D226:D227"/>
    <mergeCell ref="E226:E227"/>
    <mergeCell ref="F226:F227"/>
    <mergeCell ref="G226:G227"/>
    <mergeCell ref="D220:D221"/>
    <mergeCell ref="E220:E221"/>
    <mergeCell ref="F220:F221"/>
    <mergeCell ref="G220:G221"/>
    <mergeCell ref="D222:D223"/>
    <mergeCell ref="E222:E223"/>
    <mergeCell ref="F222:F223"/>
    <mergeCell ref="G222:G223"/>
    <mergeCell ref="D216:D217"/>
    <mergeCell ref="E216:E217"/>
    <mergeCell ref="F216:F217"/>
    <mergeCell ref="G216:G217"/>
    <mergeCell ref="D218:D219"/>
    <mergeCell ref="E218:E219"/>
    <mergeCell ref="F218:F219"/>
    <mergeCell ref="G218:G219"/>
    <mergeCell ref="D212:D213"/>
    <mergeCell ref="E212:E213"/>
    <mergeCell ref="F212:F213"/>
    <mergeCell ref="G212:G213"/>
    <mergeCell ref="D214:D215"/>
    <mergeCell ref="E214:E215"/>
    <mergeCell ref="F214:F215"/>
    <mergeCell ref="G214:G215"/>
    <mergeCell ref="D208:D209"/>
    <mergeCell ref="E208:E209"/>
    <mergeCell ref="F208:F209"/>
    <mergeCell ref="G208:G209"/>
    <mergeCell ref="D210:D211"/>
    <mergeCell ref="E210:E211"/>
    <mergeCell ref="F210:F211"/>
    <mergeCell ref="G210:G211"/>
    <mergeCell ref="D204:D205"/>
    <mergeCell ref="E204:E205"/>
    <mergeCell ref="F204:F205"/>
    <mergeCell ref="G204:G205"/>
    <mergeCell ref="D206:D207"/>
    <mergeCell ref="E206:E207"/>
    <mergeCell ref="F206:F207"/>
    <mergeCell ref="G206:G207"/>
    <mergeCell ref="D197:G197"/>
    <mergeCell ref="B201:C201"/>
    <mergeCell ref="D202:D203"/>
    <mergeCell ref="E202:E203"/>
    <mergeCell ref="F202:F203"/>
    <mergeCell ref="G202:G203"/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477</v>
      </c>
      <c r="C3" s="146" t="s">
        <v>478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479</v>
      </c>
      <c r="K4" s="69"/>
    </row>
    <row r="5" spans="1:11" ht="18" customHeight="1">
      <c r="A5" s="69"/>
      <c r="B5" s="574" t="s">
        <v>480</v>
      </c>
      <c r="C5" s="575"/>
      <c r="D5" s="153" t="s">
        <v>85</v>
      </c>
      <c r="E5" s="153" t="s">
        <v>481</v>
      </c>
      <c r="F5" s="153" t="s">
        <v>482</v>
      </c>
      <c r="G5" s="153" t="s">
        <v>483</v>
      </c>
      <c r="H5" s="154" t="s">
        <v>484</v>
      </c>
      <c r="I5" s="153" t="s">
        <v>485</v>
      </c>
      <c r="J5" s="155" t="s">
        <v>486</v>
      </c>
      <c r="K5" s="69"/>
    </row>
    <row r="6" spans="1:11" ht="10.5" customHeight="1">
      <c r="A6" s="69"/>
      <c r="B6" s="156" t="s">
        <v>623</v>
      </c>
      <c r="C6" s="157"/>
      <c r="D6" s="576" t="s">
        <v>541</v>
      </c>
      <c r="E6" s="578">
        <v>1</v>
      </c>
      <c r="F6" s="580">
        <v>50000</v>
      </c>
      <c r="G6" s="582">
        <v>50000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624</v>
      </c>
      <c r="C7" s="160"/>
      <c r="D7" s="577"/>
      <c r="E7" s="579"/>
      <c r="F7" s="581"/>
      <c r="G7" s="583"/>
      <c r="H7" s="356"/>
      <c r="I7" s="356" t="s">
        <v>625</v>
      </c>
      <c r="J7" s="161"/>
      <c r="K7" s="69" t="s">
        <v>96</v>
      </c>
    </row>
    <row r="8" spans="1:11" ht="10.5" customHeight="1">
      <c r="A8" s="69"/>
      <c r="B8" s="156" t="s">
        <v>626</v>
      </c>
      <c r="C8" s="157"/>
      <c r="D8" s="576" t="s">
        <v>541</v>
      </c>
      <c r="E8" s="578">
        <v>1</v>
      </c>
      <c r="F8" s="580">
        <v>45000</v>
      </c>
      <c r="G8" s="582">
        <v>45000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625</v>
      </c>
      <c r="J9" s="162"/>
      <c r="K9" s="69" t="s">
        <v>96</v>
      </c>
    </row>
    <row r="10" spans="1:11" ht="10.5" customHeight="1">
      <c r="A10" s="69"/>
      <c r="B10" s="156" t="s">
        <v>627</v>
      </c>
      <c r="C10" s="157"/>
      <c r="D10" s="576" t="s">
        <v>541</v>
      </c>
      <c r="E10" s="578">
        <v>2</v>
      </c>
      <c r="F10" s="580">
        <v>150000</v>
      </c>
      <c r="G10" s="582">
        <v>300000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625</v>
      </c>
      <c r="J11" s="161"/>
      <c r="K11" s="69" t="s">
        <v>96</v>
      </c>
    </row>
    <row r="12" spans="1:11" ht="10.5" customHeight="1">
      <c r="A12" s="69"/>
      <c r="B12" s="156" t="s">
        <v>589</v>
      </c>
      <c r="C12" s="157"/>
      <c r="D12" s="576" t="s">
        <v>515</v>
      </c>
      <c r="E12" s="584">
        <v>3</v>
      </c>
      <c r="F12" s="580">
        <v>10000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625</v>
      </c>
      <c r="J13" s="161"/>
      <c r="K13" s="69" t="s">
        <v>96</v>
      </c>
    </row>
    <row r="14" spans="1:11" ht="10.5" customHeight="1">
      <c r="A14" s="69"/>
      <c r="B14" s="156" t="s">
        <v>589</v>
      </c>
      <c r="C14" s="157"/>
      <c r="D14" s="576" t="s">
        <v>515</v>
      </c>
      <c r="E14" s="584">
        <v>3</v>
      </c>
      <c r="F14" s="580">
        <v>50000</v>
      </c>
      <c r="G14" s="582">
        <v>150000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628</v>
      </c>
      <c r="C15" s="160"/>
      <c r="D15" s="577"/>
      <c r="E15" s="585"/>
      <c r="F15" s="581"/>
      <c r="G15" s="583"/>
      <c r="H15" s="356"/>
      <c r="I15" s="356" t="s">
        <v>625</v>
      </c>
      <c r="J15" s="161"/>
      <c r="K15" s="69" t="s">
        <v>96</v>
      </c>
    </row>
    <row r="16" spans="1:11" ht="10.5" customHeight="1">
      <c r="A16" s="69"/>
      <c r="B16" s="156" t="s">
        <v>589</v>
      </c>
      <c r="C16" s="157"/>
      <c r="D16" s="576" t="s">
        <v>515</v>
      </c>
      <c r="E16" s="584">
        <v>15</v>
      </c>
      <c r="F16" s="580">
        <v>50000</v>
      </c>
      <c r="G16" s="582">
        <v>750000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629</v>
      </c>
      <c r="C17" s="160"/>
      <c r="D17" s="577"/>
      <c r="E17" s="585"/>
      <c r="F17" s="581"/>
      <c r="G17" s="583"/>
      <c r="H17" s="356"/>
      <c r="I17" s="356" t="s">
        <v>625</v>
      </c>
      <c r="J17" s="161"/>
      <c r="K17" s="69" t="s">
        <v>96</v>
      </c>
    </row>
    <row r="18" spans="1:11" ht="10.5" customHeight="1">
      <c r="A18" s="69"/>
      <c r="B18" s="156" t="s">
        <v>514</v>
      </c>
      <c r="C18" s="157"/>
      <c r="D18" s="576" t="s">
        <v>506</v>
      </c>
      <c r="E18" s="584">
        <v>1</v>
      </c>
      <c r="F18" s="580">
        <v>3800</v>
      </c>
      <c r="G18" s="582">
        <v>3800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625</v>
      </c>
      <c r="J19" s="161"/>
      <c r="K19" s="69" t="s">
        <v>96</v>
      </c>
    </row>
    <row r="20" spans="1:11" ht="10.5" customHeight="1">
      <c r="A20" s="69"/>
      <c r="B20" s="156" t="s">
        <v>602</v>
      </c>
      <c r="C20" s="157"/>
      <c r="D20" s="576" t="s">
        <v>541</v>
      </c>
      <c r="E20" s="584">
        <v>2</v>
      </c>
      <c r="F20" s="580">
        <v>5000</v>
      </c>
      <c r="G20" s="582">
        <v>10000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625</v>
      </c>
      <c r="J21" s="161"/>
      <c r="K21" s="69" t="s">
        <v>96</v>
      </c>
    </row>
    <row r="22" spans="1:11" ht="10.5" customHeight="1">
      <c r="A22" s="69"/>
      <c r="B22" s="156" t="s">
        <v>602</v>
      </c>
      <c r="C22" s="157"/>
      <c r="D22" s="576" t="s">
        <v>541</v>
      </c>
      <c r="E22" s="584">
        <v>2</v>
      </c>
      <c r="F22" s="580">
        <v>15000</v>
      </c>
      <c r="G22" s="582">
        <v>30000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630</v>
      </c>
      <c r="C23" s="160"/>
      <c r="D23" s="577"/>
      <c r="E23" s="585"/>
      <c r="F23" s="581"/>
      <c r="G23" s="583"/>
      <c r="H23" s="356"/>
      <c r="I23" s="356" t="s">
        <v>625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533</v>
      </c>
      <c r="C26" s="157"/>
      <c r="D26" s="576"/>
      <c r="E26" s="584"/>
      <c r="F26" s="580"/>
      <c r="G26" s="582">
        <v>1368800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98"/>
  <sheetViews>
    <sheetView topLeftCell="A47"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477</v>
      </c>
      <c r="C3" s="146" t="s">
        <v>478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479</v>
      </c>
      <c r="K4" s="69"/>
    </row>
    <row r="5" spans="1:11" ht="18" customHeight="1">
      <c r="A5" s="69"/>
      <c r="B5" s="574" t="s">
        <v>480</v>
      </c>
      <c r="C5" s="575"/>
      <c r="D5" s="153" t="s">
        <v>85</v>
      </c>
      <c r="E5" s="153" t="s">
        <v>481</v>
      </c>
      <c r="F5" s="153" t="s">
        <v>482</v>
      </c>
      <c r="G5" s="153" t="s">
        <v>483</v>
      </c>
      <c r="H5" s="154" t="s">
        <v>484</v>
      </c>
      <c r="I5" s="153" t="s">
        <v>485</v>
      </c>
      <c r="J5" s="155" t="s">
        <v>486</v>
      </c>
      <c r="K5" s="69"/>
    </row>
    <row r="6" spans="1:11" ht="10.5" customHeight="1">
      <c r="A6" s="69"/>
      <c r="B6" s="156" t="s">
        <v>631</v>
      </c>
      <c r="C6" s="157"/>
      <c r="D6" s="576" t="s">
        <v>541</v>
      </c>
      <c r="E6" s="578">
        <v>5</v>
      </c>
      <c r="F6" s="580">
        <v>48000</v>
      </c>
      <c r="G6" s="582">
        <v>240000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632</v>
      </c>
      <c r="J7" s="161"/>
      <c r="K7" s="69" t="s">
        <v>96</v>
      </c>
    </row>
    <row r="8" spans="1:11" ht="10.5" customHeight="1">
      <c r="A8" s="69"/>
      <c r="B8" s="156" t="s">
        <v>540</v>
      </c>
      <c r="C8" s="157"/>
      <c r="D8" s="576" t="s">
        <v>541</v>
      </c>
      <c r="E8" s="578">
        <v>30</v>
      </c>
      <c r="F8" s="580">
        <v>8000</v>
      </c>
      <c r="G8" s="582">
        <v>240000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632</v>
      </c>
      <c r="J9" s="162"/>
      <c r="K9" s="69" t="s">
        <v>96</v>
      </c>
    </row>
    <row r="10" spans="1:11" ht="10.5" customHeight="1">
      <c r="A10" s="69"/>
      <c r="B10" s="156" t="s">
        <v>540</v>
      </c>
      <c r="C10" s="157"/>
      <c r="D10" s="576" t="s">
        <v>541</v>
      </c>
      <c r="E10" s="578">
        <v>6</v>
      </c>
      <c r="F10" s="580">
        <v>8000</v>
      </c>
      <c r="G10" s="582">
        <v>48000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632</v>
      </c>
      <c r="J11" s="161"/>
      <c r="K11" s="69" t="s">
        <v>96</v>
      </c>
    </row>
    <row r="12" spans="1:11" ht="10.5" customHeight="1">
      <c r="A12" s="69"/>
      <c r="B12" s="156" t="s">
        <v>540</v>
      </c>
      <c r="C12" s="157"/>
      <c r="D12" s="576" t="s">
        <v>541</v>
      </c>
      <c r="E12" s="584">
        <v>6</v>
      </c>
      <c r="F12" s="580">
        <v>8000</v>
      </c>
      <c r="G12" s="582">
        <v>48000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632</v>
      </c>
      <c r="J13" s="161"/>
      <c r="K13" s="69" t="s">
        <v>96</v>
      </c>
    </row>
    <row r="14" spans="1:11" ht="10.5" customHeight="1">
      <c r="A14" s="69"/>
      <c r="B14" s="156" t="s">
        <v>540</v>
      </c>
      <c r="C14" s="157"/>
      <c r="D14" s="576" t="s">
        <v>541</v>
      </c>
      <c r="E14" s="584">
        <v>5</v>
      </c>
      <c r="F14" s="580">
        <v>8000</v>
      </c>
      <c r="G14" s="582">
        <v>40000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632</v>
      </c>
      <c r="J15" s="161"/>
      <c r="K15" s="69" t="s">
        <v>96</v>
      </c>
    </row>
    <row r="16" spans="1:11" ht="10.5" customHeight="1">
      <c r="A16" s="69"/>
      <c r="B16" s="156" t="s">
        <v>540</v>
      </c>
      <c r="C16" s="157"/>
      <c r="D16" s="576" t="s">
        <v>541</v>
      </c>
      <c r="E16" s="584">
        <v>4</v>
      </c>
      <c r="F16" s="580">
        <v>8000</v>
      </c>
      <c r="G16" s="582">
        <v>32000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632</v>
      </c>
      <c r="J17" s="161"/>
      <c r="K17" s="69" t="s">
        <v>96</v>
      </c>
    </row>
    <row r="18" spans="1:11" ht="10.5" customHeight="1">
      <c r="A18" s="69"/>
      <c r="B18" s="156" t="s">
        <v>540</v>
      </c>
      <c r="C18" s="157"/>
      <c r="D18" s="576" t="s">
        <v>541</v>
      </c>
      <c r="E18" s="584">
        <v>2</v>
      </c>
      <c r="F18" s="580">
        <v>8000</v>
      </c>
      <c r="G18" s="582">
        <v>16000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632</v>
      </c>
      <c r="J19" s="161"/>
      <c r="K19" s="69" t="s">
        <v>96</v>
      </c>
    </row>
    <row r="20" spans="1:11" ht="10.5" customHeight="1">
      <c r="A20" s="69"/>
      <c r="B20" s="156" t="s">
        <v>633</v>
      </c>
      <c r="C20" s="157"/>
      <c r="D20" s="576" t="s">
        <v>541</v>
      </c>
      <c r="E20" s="584">
        <v>1</v>
      </c>
      <c r="F20" s="580">
        <v>30000</v>
      </c>
      <c r="G20" s="582">
        <v>30000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632</v>
      </c>
      <c r="J21" s="161"/>
      <c r="K21" s="69" t="s">
        <v>96</v>
      </c>
    </row>
    <row r="22" spans="1:11" ht="10.5" customHeight="1">
      <c r="A22" s="69"/>
      <c r="B22" s="156" t="s">
        <v>634</v>
      </c>
      <c r="C22" s="157"/>
      <c r="D22" s="576" t="s">
        <v>508</v>
      </c>
      <c r="E22" s="584">
        <v>5</v>
      </c>
      <c r="F22" s="580">
        <v>700</v>
      </c>
      <c r="G22" s="582">
        <v>3500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632</v>
      </c>
      <c r="J23" s="161"/>
      <c r="K23" s="69" t="s">
        <v>96</v>
      </c>
    </row>
    <row r="24" spans="1:11" ht="10.5" customHeight="1">
      <c r="A24" s="69"/>
      <c r="B24" s="156" t="s">
        <v>634</v>
      </c>
      <c r="C24" s="157"/>
      <c r="D24" s="576" t="s">
        <v>508</v>
      </c>
      <c r="E24" s="578">
        <v>2</v>
      </c>
      <c r="F24" s="580">
        <v>700</v>
      </c>
      <c r="G24" s="582">
        <v>1400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632</v>
      </c>
      <c r="J25" s="161"/>
      <c r="K25" s="69" t="s">
        <v>96</v>
      </c>
    </row>
    <row r="26" spans="1:11" ht="10.5" customHeight="1">
      <c r="A26" s="69"/>
      <c r="B26" s="156" t="s">
        <v>635</v>
      </c>
      <c r="C26" s="157"/>
      <c r="D26" s="576" t="s">
        <v>508</v>
      </c>
      <c r="E26" s="584">
        <v>45</v>
      </c>
      <c r="F26" s="580">
        <v>700</v>
      </c>
      <c r="G26" s="582">
        <v>31500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632</v>
      </c>
      <c r="J27" s="161"/>
      <c r="K27" s="69" t="s">
        <v>96</v>
      </c>
    </row>
    <row r="28" spans="1:11" ht="10.5" customHeight="1">
      <c r="A28" s="69"/>
      <c r="B28" s="156" t="s">
        <v>554</v>
      </c>
      <c r="C28" s="157"/>
      <c r="D28" s="576" t="s">
        <v>541</v>
      </c>
      <c r="E28" s="584">
        <v>30</v>
      </c>
      <c r="F28" s="580">
        <v>6000</v>
      </c>
      <c r="G28" s="582">
        <v>180000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632</v>
      </c>
      <c r="J29" s="161"/>
      <c r="K29" s="69" t="s">
        <v>96</v>
      </c>
    </row>
    <row r="30" spans="1:11" ht="10.5" customHeight="1">
      <c r="A30" s="69"/>
      <c r="B30" s="156" t="s">
        <v>554</v>
      </c>
      <c r="C30" s="157"/>
      <c r="D30" s="576" t="s">
        <v>541</v>
      </c>
      <c r="E30" s="584">
        <v>6</v>
      </c>
      <c r="F30" s="580">
        <v>6000</v>
      </c>
      <c r="G30" s="582">
        <v>36000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632</v>
      </c>
      <c r="J31" s="161"/>
      <c r="K31" s="69" t="s">
        <v>96</v>
      </c>
    </row>
    <row r="32" spans="1:11" ht="10.5" customHeight="1">
      <c r="A32" s="69"/>
      <c r="B32" s="156" t="s">
        <v>554</v>
      </c>
      <c r="C32" s="157"/>
      <c r="D32" s="576" t="s">
        <v>541</v>
      </c>
      <c r="E32" s="584">
        <v>6</v>
      </c>
      <c r="F32" s="580">
        <v>6000</v>
      </c>
      <c r="G32" s="582">
        <v>36000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632</v>
      </c>
      <c r="J33" s="161"/>
      <c r="K33" s="69" t="s">
        <v>96</v>
      </c>
    </row>
    <row r="34" spans="1:11" ht="10.5" customHeight="1">
      <c r="A34" s="69"/>
      <c r="B34" s="156" t="s">
        <v>554</v>
      </c>
      <c r="C34" s="157"/>
      <c r="D34" s="576" t="s">
        <v>541</v>
      </c>
      <c r="E34" s="584">
        <v>5</v>
      </c>
      <c r="F34" s="580">
        <v>6000</v>
      </c>
      <c r="G34" s="582">
        <v>30000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632</v>
      </c>
      <c r="J35" s="161"/>
      <c r="K35" s="69" t="s">
        <v>96</v>
      </c>
    </row>
    <row r="36" spans="1:11" ht="10.5" customHeight="1">
      <c r="A36" s="69"/>
      <c r="B36" s="156" t="s">
        <v>554</v>
      </c>
      <c r="C36" s="157"/>
      <c r="D36" s="576" t="s">
        <v>541</v>
      </c>
      <c r="E36" s="584">
        <v>4</v>
      </c>
      <c r="F36" s="580">
        <v>6000</v>
      </c>
      <c r="G36" s="582">
        <v>24000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632</v>
      </c>
      <c r="J37" s="161"/>
      <c r="K37" s="69" t="s">
        <v>96</v>
      </c>
    </row>
    <row r="38" spans="1:11" ht="10.5" customHeight="1">
      <c r="A38" s="69"/>
      <c r="B38" s="156" t="s">
        <v>554</v>
      </c>
      <c r="C38" s="157"/>
      <c r="D38" s="576" t="s">
        <v>541</v>
      </c>
      <c r="E38" s="584">
        <v>2</v>
      </c>
      <c r="F38" s="580">
        <v>6000</v>
      </c>
      <c r="G38" s="582">
        <v>12000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632</v>
      </c>
      <c r="J39" s="161"/>
      <c r="K39" s="69" t="s">
        <v>96</v>
      </c>
    </row>
    <row r="40" spans="1:11" ht="10.5" customHeight="1">
      <c r="A40" s="69"/>
      <c r="B40" s="156" t="s">
        <v>636</v>
      </c>
      <c r="C40" s="157"/>
      <c r="D40" s="576" t="s">
        <v>637</v>
      </c>
      <c r="E40" s="584">
        <v>4</v>
      </c>
      <c r="F40" s="580">
        <v>25000</v>
      </c>
      <c r="G40" s="582">
        <v>100000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638</v>
      </c>
      <c r="C41" s="160"/>
      <c r="D41" s="577"/>
      <c r="E41" s="585"/>
      <c r="F41" s="581"/>
      <c r="G41" s="583"/>
      <c r="H41" s="356"/>
      <c r="I41" s="356" t="s">
        <v>632</v>
      </c>
      <c r="J41" s="161"/>
      <c r="K41" s="69" t="s">
        <v>96</v>
      </c>
    </row>
    <row r="42" spans="1:11" ht="10.5" customHeight="1">
      <c r="A42" s="69"/>
      <c r="B42" s="156" t="s">
        <v>636</v>
      </c>
      <c r="C42" s="157"/>
      <c r="D42" s="576" t="s">
        <v>637</v>
      </c>
      <c r="E42" s="584">
        <v>8</v>
      </c>
      <c r="F42" s="580">
        <v>20000</v>
      </c>
      <c r="G42" s="582">
        <v>160000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639</v>
      </c>
      <c r="C43" s="160"/>
      <c r="D43" s="577"/>
      <c r="E43" s="585"/>
      <c r="F43" s="581"/>
      <c r="G43" s="583"/>
      <c r="H43" s="356"/>
      <c r="I43" s="356" t="s">
        <v>632</v>
      </c>
      <c r="J43" s="161"/>
      <c r="K43" s="69" t="s">
        <v>96</v>
      </c>
    </row>
    <row r="44" spans="1:11" ht="10.5" customHeight="1">
      <c r="A44" s="69"/>
      <c r="B44" s="156" t="s">
        <v>636</v>
      </c>
      <c r="C44" s="157"/>
      <c r="D44" s="576" t="s">
        <v>637</v>
      </c>
      <c r="E44" s="584">
        <v>2</v>
      </c>
      <c r="F44" s="580">
        <v>95000</v>
      </c>
      <c r="G44" s="582">
        <v>190000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601</v>
      </c>
      <c r="C45" s="160"/>
      <c r="D45" s="577"/>
      <c r="E45" s="585"/>
      <c r="F45" s="581"/>
      <c r="G45" s="583"/>
      <c r="H45" s="356"/>
      <c r="I45" s="356" t="s">
        <v>632</v>
      </c>
      <c r="J45" s="161"/>
      <c r="K45" s="69" t="s">
        <v>96</v>
      </c>
    </row>
    <row r="46" spans="1:11" ht="10.5" customHeight="1">
      <c r="A46" s="69"/>
      <c r="B46" s="156" t="s">
        <v>602</v>
      </c>
      <c r="C46" s="157"/>
      <c r="D46" s="586" t="s">
        <v>541</v>
      </c>
      <c r="E46" s="588">
        <v>5</v>
      </c>
      <c r="F46" s="590">
        <v>10000</v>
      </c>
      <c r="G46" s="592">
        <v>50000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632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640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477</v>
      </c>
      <c r="C52" s="146" t="s">
        <v>478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479</v>
      </c>
      <c r="K53" s="69"/>
    </row>
    <row r="54" spans="1:11" ht="18" customHeight="1">
      <c r="A54" s="69"/>
      <c r="B54" s="574" t="s">
        <v>480</v>
      </c>
      <c r="C54" s="575"/>
      <c r="D54" s="153" t="s">
        <v>85</v>
      </c>
      <c r="E54" s="153" t="s">
        <v>481</v>
      </c>
      <c r="F54" s="153" t="s">
        <v>482</v>
      </c>
      <c r="G54" s="153" t="s">
        <v>483</v>
      </c>
      <c r="H54" s="154" t="s">
        <v>484</v>
      </c>
      <c r="I54" s="153" t="s">
        <v>485</v>
      </c>
      <c r="J54" s="155" t="s">
        <v>486</v>
      </c>
      <c r="K54" s="69"/>
    </row>
    <row r="55" spans="1:11" ht="10.5" customHeight="1">
      <c r="A55" s="69"/>
      <c r="B55" s="156" t="s">
        <v>641</v>
      </c>
      <c r="C55" s="157"/>
      <c r="D55" s="576" t="s">
        <v>506</v>
      </c>
      <c r="E55" s="578">
        <v>1</v>
      </c>
      <c r="F55" s="580">
        <v>50000</v>
      </c>
      <c r="G55" s="582">
        <v>50000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632</v>
      </c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 t="s">
        <v>533</v>
      </c>
      <c r="C59" s="157"/>
      <c r="D59" s="576"/>
      <c r="E59" s="578"/>
      <c r="F59" s="580"/>
      <c r="G59" s="582">
        <v>1598400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2026-02-03T04:58:43Z</dcterms:modified>
  <cp:category/>
  <cp:contentStatus/>
</cp:coreProperties>
</file>