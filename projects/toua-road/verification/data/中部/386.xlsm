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769724BE-F37B-4625-853C-DFE0FE32042F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機械費)" sheetId="16" r:id="rId15"/>
    <sheet name="調書(運搬費)" sheetId="15" r:id="rId16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'工事費一覧表(共通仮設費)'!$A$1:$AF$12</definedName>
    <definedName name="_xlnm.Print_Area" localSheetId="11">'工事費一覧表(現場経費)'!$A$1:$AF$14</definedName>
    <definedName name="_xlnm.Print_Area" localSheetId="6">'工事費一覧表(直接工事費)'!$A$1:$AF$234</definedName>
    <definedName name="_xlnm.Print_Area" localSheetId="0">実行予算書鑑!$A$1:$AM$32</definedName>
    <definedName name="_xlnm.Print_Area" localSheetId="15">'調書(運搬費)'!#REF!</definedName>
    <definedName name="_xlnm.Print_Area" localSheetId="14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K120" i="29"/>
  <c r="L120" i="29"/>
  <c r="K121" i="29"/>
  <c r="L121" i="29"/>
  <c r="K122" i="29"/>
  <c r="L122" i="29"/>
  <c r="K123" i="29"/>
  <c r="L123" i="29"/>
  <c r="K124" i="29"/>
  <c r="L124" i="29"/>
  <c r="K125" i="29"/>
  <c r="L125" i="29"/>
  <c r="K126" i="29"/>
  <c r="L126" i="29"/>
  <c r="K127" i="29"/>
  <c r="L127" i="29"/>
  <c r="K128" i="29"/>
  <c r="L128" i="29"/>
  <c r="K129" i="29"/>
  <c r="L129" i="29"/>
  <c r="K130" i="29"/>
  <c r="L130" i="29"/>
  <c r="K131" i="29"/>
  <c r="L131" i="29"/>
  <c r="K132" i="29"/>
  <c r="L132" i="29"/>
  <c r="K133" i="29"/>
  <c r="L133" i="29"/>
  <c r="K134" i="29"/>
  <c r="L134" i="29"/>
  <c r="K135" i="29"/>
  <c r="L135" i="29"/>
  <c r="K136" i="29"/>
  <c r="L136" i="29"/>
  <c r="K137" i="29"/>
  <c r="L137" i="29"/>
  <c r="K138" i="29"/>
  <c r="L138" i="29"/>
  <c r="K139" i="29"/>
  <c r="L139" i="29"/>
  <c r="K140" i="29"/>
  <c r="L140" i="29"/>
  <c r="K141" i="29"/>
  <c r="L141" i="29"/>
  <c r="K142" i="29"/>
  <c r="L142" i="29"/>
  <c r="K143" i="29"/>
  <c r="L143" i="29"/>
  <c r="K144" i="29"/>
  <c r="L144" i="29"/>
  <c r="K145" i="29"/>
  <c r="L145" i="29"/>
  <c r="K146" i="29"/>
  <c r="L146" i="29"/>
  <c r="K147" i="29"/>
  <c r="L147" i="29"/>
  <c r="K148" i="29"/>
  <c r="L148" i="29"/>
  <c r="K149" i="29"/>
  <c r="L149" i="29"/>
  <c r="K150" i="29"/>
  <c r="L150" i="29"/>
  <c r="K151" i="29"/>
  <c r="L151" i="29"/>
  <c r="K152" i="29"/>
  <c r="L152" i="29"/>
  <c r="K153" i="29"/>
  <c r="L153" i="29"/>
  <c r="K154" i="29"/>
  <c r="L154" i="29"/>
  <c r="K155" i="29"/>
  <c r="L155" i="29"/>
  <c r="K156" i="29"/>
  <c r="L156" i="29"/>
  <c r="K157" i="29"/>
  <c r="L157" i="29"/>
  <c r="K158" i="29"/>
  <c r="L158" i="29"/>
  <c r="K159" i="29"/>
  <c r="L159" i="29"/>
  <c r="K160" i="29"/>
  <c r="L160" i="29"/>
  <c r="K161" i="29"/>
  <c r="L161" i="29"/>
  <c r="K162" i="29"/>
  <c r="L162" i="29"/>
  <c r="K163" i="29"/>
  <c r="L163" i="29"/>
  <c r="K164" i="29"/>
  <c r="L164" i="29"/>
  <c r="K165" i="29"/>
  <c r="L165" i="29"/>
  <c r="K166" i="29"/>
  <c r="L166" i="29"/>
  <c r="K167" i="29"/>
  <c r="L167" i="29"/>
  <c r="K168" i="29"/>
  <c r="L168" i="29"/>
  <c r="K169" i="29"/>
  <c r="L169" i="29"/>
  <c r="K170" i="29"/>
  <c r="L170" i="29"/>
  <c r="K171" i="29"/>
  <c r="L171" i="29"/>
  <c r="K172" i="29"/>
  <c r="L172" i="29"/>
  <c r="K173" i="29"/>
  <c r="L173" i="29"/>
  <c r="K174" i="29"/>
  <c r="L174" i="29"/>
  <c r="K175" i="29"/>
  <c r="L175" i="29"/>
  <c r="K176" i="29"/>
  <c r="L176" i="29"/>
  <c r="K177" i="29"/>
  <c r="L177" i="29"/>
  <c r="K178" i="29"/>
  <c r="L178" i="29"/>
  <c r="K179" i="29"/>
  <c r="L179" i="29"/>
  <c r="K180" i="29"/>
  <c r="L180" i="29"/>
  <c r="K181" i="29"/>
  <c r="L181" i="29"/>
  <c r="K182" i="29"/>
  <c r="L182" i="29"/>
  <c r="K183" i="29"/>
  <c r="L183" i="29"/>
  <c r="K184" i="29"/>
  <c r="L184" i="29"/>
  <c r="K185" i="29"/>
  <c r="L185" i="29"/>
  <c r="K186" i="29"/>
  <c r="L186" i="29"/>
  <c r="K187" i="29"/>
  <c r="L187" i="29"/>
  <c r="K188" i="29"/>
  <c r="L188" i="29"/>
  <c r="K189" i="29"/>
  <c r="L189" i="29"/>
  <c r="K190" i="29"/>
  <c r="L190" i="29"/>
  <c r="K191" i="29"/>
  <c r="L191" i="29"/>
  <c r="K192" i="29"/>
  <c r="L192" i="29"/>
  <c r="K193" i="29"/>
  <c r="L193" i="29"/>
  <c r="K194" i="29"/>
  <c r="L194" i="29"/>
  <c r="K195" i="29"/>
  <c r="L195" i="29"/>
  <c r="K196" i="29"/>
  <c r="L196" i="29"/>
  <c r="K197" i="29"/>
  <c r="L197" i="29"/>
  <c r="K198" i="29"/>
  <c r="L198" i="29"/>
  <c r="K199" i="29"/>
  <c r="L199" i="29"/>
  <c r="K200" i="29"/>
  <c r="L200" i="29"/>
  <c r="K201" i="29"/>
  <c r="L201" i="29"/>
  <c r="K202" i="29"/>
  <c r="L202" i="29"/>
  <c r="K203" i="29"/>
  <c r="L203" i="29"/>
  <c r="K204" i="29"/>
  <c r="L204" i="29"/>
  <c r="K205" i="29"/>
  <c r="L205" i="29"/>
  <c r="K206" i="29"/>
  <c r="L206" i="29"/>
  <c r="K207" i="29"/>
  <c r="L207" i="29"/>
  <c r="K208" i="29"/>
  <c r="L208" i="29"/>
  <c r="K209" i="29"/>
  <c r="L209" i="29"/>
  <c r="K210" i="29"/>
  <c r="L210" i="29"/>
  <c r="K211" i="29"/>
  <c r="L211" i="29"/>
  <c r="K212" i="29"/>
  <c r="L212" i="29"/>
  <c r="K213" i="29"/>
  <c r="L213" i="29"/>
  <c r="K214" i="29"/>
  <c r="L214" i="29"/>
  <c r="K215" i="29"/>
  <c r="L215" i="29"/>
  <c r="K216" i="29"/>
  <c r="L216" i="29"/>
  <c r="K217" i="29"/>
  <c r="L217" i="29"/>
  <c r="K218" i="29"/>
  <c r="L218" i="29"/>
  <c r="K219" i="29"/>
  <c r="L219" i="29"/>
  <c r="K220" i="29"/>
  <c r="L220" i="29"/>
  <c r="K221" i="29"/>
  <c r="L221" i="29"/>
  <c r="K222" i="29"/>
  <c r="L222" i="29"/>
  <c r="K223" i="29"/>
  <c r="L223" i="29"/>
  <c r="K224" i="29"/>
  <c r="L224" i="29"/>
  <c r="K225" i="29"/>
  <c r="L225" i="29"/>
  <c r="K226" i="29"/>
  <c r="L226" i="29"/>
  <c r="K227" i="29"/>
  <c r="L227" i="29"/>
  <c r="K228" i="29"/>
  <c r="L228" i="29"/>
  <c r="K229" i="29"/>
  <c r="L229" i="29"/>
  <c r="K230" i="29"/>
  <c r="L230" i="29"/>
  <c r="K231" i="29"/>
  <c r="L231" i="29"/>
  <c r="K232" i="29"/>
  <c r="L232" i="29"/>
  <c r="K233" i="29"/>
  <c r="L233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<sst xmlns="http://schemas.openxmlformats.org/spreadsheetml/2006/main" count="3676" uniqueCount="405">
  <si>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</si>
  <si>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</si>
  <si>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</si>
  <si>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</si>
  <si>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</si>
  <si>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</si>
  <si>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</si>
  <si>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</si>
  <si>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</si>
  <si>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</si>
  <si>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</si>
  <si>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</si>
  <si>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</si>
  <si>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</si>
  <si>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</si>
  <si>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</si>
  <si>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</si>
  <si>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</si>
  <si>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</si>
  <si>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</si>
  <si>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</si>
  <si>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</si>
  <si>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</si>
  <si>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</si>
  <si>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</si>
  <si>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</si>
  <si>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</si>
  <si>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</si>
  <si>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</si>
  <si>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</si>
  <si>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</si>
  <si>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</si>
  <si>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</si>
  <si>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</si>
  <si>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</si>
  <si>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</si>
  <si>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</si>
  <si>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</si>
  <si>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</si>
  <si>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</si>
  <si>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</si>
  <si>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</si>
  <si>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</si>
  <si>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</si>
  <si>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</si>
  <si>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</si>
  <si>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</si>
  <si>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</si>
  <si>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</si>
  <si>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</si>
  <si>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</si>
  <si>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</si>
  <si>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</si>
  <si>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</si>
  <si>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</si>
  <si>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</si>
  <si>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</si>
  <si>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</si>
  <si>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</si>
  <si>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</si>
  <si>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</si>
  <si>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</si>
  <si>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</si>
  <si>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</si>
  <si>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</si>
  <si>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</si>
  <si>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</si>
  <si>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</si>
  <si>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</si>
  <si>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</si>
  <si>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</si>
  <si>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</si>
  <si>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</si>
  <si>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</si>
  <si>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</si>
  <si>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</si>
  <si>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</si>
  <si>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</si>
  <si>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</si>
  <si>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</si>
  <si>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</si>
  <si>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</si>
  <si>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</si>
  <si>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</si>
  <si>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</si>
  <si>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</si>
  <si>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</si>
  <si>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</si>
  <si>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</si>
  <si>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</si>
  <si>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</si>
  <si>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</si>
  <si>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</si>
  <si>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</si>
  <si>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</si>
  <si>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</si>
  <si>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</si>
  <si>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</si>
  <si>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</si>
  <si>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</si>
  <si>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</si>
  <si>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</si>
  <si>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</si>
  <si>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</si>
  <si>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</si>
  <si>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</si>
  <si>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</si>
  <si>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</si>
  <si>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</si>
  <si>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</si>
  <si>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</si>
  <si>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</si>
  <si>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</si>
  <si>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</si>
  <si>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</si>
  <si>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</si>
  <si>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</si>
  <si>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</si>
  <si>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</si>
  <si>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</si>
  <si>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</si>
  <si>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</si>
  <si>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</si>
  <si>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</si>
  <si>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</si>
  <si>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</si>
  <si>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</si>
  <si>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</si>
  <si>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</si>
  <si>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</si>
  <si>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</si>
  <si>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</si>
  <si>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</si>
  <si>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</si>
  <si>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</si>
  <si>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</si>
  <si>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</si>
  <si>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</si>
  <si>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</si>
  <si>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</si>
  <si>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</si>
  <si>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</si>
  <si>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</si>
  <si>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</si>
  <si>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386 E</t>
  </si>
  <si>
    <t>（当　初）</t>
  </si>
  <si>
    <t>日高敬吾</t>
  </si>
  <si>
    <t>島ヶ原カントリークラブ冬季工事</t>
  </si>
  <si>
    <t>株式会社丸末システム</t>
  </si>
  <si>
    <t>中京支店</t>
  </si>
  <si>
    <t>三重県伊賀市</t>
  </si>
  <si>
    <t>2025年1月6日</t>
  </si>
  <si>
    <t>2025年2月28日</t>
  </si>
  <si>
    <t>2025年2月7日</t>
  </si>
  <si>
    <t>西１７ホール</t>
  </si>
  <si>
    <t>西１８ホール</t>
  </si>
  <si>
    <t>西９ホール(右)</t>
  </si>
  <si>
    <t>東１７ホール</t>
  </si>
  <si>
    <t>東９ホール</t>
  </si>
  <si>
    <t>材料費</t>
  </si>
  <si>
    <t>共通仮設費</t>
  </si>
  <si>
    <t>重機運搬費</t>
  </si>
  <si>
    <t>準備費</t>
  </si>
  <si>
    <t>地代家賃</t>
  </si>
  <si>
    <t>仮設費</t>
  </si>
  <si>
    <t>安全費</t>
  </si>
  <si>
    <t>技術管理費</t>
  </si>
  <si>
    <t>社員給料</t>
  </si>
  <si>
    <t>事務用品費</t>
  </si>
  <si>
    <t xml:space="preserve">舗装打替え工　A=1,438．5m2_x000D_
</t>
  </si>
  <si>
    <t>式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</si>
  <si>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</si>
  <si>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</si>
  <si>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</si>
  <si>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</si>
  <si>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</si>
  <si>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(コピー機、トナー、文具、コピー用紙、その他)</t>
  </si>
  <si>
    <t>労務費</t>
  </si>
  <si>
    <t>外注費</t>
  </si>
  <si>
    <t>機械費</t>
  </si>
  <si>
    <t>運搬費</t>
  </si>
  <si>
    <t>現場経費</t>
  </si>
  <si>
    <t>法定福利費</t>
  </si>
  <si>
    <t>島ヶ原カントリー</t>
  </si>
  <si>
    <t>中部支社</t>
  </si>
  <si>
    <t>三重出張所</t>
  </si>
  <si>
    <t>同上</t>
  </si>
  <si>
    <t>単独</t>
  </si>
  <si>
    <t>E</t>
  </si>
  <si>
    <t>2025年1月6日 ～ 2025年2月28日</t>
  </si>
  <si>
    <t>2025年1月6日 ～ 2025年2月7日</t>
  </si>
  <si>
    <t xml:space="preserve">舗装打替え工　A=1,438．5m2_x000D_
</t>
    <phoneticPr fontId="4"/>
  </si>
  <si>
    <t>直接工事費</t>
  </si>
  <si>
    <t xml:space="preserve">  西１７ホール</t>
  </si>
  <si>
    <t xml:space="preserve">  </t>
  </si>
  <si>
    <t>15号</t>
  </si>
  <si>
    <t>内訳書</t>
  </si>
  <si>
    <t xml:space="preserve">  西１８ホール</t>
  </si>
  <si>
    <t>16号</t>
  </si>
  <si>
    <t xml:space="preserve">  西９ホール(右)</t>
  </si>
  <si>
    <t>17号</t>
  </si>
  <si>
    <t xml:space="preserve">  東１７ホール</t>
  </si>
  <si>
    <t>18号</t>
  </si>
  <si>
    <t xml:space="preserve">  東９ホール</t>
  </si>
  <si>
    <t>19号</t>
  </si>
  <si>
    <t xml:space="preserve">  材料費</t>
  </si>
  <si>
    <t>21号</t>
  </si>
  <si>
    <t xml:space="preserve">  共通仮設費</t>
  </si>
  <si>
    <t>20号</t>
  </si>
  <si>
    <t>直接工事費　計</t>
  </si>
  <si>
    <t>間接費</t>
  </si>
  <si>
    <t xml:space="preserve">  現場経費</t>
  </si>
  <si>
    <t>工事原価</t>
  </si>
  <si>
    <t>粗利益</t>
  </si>
  <si>
    <t>計</t>
  </si>
  <si>
    <t>島ヶ原カントリークラブ冬季工事</t>
    <phoneticPr fontId="4"/>
  </si>
  <si>
    <t>総括</t>
  </si>
  <si>
    <t>集計行</t>
  </si>
  <si>
    <t>｜直接工事費</t>
  </si>
  <si>
    <t>内訳代価</t>
  </si>
  <si>
    <t>｜｜西１７ホール</t>
  </si>
  <si>
    <t>15号内訳書</t>
  </si>
  <si>
    <t>代価表</t>
  </si>
  <si>
    <t>｜｜｜撤去工</t>
  </si>
  <si>
    <t>1号代価表</t>
  </si>
  <si>
    <t>｜｜｜｜雑費</t>
  </si>
  <si>
    <t>｜｜｜｜労務費</t>
  </si>
  <si>
    <t>人</t>
  </si>
  <si>
    <t>｜｜｜｜法定福利費</t>
  </si>
  <si>
    <t>｜｜｜｜BH</t>
  </si>
  <si>
    <t>台</t>
  </si>
  <si>
    <t>｜｜｜｜MBH</t>
  </si>
  <si>
    <t>｜｜｜｜CRV</t>
  </si>
  <si>
    <t>｜｜｜｜小物機械</t>
  </si>
  <si>
    <t>｜｜｜｜舗装カッター</t>
  </si>
  <si>
    <t>｜｜｜｜３ｔDp</t>
  </si>
  <si>
    <t>｜｜｜｜Wp</t>
  </si>
  <si>
    <t>｜｜｜｜燃料費</t>
  </si>
  <si>
    <t>リットル</t>
  </si>
  <si>
    <t>｜｜｜｜１０ｔDp</t>
  </si>
  <si>
    <t>｜｜｜｜Asガラ処分費</t>
  </si>
  <si>
    <t>ｔ</t>
  </si>
  <si>
    <t>｜｜｜型枠工</t>
  </si>
  <si>
    <t>3号代価表</t>
  </si>
  <si>
    <t>｜｜｜路盤不陸整正工</t>
  </si>
  <si>
    <t>4号代価表</t>
  </si>
  <si>
    <t>｜｜｜｜RC-40</t>
  </si>
  <si>
    <t>｜｜｜｜セメント</t>
  </si>
  <si>
    <t>袋</t>
  </si>
  <si>
    <t>｜｜｜表層工</t>
  </si>
  <si>
    <t>5号代価表</t>
  </si>
  <si>
    <t>｜｜｜｜AF</t>
  </si>
  <si>
    <t>｜｜｜｜改質Ⅱ型密粒(13)</t>
  </si>
  <si>
    <t>｜｜西１８ホール</t>
  </si>
  <si>
    <t>16号内訳書</t>
  </si>
  <si>
    <t>6号代価表</t>
  </si>
  <si>
    <t>15号代価表</t>
  </si>
  <si>
    <t>7号代価表</t>
  </si>
  <si>
    <t>8号代価表</t>
  </si>
  <si>
    <t>｜｜西９ホール(右)</t>
  </si>
  <si>
    <t>17号内訳書</t>
  </si>
  <si>
    <t>9号代価表</t>
  </si>
  <si>
    <t>16号代価表</t>
  </si>
  <si>
    <t>10号代価表</t>
  </si>
  <si>
    <t>11号代価表</t>
  </si>
  <si>
    <t>｜｜東１７ホール</t>
  </si>
  <si>
    <t>18号内訳書</t>
  </si>
  <si>
    <t>｜｜｜舗装打ち換え工</t>
  </si>
  <si>
    <t>12号代価表</t>
  </si>
  <si>
    <t>｜｜｜雑工</t>
  </si>
  <si>
    <t>17号代価表</t>
  </si>
  <si>
    <t>｜｜東９ホール</t>
  </si>
  <si>
    <t>19号内訳書</t>
  </si>
  <si>
    <t>14号代価表</t>
  </si>
  <si>
    <t>｜｜｜板柵工</t>
  </si>
  <si>
    <t>13号代価表</t>
  </si>
  <si>
    <t>｜｜｜｜アイヨン</t>
  </si>
  <si>
    <t>｜｜材料費</t>
  </si>
  <si>
    <t>21号内訳書</t>
  </si>
  <si>
    <t>｜｜｜型枠材</t>
  </si>
  <si>
    <t>枚</t>
  </si>
  <si>
    <t>｜｜｜丁張杭他</t>
  </si>
  <si>
    <t>｜｜｜同上運賃</t>
  </si>
  <si>
    <t>｜｜｜HIVP管他</t>
  </si>
  <si>
    <t>本</t>
  </si>
  <si>
    <t>｜｜｜雑品</t>
  </si>
  <si>
    <t>｜｜｜コンクリート板柵</t>
  </si>
  <si>
    <t>｜｜｜コンクリート杭</t>
  </si>
  <si>
    <t>｜｜｜同上送料</t>
  </si>
  <si>
    <t>｜｜共通仮設費</t>
  </si>
  <si>
    <t>20号内訳書</t>
  </si>
  <si>
    <t>｜｜｜共通仮設費</t>
  </si>
  <si>
    <t>2号代価表</t>
  </si>
  <si>
    <t>｜｜｜｜重機回送費</t>
  </si>
  <si>
    <t>MAF,BH</t>
  </si>
  <si>
    <t>回</t>
  </si>
  <si>
    <t>MBH,CRV</t>
  </si>
  <si>
    <t>MBH</t>
  </si>
  <si>
    <t>｜｜｜｜外注経費</t>
  </si>
  <si>
    <t>　舗装</t>
  </si>
  <si>
    <t>　板柵</t>
  </si>
  <si>
    <t>｜｜｜｜職員給料</t>
  </si>
  <si>
    <t>｜｜｜｜現場管理</t>
  </si>
  <si>
    <t>　施工班</t>
  </si>
  <si>
    <t>予算</t>
    <phoneticPr fontId="6"/>
  </si>
  <si>
    <t>電力用水光熱費</t>
  </si>
  <si>
    <t>通信費</t>
  </si>
  <si>
    <t>旅費交通費</t>
  </si>
  <si>
    <t>保険料</t>
  </si>
  <si>
    <t>車両費</t>
  </si>
  <si>
    <t>雑費</t>
  </si>
  <si>
    <t>｜共通仮設費</t>
  </si>
  <si>
    <t>｜｜重機運搬費</t>
  </si>
  <si>
    <t>1号内訳書</t>
  </si>
  <si>
    <t>｜｜準備費</t>
  </si>
  <si>
    <t>2号内訳書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</si>
  <si>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</si>
  <si>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</si>
  <si>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</si>
  <si>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</si>
  <si>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</si>
  <si>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</si>
  <si>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</si>
  <si>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6号内訳書</t>
  </si>
  <si>
    <t>7号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</si>
  <si>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</si>
  <si>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</si>
  <si>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</si>
  <si>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</si>
  <si>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</si>
  <si>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</si>
  <si>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</si>
  <si>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</si>
  <si>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</si>
  <si>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</si>
  <si>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</si>
  <si>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</si>
  <si>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</si>
  <si>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</si>
  <si>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</si>
  <si>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</si>
  <si>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</si>
  <si>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</si>
  <si>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</si>
  <si>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</si>
  <si>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</si>
  <si>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</si>
  <si>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</si>
  <si>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</si>
  <si>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</si>
  <si>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</si>
  <si>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</si>
  <si>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</si>
  <si>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</si>
  <si>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</si>
  <si>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島ヶ原カントリークラブ冬季工事</t>
    <phoneticPr fontId="6"/>
  </si>
  <si>
    <t>386 E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</si>
  <si>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</si>
  <si>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</si>
  <si>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</si>
  <si>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</si>
  <si>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</si>
  <si>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</si>
  <si>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</si>
  <si>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HIVP管他</t>
    <phoneticPr fontId="6"/>
  </si>
  <si>
    <t>本</t>
    <phoneticPr fontId="6"/>
  </si>
  <si>
    <t>材料費</t>
    <phoneticPr fontId="6"/>
  </si>
  <si>
    <t>RC-40</t>
    <phoneticPr fontId="6"/>
  </si>
  <si>
    <t>ｔ</t>
    <phoneticPr fontId="6"/>
  </si>
  <si>
    <t>コンクリート杭</t>
    <phoneticPr fontId="6"/>
  </si>
  <si>
    <t>コンクリート板柵</t>
    <phoneticPr fontId="6"/>
  </si>
  <si>
    <t>枚</t>
    <phoneticPr fontId="6"/>
  </si>
  <si>
    <t>セメント</t>
    <phoneticPr fontId="6"/>
  </si>
  <si>
    <t>袋</t>
    <phoneticPr fontId="6"/>
  </si>
  <si>
    <t>改質Ⅱ型密粒(13)</t>
    <phoneticPr fontId="6"/>
  </si>
  <si>
    <t>型枠材</t>
    <phoneticPr fontId="6"/>
  </si>
  <si>
    <t>雑費</t>
    <phoneticPr fontId="6"/>
  </si>
  <si>
    <t>式</t>
    <phoneticPr fontId="6"/>
  </si>
  <si>
    <t>雑品</t>
    <phoneticPr fontId="6"/>
  </si>
  <si>
    <t>丁張杭他</t>
    <phoneticPr fontId="6"/>
  </si>
  <si>
    <t>燃料費</t>
    <phoneticPr fontId="6"/>
  </si>
  <si>
    <t>リットル</t>
    <phoneticPr fontId="6"/>
  </si>
  <si>
    <t>計</t>
    <phoneticPr fontId="6"/>
  </si>
  <si>
    <t>労務費</t>
    <phoneticPr fontId="6"/>
  </si>
  <si>
    <t>人</t>
    <phoneticPr fontId="6"/>
  </si>
  <si>
    <t>AF</t>
    <phoneticPr fontId="6"/>
  </si>
  <si>
    <t>台</t>
    <phoneticPr fontId="6"/>
  </si>
  <si>
    <t>機械費</t>
    <phoneticPr fontId="6"/>
  </si>
  <si>
    <t>BH</t>
    <phoneticPr fontId="6"/>
  </si>
  <si>
    <t>CRV</t>
    <phoneticPr fontId="6"/>
  </si>
  <si>
    <t>MBH</t>
    <phoneticPr fontId="6"/>
  </si>
  <si>
    <t>アイヨン</t>
    <phoneticPr fontId="6"/>
  </si>
  <si>
    <t>小物機械</t>
    <phoneticPr fontId="6"/>
  </si>
  <si>
    <t>舗装カッター</t>
    <phoneticPr fontId="6"/>
  </si>
  <si>
    <t>１０ｔDp</t>
    <phoneticPr fontId="6"/>
  </si>
  <si>
    <t>運搬費</t>
    <phoneticPr fontId="6"/>
  </si>
  <si>
    <t>３ｔDp</t>
    <phoneticPr fontId="6"/>
  </si>
  <si>
    <t>Asガラ処分費</t>
    <phoneticPr fontId="6"/>
  </si>
  <si>
    <t>Wp</t>
    <phoneticPr fontId="6"/>
  </si>
  <si>
    <t>重機回送費</t>
    <phoneticPr fontId="6"/>
  </si>
  <si>
    <t>回</t>
    <phoneticPr fontId="6"/>
  </si>
  <si>
    <t>MAF,BH</t>
    <phoneticPr fontId="6"/>
  </si>
  <si>
    <t>MBH,CRV</t>
    <phoneticPr fontId="6"/>
  </si>
  <si>
    <t>同上運賃</t>
    <phoneticPr fontId="6"/>
  </si>
  <si>
    <t>同上送料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</si>
</sst>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144</v>
      </c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134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135</v>
      </c>
      <c r="F12" s="417"/>
      <c r="G12" s="417"/>
      <c r="H12" s="417"/>
      <c r="I12" s="422" t="s">
        <v>148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136</v>
      </c>
      <c r="F14" s="424"/>
      <c r="G14" s="424"/>
      <c r="H14" s="424"/>
      <c r="I14" s="425">
        <v>12000000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10199000</v>
      </c>
      <c r="J16" s="420"/>
      <c r="K16" s="420"/>
      <c r="L16" s="420"/>
      <c r="M16" s="420"/>
      <c r="N16" s="420"/>
      <c r="O16" s="420"/>
      <c r="P16" s="420"/>
      <c r="Q16" s="416">
        <v>0.84989999999999999</v>
      </c>
      <c r="R16" s="416"/>
      <c r="S16" s="416"/>
      <c r="U16" s="417" t="s">
        <v>16</v>
      </c>
      <c r="V16" s="418"/>
      <c r="W16" s="418"/>
      <c r="X16" s="418"/>
      <c r="Y16" s="419">
        <v>1801000</v>
      </c>
      <c r="Z16" s="420"/>
      <c r="AA16" s="420"/>
      <c r="AB16" s="420"/>
      <c r="AC16" s="420"/>
      <c r="AD16" s="420"/>
      <c r="AE16" s="420"/>
      <c r="AF16" s="420"/>
      <c r="AG16" s="416">
        <v>0.15010000000000001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149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150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151</v>
      </c>
      <c r="G28" s="407"/>
      <c r="H28" s="407"/>
      <c r="I28" s="407"/>
      <c r="J28" s="407"/>
      <c r="K28" s="407"/>
      <c r="L28" s="387" t="s">
        <v>137</v>
      </c>
      <c r="M28" s="387"/>
      <c r="N28" s="388" t="s">
        <v>152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151</v>
      </c>
      <c r="Z28" s="407"/>
      <c r="AA28" s="407"/>
      <c r="AB28" s="407"/>
      <c r="AC28" s="407"/>
      <c r="AD28" s="407"/>
      <c r="AE28" s="387" t="s">
        <v>137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131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144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45663</v>
      </c>
      <c r="D3" s="458"/>
      <c r="E3" s="272" t="s">
        <v>138</v>
      </c>
      <c r="F3" s="459">
        <v>45716</v>
      </c>
      <c r="G3" s="459"/>
      <c r="H3" s="459"/>
      <c r="I3" s="273"/>
      <c r="J3" s="273"/>
      <c r="K3" s="460" t="s">
        <v>30</v>
      </c>
      <c r="L3" s="461"/>
      <c r="M3" s="462"/>
      <c r="N3" s="449">
        <v>12000000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2202800</v>
      </c>
      <c r="D5" s="335">
        <f>IF(C5&lt;&gt;"",C5/$C$20,"")</f>
        <v>0.21598195901558975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2746200</v>
      </c>
      <c r="D6" s="336">
        <f t="shared" ref="D6:D17" si="0">IF(C6&lt;&gt;"",C6/$C$20,"")</f>
        <v>0.26926169232277675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1894400</v>
      </c>
      <c r="D7" s="336">
        <f t="shared" si="0"/>
        <v>0.18574370036278068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661600</v>
      </c>
      <c r="D8" s="336">
        <f t="shared" si="0"/>
        <v>6.486910481419747E-2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629600</v>
      </c>
      <c r="D9" s="336">
        <f t="shared" si="0"/>
        <v>6.1731542308069418E-2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484400</v>
      </c>
      <c r="D10" s="336">
        <f t="shared" si="0"/>
        <v>4.7494852436513385E-2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1580000</v>
      </c>
      <c r="D11" s="336">
        <f t="shared" si="0"/>
        <v>0.15491714874007256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0</v>
      </c>
      <c r="D12" s="336">
        <f t="shared" si="0"/>
        <v>0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0</v>
      </c>
      <c r="D13" s="336">
        <f t="shared" si="0"/>
        <v>0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0</v>
      </c>
      <c r="D14" s="336">
        <f t="shared" si="0"/>
        <v>0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166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167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168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10199000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118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119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120</v>
      </c>
      <c r="F30" s="178" t="s">
        <v>121</v>
      </c>
      <c r="G30" s="177" t="s">
        <v>122</v>
      </c>
      <c r="H30" s="178" t="s">
        <v>123</v>
      </c>
      <c r="I30" s="177" t="s">
        <v>124</v>
      </c>
      <c r="J30" s="178" t="s">
        <v>125</v>
      </c>
      <c r="K30" s="177" t="s">
        <v>126</v>
      </c>
      <c r="L30" s="178" t="s">
        <v>127</v>
      </c>
      <c r="M30" s="177" t="s">
        <v>128</v>
      </c>
      <c r="N30" s="179" t="s">
        <v>129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 t="s">
        <v>169</v>
      </c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/>
      <c r="L5" s="283" t="s">
        <v>170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/>
      <c r="L6" s="290" t="s">
        <v>170</v>
      </c>
      <c r="M6" s="291">
        <v>1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/>
      <c r="L7" s="290" t="s">
        <v>170</v>
      </c>
      <c r="M7" s="291">
        <v>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/>
      <c r="L8" s="290" t="s">
        <v>170</v>
      </c>
      <c r="M8" s="291">
        <v>1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/>
      <c r="L9" s="290" t="s">
        <v>170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/>
      <c r="L10" s="290" t="s">
        <v>170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/>
      <c r="L11" s="290" t="s">
        <v>170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/>
      <c r="L12" s="290" t="s">
        <v>170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 t="s">
        <v>171</v>
      </c>
      <c r="L13" s="290" t="s">
        <v>170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 t="s">
        <v>172</v>
      </c>
      <c r="L14" s="290" t="s">
        <v>170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 t="s">
        <v>173</v>
      </c>
      <c r="L15" s="290" t="s">
        <v>170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 t="s">
        <v>174</v>
      </c>
      <c r="L16" s="290" t="s">
        <v>170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166</v>
      </c>
      <c r="K17" s="289" t="s">
        <v>175</v>
      </c>
      <c r="L17" s="290" t="s">
        <v>170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167</v>
      </c>
      <c r="K18" s="289"/>
      <c r="L18" s="290" t="s">
        <v>170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168</v>
      </c>
      <c r="K19" s="295" t="s">
        <v>176</v>
      </c>
      <c r="L19" s="296" t="s">
        <v>170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183</v>
      </c>
      <c r="D5" s="512"/>
      <c r="E5" s="246" t="s">
        <v>132</v>
      </c>
      <c r="F5" s="513" t="s">
        <v>184</v>
      </c>
      <c r="G5" s="514"/>
      <c r="H5" s="246" t="s">
        <v>133</v>
      </c>
      <c r="I5" s="491" t="s">
        <v>149</v>
      </c>
      <c r="J5" s="515"/>
      <c r="K5" s="493"/>
      <c r="L5" s="106" t="s">
        <v>117</v>
      </c>
      <c r="M5" s="491" t="s">
        <v>185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144</v>
      </c>
      <c r="D6" s="493"/>
      <c r="E6" s="106"/>
      <c r="F6" s="108" t="s">
        <v>54</v>
      </c>
      <c r="G6" s="108" t="s">
        <v>55</v>
      </c>
      <c r="H6" s="109" t="s">
        <v>159</v>
      </c>
      <c r="I6" s="110" t="s">
        <v>177</v>
      </c>
      <c r="J6" s="110" t="s">
        <v>178</v>
      </c>
      <c r="K6" s="110" t="s">
        <v>179</v>
      </c>
      <c r="L6" s="110" t="s">
        <v>180</v>
      </c>
      <c r="M6" s="111" t="s">
        <v>160</v>
      </c>
      <c r="N6" s="110" t="s">
        <v>181</v>
      </c>
      <c r="O6" s="112" t="s">
        <v>182</v>
      </c>
      <c r="P6" s="247"/>
      <c r="Q6" s="248"/>
    </row>
    <row r="7" spans="1:17" ht="30" customHeight="1">
      <c r="A7" s="69"/>
      <c r="B7" s="107" t="s">
        <v>56</v>
      </c>
      <c r="C7" s="491" t="s">
        <v>148</v>
      </c>
      <c r="D7" s="493"/>
      <c r="E7" s="113" t="s">
        <v>57</v>
      </c>
      <c r="F7" s="249">
        <v>12000000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186</v>
      </c>
      <c r="D8" s="492"/>
      <c r="E8" s="113" t="s">
        <v>59</v>
      </c>
      <c r="F8" s="249">
        <v>10199000</v>
      </c>
      <c r="G8" s="334">
        <v>0.84989999999999999</v>
      </c>
      <c r="H8" s="250">
        <v>4112700</v>
      </c>
      <c r="I8" s="251">
        <v>2280000</v>
      </c>
      <c r="J8" s="251"/>
      <c r="K8" s="251">
        <v>746000</v>
      </c>
      <c r="L8" s="252">
        <v>1335500</v>
      </c>
      <c r="M8" s="252"/>
      <c r="N8" s="253">
        <v>1360000</v>
      </c>
      <c r="O8" s="254">
        <v>364800</v>
      </c>
      <c r="P8" s="255"/>
      <c r="Q8" s="235"/>
    </row>
    <row r="9" spans="1:17" ht="30" customHeight="1">
      <c r="A9" s="69"/>
      <c r="B9" s="107" t="s">
        <v>21</v>
      </c>
      <c r="C9" s="491" t="s">
        <v>150</v>
      </c>
      <c r="D9" s="493"/>
      <c r="E9" s="114" t="s">
        <v>60</v>
      </c>
      <c r="F9" s="249">
        <v>10199000</v>
      </c>
      <c r="G9" s="334">
        <v>0.84989999999999999</v>
      </c>
      <c r="H9" s="250">
        <v>4112700</v>
      </c>
      <c r="I9" s="251">
        <v>2280000</v>
      </c>
      <c r="J9" s="251"/>
      <c r="K9" s="251">
        <v>746000</v>
      </c>
      <c r="L9" s="252">
        <v>1335500</v>
      </c>
      <c r="M9" s="252"/>
      <c r="N9" s="253">
        <v>1360000</v>
      </c>
      <c r="O9" s="254">
        <v>364800</v>
      </c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/>
      <c r="G10" s="334"/>
      <c r="H10" s="250"/>
      <c r="I10" s="253"/>
      <c r="J10" s="253"/>
      <c r="K10" s="253"/>
      <c r="L10" s="251"/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/>
      <c r="G11" s="334"/>
      <c r="H11" s="250"/>
      <c r="I11" s="253"/>
      <c r="J11" s="253"/>
      <c r="K11" s="253"/>
      <c r="L11" s="251"/>
      <c r="M11" s="252"/>
      <c r="N11" s="253"/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187</v>
      </c>
      <c r="D12" s="492"/>
      <c r="E12" s="113" t="s">
        <v>66</v>
      </c>
      <c r="F12" s="249">
        <v>1801000</v>
      </c>
      <c r="G12" s="334">
        <v>0.15010000000000001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188</v>
      </c>
      <c r="D13" s="492"/>
      <c r="E13" s="169" t="s">
        <v>109</v>
      </c>
      <c r="F13" s="249">
        <v>696000</v>
      </c>
      <c r="G13" s="334">
        <v>5.8000000000000003E-2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151</v>
      </c>
      <c r="D14" s="493"/>
      <c r="E14" s="114" t="s">
        <v>110</v>
      </c>
      <c r="F14" s="249">
        <v>456000</v>
      </c>
      <c r="G14" s="334">
        <v>3.7999999999999999E-2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189</v>
      </c>
      <c r="D15" s="495"/>
      <c r="E15" s="114" t="s">
        <v>111</v>
      </c>
      <c r="F15" s="249">
        <v>240000</v>
      </c>
      <c r="G15" s="334">
        <v>0.02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115</v>
      </c>
      <c r="C16" s="491" t="s">
        <v>190</v>
      </c>
      <c r="D16" s="493"/>
      <c r="E16" s="113" t="s">
        <v>112</v>
      </c>
      <c r="F16" s="249">
        <v>1105000</v>
      </c>
      <c r="G16" s="334">
        <v>9.2100000000000001E-2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 t="s">
        <v>191</v>
      </c>
      <c r="D17" s="500"/>
      <c r="E17" s="113" t="s">
        <v>113</v>
      </c>
      <c r="F17" s="249">
        <v>576000</v>
      </c>
      <c r="G17" s="334">
        <v>4.8000000000000001E-2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114</v>
      </c>
      <c r="F18" s="249">
        <v>529000</v>
      </c>
      <c r="G18" s="334">
        <v>4.41E-2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143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192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193</v>
      </c>
      <c r="C8" s="166"/>
      <c r="D8" s="517" t="s">
        <v>170</v>
      </c>
      <c r="E8" s="519">
        <v>1</v>
      </c>
      <c r="F8" s="521">
        <v>2202800</v>
      </c>
      <c r="G8" s="523">
        <v>2202800</v>
      </c>
      <c r="H8" s="351" t="s">
        <v>195</v>
      </c>
      <c r="I8" s="525">
        <v>0.1835</v>
      </c>
      <c r="J8" s="227"/>
      <c r="K8" s="69" t="s">
        <v>96</v>
      </c>
    </row>
    <row r="9" spans="1:11" ht="15.6" customHeight="1">
      <c r="A9" s="69"/>
      <c r="B9" s="224" t="s">
        <v>194</v>
      </c>
      <c r="C9" s="225"/>
      <c r="D9" s="518"/>
      <c r="E9" s="520"/>
      <c r="F9" s="522"/>
      <c r="G9" s="524"/>
      <c r="H9" s="352" t="s">
        <v>196</v>
      </c>
      <c r="I9" s="526"/>
      <c r="J9" s="227"/>
      <c r="K9" s="69" t="s">
        <v>96</v>
      </c>
    </row>
    <row r="10" spans="1:11" ht="15.6" customHeight="1">
      <c r="A10" s="69"/>
      <c r="B10" s="222" t="s">
        <v>197</v>
      </c>
      <c r="C10" s="166"/>
      <c r="D10" s="517" t="s">
        <v>170</v>
      </c>
      <c r="E10" s="519">
        <v>1</v>
      </c>
      <c r="F10" s="521">
        <v>2746200</v>
      </c>
      <c r="G10" s="523">
        <v>2746200</v>
      </c>
      <c r="H10" s="351" t="s">
        <v>198</v>
      </c>
      <c r="I10" s="525">
        <v>0.2288</v>
      </c>
      <c r="J10" s="223"/>
      <c r="K10" s="69" t="s">
        <v>96</v>
      </c>
    </row>
    <row r="11" spans="1:11" ht="15.6" customHeight="1">
      <c r="A11" s="69"/>
      <c r="B11" s="224" t="s">
        <v>194</v>
      </c>
      <c r="C11" s="225"/>
      <c r="D11" s="518"/>
      <c r="E11" s="520"/>
      <c r="F11" s="522"/>
      <c r="G11" s="524"/>
      <c r="H11" s="352" t="s">
        <v>196</v>
      </c>
      <c r="I11" s="526"/>
      <c r="J11" s="226"/>
      <c r="K11" s="69" t="s">
        <v>96</v>
      </c>
    </row>
    <row r="12" spans="1:11" ht="15.6" customHeight="1">
      <c r="A12" s="69"/>
      <c r="B12" s="222" t="s">
        <v>199</v>
      </c>
      <c r="C12" s="166"/>
      <c r="D12" s="517" t="s">
        <v>170</v>
      </c>
      <c r="E12" s="519">
        <v>1</v>
      </c>
      <c r="F12" s="521">
        <v>1894400</v>
      </c>
      <c r="G12" s="523">
        <v>1894400</v>
      </c>
      <c r="H12" s="351" t="s">
        <v>200</v>
      </c>
      <c r="I12" s="525">
        <v>0.1578</v>
      </c>
      <c r="J12" s="223"/>
      <c r="K12" s="69" t="s">
        <v>96</v>
      </c>
    </row>
    <row r="13" spans="1:11" ht="15.6" customHeight="1">
      <c r="A13" s="69"/>
      <c r="B13" s="224" t="s">
        <v>194</v>
      </c>
      <c r="C13" s="225"/>
      <c r="D13" s="518"/>
      <c r="E13" s="520"/>
      <c r="F13" s="522"/>
      <c r="G13" s="524"/>
      <c r="H13" s="352" t="s">
        <v>196</v>
      </c>
      <c r="I13" s="526"/>
      <c r="J13" s="226"/>
      <c r="K13" s="69" t="s">
        <v>96</v>
      </c>
    </row>
    <row r="14" spans="1:11" ht="15.6" customHeight="1">
      <c r="A14" s="69"/>
      <c r="B14" s="222" t="s">
        <v>201</v>
      </c>
      <c r="C14" s="166"/>
      <c r="D14" s="517" t="s">
        <v>170</v>
      </c>
      <c r="E14" s="519">
        <v>1</v>
      </c>
      <c r="F14" s="521">
        <v>661600</v>
      </c>
      <c r="G14" s="523">
        <v>661600</v>
      </c>
      <c r="H14" s="351" t="s">
        <v>202</v>
      </c>
      <c r="I14" s="525">
        <v>5.5100000000000003E-2</v>
      </c>
      <c r="J14" s="223"/>
      <c r="K14" s="69" t="s">
        <v>96</v>
      </c>
    </row>
    <row r="15" spans="1:11" ht="15.6" customHeight="1">
      <c r="A15" s="69"/>
      <c r="B15" s="224" t="s">
        <v>194</v>
      </c>
      <c r="C15" s="225"/>
      <c r="D15" s="518"/>
      <c r="E15" s="520"/>
      <c r="F15" s="522"/>
      <c r="G15" s="524"/>
      <c r="H15" s="352" t="s">
        <v>196</v>
      </c>
      <c r="I15" s="526"/>
      <c r="J15" s="226"/>
      <c r="K15" s="69" t="s">
        <v>96</v>
      </c>
    </row>
    <row r="16" spans="1:11" ht="15.6" customHeight="1">
      <c r="A16" s="69"/>
      <c r="B16" s="222" t="s">
        <v>203</v>
      </c>
      <c r="C16" s="166"/>
      <c r="D16" s="517" t="s">
        <v>170</v>
      </c>
      <c r="E16" s="519">
        <v>1</v>
      </c>
      <c r="F16" s="521">
        <v>629600</v>
      </c>
      <c r="G16" s="523">
        <v>629600</v>
      </c>
      <c r="H16" s="351" t="s">
        <v>204</v>
      </c>
      <c r="I16" s="525">
        <v>5.2400000000000002E-2</v>
      </c>
      <c r="J16" s="223"/>
      <c r="K16" s="69" t="s">
        <v>96</v>
      </c>
    </row>
    <row r="17" spans="1:11" ht="15.6" customHeight="1">
      <c r="A17" s="69"/>
      <c r="B17" s="224" t="s">
        <v>194</v>
      </c>
      <c r="C17" s="225"/>
      <c r="D17" s="518"/>
      <c r="E17" s="520"/>
      <c r="F17" s="522"/>
      <c r="G17" s="524"/>
      <c r="H17" s="352" t="s">
        <v>196</v>
      </c>
      <c r="I17" s="526"/>
      <c r="J17" s="226"/>
      <c r="K17" s="69" t="s">
        <v>96</v>
      </c>
    </row>
    <row r="18" spans="1:11" ht="15.6" customHeight="1">
      <c r="A18" s="69"/>
      <c r="B18" s="222" t="s">
        <v>205</v>
      </c>
      <c r="C18" s="166"/>
      <c r="D18" s="517" t="s">
        <v>170</v>
      </c>
      <c r="E18" s="519">
        <v>1</v>
      </c>
      <c r="F18" s="521">
        <v>484400</v>
      </c>
      <c r="G18" s="523">
        <v>484400</v>
      </c>
      <c r="H18" s="351" t="s">
        <v>206</v>
      </c>
      <c r="I18" s="525">
        <v>4.0300000000000002E-2</v>
      </c>
      <c r="J18" s="223"/>
      <c r="K18" s="69" t="s">
        <v>96</v>
      </c>
    </row>
    <row r="19" spans="1:11" ht="15.6" customHeight="1">
      <c r="A19" s="69"/>
      <c r="B19" s="224" t="s">
        <v>194</v>
      </c>
      <c r="C19" s="225"/>
      <c r="D19" s="518"/>
      <c r="E19" s="520"/>
      <c r="F19" s="522"/>
      <c r="G19" s="524"/>
      <c r="H19" s="352" t="s">
        <v>196</v>
      </c>
      <c r="I19" s="526"/>
      <c r="J19" s="226"/>
      <c r="K19" s="69" t="s">
        <v>96</v>
      </c>
    </row>
    <row r="20" spans="1:11" ht="15.6" customHeight="1">
      <c r="A20" s="69"/>
      <c r="B20" s="222" t="s">
        <v>207</v>
      </c>
      <c r="C20" s="166"/>
      <c r="D20" s="517" t="s">
        <v>170</v>
      </c>
      <c r="E20" s="519">
        <v>1</v>
      </c>
      <c r="F20" s="521">
        <v>1580000</v>
      </c>
      <c r="G20" s="523">
        <v>1580000</v>
      </c>
      <c r="H20" s="351" t="s">
        <v>208</v>
      </c>
      <c r="I20" s="525">
        <v>0.13159999999999999</v>
      </c>
      <c r="J20" s="223"/>
      <c r="K20" s="69" t="s">
        <v>96</v>
      </c>
    </row>
    <row r="21" spans="1:11" ht="15.6" customHeight="1">
      <c r="A21" s="69"/>
      <c r="B21" s="224" t="s">
        <v>194</v>
      </c>
      <c r="C21" s="225"/>
      <c r="D21" s="518"/>
      <c r="E21" s="520"/>
      <c r="F21" s="522"/>
      <c r="G21" s="524"/>
      <c r="H21" s="352" t="s">
        <v>196</v>
      </c>
      <c r="I21" s="526"/>
      <c r="J21" s="226"/>
      <c r="K21" s="69" t="s">
        <v>96</v>
      </c>
    </row>
    <row r="22" spans="1:11" ht="15.6" customHeight="1">
      <c r="A22" s="69"/>
      <c r="B22" s="222" t="s">
        <v>209</v>
      </c>
      <c r="C22" s="166"/>
      <c r="D22" s="517"/>
      <c r="E22" s="519"/>
      <c r="F22" s="521"/>
      <c r="G22" s="523">
        <v>10199000</v>
      </c>
      <c r="H22" s="351"/>
      <c r="I22" s="525">
        <v>0.84989999999999999</v>
      </c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525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210</v>
      </c>
      <c r="C26" s="166"/>
      <c r="D26" s="517"/>
      <c r="E26" s="519"/>
      <c r="F26" s="521"/>
      <c r="G26" s="523"/>
      <c r="H26" s="351"/>
      <c r="I26" s="525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207</v>
      </c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 t="s">
        <v>194</v>
      </c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211</v>
      </c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 t="s">
        <v>194</v>
      </c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212</v>
      </c>
      <c r="C34" s="166"/>
      <c r="D34" s="517"/>
      <c r="E34" s="519"/>
      <c r="F34" s="521"/>
      <c r="G34" s="523">
        <v>10199000</v>
      </c>
      <c r="H34" s="351"/>
      <c r="I34" s="525">
        <v>0.84989999999999999</v>
      </c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525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143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147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213</v>
      </c>
      <c r="C43" s="166"/>
      <c r="D43" s="517"/>
      <c r="E43" s="519"/>
      <c r="F43" s="521"/>
      <c r="G43" s="523">
        <v>1801000</v>
      </c>
      <c r="H43" s="351"/>
      <c r="I43" s="525">
        <v>0.15010000000000001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130</v>
      </c>
      <c r="C47" s="166"/>
      <c r="D47" s="517"/>
      <c r="E47" s="519"/>
      <c r="F47" s="521"/>
      <c r="G47" s="523">
        <v>12000000</v>
      </c>
      <c r="H47" s="351"/>
      <c r="I47" s="525">
        <v>1</v>
      </c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B1082-4F96-4450-BA04-E9D5268153D3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215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170</v>
      </c>
      <c r="E6" s="519">
        <v>1</v>
      </c>
      <c r="F6" s="521">
        <v>2202800</v>
      </c>
      <c r="G6" s="523">
        <v>2202800</v>
      </c>
      <c r="H6" s="351" t="s">
        <v>195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196</v>
      </c>
      <c r="I7" s="352"/>
      <c r="J7" s="226"/>
      <c r="K7" s="69" t="s">
        <v>96</v>
      </c>
    </row>
    <row r="8" spans="1:11" ht="15.6" customHeight="1">
      <c r="A8" s="69"/>
      <c r="B8" s="222" t="s">
        <v>155</v>
      </c>
      <c r="C8" s="166"/>
      <c r="D8" s="517" t="s">
        <v>170</v>
      </c>
      <c r="E8" s="519">
        <v>1</v>
      </c>
      <c r="F8" s="521">
        <v>2746200</v>
      </c>
      <c r="G8" s="523">
        <v>2746200</v>
      </c>
      <c r="H8" s="351" t="s">
        <v>198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196</v>
      </c>
      <c r="I9" s="352"/>
      <c r="J9" s="227"/>
      <c r="K9" s="69" t="s">
        <v>96</v>
      </c>
    </row>
    <row r="10" spans="1:11" ht="15.6" customHeight="1">
      <c r="A10" s="69"/>
      <c r="B10" s="222" t="s">
        <v>156</v>
      </c>
      <c r="C10" s="166"/>
      <c r="D10" s="517" t="s">
        <v>170</v>
      </c>
      <c r="E10" s="519">
        <v>1</v>
      </c>
      <c r="F10" s="521">
        <v>1894400</v>
      </c>
      <c r="G10" s="523">
        <v>1894400</v>
      </c>
      <c r="H10" s="351" t="s">
        <v>200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196</v>
      </c>
      <c r="I11" s="352"/>
      <c r="J11" s="226"/>
      <c r="K11" s="69" t="s">
        <v>96</v>
      </c>
    </row>
    <row r="12" spans="1:11" ht="15.6" customHeight="1">
      <c r="A12" s="69"/>
      <c r="B12" s="222" t="s">
        <v>157</v>
      </c>
      <c r="C12" s="166"/>
      <c r="D12" s="517" t="s">
        <v>170</v>
      </c>
      <c r="E12" s="519">
        <v>1</v>
      </c>
      <c r="F12" s="521">
        <v>661600</v>
      </c>
      <c r="G12" s="523">
        <v>661600</v>
      </c>
      <c r="H12" s="351" t="s">
        <v>202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196</v>
      </c>
      <c r="I13" s="352"/>
      <c r="J13" s="226"/>
      <c r="K13" s="69" t="s">
        <v>96</v>
      </c>
    </row>
    <row r="14" spans="1:11" ht="15.6" customHeight="1">
      <c r="A14" s="69"/>
      <c r="B14" s="222" t="s">
        <v>158</v>
      </c>
      <c r="C14" s="166"/>
      <c r="D14" s="517" t="s">
        <v>170</v>
      </c>
      <c r="E14" s="519">
        <v>1</v>
      </c>
      <c r="F14" s="521">
        <v>629600</v>
      </c>
      <c r="G14" s="523">
        <v>629600</v>
      </c>
      <c r="H14" s="351" t="s">
        <v>204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196</v>
      </c>
      <c r="I15" s="352"/>
      <c r="J15" s="226"/>
      <c r="K15" s="69" t="s">
        <v>96</v>
      </c>
    </row>
    <row r="16" spans="1:11" ht="15.6" customHeight="1">
      <c r="A16" s="69"/>
      <c r="B16" s="222" t="s">
        <v>159</v>
      </c>
      <c r="C16" s="166"/>
      <c r="D16" s="517" t="s">
        <v>170</v>
      </c>
      <c r="E16" s="519">
        <v>1</v>
      </c>
      <c r="F16" s="521">
        <v>484400</v>
      </c>
      <c r="G16" s="523">
        <v>484400</v>
      </c>
      <c r="H16" s="351" t="s">
        <v>206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196</v>
      </c>
      <c r="I17" s="352"/>
      <c r="J17" s="226"/>
      <c r="K17" s="69" t="s">
        <v>96</v>
      </c>
    </row>
    <row r="18" spans="1:11" ht="15.6" customHeight="1">
      <c r="A18" s="69"/>
      <c r="B18" s="222" t="s">
        <v>160</v>
      </c>
      <c r="C18" s="166"/>
      <c r="D18" s="517" t="s">
        <v>170</v>
      </c>
      <c r="E18" s="519">
        <v>1</v>
      </c>
      <c r="F18" s="521">
        <v>1580000</v>
      </c>
      <c r="G18" s="523">
        <v>1580000</v>
      </c>
      <c r="H18" s="351" t="s">
        <v>208</v>
      </c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196</v>
      </c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 t="s">
        <v>214</v>
      </c>
      <c r="C22" s="166"/>
      <c r="D22" s="517"/>
      <c r="E22" s="519"/>
      <c r="F22" s="521"/>
      <c r="G22" s="523">
        <v>10199000</v>
      </c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234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島ヶ原カントリークラブ冬季工事</v>
      </c>
      <c r="G1" s="306"/>
      <c r="H1" s="190" t="s">
        <v>139</v>
      </c>
      <c r="I1" s="333">
        <v>12000000</v>
      </c>
      <c r="J1" s="339">
        <f>I4/I$1</f>
        <v>0.84991666666666665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140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304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216</v>
      </c>
      <c r="D4" s="340" t="s">
        <v>183</v>
      </c>
      <c r="E4" s="342"/>
      <c r="F4" s="345" t="s">
        <v>170</v>
      </c>
      <c r="G4" s="308">
        <v>1</v>
      </c>
      <c r="H4" s="309">
        <v>10199000</v>
      </c>
      <c r="I4" s="309">
        <v>10199000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 t="s">
        <v>116</v>
      </c>
      <c r="T4" s="213" t="e">
        <v>#DIV/0!</v>
      </c>
      <c r="U4" s="214" t="s">
        <v>116</v>
      </c>
      <c r="V4" s="215" t="s">
        <v>116</v>
      </c>
      <c r="W4" s="310">
        <v>0</v>
      </c>
      <c r="X4" s="311">
        <v>0</v>
      </c>
      <c r="Y4" s="311">
        <v>0</v>
      </c>
      <c r="Z4" s="211">
        <v>0</v>
      </c>
      <c r="AA4" s="212" t="s">
        <v>116</v>
      </c>
      <c r="AB4" s="213" t="e">
        <v>#DIV/0!</v>
      </c>
      <c r="AC4" s="214" t="s">
        <v>116</v>
      </c>
      <c r="AD4" s="215" t="s">
        <v>116</v>
      </c>
      <c r="AE4" s="342" t="s">
        <v>116</v>
      </c>
      <c r="AF4" s="341" t="s">
        <v>116</v>
      </c>
    </row>
    <row r="5" spans="1:32">
      <c r="A5" s="307">
        <v>1</v>
      </c>
      <c r="B5" s="342"/>
      <c r="C5" s="342" t="s">
        <v>217</v>
      </c>
      <c r="D5" s="340" t="s">
        <v>218</v>
      </c>
      <c r="E5" s="342"/>
      <c r="F5" s="345" t="s">
        <v>170</v>
      </c>
      <c r="G5" s="308">
        <v>1</v>
      </c>
      <c r="H5" s="309">
        <v>10199000</v>
      </c>
      <c r="I5" s="309">
        <v>10199000</v>
      </c>
      <c r="J5" s="211"/>
      <c r="K5" s="212" t="str">
        <f>IF(OR(J5="",G5=J5),"","*")</f>
        <v/>
      </c>
      <c r="L5" s="338">
        <f>IF($A5&lt;=L$1,I5/I$4,"")</f>
        <v>1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 t="s">
        <v>116</v>
      </c>
      <c r="T5" s="213" t="e">
        <v>#DIV/0!</v>
      </c>
      <c r="U5" s="214" t="s">
        <v>116</v>
      </c>
      <c r="V5" s="215" t="s">
        <v>116</v>
      </c>
      <c r="W5" s="310">
        <v>0</v>
      </c>
      <c r="X5" s="311">
        <v>0</v>
      </c>
      <c r="Y5" s="311">
        <v>0</v>
      </c>
      <c r="Z5" s="211">
        <v>0</v>
      </c>
      <c r="AA5" s="212" t="s">
        <v>116</v>
      </c>
      <c r="AB5" s="213" t="e">
        <v>#DIV/0!</v>
      </c>
      <c r="AC5" s="214" t="s">
        <v>116</v>
      </c>
      <c r="AD5" s="215" t="s">
        <v>116</v>
      </c>
      <c r="AE5" s="342" t="s">
        <v>116</v>
      </c>
      <c r="AF5" s="341" t="s">
        <v>116</v>
      </c>
    </row>
    <row r="6" spans="1:32">
      <c r="A6" s="307">
        <v>2</v>
      </c>
      <c r="B6" s="342"/>
      <c r="C6" s="342" t="s">
        <v>219</v>
      </c>
      <c r="D6" s="340" t="s">
        <v>220</v>
      </c>
      <c r="E6" s="342"/>
      <c r="F6" s="345" t="s">
        <v>170</v>
      </c>
      <c r="G6" s="308">
        <v>1</v>
      </c>
      <c r="H6" s="309">
        <v>2202800</v>
      </c>
      <c r="I6" s="309">
        <v>2202800</v>
      </c>
      <c r="J6" s="211">
        <v>1</v>
      </c>
      <c r="K6" s="212" t="str">
        <f>IF(OR(J6="",G6=J6),"","*")</f>
        <v/>
      </c>
      <c r="L6" s="338">
        <f>IF($A6&lt;=L$1,I6/I$4,"")</f>
        <v>0.21598195901558975</v>
      </c>
      <c r="M6" s="343"/>
      <c r="N6" s="344" t="s">
        <v>221</v>
      </c>
      <c r="O6" s="310">
        <v>0</v>
      </c>
      <c r="P6" s="311">
        <v>0</v>
      </c>
      <c r="Q6" s="311">
        <v>0</v>
      </c>
      <c r="R6" s="211">
        <v>0</v>
      </c>
      <c r="S6" s="212" t="s">
        <v>116</v>
      </c>
      <c r="T6" s="213" t="e">
        <v>#DIV/0!</v>
      </c>
      <c r="U6" s="214" t="s">
        <v>116</v>
      </c>
      <c r="V6" s="215" t="s">
        <v>116</v>
      </c>
      <c r="W6" s="310">
        <v>0</v>
      </c>
      <c r="X6" s="311">
        <v>0</v>
      </c>
      <c r="Y6" s="311">
        <v>0</v>
      </c>
      <c r="Z6" s="211">
        <v>0</v>
      </c>
      <c r="AA6" s="212" t="s">
        <v>116</v>
      </c>
      <c r="AB6" s="213" t="e">
        <v>#DIV/0!</v>
      </c>
      <c r="AC6" s="214" t="s">
        <v>116</v>
      </c>
      <c r="AD6" s="215" t="s">
        <v>116</v>
      </c>
      <c r="AE6" s="342" t="s">
        <v>116</v>
      </c>
      <c r="AF6" s="341" t="s">
        <v>116</v>
      </c>
    </row>
    <row r="7" spans="1:32">
      <c r="A7" s="307">
        <v>3</v>
      </c>
      <c r="B7" s="342"/>
      <c r="C7" s="342" t="s">
        <v>222</v>
      </c>
      <c r="D7" s="340" t="s">
        <v>223</v>
      </c>
      <c r="E7" s="342"/>
      <c r="F7" s="345" t="s">
        <v>170</v>
      </c>
      <c r="G7" s="308">
        <v>1</v>
      </c>
      <c r="H7" s="309">
        <v>449700</v>
      </c>
      <c r="I7" s="309">
        <v>449700</v>
      </c>
      <c r="J7" s="211">
        <v>1</v>
      </c>
      <c r="K7" s="212" t="str">
        <f>IF(OR(J7="",G7=J7),"","*")</f>
        <v/>
      </c>
      <c r="L7" s="338">
        <f>IF($A7&lt;=L$1,I7/I$4,"")</f>
        <v>4.4092558093930777E-2</v>
      </c>
      <c r="M7" s="343"/>
      <c r="N7" s="344" t="s">
        <v>224</v>
      </c>
      <c r="O7" s="310">
        <v>0</v>
      </c>
      <c r="P7" s="311">
        <v>0</v>
      </c>
      <c r="Q7" s="311">
        <v>0</v>
      </c>
      <c r="R7" s="211">
        <v>0</v>
      </c>
      <c r="S7" s="212" t="s">
        <v>116</v>
      </c>
      <c r="T7" s="213" t="e">
        <v>#DIV/0!</v>
      </c>
      <c r="U7" s="214" t="s">
        <v>116</v>
      </c>
      <c r="V7" s="215" t="s">
        <v>116</v>
      </c>
      <c r="W7" s="310">
        <v>0</v>
      </c>
      <c r="X7" s="311">
        <v>0</v>
      </c>
      <c r="Y7" s="311">
        <v>0</v>
      </c>
      <c r="Z7" s="211">
        <v>0</v>
      </c>
      <c r="AA7" s="212" t="s">
        <v>116</v>
      </c>
      <c r="AB7" s="213" t="e">
        <v>#DIV/0!</v>
      </c>
      <c r="AC7" s="214" t="s">
        <v>116</v>
      </c>
      <c r="AD7" s="215" t="s">
        <v>116</v>
      </c>
      <c r="AE7" s="342" t="s">
        <v>116</v>
      </c>
      <c r="AF7" s="341" t="s">
        <v>116</v>
      </c>
    </row>
    <row r="8" spans="1:32">
      <c r="A8" s="307">
        <v>4</v>
      </c>
      <c r="B8" s="342"/>
      <c r="C8" s="342" t="s">
        <v>159</v>
      </c>
      <c r="D8" s="340" t="s">
        <v>225</v>
      </c>
      <c r="E8" s="342"/>
      <c r="F8" s="345" t="s">
        <v>170</v>
      </c>
      <c r="G8" s="308">
        <v>1</v>
      </c>
      <c r="H8" s="309">
        <v>5000</v>
      </c>
      <c r="I8" s="309">
        <v>5000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 t="s">
        <v>116</v>
      </c>
      <c r="T8" s="213" t="e">
        <v>#DIV/0!</v>
      </c>
      <c r="U8" s="214" t="s">
        <v>116</v>
      </c>
      <c r="V8" s="215" t="s">
        <v>116</v>
      </c>
      <c r="W8" s="310">
        <v>0</v>
      </c>
      <c r="X8" s="311">
        <v>0</v>
      </c>
      <c r="Y8" s="311">
        <v>0</v>
      </c>
      <c r="Z8" s="211">
        <v>0</v>
      </c>
      <c r="AA8" s="212" t="s">
        <v>116</v>
      </c>
      <c r="AB8" s="213" t="e">
        <v>#DIV/0!</v>
      </c>
      <c r="AC8" s="214" t="s">
        <v>116</v>
      </c>
      <c r="AD8" s="215" t="s">
        <v>116</v>
      </c>
      <c r="AE8" s="342" t="s">
        <v>116</v>
      </c>
      <c r="AF8" s="341" t="s">
        <v>116</v>
      </c>
    </row>
    <row r="9" spans="1:32">
      <c r="A9" s="307">
        <v>4</v>
      </c>
      <c r="B9" s="342"/>
      <c r="C9" s="342" t="s">
        <v>177</v>
      </c>
      <c r="D9" s="340" t="s">
        <v>226</v>
      </c>
      <c r="E9" s="342"/>
      <c r="F9" s="345" t="s">
        <v>227</v>
      </c>
      <c r="G9" s="308">
        <v>8</v>
      </c>
      <c r="H9" s="309">
        <v>20000</v>
      </c>
      <c r="I9" s="309">
        <v>160000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 t="s">
        <v>116</v>
      </c>
      <c r="T9" s="213" t="e">
        <v>#DIV/0!</v>
      </c>
      <c r="U9" s="214" t="s">
        <v>116</v>
      </c>
      <c r="V9" s="215" t="s">
        <v>116</v>
      </c>
      <c r="W9" s="310">
        <v>0</v>
      </c>
      <c r="X9" s="311">
        <v>0</v>
      </c>
      <c r="Y9" s="311">
        <v>0</v>
      </c>
      <c r="Z9" s="211">
        <v>0</v>
      </c>
      <c r="AA9" s="212" t="s">
        <v>116</v>
      </c>
      <c r="AB9" s="213" t="e">
        <v>#DIV/0!</v>
      </c>
      <c r="AC9" s="214" t="s">
        <v>116</v>
      </c>
      <c r="AD9" s="215" t="s">
        <v>116</v>
      </c>
      <c r="AE9" s="342" t="s">
        <v>116</v>
      </c>
      <c r="AF9" s="341" t="s">
        <v>116</v>
      </c>
    </row>
    <row r="10" spans="1:32">
      <c r="A10" s="307">
        <v>4</v>
      </c>
      <c r="B10" s="342"/>
      <c r="C10" s="342" t="s">
        <v>182</v>
      </c>
      <c r="D10" s="340" t="s">
        <v>228</v>
      </c>
      <c r="E10" s="342"/>
      <c r="F10" s="345" t="s">
        <v>227</v>
      </c>
      <c r="G10" s="308">
        <v>8</v>
      </c>
      <c r="H10" s="309">
        <v>3200</v>
      </c>
      <c r="I10" s="309">
        <v>25600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 t="s">
        <v>116</v>
      </c>
      <c r="T10" s="213" t="e">
        <v>#DIV/0!</v>
      </c>
      <c r="U10" s="214" t="s">
        <v>116</v>
      </c>
      <c r="V10" s="215" t="s">
        <v>116</v>
      </c>
      <c r="W10" s="310">
        <v>0</v>
      </c>
      <c r="X10" s="311">
        <v>0</v>
      </c>
      <c r="Y10" s="311">
        <v>0</v>
      </c>
      <c r="Z10" s="211">
        <v>0</v>
      </c>
      <c r="AA10" s="212" t="s">
        <v>116</v>
      </c>
      <c r="AB10" s="213" t="e">
        <v>#DIV/0!</v>
      </c>
      <c r="AC10" s="214" t="s">
        <v>116</v>
      </c>
      <c r="AD10" s="215" t="s">
        <v>116</v>
      </c>
      <c r="AE10" s="342" t="s">
        <v>116</v>
      </c>
      <c r="AF10" s="341" t="s">
        <v>116</v>
      </c>
    </row>
    <row r="11" spans="1:32">
      <c r="A11" s="307">
        <v>4</v>
      </c>
      <c r="B11" s="342"/>
      <c r="C11" s="342" t="s">
        <v>179</v>
      </c>
      <c r="D11" s="340" t="s">
        <v>229</v>
      </c>
      <c r="E11" s="342"/>
      <c r="F11" s="345" t="s">
        <v>230</v>
      </c>
      <c r="G11" s="308">
        <v>1</v>
      </c>
      <c r="H11" s="309">
        <v>12000</v>
      </c>
      <c r="I11" s="309">
        <v>12000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 t="s">
        <v>116</v>
      </c>
      <c r="T11" s="213" t="e">
        <v>#DIV/0!</v>
      </c>
      <c r="U11" s="214" t="s">
        <v>116</v>
      </c>
      <c r="V11" s="215" t="s">
        <v>116</v>
      </c>
      <c r="W11" s="310">
        <v>0</v>
      </c>
      <c r="X11" s="311">
        <v>0</v>
      </c>
      <c r="Y11" s="311">
        <v>0</v>
      </c>
      <c r="Z11" s="211">
        <v>0</v>
      </c>
      <c r="AA11" s="212" t="s">
        <v>116</v>
      </c>
      <c r="AB11" s="213" t="e">
        <v>#DIV/0!</v>
      </c>
      <c r="AC11" s="214" t="s">
        <v>116</v>
      </c>
      <c r="AD11" s="215" t="s">
        <v>116</v>
      </c>
      <c r="AE11" s="342" t="s">
        <v>116</v>
      </c>
      <c r="AF11" s="341" t="s">
        <v>116</v>
      </c>
    </row>
    <row r="12" spans="1:32">
      <c r="A12" s="307">
        <v>4</v>
      </c>
      <c r="B12" s="342"/>
      <c r="C12" s="342" t="s">
        <v>179</v>
      </c>
      <c r="D12" s="340" t="s">
        <v>231</v>
      </c>
      <c r="E12" s="342"/>
      <c r="F12" s="345" t="s">
        <v>230</v>
      </c>
      <c r="G12" s="308">
        <v>1</v>
      </c>
      <c r="H12" s="309">
        <v>8000</v>
      </c>
      <c r="I12" s="309">
        <v>8000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 t="s">
        <v>116</v>
      </c>
      <c r="T12" s="213" t="e">
        <v>#DIV/0!</v>
      </c>
      <c r="U12" s="214" t="s">
        <v>116</v>
      </c>
      <c r="V12" s="215" t="s">
        <v>116</v>
      </c>
      <c r="W12" s="310">
        <v>0</v>
      </c>
      <c r="X12" s="311">
        <v>0</v>
      </c>
      <c r="Y12" s="311">
        <v>0</v>
      </c>
      <c r="Z12" s="211">
        <v>0</v>
      </c>
      <c r="AA12" s="212" t="s">
        <v>116</v>
      </c>
      <c r="AB12" s="213" t="e">
        <v>#DIV/0!</v>
      </c>
      <c r="AC12" s="214" t="s">
        <v>116</v>
      </c>
      <c r="AD12" s="215" t="s">
        <v>116</v>
      </c>
      <c r="AE12" s="342" t="s">
        <v>116</v>
      </c>
      <c r="AF12" s="341" t="s">
        <v>116</v>
      </c>
    </row>
    <row r="13" spans="1:32">
      <c r="A13" s="307">
        <v>4</v>
      </c>
      <c r="B13" s="342"/>
      <c r="C13" s="342" t="s">
        <v>179</v>
      </c>
      <c r="D13" s="340" t="s">
        <v>232</v>
      </c>
      <c r="E13" s="342"/>
      <c r="F13" s="345" t="s">
        <v>230</v>
      </c>
      <c r="G13" s="308">
        <v>1</v>
      </c>
      <c r="H13" s="309">
        <v>6000</v>
      </c>
      <c r="I13" s="309">
        <v>6000</v>
      </c>
      <c r="J13" s="211"/>
      <c r="K13" s="212" t="str">
        <f>IF(OR(J13="",G13=J13),"","*")</f>
        <v/>
      </c>
      <c r="L13" s="338" t="str">
        <f>IF($A13&lt;=L$1,I13/I$4,"")</f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 t="s">
        <v>116</v>
      </c>
      <c r="T13" s="213" t="e">
        <v>#DIV/0!</v>
      </c>
      <c r="U13" s="214" t="s">
        <v>116</v>
      </c>
      <c r="V13" s="215" t="s">
        <v>116</v>
      </c>
      <c r="W13" s="310">
        <v>0</v>
      </c>
      <c r="X13" s="311">
        <v>0</v>
      </c>
      <c r="Y13" s="311">
        <v>0</v>
      </c>
      <c r="Z13" s="211">
        <v>0</v>
      </c>
      <c r="AA13" s="212" t="s">
        <v>116</v>
      </c>
      <c r="AB13" s="213" t="e">
        <v>#DIV/0!</v>
      </c>
      <c r="AC13" s="214" t="s">
        <v>116</v>
      </c>
      <c r="AD13" s="215" t="s">
        <v>116</v>
      </c>
      <c r="AE13" s="342" t="s">
        <v>116</v>
      </c>
      <c r="AF13" s="341" t="s">
        <v>116</v>
      </c>
    </row>
    <row r="14" spans="1:32">
      <c r="A14" s="307">
        <v>4</v>
      </c>
      <c r="B14" s="342"/>
      <c r="C14" s="342" t="s">
        <v>179</v>
      </c>
      <c r="D14" s="340" t="s">
        <v>233</v>
      </c>
      <c r="E14" s="342"/>
      <c r="F14" s="345" t="s">
        <v>170</v>
      </c>
      <c r="G14" s="308">
        <v>1</v>
      </c>
      <c r="H14" s="309">
        <v>5000</v>
      </c>
      <c r="I14" s="309">
        <v>5000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 t="s">
        <v>116</v>
      </c>
      <c r="T14" s="213" t="e">
        <v>#DIV/0!</v>
      </c>
      <c r="U14" s="214" t="s">
        <v>116</v>
      </c>
      <c r="V14" s="215" t="s">
        <v>116</v>
      </c>
      <c r="W14" s="310">
        <v>0</v>
      </c>
      <c r="X14" s="311">
        <v>0</v>
      </c>
      <c r="Y14" s="311">
        <v>0</v>
      </c>
      <c r="Z14" s="211">
        <v>0</v>
      </c>
      <c r="AA14" s="212" t="s">
        <v>116</v>
      </c>
      <c r="AB14" s="213" t="e">
        <v>#DIV/0!</v>
      </c>
      <c r="AC14" s="214" t="s">
        <v>116</v>
      </c>
      <c r="AD14" s="215" t="s">
        <v>116</v>
      </c>
      <c r="AE14" s="342" t="s">
        <v>116</v>
      </c>
      <c r="AF14" s="341" t="s">
        <v>116</v>
      </c>
    </row>
    <row r="15" spans="1:32">
      <c r="A15" s="307">
        <v>4</v>
      </c>
      <c r="B15" s="342"/>
      <c r="C15" s="342" t="s">
        <v>179</v>
      </c>
      <c r="D15" s="340" t="s">
        <v>234</v>
      </c>
      <c r="E15" s="342"/>
      <c r="F15" s="345" t="s">
        <v>230</v>
      </c>
      <c r="G15" s="308">
        <v>1</v>
      </c>
      <c r="H15" s="309">
        <v>15000</v>
      </c>
      <c r="I15" s="309">
        <v>15000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 t="s">
        <v>116</v>
      </c>
      <c r="T15" s="213" t="e">
        <v>#DIV/0!</v>
      </c>
      <c r="U15" s="214" t="s">
        <v>116</v>
      </c>
      <c r="V15" s="215" t="s">
        <v>116</v>
      </c>
      <c r="W15" s="310">
        <v>0</v>
      </c>
      <c r="X15" s="311">
        <v>0</v>
      </c>
      <c r="Y15" s="311">
        <v>0</v>
      </c>
      <c r="Z15" s="211">
        <v>0</v>
      </c>
      <c r="AA15" s="212" t="s">
        <v>116</v>
      </c>
      <c r="AB15" s="213" t="e">
        <v>#DIV/0!</v>
      </c>
      <c r="AC15" s="214" t="s">
        <v>116</v>
      </c>
      <c r="AD15" s="215" t="s">
        <v>116</v>
      </c>
      <c r="AE15" s="342" t="s">
        <v>116</v>
      </c>
      <c r="AF15" s="341" t="s">
        <v>116</v>
      </c>
    </row>
    <row r="16" spans="1:32">
      <c r="A16" s="307">
        <v>4</v>
      </c>
      <c r="B16" s="342"/>
      <c r="C16" s="342" t="s">
        <v>180</v>
      </c>
      <c r="D16" s="340" t="s">
        <v>235</v>
      </c>
      <c r="E16" s="342"/>
      <c r="F16" s="345" t="s">
        <v>230</v>
      </c>
      <c r="G16" s="308">
        <v>2</v>
      </c>
      <c r="H16" s="309">
        <v>8000</v>
      </c>
      <c r="I16" s="309">
        <v>16000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 t="s">
        <v>116</v>
      </c>
      <c r="T16" s="213" t="e">
        <v>#DIV/0!</v>
      </c>
      <c r="U16" s="214" t="s">
        <v>116</v>
      </c>
      <c r="V16" s="215" t="s">
        <v>116</v>
      </c>
      <c r="W16" s="310">
        <v>0</v>
      </c>
      <c r="X16" s="311">
        <v>0</v>
      </c>
      <c r="Y16" s="311">
        <v>0</v>
      </c>
      <c r="Z16" s="211">
        <v>0</v>
      </c>
      <c r="AA16" s="212" t="s">
        <v>116</v>
      </c>
      <c r="AB16" s="213" t="e">
        <v>#DIV/0!</v>
      </c>
      <c r="AC16" s="214" t="s">
        <v>116</v>
      </c>
      <c r="AD16" s="215" t="s">
        <v>116</v>
      </c>
      <c r="AE16" s="342" t="s">
        <v>116</v>
      </c>
      <c r="AF16" s="341" t="s">
        <v>116</v>
      </c>
    </row>
    <row r="17" spans="1:32">
      <c r="A17" s="307">
        <v>4</v>
      </c>
      <c r="B17" s="342"/>
      <c r="C17" s="342" t="s">
        <v>180</v>
      </c>
      <c r="D17" s="340" t="s">
        <v>236</v>
      </c>
      <c r="E17" s="342"/>
      <c r="F17" s="345" t="s">
        <v>230</v>
      </c>
      <c r="G17" s="308">
        <v>2</v>
      </c>
      <c r="H17" s="309">
        <v>6000</v>
      </c>
      <c r="I17" s="309">
        <v>12000</v>
      </c>
      <c r="J17" s="211"/>
      <c r="K17" s="212" t="str">
        <f>IF(OR(J17="",G17=J17),"","*")</f>
        <v/>
      </c>
      <c r="L17" s="338" t="str">
        <f>IF($A17&lt;=L$1,I17/I$4,"")</f>
        <v/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 t="s">
        <v>116</v>
      </c>
      <c r="T17" s="213" t="e">
        <v>#DIV/0!</v>
      </c>
      <c r="U17" s="214" t="s">
        <v>116</v>
      </c>
      <c r="V17" s="215" t="s">
        <v>116</v>
      </c>
      <c r="W17" s="310">
        <v>0</v>
      </c>
      <c r="X17" s="311">
        <v>0</v>
      </c>
      <c r="Y17" s="311">
        <v>0</v>
      </c>
      <c r="Z17" s="211">
        <v>0</v>
      </c>
      <c r="AA17" s="212" t="s">
        <v>116</v>
      </c>
      <c r="AB17" s="213" t="e">
        <v>#DIV/0!</v>
      </c>
      <c r="AC17" s="214" t="s">
        <v>116</v>
      </c>
      <c r="AD17" s="215" t="s">
        <v>116</v>
      </c>
      <c r="AE17" s="342" t="s">
        <v>116</v>
      </c>
      <c r="AF17" s="341" t="s">
        <v>116</v>
      </c>
    </row>
    <row r="18" spans="1:32">
      <c r="A18" s="307">
        <v>4</v>
      </c>
      <c r="B18" s="342"/>
      <c r="C18" s="342" t="s">
        <v>159</v>
      </c>
      <c r="D18" s="340" t="s">
        <v>237</v>
      </c>
      <c r="E18" s="342"/>
      <c r="F18" s="345" t="s">
        <v>238</v>
      </c>
      <c r="G18" s="308">
        <v>80</v>
      </c>
      <c r="H18" s="309">
        <v>170</v>
      </c>
      <c r="I18" s="309">
        <v>13600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 t="s">
        <v>116</v>
      </c>
      <c r="T18" s="213" t="e">
        <v>#DIV/0!</v>
      </c>
      <c r="U18" s="214" t="s">
        <v>116</v>
      </c>
      <c r="V18" s="215" t="s">
        <v>116</v>
      </c>
      <c r="W18" s="310">
        <v>0</v>
      </c>
      <c r="X18" s="311">
        <v>0</v>
      </c>
      <c r="Y18" s="311">
        <v>0</v>
      </c>
      <c r="Z18" s="211">
        <v>0</v>
      </c>
      <c r="AA18" s="212" t="s">
        <v>116</v>
      </c>
      <c r="AB18" s="213" t="e">
        <v>#DIV/0!</v>
      </c>
      <c r="AC18" s="214" t="s">
        <v>116</v>
      </c>
      <c r="AD18" s="215" t="s">
        <v>116</v>
      </c>
      <c r="AE18" s="342" t="s">
        <v>116</v>
      </c>
      <c r="AF18" s="341" t="s">
        <v>116</v>
      </c>
    </row>
    <row r="19" spans="1:32">
      <c r="A19" s="307">
        <v>4</v>
      </c>
      <c r="B19" s="342"/>
      <c r="C19" s="342" t="s">
        <v>180</v>
      </c>
      <c r="D19" s="340" t="s">
        <v>239</v>
      </c>
      <c r="E19" s="342"/>
      <c r="F19" s="345" t="s">
        <v>230</v>
      </c>
      <c r="G19" s="308">
        <v>3</v>
      </c>
      <c r="H19" s="309">
        <v>48000</v>
      </c>
      <c r="I19" s="309">
        <v>144000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 t="s">
        <v>116</v>
      </c>
      <c r="T19" s="213" t="e">
        <v>#DIV/0!</v>
      </c>
      <c r="U19" s="214" t="s">
        <v>116</v>
      </c>
      <c r="V19" s="215" t="s">
        <v>116</v>
      </c>
      <c r="W19" s="310">
        <v>0</v>
      </c>
      <c r="X19" s="311">
        <v>0</v>
      </c>
      <c r="Y19" s="311">
        <v>0</v>
      </c>
      <c r="Z19" s="211">
        <v>0</v>
      </c>
      <c r="AA19" s="212" t="s">
        <v>116</v>
      </c>
      <c r="AB19" s="213" t="e">
        <v>#DIV/0!</v>
      </c>
      <c r="AC19" s="214" t="s">
        <v>116</v>
      </c>
      <c r="AD19" s="215" t="s">
        <v>116</v>
      </c>
      <c r="AE19" s="342" t="s">
        <v>116</v>
      </c>
      <c r="AF19" s="341" t="s">
        <v>116</v>
      </c>
    </row>
    <row r="20" spans="1:32">
      <c r="A20" s="307">
        <v>4</v>
      </c>
      <c r="B20" s="342"/>
      <c r="C20" s="342" t="s">
        <v>180</v>
      </c>
      <c r="D20" s="340" t="s">
        <v>240</v>
      </c>
      <c r="E20" s="342"/>
      <c r="F20" s="345" t="s">
        <v>241</v>
      </c>
      <c r="G20" s="308">
        <v>55</v>
      </c>
      <c r="H20" s="309">
        <v>500</v>
      </c>
      <c r="I20" s="309">
        <v>27500</v>
      </c>
      <c r="J20" s="211"/>
      <c r="K20" s="212" t="str">
        <f>IF(OR(J20="",G20=J20),"","*")</f>
        <v/>
      </c>
      <c r="L20" s="338" t="str">
        <f>IF($A20&lt;=L$1,I20/I$4,"")</f>
        <v/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 t="s">
        <v>116</v>
      </c>
      <c r="T20" s="213" t="e">
        <v>#DIV/0!</v>
      </c>
      <c r="U20" s="214" t="s">
        <v>116</v>
      </c>
      <c r="V20" s="215" t="s">
        <v>116</v>
      </c>
      <c r="W20" s="310">
        <v>0</v>
      </c>
      <c r="X20" s="311">
        <v>0</v>
      </c>
      <c r="Y20" s="311">
        <v>0</v>
      </c>
      <c r="Z20" s="211">
        <v>0</v>
      </c>
      <c r="AA20" s="212" t="s">
        <v>116</v>
      </c>
      <c r="AB20" s="213" t="e">
        <v>#DIV/0!</v>
      </c>
      <c r="AC20" s="214" t="s">
        <v>116</v>
      </c>
      <c r="AD20" s="215" t="s">
        <v>116</v>
      </c>
      <c r="AE20" s="342" t="s">
        <v>116</v>
      </c>
      <c r="AF20" s="341" t="s">
        <v>116</v>
      </c>
    </row>
    <row r="21" spans="1:32">
      <c r="A21" s="307">
        <v>3</v>
      </c>
      <c r="B21" s="342"/>
      <c r="C21" s="342" t="s">
        <v>222</v>
      </c>
      <c r="D21" s="340" t="s">
        <v>242</v>
      </c>
      <c r="E21" s="342"/>
      <c r="F21" s="345" t="s">
        <v>170</v>
      </c>
      <c r="G21" s="308">
        <v>1</v>
      </c>
      <c r="H21" s="309">
        <v>263200</v>
      </c>
      <c r="I21" s="309">
        <v>263200</v>
      </c>
      <c r="J21" s="211">
        <v>1</v>
      </c>
      <c r="K21" s="212" t="str">
        <f>IF(OR(J21="",G21=J21),"","*")</f>
        <v/>
      </c>
      <c r="L21" s="338">
        <f>IF($A21&lt;=L$1,I21/I$4,"")</f>
        <v>2.5806451612903226E-2</v>
      </c>
      <c r="M21" s="343"/>
      <c r="N21" s="344" t="s">
        <v>243</v>
      </c>
      <c r="O21" s="310">
        <v>0</v>
      </c>
      <c r="P21" s="311">
        <v>0</v>
      </c>
      <c r="Q21" s="311">
        <v>0</v>
      </c>
      <c r="R21" s="211">
        <v>0</v>
      </c>
      <c r="S21" s="212" t="s">
        <v>116</v>
      </c>
      <c r="T21" s="213" t="e">
        <v>#DIV/0!</v>
      </c>
      <c r="U21" s="214" t="s">
        <v>116</v>
      </c>
      <c r="V21" s="215" t="s">
        <v>116</v>
      </c>
      <c r="W21" s="310">
        <v>0</v>
      </c>
      <c r="X21" s="311">
        <v>0</v>
      </c>
      <c r="Y21" s="311">
        <v>0</v>
      </c>
      <c r="Z21" s="211">
        <v>0</v>
      </c>
      <c r="AA21" s="212" t="s">
        <v>116</v>
      </c>
      <c r="AB21" s="213" t="e">
        <v>#DIV/0!</v>
      </c>
      <c r="AC21" s="214" t="s">
        <v>116</v>
      </c>
      <c r="AD21" s="215" t="s">
        <v>116</v>
      </c>
      <c r="AE21" s="342" t="s">
        <v>116</v>
      </c>
      <c r="AF21" s="341" t="s">
        <v>116</v>
      </c>
    </row>
    <row r="22" spans="1:32">
      <c r="A22" s="307">
        <v>4</v>
      </c>
      <c r="B22" s="342"/>
      <c r="C22" s="342" t="s">
        <v>159</v>
      </c>
      <c r="D22" s="340" t="s">
        <v>225</v>
      </c>
      <c r="E22" s="342"/>
      <c r="F22" s="345" t="s">
        <v>170</v>
      </c>
      <c r="G22" s="308">
        <v>1</v>
      </c>
      <c r="H22" s="309">
        <v>5000</v>
      </c>
      <c r="I22" s="309">
        <v>5000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 t="s">
        <v>116</v>
      </c>
      <c r="T22" s="213" t="e">
        <v>#DIV/0!</v>
      </c>
      <c r="U22" s="214" t="s">
        <v>116</v>
      </c>
      <c r="V22" s="215" t="s">
        <v>116</v>
      </c>
      <c r="W22" s="310">
        <v>0</v>
      </c>
      <c r="X22" s="311">
        <v>0</v>
      </c>
      <c r="Y22" s="311">
        <v>0</v>
      </c>
      <c r="Z22" s="211">
        <v>0</v>
      </c>
      <c r="AA22" s="212" t="s">
        <v>116</v>
      </c>
      <c r="AB22" s="213" t="e">
        <v>#DIV/0!</v>
      </c>
      <c r="AC22" s="214" t="s">
        <v>116</v>
      </c>
      <c r="AD22" s="215" t="s">
        <v>116</v>
      </c>
      <c r="AE22" s="342" t="s">
        <v>116</v>
      </c>
      <c r="AF22" s="341" t="s">
        <v>116</v>
      </c>
    </row>
    <row r="23" spans="1:32">
      <c r="A23" s="307">
        <v>4</v>
      </c>
      <c r="B23" s="342"/>
      <c r="C23" s="342" t="s">
        <v>177</v>
      </c>
      <c r="D23" s="340" t="s">
        <v>226</v>
      </c>
      <c r="E23" s="342"/>
      <c r="F23" s="345" t="s">
        <v>227</v>
      </c>
      <c r="G23" s="308">
        <v>8</v>
      </c>
      <c r="H23" s="309">
        <v>20000</v>
      </c>
      <c r="I23" s="309">
        <v>160000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 t="s">
        <v>116</v>
      </c>
      <c r="T23" s="213" t="e">
        <v>#DIV/0!</v>
      </c>
      <c r="U23" s="214" t="s">
        <v>116</v>
      </c>
      <c r="V23" s="215" t="s">
        <v>116</v>
      </c>
      <c r="W23" s="310">
        <v>0</v>
      </c>
      <c r="X23" s="311">
        <v>0</v>
      </c>
      <c r="Y23" s="311">
        <v>0</v>
      </c>
      <c r="Z23" s="211">
        <v>0</v>
      </c>
      <c r="AA23" s="212" t="s">
        <v>116</v>
      </c>
      <c r="AB23" s="213" t="e">
        <v>#DIV/0!</v>
      </c>
      <c r="AC23" s="214" t="s">
        <v>116</v>
      </c>
      <c r="AD23" s="215" t="s">
        <v>116</v>
      </c>
      <c r="AE23" s="342" t="s">
        <v>116</v>
      </c>
      <c r="AF23" s="341" t="s">
        <v>116</v>
      </c>
    </row>
    <row r="24" spans="1:32">
      <c r="A24" s="307">
        <v>4</v>
      </c>
      <c r="B24" s="342"/>
      <c r="C24" s="342" t="s">
        <v>182</v>
      </c>
      <c r="D24" s="340" t="s">
        <v>228</v>
      </c>
      <c r="E24" s="342"/>
      <c r="F24" s="345" t="s">
        <v>227</v>
      </c>
      <c r="G24" s="308">
        <v>8</v>
      </c>
      <c r="H24" s="309">
        <v>3200</v>
      </c>
      <c r="I24" s="309">
        <v>25600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 t="s">
        <v>116</v>
      </c>
      <c r="T24" s="213" t="e">
        <v>#DIV/0!</v>
      </c>
      <c r="U24" s="214" t="s">
        <v>116</v>
      </c>
      <c r="V24" s="215" t="s">
        <v>116</v>
      </c>
      <c r="W24" s="310">
        <v>0</v>
      </c>
      <c r="X24" s="311">
        <v>0</v>
      </c>
      <c r="Y24" s="311">
        <v>0</v>
      </c>
      <c r="Z24" s="211">
        <v>0</v>
      </c>
      <c r="AA24" s="212" t="s">
        <v>116</v>
      </c>
      <c r="AB24" s="213" t="e">
        <v>#DIV/0!</v>
      </c>
      <c r="AC24" s="214" t="s">
        <v>116</v>
      </c>
      <c r="AD24" s="215" t="s">
        <v>116</v>
      </c>
      <c r="AE24" s="342" t="s">
        <v>116</v>
      </c>
      <c r="AF24" s="341" t="s">
        <v>116</v>
      </c>
    </row>
    <row r="25" spans="1:32">
      <c r="A25" s="307">
        <v>4</v>
      </c>
      <c r="B25" s="342"/>
      <c r="C25" s="342" t="s">
        <v>179</v>
      </c>
      <c r="D25" s="340" t="s">
        <v>229</v>
      </c>
      <c r="E25" s="342"/>
      <c r="F25" s="345" t="s">
        <v>230</v>
      </c>
      <c r="G25" s="308">
        <v>1</v>
      </c>
      <c r="H25" s="309">
        <v>12000</v>
      </c>
      <c r="I25" s="309">
        <v>12000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 t="s">
        <v>116</v>
      </c>
      <c r="T25" s="213" t="e">
        <v>#DIV/0!</v>
      </c>
      <c r="U25" s="214" t="s">
        <v>116</v>
      </c>
      <c r="V25" s="215" t="s">
        <v>116</v>
      </c>
      <c r="W25" s="310">
        <v>0</v>
      </c>
      <c r="X25" s="311">
        <v>0</v>
      </c>
      <c r="Y25" s="311">
        <v>0</v>
      </c>
      <c r="Z25" s="211">
        <v>0</v>
      </c>
      <c r="AA25" s="212" t="s">
        <v>116</v>
      </c>
      <c r="AB25" s="213" t="e">
        <v>#DIV/0!</v>
      </c>
      <c r="AC25" s="214" t="s">
        <v>116</v>
      </c>
      <c r="AD25" s="215" t="s">
        <v>116</v>
      </c>
      <c r="AE25" s="342" t="s">
        <v>116</v>
      </c>
      <c r="AF25" s="341" t="s">
        <v>116</v>
      </c>
    </row>
    <row r="26" spans="1:32">
      <c r="A26" s="307">
        <v>4</v>
      </c>
      <c r="B26" s="342"/>
      <c r="C26" s="342" t="s">
        <v>179</v>
      </c>
      <c r="D26" s="340" t="s">
        <v>231</v>
      </c>
      <c r="E26" s="342"/>
      <c r="F26" s="345" t="s">
        <v>230</v>
      </c>
      <c r="G26" s="308">
        <v>1</v>
      </c>
      <c r="H26" s="309">
        <v>8000</v>
      </c>
      <c r="I26" s="309">
        <v>8000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 t="s">
        <v>116</v>
      </c>
      <c r="T26" s="213" t="e">
        <v>#DIV/0!</v>
      </c>
      <c r="U26" s="214" t="s">
        <v>116</v>
      </c>
      <c r="V26" s="215" t="s">
        <v>116</v>
      </c>
      <c r="W26" s="310">
        <v>0</v>
      </c>
      <c r="X26" s="311">
        <v>0</v>
      </c>
      <c r="Y26" s="311">
        <v>0</v>
      </c>
      <c r="Z26" s="211">
        <v>0</v>
      </c>
      <c r="AA26" s="212" t="s">
        <v>116</v>
      </c>
      <c r="AB26" s="213" t="e">
        <v>#DIV/0!</v>
      </c>
      <c r="AC26" s="214" t="s">
        <v>116</v>
      </c>
      <c r="AD26" s="215" t="s">
        <v>116</v>
      </c>
      <c r="AE26" s="342" t="s">
        <v>116</v>
      </c>
      <c r="AF26" s="341" t="s">
        <v>116</v>
      </c>
    </row>
    <row r="27" spans="1:32">
      <c r="A27" s="307">
        <v>4</v>
      </c>
      <c r="B27" s="342"/>
      <c r="C27" s="342" t="s">
        <v>179</v>
      </c>
      <c r="D27" s="340" t="s">
        <v>232</v>
      </c>
      <c r="E27" s="342"/>
      <c r="F27" s="345" t="s">
        <v>230</v>
      </c>
      <c r="G27" s="308">
        <v>1</v>
      </c>
      <c r="H27" s="309">
        <v>6000</v>
      </c>
      <c r="I27" s="309">
        <v>6000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 t="s">
        <v>116</v>
      </c>
      <c r="T27" s="213" t="e">
        <v>#DIV/0!</v>
      </c>
      <c r="U27" s="214" t="s">
        <v>116</v>
      </c>
      <c r="V27" s="215" t="s">
        <v>116</v>
      </c>
      <c r="W27" s="310">
        <v>0</v>
      </c>
      <c r="X27" s="311">
        <v>0</v>
      </c>
      <c r="Y27" s="311">
        <v>0</v>
      </c>
      <c r="Z27" s="211">
        <v>0</v>
      </c>
      <c r="AA27" s="212" t="s">
        <v>116</v>
      </c>
      <c r="AB27" s="213" t="e">
        <v>#DIV/0!</v>
      </c>
      <c r="AC27" s="214" t="s">
        <v>116</v>
      </c>
      <c r="AD27" s="215" t="s">
        <v>116</v>
      </c>
      <c r="AE27" s="342" t="s">
        <v>116</v>
      </c>
      <c r="AF27" s="341" t="s">
        <v>116</v>
      </c>
    </row>
    <row r="28" spans="1:32">
      <c r="A28" s="307">
        <v>4</v>
      </c>
      <c r="B28" s="342"/>
      <c r="C28" s="342" t="s">
        <v>179</v>
      </c>
      <c r="D28" s="340" t="s">
        <v>233</v>
      </c>
      <c r="E28" s="342"/>
      <c r="F28" s="345" t="s">
        <v>170</v>
      </c>
      <c r="G28" s="308">
        <v>1</v>
      </c>
      <c r="H28" s="309">
        <v>5000</v>
      </c>
      <c r="I28" s="309">
        <v>5000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 t="s">
        <v>116</v>
      </c>
      <c r="T28" s="213" t="e">
        <v>#DIV/0!</v>
      </c>
      <c r="U28" s="214" t="s">
        <v>116</v>
      </c>
      <c r="V28" s="215" t="s">
        <v>116</v>
      </c>
      <c r="W28" s="310">
        <v>0</v>
      </c>
      <c r="X28" s="311">
        <v>0</v>
      </c>
      <c r="Y28" s="311">
        <v>0</v>
      </c>
      <c r="Z28" s="211">
        <v>0</v>
      </c>
      <c r="AA28" s="212" t="s">
        <v>116</v>
      </c>
      <c r="AB28" s="213" t="e">
        <v>#DIV/0!</v>
      </c>
      <c r="AC28" s="214" t="s">
        <v>116</v>
      </c>
      <c r="AD28" s="215" t="s">
        <v>116</v>
      </c>
      <c r="AE28" s="342" t="s">
        <v>116</v>
      </c>
      <c r="AF28" s="341" t="s">
        <v>116</v>
      </c>
    </row>
    <row r="29" spans="1:32">
      <c r="A29" s="307">
        <v>4</v>
      </c>
      <c r="B29" s="342"/>
      <c r="C29" s="342" t="s">
        <v>180</v>
      </c>
      <c r="D29" s="340" t="s">
        <v>235</v>
      </c>
      <c r="E29" s="342"/>
      <c r="F29" s="345" t="s">
        <v>230</v>
      </c>
      <c r="G29" s="308">
        <v>2</v>
      </c>
      <c r="H29" s="309">
        <v>8000</v>
      </c>
      <c r="I29" s="309">
        <v>16000</v>
      </c>
      <c r="J29" s="211"/>
      <c r="K29" s="212" t="str">
        <f>IF(OR(J29="",G29=J29),"","*")</f>
        <v/>
      </c>
      <c r="L29" s="338" t="str">
        <f>IF($A29&lt;=L$1,I29/I$4,"")</f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 t="s">
        <v>116</v>
      </c>
      <c r="T29" s="213" t="e">
        <v>#DIV/0!</v>
      </c>
      <c r="U29" s="214" t="s">
        <v>116</v>
      </c>
      <c r="V29" s="215" t="s">
        <v>116</v>
      </c>
      <c r="W29" s="310">
        <v>0</v>
      </c>
      <c r="X29" s="311">
        <v>0</v>
      </c>
      <c r="Y29" s="311">
        <v>0</v>
      </c>
      <c r="Z29" s="211">
        <v>0</v>
      </c>
      <c r="AA29" s="212" t="s">
        <v>116</v>
      </c>
      <c r="AB29" s="213" t="e">
        <v>#DIV/0!</v>
      </c>
      <c r="AC29" s="214" t="s">
        <v>116</v>
      </c>
      <c r="AD29" s="215" t="s">
        <v>116</v>
      </c>
      <c r="AE29" s="342" t="s">
        <v>116</v>
      </c>
      <c r="AF29" s="341" t="s">
        <v>116</v>
      </c>
    </row>
    <row r="30" spans="1:32">
      <c r="A30" s="307">
        <v>4</v>
      </c>
      <c r="B30" s="342"/>
      <c r="C30" s="342" t="s">
        <v>180</v>
      </c>
      <c r="D30" s="340" t="s">
        <v>236</v>
      </c>
      <c r="E30" s="342"/>
      <c r="F30" s="345" t="s">
        <v>230</v>
      </c>
      <c r="G30" s="308">
        <v>2</v>
      </c>
      <c r="H30" s="309">
        <v>6000</v>
      </c>
      <c r="I30" s="309">
        <v>12000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 t="s">
        <v>116</v>
      </c>
      <c r="T30" s="213" t="e">
        <v>#DIV/0!</v>
      </c>
      <c r="U30" s="214" t="s">
        <v>116</v>
      </c>
      <c r="V30" s="215" t="s">
        <v>116</v>
      </c>
      <c r="W30" s="310">
        <v>0</v>
      </c>
      <c r="X30" s="311">
        <v>0</v>
      </c>
      <c r="Y30" s="311">
        <v>0</v>
      </c>
      <c r="Z30" s="211">
        <v>0</v>
      </c>
      <c r="AA30" s="212" t="s">
        <v>116</v>
      </c>
      <c r="AB30" s="213" t="e">
        <v>#DIV/0!</v>
      </c>
      <c r="AC30" s="214" t="s">
        <v>116</v>
      </c>
      <c r="AD30" s="215" t="s">
        <v>116</v>
      </c>
      <c r="AE30" s="342" t="s">
        <v>116</v>
      </c>
      <c r="AF30" s="341" t="s">
        <v>116</v>
      </c>
    </row>
    <row r="31" spans="1:32">
      <c r="A31" s="307">
        <v>4</v>
      </c>
      <c r="B31" s="342"/>
      <c r="C31" s="342" t="s">
        <v>159</v>
      </c>
      <c r="D31" s="340" t="s">
        <v>237</v>
      </c>
      <c r="E31" s="342"/>
      <c r="F31" s="345" t="s">
        <v>238</v>
      </c>
      <c r="G31" s="308">
        <v>80</v>
      </c>
      <c r="H31" s="309">
        <v>170</v>
      </c>
      <c r="I31" s="309">
        <v>13600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 t="s">
        <v>116</v>
      </c>
      <c r="T31" s="213" t="e">
        <v>#DIV/0!</v>
      </c>
      <c r="U31" s="214" t="s">
        <v>116</v>
      </c>
      <c r="V31" s="215" t="s">
        <v>116</v>
      </c>
      <c r="W31" s="310">
        <v>0</v>
      </c>
      <c r="X31" s="311">
        <v>0</v>
      </c>
      <c r="Y31" s="311">
        <v>0</v>
      </c>
      <c r="Z31" s="211">
        <v>0</v>
      </c>
      <c r="AA31" s="212" t="s">
        <v>116</v>
      </c>
      <c r="AB31" s="213" t="e">
        <v>#DIV/0!</v>
      </c>
      <c r="AC31" s="214" t="s">
        <v>116</v>
      </c>
      <c r="AD31" s="215" t="s">
        <v>116</v>
      </c>
      <c r="AE31" s="342" t="s">
        <v>116</v>
      </c>
      <c r="AF31" s="341" t="s">
        <v>116</v>
      </c>
    </row>
    <row r="32" spans="1:32">
      <c r="A32" s="307">
        <v>3</v>
      </c>
      <c r="B32" s="342"/>
      <c r="C32" s="342" t="s">
        <v>222</v>
      </c>
      <c r="D32" s="340" t="s">
        <v>244</v>
      </c>
      <c r="E32" s="342"/>
      <c r="F32" s="345" t="s">
        <v>170</v>
      </c>
      <c r="G32" s="308">
        <v>1</v>
      </c>
      <c r="H32" s="309">
        <v>298800</v>
      </c>
      <c r="I32" s="309">
        <v>298800</v>
      </c>
      <c r="J32" s="211">
        <v>1</v>
      </c>
      <c r="K32" s="212" t="str">
        <f>IF(OR(J32="",G32=J32),"","*")</f>
        <v/>
      </c>
      <c r="L32" s="338">
        <f>IF($A32&lt;=L$1,I32/I$4,"")</f>
        <v>2.9296989900970682E-2</v>
      </c>
      <c r="M32" s="343"/>
      <c r="N32" s="344" t="s">
        <v>245</v>
      </c>
      <c r="O32" s="310">
        <v>0</v>
      </c>
      <c r="P32" s="311">
        <v>0</v>
      </c>
      <c r="Q32" s="311">
        <v>0</v>
      </c>
      <c r="R32" s="211">
        <v>0</v>
      </c>
      <c r="S32" s="212" t="s">
        <v>116</v>
      </c>
      <c r="T32" s="213" t="e">
        <v>#DIV/0!</v>
      </c>
      <c r="U32" s="214" t="s">
        <v>116</v>
      </c>
      <c r="V32" s="215" t="s">
        <v>116</v>
      </c>
      <c r="W32" s="310">
        <v>0</v>
      </c>
      <c r="X32" s="311">
        <v>0</v>
      </c>
      <c r="Y32" s="311">
        <v>0</v>
      </c>
      <c r="Z32" s="211">
        <v>0</v>
      </c>
      <c r="AA32" s="212" t="s">
        <v>116</v>
      </c>
      <c r="AB32" s="213" t="e">
        <v>#DIV/0!</v>
      </c>
      <c r="AC32" s="214" t="s">
        <v>116</v>
      </c>
      <c r="AD32" s="215" t="s">
        <v>116</v>
      </c>
      <c r="AE32" s="342" t="s">
        <v>116</v>
      </c>
      <c r="AF32" s="341" t="s">
        <v>116</v>
      </c>
    </row>
    <row r="33" spans="1:32">
      <c r="A33" s="307">
        <v>4</v>
      </c>
      <c r="B33" s="342"/>
      <c r="C33" s="342" t="s">
        <v>159</v>
      </c>
      <c r="D33" s="340" t="s">
        <v>225</v>
      </c>
      <c r="E33" s="342"/>
      <c r="F33" s="345" t="s">
        <v>170</v>
      </c>
      <c r="G33" s="308">
        <v>1</v>
      </c>
      <c r="H33" s="309">
        <v>5000</v>
      </c>
      <c r="I33" s="309">
        <v>5000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 t="s">
        <v>116</v>
      </c>
      <c r="T33" s="213" t="e">
        <v>#DIV/0!</v>
      </c>
      <c r="U33" s="214" t="s">
        <v>116</v>
      </c>
      <c r="V33" s="215" t="s">
        <v>116</v>
      </c>
      <c r="W33" s="310">
        <v>0</v>
      </c>
      <c r="X33" s="311">
        <v>0</v>
      </c>
      <c r="Y33" s="311">
        <v>0</v>
      </c>
      <c r="Z33" s="211">
        <v>0</v>
      </c>
      <c r="AA33" s="212" t="s">
        <v>116</v>
      </c>
      <c r="AB33" s="213" t="e">
        <v>#DIV/0!</v>
      </c>
      <c r="AC33" s="214" t="s">
        <v>116</v>
      </c>
      <c r="AD33" s="215" t="s">
        <v>116</v>
      </c>
      <c r="AE33" s="342" t="s">
        <v>116</v>
      </c>
      <c r="AF33" s="341" t="s">
        <v>116</v>
      </c>
    </row>
    <row r="34" spans="1:32">
      <c r="A34" s="307">
        <v>4</v>
      </c>
      <c r="B34" s="342"/>
      <c r="C34" s="342" t="s">
        <v>177</v>
      </c>
      <c r="D34" s="340" t="s">
        <v>226</v>
      </c>
      <c r="E34" s="342"/>
      <c r="F34" s="345" t="s">
        <v>227</v>
      </c>
      <c r="G34" s="308">
        <v>6</v>
      </c>
      <c r="H34" s="309">
        <v>20000</v>
      </c>
      <c r="I34" s="309">
        <v>120000</v>
      </c>
      <c r="J34" s="211"/>
      <c r="K34" s="212" t="str">
        <f>IF(OR(J34="",G34=J34),"","*")</f>
        <v/>
      </c>
      <c r="L34" s="338" t="str">
        <f>IF($A34&lt;=L$1,I34/I$4,"")</f>
        <v/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 t="s">
        <v>116</v>
      </c>
      <c r="T34" s="213" t="e">
        <v>#DIV/0!</v>
      </c>
      <c r="U34" s="214" t="s">
        <v>116</v>
      </c>
      <c r="V34" s="215" t="s">
        <v>116</v>
      </c>
      <c r="W34" s="310">
        <v>0</v>
      </c>
      <c r="X34" s="311">
        <v>0</v>
      </c>
      <c r="Y34" s="311">
        <v>0</v>
      </c>
      <c r="Z34" s="211">
        <v>0</v>
      </c>
      <c r="AA34" s="212" t="s">
        <v>116</v>
      </c>
      <c r="AB34" s="213" t="e">
        <v>#DIV/0!</v>
      </c>
      <c r="AC34" s="214" t="s">
        <v>116</v>
      </c>
      <c r="AD34" s="215" t="s">
        <v>116</v>
      </c>
      <c r="AE34" s="342" t="s">
        <v>116</v>
      </c>
      <c r="AF34" s="341" t="s">
        <v>116</v>
      </c>
    </row>
    <row r="35" spans="1:32">
      <c r="A35" s="307">
        <v>4</v>
      </c>
      <c r="B35" s="342"/>
      <c r="C35" s="342" t="s">
        <v>182</v>
      </c>
      <c r="D35" s="340" t="s">
        <v>228</v>
      </c>
      <c r="E35" s="342"/>
      <c r="F35" s="345" t="s">
        <v>227</v>
      </c>
      <c r="G35" s="308">
        <v>6</v>
      </c>
      <c r="H35" s="309">
        <v>3200</v>
      </c>
      <c r="I35" s="309">
        <v>19200</v>
      </c>
      <c r="J35" s="211"/>
      <c r="K35" s="212" t="str">
        <f>IF(OR(J35="",G35=J35),"","*")</f>
        <v/>
      </c>
      <c r="L35" s="338" t="str">
        <f>IF($A35&lt;=L$1,I35/I$4,"")</f>
        <v/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 t="s">
        <v>116</v>
      </c>
      <c r="T35" s="213" t="e">
        <v>#DIV/0!</v>
      </c>
      <c r="U35" s="214" t="s">
        <v>116</v>
      </c>
      <c r="V35" s="215" t="s">
        <v>116</v>
      </c>
      <c r="W35" s="310">
        <v>0</v>
      </c>
      <c r="X35" s="311">
        <v>0</v>
      </c>
      <c r="Y35" s="311">
        <v>0</v>
      </c>
      <c r="Z35" s="211">
        <v>0</v>
      </c>
      <c r="AA35" s="212" t="s">
        <v>116</v>
      </c>
      <c r="AB35" s="213" t="e">
        <v>#DIV/0!</v>
      </c>
      <c r="AC35" s="214" t="s">
        <v>116</v>
      </c>
      <c r="AD35" s="215" t="s">
        <v>116</v>
      </c>
      <c r="AE35" s="342" t="s">
        <v>116</v>
      </c>
      <c r="AF35" s="341" t="s">
        <v>116</v>
      </c>
    </row>
    <row r="36" spans="1:32">
      <c r="A36" s="307">
        <v>4</v>
      </c>
      <c r="B36" s="342"/>
      <c r="C36" s="342" t="s">
        <v>179</v>
      </c>
      <c r="D36" s="340" t="s">
        <v>229</v>
      </c>
      <c r="E36" s="342"/>
      <c r="F36" s="345" t="s">
        <v>230</v>
      </c>
      <c r="G36" s="308">
        <v>1</v>
      </c>
      <c r="H36" s="309">
        <v>12000</v>
      </c>
      <c r="I36" s="309">
        <v>12000</v>
      </c>
      <c r="J36" s="211"/>
      <c r="K36" s="212" t="str">
        <f>IF(OR(J36="",G36=J36),"","*")</f>
        <v/>
      </c>
      <c r="L36" s="338" t="str">
        <f>IF($A36&lt;=L$1,I36/I$4,"")</f>
        <v/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 t="s">
        <v>116</v>
      </c>
      <c r="T36" s="213" t="e">
        <v>#DIV/0!</v>
      </c>
      <c r="U36" s="214" t="s">
        <v>116</v>
      </c>
      <c r="V36" s="215" t="s">
        <v>116</v>
      </c>
      <c r="W36" s="310">
        <v>0</v>
      </c>
      <c r="X36" s="311">
        <v>0</v>
      </c>
      <c r="Y36" s="311">
        <v>0</v>
      </c>
      <c r="Z36" s="211">
        <v>0</v>
      </c>
      <c r="AA36" s="212" t="s">
        <v>116</v>
      </c>
      <c r="AB36" s="213" t="e">
        <v>#DIV/0!</v>
      </c>
      <c r="AC36" s="214" t="s">
        <v>116</v>
      </c>
      <c r="AD36" s="215" t="s">
        <v>116</v>
      </c>
      <c r="AE36" s="342" t="s">
        <v>116</v>
      </c>
      <c r="AF36" s="341" t="s">
        <v>116</v>
      </c>
    </row>
    <row r="37" spans="1:32">
      <c r="A37" s="307">
        <v>4</v>
      </c>
      <c r="B37" s="342"/>
      <c r="C37" s="342" t="s">
        <v>179</v>
      </c>
      <c r="D37" s="340" t="s">
        <v>231</v>
      </c>
      <c r="E37" s="342"/>
      <c r="F37" s="345" t="s">
        <v>230</v>
      </c>
      <c r="G37" s="308">
        <v>1</v>
      </c>
      <c r="H37" s="309">
        <v>8000</v>
      </c>
      <c r="I37" s="309">
        <v>8000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 t="s">
        <v>116</v>
      </c>
      <c r="T37" s="213" t="e">
        <v>#DIV/0!</v>
      </c>
      <c r="U37" s="214" t="s">
        <v>116</v>
      </c>
      <c r="V37" s="215" t="s">
        <v>116</v>
      </c>
      <c r="W37" s="310">
        <v>0</v>
      </c>
      <c r="X37" s="311">
        <v>0</v>
      </c>
      <c r="Y37" s="311">
        <v>0</v>
      </c>
      <c r="Z37" s="211">
        <v>0</v>
      </c>
      <c r="AA37" s="212" t="s">
        <v>116</v>
      </c>
      <c r="AB37" s="213" t="e">
        <v>#DIV/0!</v>
      </c>
      <c r="AC37" s="214" t="s">
        <v>116</v>
      </c>
      <c r="AD37" s="215" t="s">
        <v>116</v>
      </c>
      <c r="AE37" s="342" t="s">
        <v>116</v>
      </c>
      <c r="AF37" s="341" t="s">
        <v>116</v>
      </c>
    </row>
    <row r="38" spans="1:32">
      <c r="A38" s="307">
        <v>4</v>
      </c>
      <c r="B38" s="342"/>
      <c r="C38" s="342" t="s">
        <v>179</v>
      </c>
      <c r="D38" s="340" t="s">
        <v>232</v>
      </c>
      <c r="E38" s="342"/>
      <c r="F38" s="345" t="s">
        <v>230</v>
      </c>
      <c r="G38" s="308">
        <v>1</v>
      </c>
      <c r="H38" s="309">
        <v>6000</v>
      </c>
      <c r="I38" s="309">
        <v>6000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 t="s">
        <v>116</v>
      </c>
      <c r="T38" s="213" t="e">
        <v>#DIV/0!</v>
      </c>
      <c r="U38" s="214" t="s">
        <v>116</v>
      </c>
      <c r="V38" s="215" t="s">
        <v>116</v>
      </c>
      <c r="W38" s="310">
        <v>0</v>
      </c>
      <c r="X38" s="311">
        <v>0</v>
      </c>
      <c r="Y38" s="311">
        <v>0</v>
      </c>
      <c r="Z38" s="211">
        <v>0</v>
      </c>
      <c r="AA38" s="212" t="s">
        <v>116</v>
      </c>
      <c r="AB38" s="213" t="e">
        <v>#DIV/0!</v>
      </c>
      <c r="AC38" s="214" t="s">
        <v>116</v>
      </c>
      <c r="AD38" s="215" t="s">
        <v>116</v>
      </c>
      <c r="AE38" s="342" t="s">
        <v>116</v>
      </c>
      <c r="AF38" s="341" t="s">
        <v>116</v>
      </c>
    </row>
    <row r="39" spans="1:32">
      <c r="A39" s="307">
        <v>4</v>
      </c>
      <c r="B39" s="342"/>
      <c r="C39" s="342" t="s">
        <v>179</v>
      </c>
      <c r="D39" s="340" t="s">
        <v>233</v>
      </c>
      <c r="E39" s="342"/>
      <c r="F39" s="345" t="s">
        <v>170</v>
      </c>
      <c r="G39" s="308">
        <v>1</v>
      </c>
      <c r="H39" s="309">
        <v>5000</v>
      </c>
      <c r="I39" s="309">
        <v>5000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 t="s">
        <v>116</v>
      </c>
      <c r="T39" s="213" t="e">
        <v>#DIV/0!</v>
      </c>
      <c r="U39" s="214" t="s">
        <v>116</v>
      </c>
      <c r="V39" s="215" t="s">
        <v>116</v>
      </c>
      <c r="W39" s="310">
        <v>0</v>
      </c>
      <c r="X39" s="311">
        <v>0</v>
      </c>
      <c r="Y39" s="311">
        <v>0</v>
      </c>
      <c r="Z39" s="211">
        <v>0</v>
      </c>
      <c r="AA39" s="212" t="s">
        <v>116</v>
      </c>
      <c r="AB39" s="213" t="e">
        <v>#DIV/0!</v>
      </c>
      <c r="AC39" s="214" t="s">
        <v>116</v>
      </c>
      <c r="AD39" s="215" t="s">
        <v>116</v>
      </c>
      <c r="AE39" s="342" t="s">
        <v>116</v>
      </c>
      <c r="AF39" s="341" t="s">
        <v>116</v>
      </c>
    </row>
    <row r="40" spans="1:32">
      <c r="A40" s="307">
        <v>4</v>
      </c>
      <c r="B40" s="342"/>
      <c r="C40" s="342" t="s">
        <v>180</v>
      </c>
      <c r="D40" s="340" t="s">
        <v>235</v>
      </c>
      <c r="E40" s="342"/>
      <c r="F40" s="345" t="s">
        <v>230</v>
      </c>
      <c r="G40" s="308">
        <v>2</v>
      </c>
      <c r="H40" s="309">
        <v>8000</v>
      </c>
      <c r="I40" s="309">
        <v>16000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 t="s">
        <v>116</v>
      </c>
      <c r="T40" s="213" t="e">
        <v>#DIV/0!</v>
      </c>
      <c r="U40" s="214" t="s">
        <v>116</v>
      </c>
      <c r="V40" s="215" t="s">
        <v>116</v>
      </c>
      <c r="W40" s="310">
        <v>0</v>
      </c>
      <c r="X40" s="311">
        <v>0</v>
      </c>
      <c r="Y40" s="311">
        <v>0</v>
      </c>
      <c r="Z40" s="211">
        <v>0</v>
      </c>
      <c r="AA40" s="212" t="s">
        <v>116</v>
      </c>
      <c r="AB40" s="213" t="e">
        <v>#DIV/0!</v>
      </c>
      <c r="AC40" s="214" t="s">
        <v>116</v>
      </c>
      <c r="AD40" s="215" t="s">
        <v>116</v>
      </c>
      <c r="AE40" s="342" t="s">
        <v>116</v>
      </c>
      <c r="AF40" s="341" t="s">
        <v>116</v>
      </c>
    </row>
    <row r="41" spans="1:32">
      <c r="A41" s="307">
        <v>4</v>
      </c>
      <c r="B41" s="342"/>
      <c r="C41" s="342" t="s">
        <v>180</v>
      </c>
      <c r="D41" s="340" t="s">
        <v>236</v>
      </c>
      <c r="E41" s="342"/>
      <c r="F41" s="345" t="s">
        <v>230</v>
      </c>
      <c r="G41" s="308">
        <v>2</v>
      </c>
      <c r="H41" s="309">
        <v>6000</v>
      </c>
      <c r="I41" s="309">
        <v>12000</v>
      </c>
      <c r="J41" s="211"/>
      <c r="K41" s="212" t="str">
        <f>IF(OR(J41="",G41=J41),"","*")</f>
        <v/>
      </c>
      <c r="L41" s="338" t="str">
        <f>IF($A41&lt;=L$1,I41/I$4,"")</f>
        <v/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 t="s">
        <v>116</v>
      </c>
      <c r="T41" s="213" t="e">
        <v>#DIV/0!</v>
      </c>
      <c r="U41" s="214" t="s">
        <v>116</v>
      </c>
      <c r="V41" s="215" t="s">
        <v>116</v>
      </c>
      <c r="W41" s="310">
        <v>0</v>
      </c>
      <c r="X41" s="311">
        <v>0</v>
      </c>
      <c r="Y41" s="311">
        <v>0</v>
      </c>
      <c r="Z41" s="211">
        <v>0</v>
      </c>
      <c r="AA41" s="212" t="s">
        <v>116</v>
      </c>
      <c r="AB41" s="213" t="e">
        <v>#DIV/0!</v>
      </c>
      <c r="AC41" s="214" t="s">
        <v>116</v>
      </c>
      <c r="AD41" s="215" t="s">
        <v>116</v>
      </c>
      <c r="AE41" s="342" t="s">
        <v>116</v>
      </c>
      <c r="AF41" s="341" t="s">
        <v>116</v>
      </c>
    </row>
    <row r="42" spans="1:32">
      <c r="A42" s="307">
        <v>4</v>
      </c>
      <c r="B42" s="342"/>
      <c r="C42" s="342" t="s">
        <v>159</v>
      </c>
      <c r="D42" s="340" t="s">
        <v>237</v>
      </c>
      <c r="E42" s="342"/>
      <c r="F42" s="345" t="s">
        <v>238</v>
      </c>
      <c r="G42" s="308">
        <v>80</v>
      </c>
      <c r="H42" s="309">
        <v>170</v>
      </c>
      <c r="I42" s="309">
        <v>13600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 t="s">
        <v>116</v>
      </c>
      <c r="T42" s="213" t="e">
        <v>#DIV/0!</v>
      </c>
      <c r="U42" s="214" t="s">
        <v>116</v>
      </c>
      <c r="V42" s="215" t="s">
        <v>116</v>
      </c>
      <c r="W42" s="310">
        <v>0</v>
      </c>
      <c r="X42" s="311">
        <v>0</v>
      </c>
      <c r="Y42" s="311">
        <v>0</v>
      </c>
      <c r="Z42" s="211">
        <v>0</v>
      </c>
      <c r="AA42" s="212" t="s">
        <v>116</v>
      </c>
      <c r="AB42" s="213" t="e">
        <v>#DIV/0!</v>
      </c>
      <c r="AC42" s="214" t="s">
        <v>116</v>
      </c>
      <c r="AD42" s="215" t="s">
        <v>116</v>
      </c>
      <c r="AE42" s="342" t="s">
        <v>116</v>
      </c>
      <c r="AF42" s="341" t="s">
        <v>116</v>
      </c>
    </row>
    <row r="43" spans="1:32">
      <c r="A43" s="307">
        <v>4</v>
      </c>
      <c r="B43" s="342"/>
      <c r="C43" s="342" t="s">
        <v>159</v>
      </c>
      <c r="D43" s="340" t="s">
        <v>246</v>
      </c>
      <c r="E43" s="342"/>
      <c r="F43" s="345" t="s">
        <v>241</v>
      </c>
      <c r="G43" s="308">
        <v>50</v>
      </c>
      <c r="H43" s="309">
        <v>1000</v>
      </c>
      <c r="I43" s="309">
        <v>50000</v>
      </c>
      <c r="J43" s="211"/>
      <c r="K43" s="212" t="str">
        <f>IF(OR(J43="",G43=J43),"","*")</f>
        <v/>
      </c>
      <c r="L43" s="338" t="str">
        <f>IF($A43&lt;=L$1,I43/I$4,"")</f>
        <v/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 t="s">
        <v>116</v>
      </c>
      <c r="T43" s="213" t="e">
        <v>#DIV/0!</v>
      </c>
      <c r="U43" s="214" t="s">
        <v>116</v>
      </c>
      <c r="V43" s="215" t="s">
        <v>116</v>
      </c>
      <c r="W43" s="310">
        <v>0</v>
      </c>
      <c r="X43" s="311">
        <v>0</v>
      </c>
      <c r="Y43" s="311">
        <v>0</v>
      </c>
      <c r="Z43" s="211">
        <v>0</v>
      </c>
      <c r="AA43" s="212" t="s">
        <v>116</v>
      </c>
      <c r="AB43" s="213" t="e">
        <v>#DIV/0!</v>
      </c>
      <c r="AC43" s="214" t="s">
        <v>116</v>
      </c>
      <c r="AD43" s="215" t="s">
        <v>116</v>
      </c>
      <c r="AE43" s="342" t="s">
        <v>116</v>
      </c>
      <c r="AF43" s="341" t="s">
        <v>116</v>
      </c>
    </row>
    <row r="44" spans="1:32">
      <c r="A44" s="307">
        <v>4</v>
      </c>
      <c r="B44" s="342"/>
      <c r="C44" s="342" t="s">
        <v>159</v>
      </c>
      <c r="D44" s="340" t="s">
        <v>247</v>
      </c>
      <c r="E44" s="342"/>
      <c r="F44" s="345" t="s">
        <v>248</v>
      </c>
      <c r="G44" s="308">
        <v>40</v>
      </c>
      <c r="H44" s="309">
        <v>800</v>
      </c>
      <c r="I44" s="309">
        <v>32000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 t="s">
        <v>116</v>
      </c>
      <c r="T44" s="213" t="e">
        <v>#DIV/0!</v>
      </c>
      <c r="U44" s="214" t="s">
        <v>116</v>
      </c>
      <c r="V44" s="215" t="s">
        <v>116</v>
      </c>
      <c r="W44" s="310">
        <v>0</v>
      </c>
      <c r="X44" s="311">
        <v>0</v>
      </c>
      <c r="Y44" s="311">
        <v>0</v>
      </c>
      <c r="Z44" s="211">
        <v>0</v>
      </c>
      <c r="AA44" s="212" t="s">
        <v>116</v>
      </c>
      <c r="AB44" s="213" t="e">
        <v>#DIV/0!</v>
      </c>
      <c r="AC44" s="214" t="s">
        <v>116</v>
      </c>
      <c r="AD44" s="215" t="s">
        <v>116</v>
      </c>
      <c r="AE44" s="342" t="s">
        <v>116</v>
      </c>
      <c r="AF44" s="341" t="s">
        <v>116</v>
      </c>
    </row>
    <row r="45" spans="1:32">
      <c r="A45" s="307">
        <v>3</v>
      </c>
      <c r="B45" s="342"/>
      <c r="C45" s="342" t="s">
        <v>222</v>
      </c>
      <c r="D45" s="340" t="s">
        <v>249</v>
      </c>
      <c r="E45" s="342"/>
      <c r="F45" s="345" t="s">
        <v>170</v>
      </c>
      <c r="G45" s="308">
        <v>1</v>
      </c>
      <c r="H45" s="309">
        <v>1191100</v>
      </c>
      <c r="I45" s="309">
        <v>1191100</v>
      </c>
      <c r="J45" s="211">
        <v>1</v>
      </c>
      <c r="K45" s="212" t="str">
        <f>IF(OR(J45="",G45=J45),"","*")</f>
        <v/>
      </c>
      <c r="L45" s="338">
        <f>IF($A45&lt;=L$1,I45/I$4,"")</f>
        <v>0.11678595940778508</v>
      </c>
      <c r="M45" s="343"/>
      <c r="N45" s="344" t="s">
        <v>250</v>
      </c>
      <c r="O45" s="310">
        <v>0</v>
      </c>
      <c r="P45" s="311">
        <v>0</v>
      </c>
      <c r="Q45" s="311">
        <v>0</v>
      </c>
      <c r="R45" s="211">
        <v>0</v>
      </c>
      <c r="S45" s="212" t="s">
        <v>116</v>
      </c>
      <c r="T45" s="213" t="e">
        <v>#DIV/0!</v>
      </c>
      <c r="U45" s="214" t="s">
        <v>116</v>
      </c>
      <c r="V45" s="215" t="s">
        <v>116</v>
      </c>
      <c r="W45" s="310">
        <v>0</v>
      </c>
      <c r="X45" s="311">
        <v>0</v>
      </c>
      <c r="Y45" s="311">
        <v>0</v>
      </c>
      <c r="Z45" s="211">
        <v>0</v>
      </c>
      <c r="AA45" s="212" t="s">
        <v>116</v>
      </c>
      <c r="AB45" s="213" t="e">
        <v>#DIV/0!</v>
      </c>
      <c r="AC45" s="214" t="s">
        <v>116</v>
      </c>
      <c r="AD45" s="215" t="s">
        <v>116</v>
      </c>
      <c r="AE45" s="342" t="s">
        <v>116</v>
      </c>
      <c r="AF45" s="341" t="s">
        <v>116</v>
      </c>
    </row>
    <row r="46" spans="1:32">
      <c r="A46" s="307">
        <v>4</v>
      </c>
      <c r="B46" s="342"/>
      <c r="C46" s="342" t="s">
        <v>159</v>
      </c>
      <c r="D46" s="340" t="s">
        <v>225</v>
      </c>
      <c r="E46" s="342"/>
      <c r="F46" s="345" t="s">
        <v>170</v>
      </c>
      <c r="G46" s="308">
        <v>1</v>
      </c>
      <c r="H46" s="309">
        <v>5000</v>
      </c>
      <c r="I46" s="309">
        <v>5000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 t="s">
        <v>116</v>
      </c>
      <c r="T46" s="213" t="e">
        <v>#DIV/0!</v>
      </c>
      <c r="U46" s="214" t="s">
        <v>116</v>
      </c>
      <c r="V46" s="215" t="s">
        <v>116</v>
      </c>
      <c r="W46" s="310">
        <v>0</v>
      </c>
      <c r="X46" s="311">
        <v>0</v>
      </c>
      <c r="Y46" s="311">
        <v>0</v>
      </c>
      <c r="Z46" s="211">
        <v>0</v>
      </c>
      <c r="AA46" s="212" t="s">
        <v>116</v>
      </c>
      <c r="AB46" s="213" t="e">
        <v>#DIV/0!</v>
      </c>
      <c r="AC46" s="214" t="s">
        <v>116</v>
      </c>
      <c r="AD46" s="215" t="s">
        <v>116</v>
      </c>
      <c r="AE46" s="342" t="s">
        <v>116</v>
      </c>
      <c r="AF46" s="341" t="s">
        <v>116</v>
      </c>
    </row>
    <row r="47" spans="1:32">
      <c r="A47" s="307">
        <v>4</v>
      </c>
      <c r="B47" s="342"/>
      <c r="C47" s="342" t="s">
        <v>177</v>
      </c>
      <c r="D47" s="340" t="s">
        <v>226</v>
      </c>
      <c r="E47" s="342"/>
      <c r="F47" s="345" t="s">
        <v>227</v>
      </c>
      <c r="G47" s="308">
        <v>8</v>
      </c>
      <c r="H47" s="309">
        <v>20000</v>
      </c>
      <c r="I47" s="309">
        <v>160000</v>
      </c>
      <c r="J47" s="211"/>
      <c r="K47" s="212" t="str">
        <f>IF(OR(J47="",G47=J47),"","*")</f>
        <v/>
      </c>
      <c r="L47" s="338" t="str">
        <f>IF($A47&lt;=L$1,I47/I$4,"")</f>
        <v/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 t="s">
        <v>116</v>
      </c>
      <c r="T47" s="213" t="e">
        <v>#DIV/0!</v>
      </c>
      <c r="U47" s="214" t="s">
        <v>116</v>
      </c>
      <c r="V47" s="215" t="s">
        <v>116</v>
      </c>
      <c r="W47" s="310">
        <v>0</v>
      </c>
      <c r="X47" s="311">
        <v>0</v>
      </c>
      <c r="Y47" s="311">
        <v>0</v>
      </c>
      <c r="Z47" s="211">
        <v>0</v>
      </c>
      <c r="AA47" s="212" t="s">
        <v>116</v>
      </c>
      <c r="AB47" s="213" t="e">
        <v>#DIV/0!</v>
      </c>
      <c r="AC47" s="214" t="s">
        <v>116</v>
      </c>
      <c r="AD47" s="215" t="s">
        <v>116</v>
      </c>
      <c r="AE47" s="342" t="s">
        <v>116</v>
      </c>
      <c r="AF47" s="341" t="s">
        <v>116</v>
      </c>
    </row>
    <row r="48" spans="1:32">
      <c r="A48" s="307">
        <v>4</v>
      </c>
      <c r="B48" s="342"/>
      <c r="C48" s="342" t="s">
        <v>182</v>
      </c>
      <c r="D48" s="340" t="s">
        <v>228</v>
      </c>
      <c r="E48" s="342"/>
      <c r="F48" s="345" t="s">
        <v>227</v>
      </c>
      <c r="G48" s="308">
        <v>8</v>
      </c>
      <c r="H48" s="309">
        <v>3200</v>
      </c>
      <c r="I48" s="309">
        <v>25600</v>
      </c>
      <c r="J48" s="211"/>
      <c r="K48" s="212" t="str">
        <f>IF(OR(J48="",G48=J48),"","*")</f>
        <v/>
      </c>
      <c r="L48" s="338" t="str">
        <f>IF($A48&lt;=L$1,I48/I$4,"")</f>
        <v/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 t="s">
        <v>116</v>
      </c>
      <c r="T48" s="213" t="e">
        <v>#DIV/0!</v>
      </c>
      <c r="U48" s="214" t="s">
        <v>116</v>
      </c>
      <c r="V48" s="215" t="s">
        <v>116</v>
      </c>
      <c r="W48" s="310">
        <v>0</v>
      </c>
      <c r="X48" s="311">
        <v>0</v>
      </c>
      <c r="Y48" s="311">
        <v>0</v>
      </c>
      <c r="Z48" s="211">
        <v>0</v>
      </c>
      <c r="AA48" s="212" t="s">
        <v>116</v>
      </c>
      <c r="AB48" s="213" t="e">
        <v>#DIV/0!</v>
      </c>
      <c r="AC48" s="214" t="s">
        <v>116</v>
      </c>
      <c r="AD48" s="215" t="s">
        <v>116</v>
      </c>
      <c r="AE48" s="342" t="s">
        <v>116</v>
      </c>
      <c r="AF48" s="341" t="s">
        <v>116</v>
      </c>
    </row>
    <row r="49" spans="1:32">
      <c r="A49" s="307">
        <v>4</v>
      </c>
      <c r="B49" s="342"/>
      <c r="C49" s="342" t="s">
        <v>179</v>
      </c>
      <c r="D49" s="340" t="s">
        <v>251</v>
      </c>
      <c r="E49" s="342"/>
      <c r="F49" s="345" t="s">
        <v>230</v>
      </c>
      <c r="G49" s="308">
        <v>1</v>
      </c>
      <c r="H49" s="309">
        <v>50000</v>
      </c>
      <c r="I49" s="309">
        <v>50000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 t="s">
        <v>116</v>
      </c>
      <c r="T49" s="213" t="e">
        <v>#DIV/0!</v>
      </c>
      <c r="U49" s="214" t="s">
        <v>116</v>
      </c>
      <c r="V49" s="215" t="s">
        <v>116</v>
      </c>
      <c r="W49" s="310">
        <v>0</v>
      </c>
      <c r="X49" s="311">
        <v>0</v>
      </c>
      <c r="Y49" s="311">
        <v>0</v>
      </c>
      <c r="Z49" s="211">
        <v>0</v>
      </c>
      <c r="AA49" s="212" t="s">
        <v>116</v>
      </c>
      <c r="AB49" s="213" t="e">
        <v>#DIV/0!</v>
      </c>
      <c r="AC49" s="214" t="s">
        <v>116</v>
      </c>
      <c r="AD49" s="215" t="s">
        <v>116</v>
      </c>
      <c r="AE49" s="342" t="s">
        <v>116</v>
      </c>
      <c r="AF49" s="341" t="s">
        <v>116</v>
      </c>
    </row>
    <row r="50" spans="1:32">
      <c r="A50" s="307">
        <v>4</v>
      </c>
      <c r="B50" s="342"/>
      <c r="C50" s="342" t="s">
        <v>179</v>
      </c>
      <c r="D50" s="340" t="s">
        <v>229</v>
      </c>
      <c r="E50" s="342"/>
      <c r="F50" s="345" t="s">
        <v>230</v>
      </c>
      <c r="G50" s="308">
        <v>1</v>
      </c>
      <c r="H50" s="309">
        <v>12000</v>
      </c>
      <c r="I50" s="309">
        <v>12000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 t="s">
        <v>116</v>
      </c>
      <c r="T50" s="213" t="e">
        <v>#DIV/0!</v>
      </c>
      <c r="U50" s="214" t="s">
        <v>116</v>
      </c>
      <c r="V50" s="215" t="s">
        <v>116</v>
      </c>
      <c r="W50" s="310">
        <v>0</v>
      </c>
      <c r="X50" s="311">
        <v>0</v>
      </c>
      <c r="Y50" s="311">
        <v>0</v>
      </c>
      <c r="Z50" s="211">
        <v>0</v>
      </c>
      <c r="AA50" s="212" t="s">
        <v>116</v>
      </c>
      <c r="AB50" s="213" t="e">
        <v>#DIV/0!</v>
      </c>
      <c r="AC50" s="214" t="s">
        <v>116</v>
      </c>
      <c r="AD50" s="215" t="s">
        <v>116</v>
      </c>
      <c r="AE50" s="342" t="s">
        <v>116</v>
      </c>
      <c r="AF50" s="341" t="s">
        <v>116</v>
      </c>
    </row>
    <row r="51" spans="1:32">
      <c r="A51" s="307">
        <v>4</v>
      </c>
      <c r="B51" s="342"/>
      <c r="C51" s="342" t="s">
        <v>179</v>
      </c>
      <c r="D51" s="340" t="s">
        <v>231</v>
      </c>
      <c r="E51" s="342"/>
      <c r="F51" s="345" t="s">
        <v>230</v>
      </c>
      <c r="G51" s="308">
        <v>1</v>
      </c>
      <c r="H51" s="309">
        <v>8000</v>
      </c>
      <c r="I51" s="309">
        <v>8000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 t="s">
        <v>116</v>
      </c>
      <c r="T51" s="213" t="e">
        <v>#DIV/0!</v>
      </c>
      <c r="U51" s="214" t="s">
        <v>116</v>
      </c>
      <c r="V51" s="215" t="s">
        <v>116</v>
      </c>
      <c r="W51" s="310">
        <v>0</v>
      </c>
      <c r="X51" s="311">
        <v>0</v>
      </c>
      <c r="Y51" s="311">
        <v>0</v>
      </c>
      <c r="Z51" s="211">
        <v>0</v>
      </c>
      <c r="AA51" s="212" t="s">
        <v>116</v>
      </c>
      <c r="AB51" s="213" t="e">
        <v>#DIV/0!</v>
      </c>
      <c r="AC51" s="214" t="s">
        <v>116</v>
      </c>
      <c r="AD51" s="215" t="s">
        <v>116</v>
      </c>
      <c r="AE51" s="342" t="s">
        <v>116</v>
      </c>
      <c r="AF51" s="341" t="s">
        <v>116</v>
      </c>
    </row>
    <row r="52" spans="1:32">
      <c r="A52" s="307">
        <v>4</v>
      </c>
      <c r="B52" s="342"/>
      <c r="C52" s="342" t="s">
        <v>179</v>
      </c>
      <c r="D52" s="340" t="s">
        <v>232</v>
      </c>
      <c r="E52" s="342"/>
      <c r="F52" s="345" t="s">
        <v>230</v>
      </c>
      <c r="G52" s="308">
        <v>1</v>
      </c>
      <c r="H52" s="309">
        <v>6000</v>
      </c>
      <c r="I52" s="309">
        <v>6000</v>
      </c>
      <c r="J52" s="211"/>
      <c r="K52" s="212" t="str">
        <f>IF(OR(J52="",G52=J52),"","*")</f>
        <v/>
      </c>
      <c r="L52" s="338" t="str">
        <f>IF($A52&lt;=L$1,I52/I$4,"")</f>
        <v/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 t="s">
        <v>116</v>
      </c>
      <c r="T52" s="213" t="e">
        <v>#DIV/0!</v>
      </c>
      <c r="U52" s="214" t="s">
        <v>116</v>
      </c>
      <c r="V52" s="215" t="s">
        <v>116</v>
      </c>
      <c r="W52" s="310">
        <v>0</v>
      </c>
      <c r="X52" s="311">
        <v>0</v>
      </c>
      <c r="Y52" s="311">
        <v>0</v>
      </c>
      <c r="Z52" s="211">
        <v>0</v>
      </c>
      <c r="AA52" s="212" t="s">
        <v>116</v>
      </c>
      <c r="AB52" s="213" t="e">
        <v>#DIV/0!</v>
      </c>
      <c r="AC52" s="214" t="s">
        <v>116</v>
      </c>
      <c r="AD52" s="215" t="s">
        <v>116</v>
      </c>
      <c r="AE52" s="342" t="s">
        <v>116</v>
      </c>
      <c r="AF52" s="341" t="s">
        <v>116</v>
      </c>
    </row>
    <row r="53" spans="1:32">
      <c r="A53" s="307">
        <v>4</v>
      </c>
      <c r="B53" s="342"/>
      <c r="C53" s="342" t="s">
        <v>179</v>
      </c>
      <c r="D53" s="340" t="s">
        <v>233</v>
      </c>
      <c r="E53" s="342"/>
      <c r="F53" s="345" t="s">
        <v>170</v>
      </c>
      <c r="G53" s="308">
        <v>1</v>
      </c>
      <c r="H53" s="309">
        <v>5000</v>
      </c>
      <c r="I53" s="309">
        <v>5000</v>
      </c>
      <c r="J53" s="211"/>
      <c r="K53" s="212" t="str">
        <f>IF(OR(J53="",G53=J53),"","*")</f>
        <v/>
      </c>
      <c r="L53" s="338" t="str">
        <f>IF($A53&lt;=L$1,I53/I$4,"")</f>
        <v/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 t="s">
        <v>116</v>
      </c>
      <c r="T53" s="213" t="e">
        <v>#DIV/0!</v>
      </c>
      <c r="U53" s="214" t="s">
        <v>116</v>
      </c>
      <c r="V53" s="215" t="s">
        <v>116</v>
      </c>
      <c r="W53" s="310">
        <v>0</v>
      </c>
      <c r="X53" s="311">
        <v>0</v>
      </c>
      <c r="Y53" s="311">
        <v>0</v>
      </c>
      <c r="Z53" s="211">
        <v>0</v>
      </c>
      <c r="AA53" s="212" t="s">
        <v>116</v>
      </c>
      <c r="AB53" s="213" t="e">
        <v>#DIV/0!</v>
      </c>
      <c r="AC53" s="214" t="s">
        <v>116</v>
      </c>
      <c r="AD53" s="215" t="s">
        <v>116</v>
      </c>
      <c r="AE53" s="342" t="s">
        <v>116</v>
      </c>
      <c r="AF53" s="341" t="s">
        <v>116</v>
      </c>
    </row>
    <row r="54" spans="1:32">
      <c r="A54" s="307">
        <v>4</v>
      </c>
      <c r="B54" s="342"/>
      <c r="C54" s="342" t="s">
        <v>180</v>
      </c>
      <c r="D54" s="340" t="s">
        <v>235</v>
      </c>
      <c r="E54" s="342"/>
      <c r="F54" s="345" t="s">
        <v>230</v>
      </c>
      <c r="G54" s="308">
        <v>2</v>
      </c>
      <c r="H54" s="309">
        <v>8000</v>
      </c>
      <c r="I54" s="309">
        <v>16000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 t="s">
        <v>116</v>
      </c>
      <c r="T54" s="213" t="e">
        <v>#DIV/0!</v>
      </c>
      <c r="U54" s="214" t="s">
        <v>116</v>
      </c>
      <c r="V54" s="215" t="s">
        <v>116</v>
      </c>
      <c r="W54" s="310">
        <v>0</v>
      </c>
      <c r="X54" s="311">
        <v>0</v>
      </c>
      <c r="Y54" s="311">
        <v>0</v>
      </c>
      <c r="Z54" s="211">
        <v>0</v>
      </c>
      <c r="AA54" s="212" t="s">
        <v>116</v>
      </c>
      <c r="AB54" s="213" t="e">
        <v>#DIV/0!</v>
      </c>
      <c r="AC54" s="214" t="s">
        <v>116</v>
      </c>
      <c r="AD54" s="215" t="s">
        <v>116</v>
      </c>
      <c r="AE54" s="342" t="s">
        <v>116</v>
      </c>
      <c r="AF54" s="341" t="s">
        <v>116</v>
      </c>
    </row>
    <row r="55" spans="1:32">
      <c r="A55" s="307">
        <v>4</v>
      </c>
      <c r="B55" s="342"/>
      <c r="C55" s="342" t="s">
        <v>180</v>
      </c>
      <c r="D55" s="340" t="s">
        <v>236</v>
      </c>
      <c r="E55" s="342"/>
      <c r="F55" s="345" t="s">
        <v>230</v>
      </c>
      <c r="G55" s="308">
        <v>2</v>
      </c>
      <c r="H55" s="309">
        <v>6000</v>
      </c>
      <c r="I55" s="309">
        <v>12000</v>
      </c>
      <c r="J55" s="211"/>
      <c r="K55" s="212" t="str">
        <f>IF(OR(J55="",G55=J55),"","*")</f>
        <v/>
      </c>
      <c r="L55" s="338" t="str">
        <f>IF($A55&lt;=L$1,I55/I$4,"")</f>
        <v/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 t="s">
        <v>116</v>
      </c>
      <c r="T55" s="213" t="e">
        <v>#DIV/0!</v>
      </c>
      <c r="U55" s="214" t="s">
        <v>116</v>
      </c>
      <c r="V55" s="215" t="s">
        <v>116</v>
      </c>
      <c r="W55" s="310">
        <v>0</v>
      </c>
      <c r="X55" s="311">
        <v>0</v>
      </c>
      <c r="Y55" s="311">
        <v>0</v>
      </c>
      <c r="Z55" s="211">
        <v>0</v>
      </c>
      <c r="AA55" s="212" t="s">
        <v>116</v>
      </c>
      <c r="AB55" s="213" t="e">
        <v>#DIV/0!</v>
      </c>
      <c r="AC55" s="214" t="s">
        <v>116</v>
      </c>
      <c r="AD55" s="215" t="s">
        <v>116</v>
      </c>
      <c r="AE55" s="342" t="s">
        <v>116</v>
      </c>
      <c r="AF55" s="341" t="s">
        <v>116</v>
      </c>
    </row>
    <row r="56" spans="1:32">
      <c r="A56" s="307">
        <v>4</v>
      </c>
      <c r="B56" s="342"/>
      <c r="C56" s="342" t="s">
        <v>159</v>
      </c>
      <c r="D56" s="340" t="s">
        <v>237</v>
      </c>
      <c r="E56" s="342"/>
      <c r="F56" s="345" t="s">
        <v>238</v>
      </c>
      <c r="G56" s="308">
        <v>100</v>
      </c>
      <c r="H56" s="309">
        <v>170</v>
      </c>
      <c r="I56" s="309">
        <v>17000</v>
      </c>
      <c r="J56" s="211"/>
      <c r="K56" s="212" t="str">
        <f>IF(OR(J56="",G56=J56),"","*")</f>
        <v/>
      </c>
      <c r="L56" s="338" t="str">
        <f>IF($A56&lt;=L$1,I56/I$4,"")</f>
        <v/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 t="s">
        <v>116</v>
      </c>
      <c r="T56" s="213" t="e">
        <v>#DIV/0!</v>
      </c>
      <c r="U56" s="214" t="s">
        <v>116</v>
      </c>
      <c r="V56" s="215" t="s">
        <v>116</v>
      </c>
      <c r="W56" s="310">
        <v>0</v>
      </c>
      <c r="X56" s="311">
        <v>0</v>
      </c>
      <c r="Y56" s="311">
        <v>0</v>
      </c>
      <c r="Z56" s="211">
        <v>0</v>
      </c>
      <c r="AA56" s="212" t="s">
        <v>116</v>
      </c>
      <c r="AB56" s="213" t="e">
        <v>#DIV/0!</v>
      </c>
      <c r="AC56" s="214" t="s">
        <v>116</v>
      </c>
      <c r="AD56" s="215" t="s">
        <v>116</v>
      </c>
      <c r="AE56" s="342" t="s">
        <v>116</v>
      </c>
      <c r="AF56" s="341" t="s">
        <v>116</v>
      </c>
    </row>
    <row r="57" spans="1:32">
      <c r="A57" s="307">
        <v>4</v>
      </c>
      <c r="B57" s="342"/>
      <c r="C57" s="342" t="s">
        <v>159</v>
      </c>
      <c r="D57" s="340" t="s">
        <v>252</v>
      </c>
      <c r="E57" s="342"/>
      <c r="F57" s="345" t="s">
        <v>241</v>
      </c>
      <c r="G57" s="308">
        <v>55</v>
      </c>
      <c r="H57" s="309">
        <v>15900</v>
      </c>
      <c r="I57" s="309">
        <v>874500</v>
      </c>
      <c r="J57" s="211"/>
      <c r="K57" s="212" t="str">
        <f>IF(OR(J57="",G57=J57),"","*")</f>
        <v/>
      </c>
      <c r="L57" s="338" t="str">
        <f>IF($A57&lt;=L$1,I57/I$4,"")</f>
        <v/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 t="s">
        <v>116</v>
      </c>
      <c r="T57" s="213" t="e">
        <v>#DIV/0!</v>
      </c>
      <c r="U57" s="214" t="s">
        <v>116</v>
      </c>
      <c r="V57" s="215" t="s">
        <v>116</v>
      </c>
      <c r="W57" s="310">
        <v>0</v>
      </c>
      <c r="X57" s="311">
        <v>0</v>
      </c>
      <c r="Y57" s="311">
        <v>0</v>
      </c>
      <c r="Z57" s="211">
        <v>0</v>
      </c>
      <c r="AA57" s="212" t="s">
        <v>116</v>
      </c>
      <c r="AB57" s="213" t="e">
        <v>#DIV/0!</v>
      </c>
      <c r="AC57" s="214" t="s">
        <v>116</v>
      </c>
      <c r="AD57" s="215" t="s">
        <v>116</v>
      </c>
      <c r="AE57" s="342" t="s">
        <v>116</v>
      </c>
      <c r="AF57" s="341" t="s">
        <v>116</v>
      </c>
    </row>
    <row r="58" spans="1:32">
      <c r="A58" s="307">
        <v>2</v>
      </c>
      <c r="B58" s="342"/>
      <c r="C58" s="342" t="s">
        <v>219</v>
      </c>
      <c r="D58" s="340" t="s">
        <v>253</v>
      </c>
      <c r="E58" s="342"/>
      <c r="F58" s="345" t="s">
        <v>170</v>
      </c>
      <c r="G58" s="308">
        <v>1</v>
      </c>
      <c r="H58" s="309">
        <v>2746200</v>
      </c>
      <c r="I58" s="309">
        <v>2746200</v>
      </c>
      <c r="J58" s="211">
        <v>1</v>
      </c>
      <c r="K58" s="212" t="str">
        <f>IF(OR(J58="",G58=J58),"","*")</f>
        <v/>
      </c>
      <c r="L58" s="338">
        <f>IF($A58&lt;=L$1,I58/I$4,"")</f>
        <v>0.26926169232277675</v>
      </c>
      <c r="M58" s="343"/>
      <c r="N58" s="344" t="s">
        <v>254</v>
      </c>
      <c r="O58" s="310">
        <v>0</v>
      </c>
      <c r="P58" s="311">
        <v>0</v>
      </c>
      <c r="Q58" s="311">
        <v>0</v>
      </c>
      <c r="R58" s="211">
        <v>0</v>
      </c>
      <c r="S58" s="212" t="s">
        <v>116</v>
      </c>
      <c r="T58" s="213" t="e">
        <v>#DIV/0!</v>
      </c>
      <c r="U58" s="214" t="s">
        <v>116</v>
      </c>
      <c r="V58" s="215" t="s">
        <v>116</v>
      </c>
      <c r="W58" s="310">
        <v>0</v>
      </c>
      <c r="X58" s="311">
        <v>0</v>
      </c>
      <c r="Y58" s="311">
        <v>0</v>
      </c>
      <c r="Z58" s="211">
        <v>0</v>
      </c>
      <c r="AA58" s="212" t="s">
        <v>116</v>
      </c>
      <c r="AB58" s="213" t="e">
        <v>#DIV/0!</v>
      </c>
      <c r="AC58" s="214" t="s">
        <v>116</v>
      </c>
      <c r="AD58" s="215" t="s">
        <v>116</v>
      </c>
      <c r="AE58" s="342" t="s">
        <v>116</v>
      </c>
      <c r="AF58" s="341" t="s">
        <v>116</v>
      </c>
    </row>
    <row r="59" spans="1:32">
      <c r="A59" s="307">
        <v>3</v>
      </c>
      <c r="B59" s="342"/>
      <c r="C59" s="342" t="s">
        <v>222</v>
      </c>
      <c r="D59" s="340" t="s">
        <v>223</v>
      </c>
      <c r="E59" s="342"/>
      <c r="F59" s="345" t="s">
        <v>170</v>
      </c>
      <c r="G59" s="308">
        <v>1</v>
      </c>
      <c r="H59" s="309">
        <v>558200</v>
      </c>
      <c r="I59" s="309">
        <v>558200</v>
      </c>
      <c r="J59" s="211">
        <v>1</v>
      </c>
      <c r="K59" s="212" t="str">
        <f>IF(OR(J59="",G59=J59),"","*")</f>
        <v/>
      </c>
      <c r="L59" s="338">
        <f>IF($A59&lt;=L$1,I59/I$4,"")</f>
        <v>5.4730855966271204E-2</v>
      </c>
      <c r="M59" s="343"/>
      <c r="N59" s="344" t="s">
        <v>255</v>
      </c>
      <c r="O59" s="310">
        <v>0</v>
      </c>
      <c r="P59" s="311">
        <v>0</v>
      </c>
      <c r="Q59" s="311">
        <v>0</v>
      </c>
      <c r="R59" s="211">
        <v>0</v>
      </c>
      <c r="S59" s="212" t="s">
        <v>116</v>
      </c>
      <c r="T59" s="213" t="e">
        <v>#DIV/0!</v>
      </c>
      <c r="U59" s="214" t="s">
        <v>116</v>
      </c>
      <c r="V59" s="215" t="s">
        <v>116</v>
      </c>
      <c r="W59" s="310">
        <v>0</v>
      </c>
      <c r="X59" s="311">
        <v>0</v>
      </c>
      <c r="Y59" s="311">
        <v>0</v>
      </c>
      <c r="Z59" s="211">
        <v>0</v>
      </c>
      <c r="AA59" s="212" t="s">
        <v>116</v>
      </c>
      <c r="AB59" s="213" t="e">
        <v>#DIV/0!</v>
      </c>
      <c r="AC59" s="214" t="s">
        <v>116</v>
      </c>
      <c r="AD59" s="215" t="s">
        <v>116</v>
      </c>
      <c r="AE59" s="342" t="s">
        <v>116</v>
      </c>
      <c r="AF59" s="341" t="s">
        <v>116</v>
      </c>
    </row>
    <row r="60" spans="1:32">
      <c r="A60" s="307">
        <v>4</v>
      </c>
      <c r="B60" s="342"/>
      <c r="C60" s="342" t="s">
        <v>159</v>
      </c>
      <c r="D60" s="340" t="s">
        <v>225</v>
      </c>
      <c r="E60" s="342"/>
      <c r="F60" s="345" t="s">
        <v>170</v>
      </c>
      <c r="G60" s="308">
        <v>1</v>
      </c>
      <c r="H60" s="309">
        <v>5000</v>
      </c>
      <c r="I60" s="309">
        <v>5000</v>
      </c>
      <c r="J60" s="211"/>
      <c r="K60" s="212" t="str">
        <f>IF(OR(J60="",G60=J60),"","*")</f>
        <v/>
      </c>
      <c r="L60" s="338" t="str">
        <f>IF($A60&lt;=L$1,I60/I$4,"")</f>
        <v/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 t="s">
        <v>116</v>
      </c>
      <c r="T60" s="213" t="e">
        <v>#DIV/0!</v>
      </c>
      <c r="U60" s="214" t="s">
        <v>116</v>
      </c>
      <c r="V60" s="215" t="s">
        <v>116</v>
      </c>
      <c r="W60" s="310">
        <v>0</v>
      </c>
      <c r="X60" s="311">
        <v>0</v>
      </c>
      <c r="Y60" s="311">
        <v>0</v>
      </c>
      <c r="Z60" s="211">
        <v>0</v>
      </c>
      <c r="AA60" s="212" t="s">
        <v>116</v>
      </c>
      <c r="AB60" s="213" t="e">
        <v>#DIV/0!</v>
      </c>
      <c r="AC60" s="214" t="s">
        <v>116</v>
      </c>
      <c r="AD60" s="215" t="s">
        <v>116</v>
      </c>
      <c r="AE60" s="342" t="s">
        <v>116</v>
      </c>
      <c r="AF60" s="341" t="s">
        <v>116</v>
      </c>
    </row>
    <row r="61" spans="1:32">
      <c r="A61" s="307">
        <v>4</v>
      </c>
      <c r="B61" s="342"/>
      <c r="C61" s="342" t="s">
        <v>177</v>
      </c>
      <c r="D61" s="340" t="s">
        <v>226</v>
      </c>
      <c r="E61" s="342"/>
      <c r="F61" s="345" t="s">
        <v>227</v>
      </c>
      <c r="G61" s="308">
        <v>8</v>
      </c>
      <c r="H61" s="309">
        <v>20000</v>
      </c>
      <c r="I61" s="309">
        <v>160000</v>
      </c>
      <c r="J61" s="211"/>
      <c r="K61" s="212" t="str">
        <f>IF(OR(J61="",G61=J61),"","*")</f>
        <v/>
      </c>
      <c r="L61" s="338" t="str">
        <f>IF($A61&lt;=L$1,I61/I$4,"")</f>
        <v/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 t="s">
        <v>116</v>
      </c>
      <c r="T61" s="213" t="e">
        <v>#DIV/0!</v>
      </c>
      <c r="U61" s="214" t="s">
        <v>116</v>
      </c>
      <c r="V61" s="215" t="s">
        <v>116</v>
      </c>
      <c r="W61" s="310">
        <v>0</v>
      </c>
      <c r="X61" s="311">
        <v>0</v>
      </c>
      <c r="Y61" s="311">
        <v>0</v>
      </c>
      <c r="Z61" s="211">
        <v>0</v>
      </c>
      <c r="AA61" s="212" t="s">
        <v>116</v>
      </c>
      <c r="AB61" s="213" t="e">
        <v>#DIV/0!</v>
      </c>
      <c r="AC61" s="214" t="s">
        <v>116</v>
      </c>
      <c r="AD61" s="215" t="s">
        <v>116</v>
      </c>
      <c r="AE61" s="342" t="s">
        <v>116</v>
      </c>
      <c r="AF61" s="341" t="s">
        <v>116</v>
      </c>
    </row>
    <row r="62" spans="1:32">
      <c r="A62" s="307">
        <v>4</v>
      </c>
      <c r="B62" s="342"/>
      <c r="C62" s="342" t="s">
        <v>182</v>
      </c>
      <c r="D62" s="340" t="s">
        <v>228</v>
      </c>
      <c r="E62" s="342"/>
      <c r="F62" s="345" t="s">
        <v>227</v>
      </c>
      <c r="G62" s="308">
        <v>8</v>
      </c>
      <c r="H62" s="309">
        <v>3200</v>
      </c>
      <c r="I62" s="309">
        <v>25600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 t="s">
        <v>116</v>
      </c>
      <c r="T62" s="213" t="e">
        <v>#DIV/0!</v>
      </c>
      <c r="U62" s="214" t="s">
        <v>116</v>
      </c>
      <c r="V62" s="215" t="s">
        <v>116</v>
      </c>
      <c r="W62" s="310">
        <v>0</v>
      </c>
      <c r="X62" s="311">
        <v>0</v>
      </c>
      <c r="Y62" s="311">
        <v>0</v>
      </c>
      <c r="Z62" s="211">
        <v>0</v>
      </c>
      <c r="AA62" s="212" t="s">
        <v>116</v>
      </c>
      <c r="AB62" s="213" t="e">
        <v>#DIV/0!</v>
      </c>
      <c r="AC62" s="214" t="s">
        <v>116</v>
      </c>
      <c r="AD62" s="215" t="s">
        <v>116</v>
      </c>
      <c r="AE62" s="342" t="s">
        <v>116</v>
      </c>
      <c r="AF62" s="341" t="s">
        <v>116</v>
      </c>
    </row>
    <row r="63" spans="1:32">
      <c r="A63" s="307">
        <v>4</v>
      </c>
      <c r="B63" s="342"/>
      <c r="C63" s="342" t="s">
        <v>179</v>
      </c>
      <c r="D63" s="340" t="s">
        <v>229</v>
      </c>
      <c r="E63" s="342"/>
      <c r="F63" s="345" t="s">
        <v>230</v>
      </c>
      <c r="G63" s="308">
        <v>1</v>
      </c>
      <c r="H63" s="309">
        <v>12000</v>
      </c>
      <c r="I63" s="309">
        <v>12000</v>
      </c>
      <c r="J63" s="211"/>
      <c r="K63" s="212" t="str">
        <f>IF(OR(J63="",G63=J63),"","*")</f>
        <v/>
      </c>
      <c r="L63" s="338" t="str">
        <f>IF($A63&lt;=L$1,I63/I$4,"")</f>
        <v/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 t="s">
        <v>116</v>
      </c>
      <c r="T63" s="213" t="e">
        <v>#DIV/0!</v>
      </c>
      <c r="U63" s="214" t="s">
        <v>116</v>
      </c>
      <c r="V63" s="215" t="s">
        <v>116</v>
      </c>
      <c r="W63" s="310">
        <v>0</v>
      </c>
      <c r="X63" s="311">
        <v>0</v>
      </c>
      <c r="Y63" s="311">
        <v>0</v>
      </c>
      <c r="Z63" s="211">
        <v>0</v>
      </c>
      <c r="AA63" s="212" t="s">
        <v>116</v>
      </c>
      <c r="AB63" s="213" t="e">
        <v>#DIV/0!</v>
      </c>
      <c r="AC63" s="214" t="s">
        <v>116</v>
      </c>
      <c r="AD63" s="215" t="s">
        <v>116</v>
      </c>
      <c r="AE63" s="342" t="s">
        <v>116</v>
      </c>
      <c r="AF63" s="341" t="s">
        <v>116</v>
      </c>
    </row>
    <row r="64" spans="1:32">
      <c r="A64" s="307">
        <v>4</v>
      </c>
      <c r="B64" s="342"/>
      <c r="C64" s="342" t="s">
        <v>179</v>
      </c>
      <c r="D64" s="340" t="s">
        <v>231</v>
      </c>
      <c r="E64" s="342"/>
      <c r="F64" s="345" t="s">
        <v>230</v>
      </c>
      <c r="G64" s="308">
        <v>1</v>
      </c>
      <c r="H64" s="309">
        <v>8000</v>
      </c>
      <c r="I64" s="309">
        <v>8000</v>
      </c>
      <c r="J64" s="211"/>
      <c r="K64" s="212" t="str">
        <f>IF(OR(J64="",G64=J64),"","*")</f>
        <v/>
      </c>
      <c r="L64" s="338" t="str">
        <f>IF($A64&lt;=L$1,I64/I$4,"")</f>
        <v/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 t="s">
        <v>116</v>
      </c>
      <c r="T64" s="213" t="e">
        <v>#DIV/0!</v>
      </c>
      <c r="U64" s="214" t="s">
        <v>116</v>
      </c>
      <c r="V64" s="215" t="s">
        <v>116</v>
      </c>
      <c r="W64" s="310">
        <v>0</v>
      </c>
      <c r="X64" s="311">
        <v>0</v>
      </c>
      <c r="Y64" s="311">
        <v>0</v>
      </c>
      <c r="Z64" s="211">
        <v>0</v>
      </c>
      <c r="AA64" s="212" t="s">
        <v>116</v>
      </c>
      <c r="AB64" s="213" t="e">
        <v>#DIV/0!</v>
      </c>
      <c r="AC64" s="214" t="s">
        <v>116</v>
      </c>
      <c r="AD64" s="215" t="s">
        <v>116</v>
      </c>
      <c r="AE64" s="342" t="s">
        <v>116</v>
      </c>
      <c r="AF64" s="341" t="s">
        <v>116</v>
      </c>
    </row>
    <row r="65" spans="1:32">
      <c r="A65" s="307">
        <v>4</v>
      </c>
      <c r="B65" s="342"/>
      <c r="C65" s="342" t="s">
        <v>179</v>
      </c>
      <c r="D65" s="340" t="s">
        <v>232</v>
      </c>
      <c r="E65" s="342"/>
      <c r="F65" s="345" t="s">
        <v>230</v>
      </c>
      <c r="G65" s="308">
        <v>1</v>
      </c>
      <c r="H65" s="309">
        <v>6000</v>
      </c>
      <c r="I65" s="309">
        <v>6000</v>
      </c>
      <c r="J65" s="211"/>
      <c r="K65" s="212" t="str">
        <f>IF(OR(J65="",G65=J65),"","*")</f>
        <v/>
      </c>
      <c r="L65" s="338" t="str">
        <f>IF($A65&lt;=L$1,I65/I$4,"")</f>
        <v/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 t="s">
        <v>116</v>
      </c>
      <c r="T65" s="213" t="e">
        <v>#DIV/0!</v>
      </c>
      <c r="U65" s="214" t="s">
        <v>116</v>
      </c>
      <c r="V65" s="215" t="s">
        <v>116</v>
      </c>
      <c r="W65" s="310">
        <v>0</v>
      </c>
      <c r="X65" s="311">
        <v>0</v>
      </c>
      <c r="Y65" s="311">
        <v>0</v>
      </c>
      <c r="Z65" s="211">
        <v>0</v>
      </c>
      <c r="AA65" s="212" t="s">
        <v>116</v>
      </c>
      <c r="AB65" s="213" t="e">
        <v>#DIV/0!</v>
      </c>
      <c r="AC65" s="214" t="s">
        <v>116</v>
      </c>
      <c r="AD65" s="215" t="s">
        <v>116</v>
      </c>
      <c r="AE65" s="342" t="s">
        <v>116</v>
      </c>
      <c r="AF65" s="341" t="s">
        <v>116</v>
      </c>
    </row>
    <row r="66" spans="1:32">
      <c r="A66" s="307">
        <v>4</v>
      </c>
      <c r="B66" s="342"/>
      <c r="C66" s="342" t="s">
        <v>179</v>
      </c>
      <c r="D66" s="340" t="s">
        <v>233</v>
      </c>
      <c r="E66" s="342"/>
      <c r="F66" s="345" t="s">
        <v>170</v>
      </c>
      <c r="G66" s="308">
        <v>1</v>
      </c>
      <c r="H66" s="309">
        <v>5000</v>
      </c>
      <c r="I66" s="309">
        <v>5000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 t="s">
        <v>116</v>
      </c>
      <c r="T66" s="213" t="e">
        <v>#DIV/0!</v>
      </c>
      <c r="U66" s="214" t="s">
        <v>116</v>
      </c>
      <c r="V66" s="215" t="s">
        <v>116</v>
      </c>
      <c r="W66" s="310">
        <v>0</v>
      </c>
      <c r="X66" s="311">
        <v>0</v>
      </c>
      <c r="Y66" s="311">
        <v>0</v>
      </c>
      <c r="Z66" s="211">
        <v>0</v>
      </c>
      <c r="AA66" s="212" t="s">
        <v>116</v>
      </c>
      <c r="AB66" s="213" t="e">
        <v>#DIV/0!</v>
      </c>
      <c r="AC66" s="214" t="s">
        <v>116</v>
      </c>
      <c r="AD66" s="215" t="s">
        <v>116</v>
      </c>
      <c r="AE66" s="342" t="s">
        <v>116</v>
      </c>
      <c r="AF66" s="341" t="s">
        <v>116</v>
      </c>
    </row>
    <row r="67" spans="1:32">
      <c r="A67" s="307">
        <v>4</v>
      </c>
      <c r="B67" s="342"/>
      <c r="C67" s="342" t="s">
        <v>179</v>
      </c>
      <c r="D67" s="340" t="s">
        <v>234</v>
      </c>
      <c r="E67" s="342"/>
      <c r="F67" s="345" t="s">
        <v>230</v>
      </c>
      <c r="G67" s="308">
        <v>1</v>
      </c>
      <c r="H67" s="309">
        <v>15000</v>
      </c>
      <c r="I67" s="309">
        <v>15000</v>
      </c>
      <c r="J67" s="211"/>
      <c r="K67" s="212" t="str">
        <f>IF(OR(J67="",G67=J67),"","*")</f>
        <v/>
      </c>
      <c r="L67" s="338" t="str">
        <f>IF($A67&lt;=L$1,I67/I$4,"")</f>
        <v/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 t="s">
        <v>116</v>
      </c>
      <c r="T67" s="213" t="e">
        <v>#DIV/0!</v>
      </c>
      <c r="U67" s="214" t="s">
        <v>116</v>
      </c>
      <c r="V67" s="215" t="s">
        <v>116</v>
      </c>
      <c r="W67" s="310">
        <v>0</v>
      </c>
      <c r="X67" s="311">
        <v>0</v>
      </c>
      <c r="Y67" s="311">
        <v>0</v>
      </c>
      <c r="Z67" s="211">
        <v>0</v>
      </c>
      <c r="AA67" s="212" t="s">
        <v>116</v>
      </c>
      <c r="AB67" s="213" t="e">
        <v>#DIV/0!</v>
      </c>
      <c r="AC67" s="214" t="s">
        <v>116</v>
      </c>
      <c r="AD67" s="215" t="s">
        <v>116</v>
      </c>
      <c r="AE67" s="342" t="s">
        <v>116</v>
      </c>
      <c r="AF67" s="341" t="s">
        <v>116</v>
      </c>
    </row>
    <row r="68" spans="1:32">
      <c r="A68" s="307">
        <v>4</v>
      </c>
      <c r="B68" s="342"/>
      <c r="C68" s="342" t="s">
        <v>180</v>
      </c>
      <c r="D68" s="340" t="s">
        <v>235</v>
      </c>
      <c r="E68" s="342"/>
      <c r="F68" s="345" t="s">
        <v>230</v>
      </c>
      <c r="G68" s="308">
        <v>2</v>
      </c>
      <c r="H68" s="309">
        <v>8000</v>
      </c>
      <c r="I68" s="309">
        <v>16000</v>
      </c>
      <c r="J68" s="211"/>
      <c r="K68" s="212" t="str">
        <f>IF(OR(J68="",G68=J68),"","*")</f>
        <v/>
      </c>
      <c r="L68" s="338" t="str">
        <f>IF($A68&lt;=L$1,I68/I$4,"")</f>
        <v/>
      </c>
      <c r="M68" s="343"/>
      <c r="N68" s="344"/>
      <c r="O68" s="310">
        <v>0</v>
      </c>
      <c r="P68" s="311">
        <v>0</v>
      </c>
      <c r="Q68" s="311">
        <v>0</v>
      </c>
      <c r="R68" s="211">
        <v>0</v>
      </c>
      <c r="S68" s="212" t="s">
        <v>116</v>
      </c>
      <c r="T68" s="213" t="e">
        <v>#DIV/0!</v>
      </c>
      <c r="U68" s="214" t="s">
        <v>116</v>
      </c>
      <c r="V68" s="215" t="s">
        <v>116</v>
      </c>
      <c r="W68" s="310">
        <v>0</v>
      </c>
      <c r="X68" s="311">
        <v>0</v>
      </c>
      <c r="Y68" s="311">
        <v>0</v>
      </c>
      <c r="Z68" s="211">
        <v>0</v>
      </c>
      <c r="AA68" s="212" t="s">
        <v>116</v>
      </c>
      <c r="AB68" s="213" t="e">
        <v>#DIV/0!</v>
      </c>
      <c r="AC68" s="214" t="s">
        <v>116</v>
      </c>
      <c r="AD68" s="215" t="s">
        <v>116</v>
      </c>
      <c r="AE68" s="342" t="s">
        <v>116</v>
      </c>
      <c r="AF68" s="341" t="s">
        <v>116</v>
      </c>
    </row>
    <row r="69" spans="1:32">
      <c r="A69" s="307">
        <v>4</v>
      </c>
      <c r="B69" s="342"/>
      <c r="C69" s="342" t="s">
        <v>180</v>
      </c>
      <c r="D69" s="340" t="s">
        <v>236</v>
      </c>
      <c r="E69" s="342"/>
      <c r="F69" s="345" t="s">
        <v>230</v>
      </c>
      <c r="G69" s="308">
        <v>2</v>
      </c>
      <c r="H69" s="309">
        <v>6000</v>
      </c>
      <c r="I69" s="309">
        <v>12000</v>
      </c>
      <c r="J69" s="211"/>
      <c r="K69" s="212" t="str">
        <f>IF(OR(J69="",G69=J69),"","*")</f>
        <v/>
      </c>
      <c r="L69" s="338" t="str">
        <f>IF($A69&lt;=L$1,I69/I$4,"")</f>
        <v/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 t="s">
        <v>116</v>
      </c>
      <c r="T69" s="213" t="e">
        <v>#DIV/0!</v>
      </c>
      <c r="U69" s="214" t="s">
        <v>116</v>
      </c>
      <c r="V69" s="215" t="s">
        <v>116</v>
      </c>
      <c r="W69" s="310">
        <v>0</v>
      </c>
      <c r="X69" s="311">
        <v>0</v>
      </c>
      <c r="Y69" s="311">
        <v>0</v>
      </c>
      <c r="Z69" s="211">
        <v>0</v>
      </c>
      <c r="AA69" s="212" t="s">
        <v>116</v>
      </c>
      <c r="AB69" s="213" t="e">
        <v>#DIV/0!</v>
      </c>
      <c r="AC69" s="214" t="s">
        <v>116</v>
      </c>
      <c r="AD69" s="215" t="s">
        <v>116</v>
      </c>
      <c r="AE69" s="342" t="s">
        <v>116</v>
      </c>
      <c r="AF69" s="341" t="s">
        <v>116</v>
      </c>
    </row>
    <row r="70" spans="1:32">
      <c r="A70" s="307">
        <v>4</v>
      </c>
      <c r="B70" s="342"/>
      <c r="C70" s="342" t="s">
        <v>159</v>
      </c>
      <c r="D70" s="340" t="s">
        <v>237</v>
      </c>
      <c r="E70" s="342"/>
      <c r="F70" s="345" t="s">
        <v>238</v>
      </c>
      <c r="G70" s="308">
        <v>80</v>
      </c>
      <c r="H70" s="309">
        <v>170</v>
      </c>
      <c r="I70" s="309">
        <v>13600</v>
      </c>
      <c r="J70" s="211"/>
      <c r="K70" s="212" t="str">
        <f>IF(OR(J70="",G70=J70),"","*")</f>
        <v/>
      </c>
      <c r="L70" s="338" t="str">
        <f>IF($A70&lt;=L$1,I70/I$4,"")</f>
        <v/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 t="s">
        <v>116</v>
      </c>
      <c r="T70" s="213" t="e">
        <v>#DIV/0!</v>
      </c>
      <c r="U70" s="214" t="s">
        <v>116</v>
      </c>
      <c r="V70" s="215" t="s">
        <v>116</v>
      </c>
      <c r="W70" s="310">
        <v>0</v>
      </c>
      <c r="X70" s="311">
        <v>0</v>
      </c>
      <c r="Y70" s="311">
        <v>0</v>
      </c>
      <c r="Z70" s="211">
        <v>0</v>
      </c>
      <c r="AA70" s="212" t="s">
        <v>116</v>
      </c>
      <c r="AB70" s="213" t="e">
        <v>#DIV/0!</v>
      </c>
      <c r="AC70" s="214" t="s">
        <v>116</v>
      </c>
      <c r="AD70" s="215" t="s">
        <v>116</v>
      </c>
      <c r="AE70" s="342" t="s">
        <v>116</v>
      </c>
      <c r="AF70" s="341" t="s">
        <v>116</v>
      </c>
    </row>
    <row r="71" spans="1:32">
      <c r="A71" s="307">
        <v>4</v>
      </c>
      <c r="B71" s="342"/>
      <c r="C71" s="342" t="s">
        <v>180</v>
      </c>
      <c r="D71" s="340" t="s">
        <v>239</v>
      </c>
      <c r="E71" s="342"/>
      <c r="F71" s="345" t="s">
        <v>230</v>
      </c>
      <c r="G71" s="308">
        <v>5</v>
      </c>
      <c r="H71" s="309">
        <v>48000</v>
      </c>
      <c r="I71" s="309">
        <v>240000</v>
      </c>
      <c r="J71" s="211"/>
      <c r="K71" s="212" t="str">
        <f>IF(OR(J71="",G71=J71),"","*")</f>
        <v/>
      </c>
      <c r="L71" s="338" t="str">
        <f>IF($A71&lt;=L$1,I71/I$4,"")</f>
        <v/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 t="s">
        <v>116</v>
      </c>
      <c r="T71" s="213" t="e">
        <v>#DIV/0!</v>
      </c>
      <c r="U71" s="214" t="s">
        <v>116</v>
      </c>
      <c r="V71" s="215" t="s">
        <v>116</v>
      </c>
      <c r="W71" s="310">
        <v>0</v>
      </c>
      <c r="X71" s="311">
        <v>0</v>
      </c>
      <c r="Y71" s="311">
        <v>0</v>
      </c>
      <c r="Z71" s="211">
        <v>0</v>
      </c>
      <c r="AA71" s="212" t="s">
        <v>116</v>
      </c>
      <c r="AB71" s="213" t="e">
        <v>#DIV/0!</v>
      </c>
      <c r="AC71" s="214" t="s">
        <v>116</v>
      </c>
      <c r="AD71" s="215" t="s">
        <v>116</v>
      </c>
      <c r="AE71" s="342" t="s">
        <v>116</v>
      </c>
      <c r="AF71" s="341" t="s">
        <v>116</v>
      </c>
    </row>
    <row r="72" spans="1:32">
      <c r="A72" s="307">
        <v>4</v>
      </c>
      <c r="B72" s="342"/>
      <c r="C72" s="342" t="s">
        <v>180</v>
      </c>
      <c r="D72" s="340" t="s">
        <v>240</v>
      </c>
      <c r="E72" s="342"/>
      <c r="F72" s="345" t="s">
        <v>241</v>
      </c>
      <c r="G72" s="308">
        <v>80</v>
      </c>
      <c r="H72" s="309">
        <v>500</v>
      </c>
      <c r="I72" s="309">
        <v>40000</v>
      </c>
      <c r="J72" s="211"/>
      <c r="K72" s="212" t="str">
        <f>IF(OR(J72="",G72=J72),"","*")</f>
        <v/>
      </c>
      <c r="L72" s="338" t="str">
        <f>IF($A72&lt;=L$1,I72/I$4,"")</f>
        <v/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 t="s">
        <v>116</v>
      </c>
      <c r="T72" s="213" t="e">
        <v>#DIV/0!</v>
      </c>
      <c r="U72" s="214" t="s">
        <v>116</v>
      </c>
      <c r="V72" s="215" t="s">
        <v>116</v>
      </c>
      <c r="W72" s="310">
        <v>0</v>
      </c>
      <c r="X72" s="311">
        <v>0</v>
      </c>
      <c r="Y72" s="311">
        <v>0</v>
      </c>
      <c r="Z72" s="211">
        <v>0</v>
      </c>
      <c r="AA72" s="212" t="s">
        <v>116</v>
      </c>
      <c r="AB72" s="213" t="e">
        <v>#DIV/0!</v>
      </c>
      <c r="AC72" s="214" t="s">
        <v>116</v>
      </c>
      <c r="AD72" s="215" t="s">
        <v>116</v>
      </c>
      <c r="AE72" s="342" t="s">
        <v>116</v>
      </c>
      <c r="AF72" s="341" t="s">
        <v>116</v>
      </c>
    </row>
    <row r="73" spans="1:32">
      <c r="A73" s="307">
        <v>3</v>
      </c>
      <c r="B73" s="342"/>
      <c r="C73" s="342" t="s">
        <v>222</v>
      </c>
      <c r="D73" s="340" t="s">
        <v>242</v>
      </c>
      <c r="E73" s="342"/>
      <c r="F73" s="345" t="s">
        <v>170</v>
      </c>
      <c r="G73" s="308">
        <v>1</v>
      </c>
      <c r="H73" s="309">
        <v>216800</v>
      </c>
      <c r="I73" s="309">
        <v>216800</v>
      </c>
      <c r="J73" s="211">
        <v>1</v>
      </c>
      <c r="K73" s="212" t="str">
        <f>IF(OR(J73="",G73=J73),"","*")</f>
        <v/>
      </c>
      <c r="L73" s="338">
        <f>IF($A73&lt;=L$1,I73/I$4,"")</f>
        <v>2.125698597901755E-2</v>
      </c>
      <c r="M73" s="343"/>
      <c r="N73" s="344" t="s">
        <v>256</v>
      </c>
      <c r="O73" s="310">
        <v>0</v>
      </c>
      <c r="P73" s="311">
        <v>0</v>
      </c>
      <c r="Q73" s="311">
        <v>0</v>
      </c>
      <c r="R73" s="211">
        <v>0</v>
      </c>
      <c r="S73" s="212" t="s">
        <v>116</v>
      </c>
      <c r="T73" s="213" t="e">
        <v>#DIV/0!</v>
      </c>
      <c r="U73" s="214" t="s">
        <v>116</v>
      </c>
      <c r="V73" s="215" t="s">
        <v>116</v>
      </c>
      <c r="W73" s="310">
        <v>0</v>
      </c>
      <c r="X73" s="311">
        <v>0</v>
      </c>
      <c r="Y73" s="311">
        <v>0</v>
      </c>
      <c r="Z73" s="211">
        <v>0</v>
      </c>
      <c r="AA73" s="212" t="s">
        <v>116</v>
      </c>
      <c r="AB73" s="213" t="e">
        <v>#DIV/0!</v>
      </c>
      <c r="AC73" s="214" t="s">
        <v>116</v>
      </c>
      <c r="AD73" s="215" t="s">
        <v>116</v>
      </c>
      <c r="AE73" s="342" t="s">
        <v>116</v>
      </c>
      <c r="AF73" s="341" t="s">
        <v>116</v>
      </c>
    </row>
    <row r="74" spans="1:32">
      <c r="A74" s="307">
        <v>4</v>
      </c>
      <c r="B74" s="342"/>
      <c r="C74" s="342" t="s">
        <v>159</v>
      </c>
      <c r="D74" s="340" t="s">
        <v>225</v>
      </c>
      <c r="E74" s="342"/>
      <c r="F74" s="345" t="s">
        <v>170</v>
      </c>
      <c r="G74" s="308">
        <v>1</v>
      </c>
      <c r="H74" s="309">
        <v>5000</v>
      </c>
      <c r="I74" s="309">
        <v>5000</v>
      </c>
      <c r="J74" s="211"/>
      <c r="K74" s="212" t="str">
        <f>IF(OR(J74="",G74=J74),"","*")</f>
        <v/>
      </c>
      <c r="L74" s="338" t="str">
        <f>IF($A74&lt;=L$1,I74/I$4,"")</f>
        <v/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 t="s">
        <v>116</v>
      </c>
      <c r="T74" s="213" t="e">
        <v>#DIV/0!</v>
      </c>
      <c r="U74" s="214" t="s">
        <v>116</v>
      </c>
      <c r="V74" s="215" t="s">
        <v>116</v>
      </c>
      <c r="W74" s="310">
        <v>0</v>
      </c>
      <c r="X74" s="311">
        <v>0</v>
      </c>
      <c r="Y74" s="311">
        <v>0</v>
      </c>
      <c r="Z74" s="211">
        <v>0</v>
      </c>
      <c r="AA74" s="212" t="s">
        <v>116</v>
      </c>
      <c r="AB74" s="213" t="e">
        <v>#DIV/0!</v>
      </c>
      <c r="AC74" s="214" t="s">
        <v>116</v>
      </c>
      <c r="AD74" s="215" t="s">
        <v>116</v>
      </c>
      <c r="AE74" s="342" t="s">
        <v>116</v>
      </c>
      <c r="AF74" s="341" t="s">
        <v>116</v>
      </c>
    </row>
    <row r="75" spans="1:32">
      <c r="A75" s="307">
        <v>4</v>
      </c>
      <c r="B75" s="342"/>
      <c r="C75" s="342" t="s">
        <v>177</v>
      </c>
      <c r="D75" s="340" t="s">
        <v>226</v>
      </c>
      <c r="E75" s="342"/>
      <c r="F75" s="345" t="s">
        <v>227</v>
      </c>
      <c r="G75" s="308">
        <v>6</v>
      </c>
      <c r="H75" s="309">
        <v>20000</v>
      </c>
      <c r="I75" s="309">
        <v>120000</v>
      </c>
      <c r="J75" s="211"/>
      <c r="K75" s="212" t="str">
        <f>IF(OR(J75="",G75=J75),"","*")</f>
        <v/>
      </c>
      <c r="L75" s="338" t="str">
        <f>IF($A75&lt;=L$1,I75/I$4,"")</f>
        <v/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 t="s">
        <v>116</v>
      </c>
      <c r="T75" s="213" t="e">
        <v>#DIV/0!</v>
      </c>
      <c r="U75" s="214" t="s">
        <v>116</v>
      </c>
      <c r="V75" s="215" t="s">
        <v>116</v>
      </c>
      <c r="W75" s="310">
        <v>0</v>
      </c>
      <c r="X75" s="311">
        <v>0</v>
      </c>
      <c r="Y75" s="311">
        <v>0</v>
      </c>
      <c r="Z75" s="211">
        <v>0</v>
      </c>
      <c r="AA75" s="212" t="s">
        <v>116</v>
      </c>
      <c r="AB75" s="213" t="e">
        <v>#DIV/0!</v>
      </c>
      <c r="AC75" s="214" t="s">
        <v>116</v>
      </c>
      <c r="AD75" s="215" t="s">
        <v>116</v>
      </c>
      <c r="AE75" s="342" t="s">
        <v>116</v>
      </c>
      <c r="AF75" s="341" t="s">
        <v>116</v>
      </c>
    </row>
    <row r="76" spans="1:32">
      <c r="A76" s="307">
        <v>4</v>
      </c>
      <c r="B76" s="342"/>
      <c r="C76" s="342" t="s">
        <v>182</v>
      </c>
      <c r="D76" s="340" t="s">
        <v>228</v>
      </c>
      <c r="E76" s="342"/>
      <c r="F76" s="345" t="s">
        <v>227</v>
      </c>
      <c r="G76" s="308">
        <v>6</v>
      </c>
      <c r="H76" s="309">
        <v>3200</v>
      </c>
      <c r="I76" s="309">
        <v>19200</v>
      </c>
      <c r="J76" s="211"/>
      <c r="K76" s="212" t="str">
        <f>IF(OR(J76="",G76=J76),"","*")</f>
        <v/>
      </c>
      <c r="L76" s="338" t="str">
        <f>IF($A76&lt;=L$1,I76/I$4,"")</f>
        <v/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 t="s">
        <v>116</v>
      </c>
      <c r="T76" s="213" t="e">
        <v>#DIV/0!</v>
      </c>
      <c r="U76" s="214" t="s">
        <v>116</v>
      </c>
      <c r="V76" s="215" t="s">
        <v>116</v>
      </c>
      <c r="W76" s="310">
        <v>0</v>
      </c>
      <c r="X76" s="311">
        <v>0</v>
      </c>
      <c r="Y76" s="311">
        <v>0</v>
      </c>
      <c r="Z76" s="211">
        <v>0</v>
      </c>
      <c r="AA76" s="212" t="s">
        <v>116</v>
      </c>
      <c r="AB76" s="213" t="e">
        <v>#DIV/0!</v>
      </c>
      <c r="AC76" s="214" t="s">
        <v>116</v>
      </c>
      <c r="AD76" s="215" t="s">
        <v>116</v>
      </c>
      <c r="AE76" s="342" t="s">
        <v>116</v>
      </c>
      <c r="AF76" s="341" t="s">
        <v>116</v>
      </c>
    </row>
    <row r="77" spans="1:32">
      <c r="A77" s="307">
        <v>4</v>
      </c>
      <c r="B77" s="342"/>
      <c r="C77" s="342" t="s">
        <v>179</v>
      </c>
      <c r="D77" s="340" t="s">
        <v>229</v>
      </c>
      <c r="E77" s="342"/>
      <c r="F77" s="345" t="s">
        <v>230</v>
      </c>
      <c r="G77" s="308">
        <v>1</v>
      </c>
      <c r="H77" s="309">
        <v>12000</v>
      </c>
      <c r="I77" s="309">
        <v>12000</v>
      </c>
      <c r="J77" s="211"/>
      <c r="K77" s="212" t="str">
        <f>IF(OR(J77="",G77=J77),"","*")</f>
        <v/>
      </c>
      <c r="L77" s="338" t="str">
        <f>IF($A77&lt;=L$1,I77/I$4,"")</f>
        <v/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 t="s">
        <v>116</v>
      </c>
      <c r="T77" s="213" t="e">
        <v>#DIV/0!</v>
      </c>
      <c r="U77" s="214" t="s">
        <v>116</v>
      </c>
      <c r="V77" s="215" t="s">
        <v>116</v>
      </c>
      <c r="W77" s="310">
        <v>0</v>
      </c>
      <c r="X77" s="311">
        <v>0</v>
      </c>
      <c r="Y77" s="311">
        <v>0</v>
      </c>
      <c r="Z77" s="211">
        <v>0</v>
      </c>
      <c r="AA77" s="212" t="s">
        <v>116</v>
      </c>
      <c r="AB77" s="213" t="e">
        <v>#DIV/0!</v>
      </c>
      <c r="AC77" s="214" t="s">
        <v>116</v>
      </c>
      <c r="AD77" s="215" t="s">
        <v>116</v>
      </c>
      <c r="AE77" s="342" t="s">
        <v>116</v>
      </c>
      <c r="AF77" s="341" t="s">
        <v>116</v>
      </c>
    </row>
    <row r="78" spans="1:32">
      <c r="A78" s="307">
        <v>4</v>
      </c>
      <c r="B78" s="342"/>
      <c r="C78" s="342" t="s">
        <v>179</v>
      </c>
      <c r="D78" s="340" t="s">
        <v>231</v>
      </c>
      <c r="E78" s="342"/>
      <c r="F78" s="345" t="s">
        <v>230</v>
      </c>
      <c r="G78" s="308">
        <v>1</v>
      </c>
      <c r="H78" s="309">
        <v>8000</v>
      </c>
      <c r="I78" s="309">
        <v>8000</v>
      </c>
      <c r="J78" s="211"/>
      <c r="K78" s="212" t="str">
        <f>IF(OR(J78="",G78=J78),"","*")</f>
        <v/>
      </c>
      <c r="L78" s="338" t="str">
        <f>IF($A78&lt;=L$1,I78/I$4,"")</f>
        <v/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 t="s">
        <v>116</v>
      </c>
      <c r="T78" s="213" t="e">
        <v>#DIV/0!</v>
      </c>
      <c r="U78" s="214" t="s">
        <v>116</v>
      </c>
      <c r="V78" s="215" t="s">
        <v>116</v>
      </c>
      <c r="W78" s="310">
        <v>0</v>
      </c>
      <c r="X78" s="311">
        <v>0</v>
      </c>
      <c r="Y78" s="311">
        <v>0</v>
      </c>
      <c r="Z78" s="211">
        <v>0</v>
      </c>
      <c r="AA78" s="212" t="s">
        <v>116</v>
      </c>
      <c r="AB78" s="213" t="e">
        <v>#DIV/0!</v>
      </c>
      <c r="AC78" s="214" t="s">
        <v>116</v>
      </c>
      <c r="AD78" s="215" t="s">
        <v>116</v>
      </c>
      <c r="AE78" s="342" t="s">
        <v>116</v>
      </c>
      <c r="AF78" s="341" t="s">
        <v>116</v>
      </c>
    </row>
    <row r="79" spans="1:32">
      <c r="A79" s="307">
        <v>4</v>
      </c>
      <c r="B79" s="342"/>
      <c r="C79" s="342" t="s">
        <v>179</v>
      </c>
      <c r="D79" s="340" t="s">
        <v>232</v>
      </c>
      <c r="E79" s="342"/>
      <c r="F79" s="345" t="s">
        <v>230</v>
      </c>
      <c r="G79" s="308">
        <v>1</v>
      </c>
      <c r="H79" s="309">
        <v>6000</v>
      </c>
      <c r="I79" s="309">
        <v>6000</v>
      </c>
      <c r="J79" s="211"/>
      <c r="K79" s="212" t="str">
        <f>IF(OR(J79="",G79=J79),"","*")</f>
        <v/>
      </c>
      <c r="L79" s="338" t="str">
        <f>IF($A79&lt;=L$1,I79/I$4,"")</f>
        <v/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 t="s">
        <v>116</v>
      </c>
      <c r="T79" s="213" t="e">
        <v>#DIV/0!</v>
      </c>
      <c r="U79" s="214" t="s">
        <v>116</v>
      </c>
      <c r="V79" s="215" t="s">
        <v>116</v>
      </c>
      <c r="W79" s="310">
        <v>0</v>
      </c>
      <c r="X79" s="311">
        <v>0</v>
      </c>
      <c r="Y79" s="311">
        <v>0</v>
      </c>
      <c r="Z79" s="211">
        <v>0</v>
      </c>
      <c r="AA79" s="212" t="s">
        <v>116</v>
      </c>
      <c r="AB79" s="213" t="e">
        <v>#DIV/0!</v>
      </c>
      <c r="AC79" s="214" t="s">
        <v>116</v>
      </c>
      <c r="AD79" s="215" t="s">
        <v>116</v>
      </c>
      <c r="AE79" s="342" t="s">
        <v>116</v>
      </c>
      <c r="AF79" s="341" t="s">
        <v>116</v>
      </c>
    </row>
    <row r="80" spans="1:32">
      <c r="A80" s="307">
        <v>4</v>
      </c>
      <c r="B80" s="342"/>
      <c r="C80" s="342" t="s">
        <v>179</v>
      </c>
      <c r="D80" s="340" t="s">
        <v>233</v>
      </c>
      <c r="E80" s="342"/>
      <c r="F80" s="345" t="s">
        <v>170</v>
      </c>
      <c r="G80" s="308">
        <v>1</v>
      </c>
      <c r="H80" s="309">
        <v>5000</v>
      </c>
      <c r="I80" s="309">
        <v>5000</v>
      </c>
      <c r="J80" s="211"/>
      <c r="K80" s="212" t="str">
        <f>IF(OR(J80="",G80=J80),"","*")</f>
        <v/>
      </c>
      <c r="L80" s="338" t="str">
        <f>IF($A80&lt;=L$1,I80/I$4,"")</f>
        <v/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 t="s">
        <v>116</v>
      </c>
      <c r="T80" s="213" t="e">
        <v>#DIV/0!</v>
      </c>
      <c r="U80" s="214" t="s">
        <v>116</v>
      </c>
      <c r="V80" s="215" t="s">
        <v>116</v>
      </c>
      <c r="W80" s="310">
        <v>0</v>
      </c>
      <c r="X80" s="311">
        <v>0</v>
      </c>
      <c r="Y80" s="311">
        <v>0</v>
      </c>
      <c r="Z80" s="211">
        <v>0</v>
      </c>
      <c r="AA80" s="212" t="s">
        <v>116</v>
      </c>
      <c r="AB80" s="213" t="e">
        <v>#DIV/0!</v>
      </c>
      <c r="AC80" s="214" t="s">
        <v>116</v>
      </c>
      <c r="AD80" s="215" t="s">
        <v>116</v>
      </c>
      <c r="AE80" s="342" t="s">
        <v>116</v>
      </c>
      <c r="AF80" s="341" t="s">
        <v>116</v>
      </c>
    </row>
    <row r="81" spans="1:32">
      <c r="A81" s="307">
        <v>4</v>
      </c>
      <c r="B81" s="342"/>
      <c r="C81" s="342" t="s">
        <v>180</v>
      </c>
      <c r="D81" s="340" t="s">
        <v>235</v>
      </c>
      <c r="E81" s="342"/>
      <c r="F81" s="345" t="s">
        <v>230</v>
      </c>
      <c r="G81" s="308">
        <v>2</v>
      </c>
      <c r="H81" s="309">
        <v>8000</v>
      </c>
      <c r="I81" s="309">
        <v>16000</v>
      </c>
      <c r="J81" s="211"/>
      <c r="K81" s="212" t="str">
        <f>IF(OR(J81="",G81=J81),"","*")</f>
        <v/>
      </c>
      <c r="L81" s="338" t="str">
        <f>IF($A81&lt;=L$1,I81/I$4,"")</f>
        <v/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 t="s">
        <v>116</v>
      </c>
      <c r="T81" s="213" t="e">
        <v>#DIV/0!</v>
      </c>
      <c r="U81" s="214" t="s">
        <v>116</v>
      </c>
      <c r="V81" s="215" t="s">
        <v>116</v>
      </c>
      <c r="W81" s="310">
        <v>0</v>
      </c>
      <c r="X81" s="311">
        <v>0</v>
      </c>
      <c r="Y81" s="311">
        <v>0</v>
      </c>
      <c r="Z81" s="211">
        <v>0</v>
      </c>
      <c r="AA81" s="212" t="s">
        <v>116</v>
      </c>
      <c r="AB81" s="213" t="e">
        <v>#DIV/0!</v>
      </c>
      <c r="AC81" s="214" t="s">
        <v>116</v>
      </c>
      <c r="AD81" s="215" t="s">
        <v>116</v>
      </c>
      <c r="AE81" s="342" t="s">
        <v>116</v>
      </c>
      <c r="AF81" s="341" t="s">
        <v>116</v>
      </c>
    </row>
    <row r="82" spans="1:32">
      <c r="A82" s="307">
        <v>4</v>
      </c>
      <c r="B82" s="342"/>
      <c r="C82" s="342" t="s">
        <v>180</v>
      </c>
      <c r="D82" s="340" t="s">
        <v>236</v>
      </c>
      <c r="E82" s="342"/>
      <c r="F82" s="345" t="s">
        <v>230</v>
      </c>
      <c r="G82" s="308">
        <v>2</v>
      </c>
      <c r="H82" s="309">
        <v>6000</v>
      </c>
      <c r="I82" s="309">
        <v>12000</v>
      </c>
      <c r="J82" s="211"/>
      <c r="K82" s="212" t="str">
        <f>IF(OR(J82="",G82=J82),"","*")</f>
        <v/>
      </c>
      <c r="L82" s="338" t="str">
        <f>IF($A82&lt;=L$1,I82/I$4,"")</f>
        <v/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 t="s">
        <v>116</v>
      </c>
      <c r="T82" s="213" t="e">
        <v>#DIV/0!</v>
      </c>
      <c r="U82" s="214" t="s">
        <v>116</v>
      </c>
      <c r="V82" s="215" t="s">
        <v>116</v>
      </c>
      <c r="W82" s="310">
        <v>0</v>
      </c>
      <c r="X82" s="311">
        <v>0</v>
      </c>
      <c r="Y82" s="311">
        <v>0</v>
      </c>
      <c r="Z82" s="211">
        <v>0</v>
      </c>
      <c r="AA82" s="212" t="s">
        <v>116</v>
      </c>
      <c r="AB82" s="213" t="e">
        <v>#DIV/0!</v>
      </c>
      <c r="AC82" s="214" t="s">
        <v>116</v>
      </c>
      <c r="AD82" s="215" t="s">
        <v>116</v>
      </c>
      <c r="AE82" s="342" t="s">
        <v>116</v>
      </c>
      <c r="AF82" s="341" t="s">
        <v>116</v>
      </c>
    </row>
    <row r="83" spans="1:32">
      <c r="A83" s="307">
        <v>4</v>
      </c>
      <c r="B83" s="342"/>
      <c r="C83" s="342" t="s">
        <v>159</v>
      </c>
      <c r="D83" s="340" t="s">
        <v>237</v>
      </c>
      <c r="E83" s="342"/>
      <c r="F83" s="345" t="s">
        <v>238</v>
      </c>
      <c r="G83" s="308">
        <v>80</v>
      </c>
      <c r="H83" s="309">
        <v>170</v>
      </c>
      <c r="I83" s="309">
        <v>13600</v>
      </c>
      <c r="J83" s="211"/>
      <c r="K83" s="212" t="str">
        <f>IF(OR(J83="",G83=J83),"","*")</f>
        <v/>
      </c>
      <c r="L83" s="338" t="str">
        <f>IF($A83&lt;=L$1,I83/I$4,"")</f>
        <v/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 t="s">
        <v>116</v>
      </c>
      <c r="T83" s="213" t="e">
        <v>#DIV/0!</v>
      </c>
      <c r="U83" s="214" t="s">
        <v>116</v>
      </c>
      <c r="V83" s="215" t="s">
        <v>116</v>
      </c>
      <c r="W83" s="310">
        <v>0</v>
      </c>
      <c r="X83" s="311">
        <v>0</v>
      </c>
      <c r="Y83" s="311">
        <v>0</v>
      </c>
      <c r="Z83" s="211">
        <v>0</v>
      </c>
      <c r="AA83" s="212" t="s">
        <v>116</v>
      </c>
      <c r="AB83" s="213" t="e">
        <v>#DIV/0!</v>
      </c>
      <c r="AC83" s="214" t="s">
        <v>116</v>
      </c>
      <c r="AD83" s="215" t="s">
        <v>116</v>
      </c>
      <c r="AE83" s="342" t="s">
        <v>116</v>
      </c>
      <c r="AF83" s="341" t="s">
        <v>116</v>
      </c>
    </row>
    <row r="84" spans="1:32">
      <c r="A84" s="307">
        <v>3</v>
      </c>
      <c r="B84" s="342"/>
      <c r="C84" s="342" t="s">
        <v>222</v>
      </c>
      <c r="D84" s="340" t="s">
        <v>244</v>
      </c>
      <c r="E84" s="342"/>
      <c r="F84" s="345" t="s">
        <v>170</v>
      </c>
      <c r="G84" s="308">
        <v>1</v>
      </c>
      <c r="H84" s="309">
        <v>350800</v>
      </c>
      <c r="I84" s="309">
        <v>350800</v>
      </c>
      <c r="J84" s="211">
        <v>1</v>
      </c>
      <c r="K84" s="212" t="str">
        <f>IF(OR(J84="",G84=J84),"","*")</f>
        <v/>
      </c>
      <c r="L84" s="338">
        <f>IF($A84&lt;=L$1,I84/I$4,"")</f>
        <v>3.439552897342877E-2</v>
      </c>
      <c r="M84" s="343"/>
      <c r="N84" s="344" t="s">
        <v>257</v>
      </c>
      <c r="O84" s="310">
        <v>0</v>
      </c>
      <c r="P84" s="311">
        <v>0</v>
      </c>
      <c r="Q84" s="311">
        <v>0</v>
      </c>
      <c r="R84" s="211">
        <v>0</v>
      </c>
      <c r="S84" s="212" t="s">
        <v>116</v>
      </c>
      <c r="T84" s="213" t="e">
        <v>#DIV/0!</v>
      </c>
      <c r="U84" s="214" t="s">
        <v>116</v>
      </c>
      <c r="V84" s="215" t="s">
        <v>116</v>
      </c>
      <c r="W84" s="310">
        <v>0</v>
      </c>
      <c r="X84" s="311">
        <v>0</v>
      </c>
      <c r="Y84" s="311">
        <v>0</v>
      </c>
      <c r="Z84" s="211">
        <v>0</v>
      </c>
      <c r="AA84" s="212" t="s">
        <v>116</v>
      </c>
      <c r="AB84" s="213" t="e">
        <v>#DIV/0!</v>
      </c>
      <c r="AC84" s="214" t="s">
        <v>116</v>
      </c>
      <c r="AD84" s="215" t="s">
        <v>116</v>
      </c>
      <c r="AE84" s="342" t="s">
        <v>116</v>
      </c>
      <c r="AF84" s="341" t="s">
        <v>116</v>
      </c>
    </row>
    <row r="85" spans="1:32">
      <c r="A85" s="307">
        <v>4</v>
      </c>
      <c r="B85" s="342"/>
      <c r="C85" s="342" t="s">
        <v>159</v>
      </c>
      <c r="D85" s="340" t="s">
        <v>225</v>
      </c>
      <c r="E85" s="342"/>
      <c r="F85" s="345" t="s">
        <v>170</v>
      </c>
      <c r="G85" s="308">
        <v>1</v>
      </c>
      <c r="H85" s="309">
        <v>5000</v>
      </c>
      <c r="I85" s="309">
        <v>5000</v>
      </c>
      <c r="J85" s="211"/>
      <c r="K85" s="212" t="str">
        <f>IF(OR(J85="",G85=J85),"","*")</f>
        <v/>
      </c>
      <c r="L85" s="338" t="str">
        <f>IF($A85&lt;=L$1,I85/I$4,"")</f>
        <v/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 t="s">
        <v>116</v>
      </c>
      <c r="T85" s="213" t="e">
        <v>#DIV/0!</v>
      </c>
      <c r="U85" s="214" t="s">
        <v>116</v>
      </c>
      <c r="V85" s="215" t="s">
        <v>116</v>
      </c>
      <c r="W85" s="310">
        <v>0</v>
      </c>
      <c r="X85" s="311">
        <v>0</v>
      </c>
      <c r="Y85" s="311">
        <v>0</v>
      </c>
      <c r="Z85" s="211">
        <v>0</v>
      </c>
      <c r="AA85" s="212" t="s">
        <v>116</v>
      </c>
      <c r="AB85" s="213" t="e">
        <v>#DIV/0!</v>
      </c>
      <c r="AC85" s="214" t="s">
        <v>116</v>
      </c>
      <c r="AD85" s="215" t="s">
        <v>116</v>
      </c>
      <c r="AE85" s="342" t="s">
        <v>116</v>
      </c>
      <c r="AF85" s="341" t="s">
        <v>116</v>
      </c>
    </row>
    <row r="86" spans="1:32">
      <c r="A86" s="307">
        <v>4</v>
      </c>
      <c r="B86" s="342"/>
      <c r="C86" s="342" t="s">
        <v>177</v>
      </c>
      <c r="D86" s="340" t="s">
        <v>226</v>
      </c>
      <c r="E86" s="342"/>
      <c r="F86" s="345" t="s">
        <v>227</v>
      </c>
      <c r="G86" s="308">
        <v>6</v>
      </c>
      <c r="H86" s="309">
        <v>20000</v>
      </c>
      <c r="I86" s="309">
        <v>120000</v>
      </c>
      <c r="J86" s="211"/>
      <c r="K86" s="212" t="str">
        <f>IF(OR(J86="",G86=J86),"","*")</f>
        <v/>
      </c>
      <c r="L86" s="338" t="str">
        <f>IF($A86&lt;=L$1,I86/I$4,"")</f>
        <v/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 t="s">
        <v>116</v>
      </c>
      <c r="T86" s="213" t="e">
        <v>#DIV/0!</v>
      </c>
      <c r="U86" s="214" t="s">
        <v>116</v>
      </c>
      <c r="V86" s="215" t="s">
        <v>116</v>
      </c>
      <c r="W86" s="310">
        <v>0</v>
      </c>
      <c r="X86" s="311">
        <v>0</v>
      </c>
      <c r="Y86" s="311">
        <v>0</v>
      </c>
      <c r="Z86" s="211">
        <v>0</v>
      </c>
      <c r="AA86" s="212" t="s">
        <v>116</v>
      </c>
      <c r="AB86" s="213" t="e">
        <v>#DIV/0!</v>
      </c>
      <c r="AC86" s="214" t="s">
        <v>116</v>
      </c>
      <c r="AD86" s="215" t="s">
        <v>116</v>
      </c>
      <c r="AE86" s="342" t="s">
        <v>116</v>
      </c>
      <c r="AF86" s="341" t="s">
        <v>116</v>
      </c>
    </row>
    <row r="87" spans="1:32">
      <c r="A87" s="307">
        <v>4</v>
      </c>
      <c r="B87" s="342"/>
      <c r="C87" s="342" t="s">
        <v>182</v>
      </c>
      <c r="D87" s="340" t="s">
        <v>228</v>
      </c>
      <c r="E87" s="342"/>
      <c r="F87" s="345" t="s">
        <v>227</v>
      </c>
      <c r="G87" s="308">
        <v>6</v>
      </c>
      <c r="H87" s="309">
        <v>3200</v>
      </c>
      <c r="I87" s="309">
        <v>19200</v>
      </c>
      <c r="J87" s="211"/>
      <c r="K87" s="212" t="str">
        <f>IF(OR(J87="",G87=J87),"","*")</f>
        <v/>
      </c>
      <c r="L87" s="338" t="str">
        <f>IF($A87&lt;=L$1,I87/I$4,"")</f>
        <v/>
      </c>
      <c r="M87" s="343"/>
      <c r="N87" s="344"/>
      <c r="O87" s="310">
        <v>0</v>
      </c>
      <c r="P87" s="311">
        <v>0</v>
      </c>
      <c r="Q87" s="311">
        <v>0</v>
      </c>
      <c r="R87" s="211">
        <v>0</v>
      </c>
      <c r="S87" s="212" t="s">
        <v>116</v>
      </c>
      <c r="T87" s="213" t="e">
        <v>#DIV/0!</v>
      </c>
      <c r="U87" s="214" t="s">
        <v>116</v>
      </c>
      <c r="V87" s="215" t="s">
        <v>116</v>
      </c>
      <c r="W87" s="310">
        <v>0</v>
      </c>
      <c r="X87" s="311">
        <v>0</v>
      </c>
      <c r="Y87" s="311">
        <v>0</v>
      </c>
      <c r="Z87" s="211">
        <v>0</v>
      </c>
      <c r="AA87" s="212" t="s">
        <v>116</v>
      </c>
      <c r="AB87" s="213" t="e">
        <v>#DIV/0!</v>
      </c>
      <c r="AC87" s="214" t="s">
        <v>116</v>
      </c>
      <c r="AD87" s="215" t="s">
        <v>116</v>
      </c>
      <c r="AE87" s="342" t="s">
        <v>116</v>
      </c>
      <c r="AF87" s="341" t="s">
        <v>116</v>
      </c>
    </row>
    <row r="88" spans="1:32">
      <c r="A88" s="307">
        <v>4</v>
      </c>
      <c r="B88" s="342"/>
      <c r="C88" s="342" t="s">
        <v>179</v>
      </c>
      <c r="D88" s="340" t="s">
        <v>229</v>
      </c>
      <c r="E88" s="342"/>
      <c r="F88" s="345" t="s">
        <v>230</v>
      </c>
      <c r="G88" s="308">
        <v>1</v>
      </c>
      <c r="H88" s="309">
        <v>12000</v>
      </c>
      <c r="I88" s="309">
        <v>12000</v>
      </c>
      <c r="J88" s="211"/>
      <c r="K88" s="212" t="str">
        <f>IF(OR(J88="",G88=J88),"","*")</f>
        <v/>
      </c>
      <c r="L88" s="338" t="str">
        <f>IF($A88&lt;=L$1,I88/I$4,"")</f>
        <v/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 t="s">
        <v>116</v>
      </c>
      <c r="T88" s="213" t="e">
        <v>#DIV/0!</v>
      </c>
      <c r="U88" s="214" t="s">
        <v>116</v>
      </c>
      <c r="V88" s="215" t="s">
        <v>116</v>
      </c>
      <c r="W88" s="310">
        <v>0</v>
      </c>
      <c r="X88" s="311">
        <v>0</v>
      </c>
      <c r="Y88" s="311">
        <v>0</v>
      </c>
      <c r="Z88" s="211">
        <v>0</v>
      </c>
      <c r="AA88" s="212" t="s">
        <v>116</v>
      </c>
      <c r="AB88" s="213" t="e">
        <v>#DIV/0!</v>
      </c>
      <c r="AC88" s="214" t="s">
        <v>116</v>
      </c>
      <c r="AD88" s="215" t="s">
        <v>116</v>
      </c>
      <c r="AE88" s="342" t="s">
        <v>116</v>
      </c>
      <c r="AF88" s="341" t="s">
        <v>116</v>
      </c>
    </row>
    <row r="89" spans="1:32">
      <c r="A89" s="307">
        <v>4</v>
      </c>
      <c r="B89" s="342"/>
      <c r="C89" s="342" t="s">
        <v>179</v>
      </c>
      <c r="D89" s="340" t="s">
        <v>231</v>
      </c>
      <c r="E89" s="342"/>
      <c r="F89" s="345" t="s">
        <v>230</v>
      </c>
      <c r="G89" s="308">
        <v>1</v>
      </c>
      <c r="H89" s="309">
        <v>8000</v>
      </c>
      <c r="I89" s="309">
        <v>8000</v>
      </c>
      <c r="J89" s="211"/>
      <c r="K89" s="212" t="str">
        <f>IF(OR(J89="",G89=J89),"","*")</f>
        <v/>
      </c>
      <c r="L89" s="338" t="str">
        <f>IF($A89&lt;=L$1,I89/I$4,"")</f>
        <v/>
      </c>
      <c r="M89" s="343"/>
      <c r="N89" s="344"/>
      <c r="O89" s="310">
        <v>0</v>
      </c>
      <c r="P89" s="311">
        <v>0</v>
      </c>
      <c r="Q89" s="311">
        <v>0</v>
      </c>
      <c r="R89" s="211">
        <v>0</v>
      </c>
      <c r="S89" s="212" t="s">
        <v>116</v>
      </c>
      <c r="T89" s="213" t="e">
        <v>#DIV/0!</v>
      </c>
      <c r="U89" s="214" t="s">
        <v>116</v>
      </c>
      <c r="V89" s="215" t="s">
        <v>116</v>
      </c>
      <c r="W89" s="310">
        <v>0</v>
      </c>
      <c r="X89" s="311">
        <v>0</v>
      </c>
      <c r="Y89" s="311">
        <v>0</v>
      </c>
      <c r="Z89" s="211">
        <v>0</v>
      </c>
      <c r="AA89" s="212" t="s">
        <v>116</v>
      </c>
      <c r="AB89" s="213" t="e">
        <v>#DIV/0!</v>
      </c>
      <c r="AC89" s="214" t="s">
        <v>116</v>
      </c>
      <c r="AD89" s="215" t="s">
        <v>116</v>
      </c>
      <c r="AE89" s="342" t="s">
        <v>116</v>
      </c>
      <c r="AF89" s="341" t="s">
        <v>116</v>
      </c>
    </row>
    <row r="90" spans="1:32">
      <c r="A90" s="307">
        <v>4</v>
      </c>
      <c r="B90" s="342"/>
      <c r="C90" s="342" t="s">
        <v>179</v>
      </c>
      <c r="D90" s="340" t="s">
        <v>232</v>
      </c>
      <c r="E90" s="342"/>
      <c r="F90" s="345" t="s">
        <v>230</v>
      </c>
      <c r="G90" s="308">
        <v>1</v>
      </c>
      <c r="H90" s="309">
        <v>6000</v>
      </c>
      <c r="I90" s="309">
        <v>6000</v>
      </c>
      <c r="J90" s="211"/>
      <c r="K90" s="212" t="str">
        <f>IF(OR(J90="",G90=J90),"","*")</f>
        <v/>
      </c>
      <c r="L90" s="338" t="str">
        <f>IF($A90&lt;=L$1,I90/I$4,"")</f>
        <v/>
      </c>
      <c r="M90" s="343"/>
      <c r="N90" s="344"/>
      <c r="O90" s="310">
        <v>0</v>
      </c>
      <c r="P90" s="311">
        <v>0</v>
      </c>
      <c r="Q90" s="311">
        <v>0</v>
      </c>
      <c r="R90" s="211">
        <v>0</v>
      </c>
      <c r="S90" s="212" t="s">
        <v>116</v>
      </c>
      <c r="T90" s="213" t="e">
        <v>#DIV/0!</v>
      </c>
      <c r="U90" s="214" t="s">
        <v>116</v>
      </c>
      <c r="V90" s="215" t="s">
        <v>116</v>
      </c>
      <c r="W90" s="310">
        <v>0</v>
      </c>
      <c r="X90" s="311">
        <v>0</v>
      </c>
      <c r="Y90" s="311">
        <v>0</v>
      </c>
      <c r="Z90" s="211">
        <v>0</v>
      </c>
      <c r="AA90" s="212" t="s">
        <v>116</v>
      </c>
      <c r="AB90" s="213" t="e">
        <v>#DIV/0!</v>
      </c>
      <c r="AC90" s="214" t="s">
        <v>116</v>
      </c>
      <c r="AD90" s="215" t="s">
        <v>116</v>
      </c>
      <c r="AE90" s="342" t="s">
        <v>116</v>
      </c>
      <c r="AF90" s="341" t="s">
        <v>116</v>
      </c>
    </row>
    <row r="91" spans="1:32">
      <c r="A91" s="307">
        <v>4</v>
      </c>
      <c r="B91" s="342"/>
      <c r="C91" s="342" t="s">
        <v>179</v>
      </c>
      <c r="D91" s="340" t="s">
        <v>233</v>
      </c>
      <c r="E91" s="342"/>
      <c r="F91" s="345" t="s">
        <v>170</v>
      </c>
      <c r="G91" s="308">
        <v>1</v>
      </c>
      <c r="H91" s="309">
        <v>5000</v>
      </c>
      <c r="I91" s="309">
        <v>5000</v>
      </c>
      <c r="J91" s="211"/>
      <c r="K91" s="212" t="str">
        <f>IF(OR(J91="",G91=J91),"","*")</f>
        <v/>
      </c>
      <c r="L91" s="338" t="str">
        <f>IF($A91&lt;=L$1,I91/I$4,"")</f>
        <v/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 t="s">
        <v>116</v>
      </c>
      <c r="T91" s="213" t="e">
        <v>#DIV/0!</v>
      </c>
      <c r="U91" s="214" t="s">
        <v>116</v>
      </c>
      <c r="V91" s="215" t="s">
        <v>116</v>
      </c>
      <c r="W91" s="310">
        <v>0</v>
      </c>
      <c r="X91" s="311">
        <v>0</v>
      </c>
      <c r="Y91" s="311">
        <v>0</v>
      </c>
      <c r="Z91" s="211">
        <v>0</v>
      </c>
      <c r="AA91" s="212" t="s">
        <v>116</v>
      </c>
      <c r="AB91" s="213" t="e">
        <v>#DIV/0!</v>
      </c>
      <c r="AC91" s="214" t="s">
        <v>116</v>
      </c>
      <c r="AD91" s="215" t="s">
        <v>116</v>
      </c>
      <c r="AE91" s="342" t="s">
        <v>116</v>
      </c>
      <c r="AF91" s="341" t="s">
        <v>116</v>
      </c>
    </row>
    <row r="92" spans="1:32">
      <c r="A92" s="307">
        <v>4</v>
      </c>
      <c r="B92" s="342"/>
      <c r="C92" s="342" t="s">
        <v>180</v>
      </c>
      <c r="D92" s="340" t="s">
        <v>235</v>
      </c>
      <c r="E92" s="342"/>
      <c r="F92" s="345" t="s">
        <v>230</v>
      </c>
      <c r="G92" s="308">
        <v>2</v>
      </c>
      <c r="H92" s="309">
        <v>8000</v>
      </c>
      <c r="I92" s="309">
        <v>16000</v>
      </c>
      <c r="J92" s="211"/>
      <c r="K92" s="212" t="str">
        <f>IF(OR(J92="",G92=J92),"","*")</f>
        <v/>
      </c>
      <c r="L92" s="338" t="str">
        <f>IF($A92&lt;=L$1,I92/I$4,"")</f>
        <v/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 t="s">
        <v>116</v>
      </c>
      <c r="T92" s="213" t="e">
        <v>#DIV/0!</v>
      </c>
      <c r="U92" s="214" t="s">
        <v>116</v>
      </c>
      <c r="V92" s="215" t="s">
        <v>116</v>
      </c>
      <c r="W92" s="310">
        <v>0</v>
      </c>
      <c r="X92" s="311">
        <v>0</v>
      </c>
      <c r="Y92" s="311">
        <v>0</v>
      </c>
      <c r="Z92" s="211">
        <v>0</v>
      </c>
      <c r="AA92" s="212" t="s">
        <v>116</v>
      </c>
      <c r="AB92" s="213" t="e">
        <v>#DIV/0!</v>
      </c>
      <c r="AC92" s="214" t="s">
        <v>116</v>
      </c>
      <c r="AD92" s="215" t="s">
        <v>116</v>
      </c>
      <c r="AE92" s="342" t="s">
        <v>116</v>
      </c>
      <c r="AF92" s="341" t="s">
        <v>116</v>
      </c>
    </row>
    <row r="93" spans="1:32">
      <c r="A93" s="307">
        <v>4</v>
      </c>
      <c r="B93" s="342"/>
      <c r="C93" s="342" t="s">
        <v>180</v>
      </c>
      <c r="D93" s="340" t="s">
        <v>236</v>
      </c>
      <c r="E93" s="342"/>
      <c r="F93" s="345" t="s">
        <v>230</v>
      </c>
      <c r="G93" s="308">
        <v>2</v>
      </c>
      <c r="H93" s="309">
        <v>6000</v>
      </c>
      <c r="I93" s="309">
        <v>12000</v>
      </c>
      <c r="J93" s="211"/>
      <c r="K93" s="212" t="str">
        <f>IF(OR(J93="",G93=J93),"","*")</f>
        <v/>
      </c>
      <c r="L93" s="338" t="str">
        <f>IF($A93&lt;=L$1,I93/I$4,"")</f>
        <v/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 t="s">
        <v>116</v>
      </c>
      <c r="T93" s="213" t="e">
        <v>#DIV/0!</v>
      </c>
      <c r="U93" s="214" t="s">
        <v>116</v>
      </c>
      <c r="V93" s="215" t="s">
        <v>116</v>
      </c>
      <c r="W93" s="310">
        <v>0</v>
      </c>
      <c r="X93" s="311">
        <v>0</v>
      </c>
      <c r="Y93" s="311">
        <v>0</v>
      </c>
      <c r="Z93" s="211">
        <v>0</v>
      </c>
      <c r="AA93" s="212" t="s">
        <v>116</v>
      </c>
      <c r="AB93" s="213" t="e">
        <v>#DIV/0!</v>
      </c>
      <c r="AC93" s="214" t="s">
        <v>116</v>
      </c>
      <c r="AD93" s="215" t="s">
        <v>116</v>
      </c>
      <c r="AE93" s="342" t="s">
        <v>116</v>
      </c>
      <c r="AF93" s="341" t="s">
        <v>116</v>
      </c>
    </row>
    <row r="94" spans="1:32">
      <c r="A94" s="307">
        <v>4</v>
      </c>
      <c r="B94" s="342"/>
      <c r="C94" s="342" t="s">
        <v>159</v>
      </c>
      <c r="D94" s="340" t="s">
        <v>237</v>
      </c>
      <c r="E94" s="342"/>
      <c r="F94" s="345" t="s">
        <v>238</v>
      </c>
      <c r="G94" s="308">
        <v>80</v>
      </c>
      <c r="H94" s="309">
        <v>170</v>
      </c>
      <c r="I94" s="309">
        <v>13600</v>
      </c>
      <c r="J94" s="211"/>
      <c r="K94" s="212" t="str">
        <f>IF(OR(J94="",G94=J94),"","*")</f>
        <v/>
      </c>
      <c r="L94" s="338" t="str">
        <f>IF($A94&lt;=L$1,I94/I$4,"")</f>
        <v/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 t="s">
        <v>116</v>
      </c>
      <c r="T94" s="213" t="e">
        <v>#DIV/0!</v>
      </c>
      <c r="U94" s="214" t="s">
        <v>116</v>
      </c>
      <c r="V94" s="215" t="s">
        <v>116</v>
      </c>
      <c r="W94" s="310">
        <v>0</v>
      </c>
      <c r="X94" s="311">
        <v>0</v>
      </c>
      <c r="Y94" s="311">
        <v>0</v>
      </c>
      <c r="Z94" s="211">
        <v>0</v>
      </c>
      <c r="AA94" s="212" t="s">
        <v>116</v>
      </c>
      <c r="AB94" s="213" t="e">
        <v>#DIV/0!</v>
      </c>
      <c r="AC94" s="214" t="s">
        <v>116</v>
      </c>
      <c r="AD94" s="215" t="s">
        <v>116</v>
      </c>
      <c r="AE94" s="342" t="s">
        <v>116</v>
      </c>
      <c r="AF94" s="341" t="s">
        <v>116</v>
      </c>
    </row>
    <row r="95" spans="1:32">
      <c r="A95" s="307">
        <v>4</v>
      </c>
      <c r="B95" s="342"/>
      <c r="C95" s="342" t="s">
        <v>159</v>
      </c>
      <c r="D95" s="340" t="s">
        <v>246</v>
      </c>
      <c r="E95" s="342"/>
      <c r="F95" s="345" t="s">
        <v>241</v>
      </c>
      <c r="G95" s="308">
        <v>70</v>
      </c>
      <c r="H95" s="309">
        <v>1000</v>
      </c>
      <c r="I95" s="309">
        <v>70000</v>
      </c>
      <c r="J95" s="211"/>
      <c r="K95" s="212" t="str">
        <f>IF(OR(J95="",G95=J95),"","*")</f>
        <v/>
      </c>
      <c r="L95" s="338" t="str">
        <f>IF($A95&lt;=L$1,I95/I$4,"")</f>
        <v/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 t="s">
        <v>116</v>
      </c>
      <c r="T95" s="213" t="e">
        <v>#DIV/0!</v>
      </c>
      <c r="U95" s="214" t="s">
        <v>116</v>
      </c>
      <c r="V95" s="215" t="s">
        <v>116</v>
      </c>
      <c r="W95" s="310">
        <v>0</v>
      </c>
      <c r="X95" s="311">
        <v>0</v>
      </c>
      <c r="Y95" s="311">
        <v>0</v>
      </c>
      <c r="Z95" s="211">
        <v>0</v>
      </c>
      <c r="AA95" s="212" t="s">
        <v>116</v>
      </c>
      <c r="AB95" s="213" t="e">
        <v>#DIV/0!</v>
      </c>
      <c r="AC95" s="214" t="s">
        <v>116</v>
      </c>
      <c r="AD95" s="215" t="s">
        <v>116</v>
      </c>
      <c r="AE95" s="342" t="s">
        <v>116</v>
      </c>
      <c r="AF95" s="341" t="s">
        <v>116</v>
      </c>
    </row>
    <row r="96" spans="1:32">
      <c r="A96" s="307">
        <v>4</v>
      </c>
      <c r="B96" s="342"/>
      <c r="C96" s="342" t="s">
        <v>159</v>
      </c>
      <c r="D96" s="340" t="s">
        <v>247</v>
      </c>
      <c r="E96" s="342"/>
      <c r="F96" s="345" t="s">
        <v>248</v>
      </c>
      <c r="G96" s="308">
        <v>80</v>
      </c>
      <c r="H96" s="309">
        <v>800</v>
      </c>
      <c r="I96" s="309">
        <v>64000</v>
      </c>
      <c r="J96" s="211"/>
      <c r="K96" s="212" t="str">
        <f>IF(OR(J96="",G96=J96),"","*")</f>
        <v/>
      </c>
      <c r="L96" s="338" t="str">
        <f>IF($A96&lt;=L$1,I96/I$4,"")</f>
        <v/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 t="s">
        <v>116</v>
      </c>
      <c r="T96" s="213" t="e">
        <v>#DIV/0!</v>
      </c>
      <c r="U96" s="214" t="s">
        <v>116</v>
      </c>
      <c r="V96" s="215" t="s">
        <v>116</v>
      </c>
      <c r="W96" s="310">
        <v>0</v>
      </c>
      <c r="X96" s="311">
        <v>0</v>
      </c>
      <c r="Y96" s="311">
        <v>0</v>
      </c>
      <c r="Z96" s="211">
        <v>0</v>
      </c>
      <c r="AA96" s="212" t="s">
        <v>116</v>
      </c>
      <c r="AB96" s="213" t="e">
        <v>#DIV/0!</v>
      </c>
      <c r="AC96" s="214" t="s">
        <v>116</v>
      </c>
      <c r="AD96" s="215" t="s">
        <v>116</v>
      </c>
      <c r="AE96" s="342" t="s">
        <v>116</v>
      </c>
      <c r="AF96" s="341" t="s">
        <v>116</v>
      </c>
    </row>
    <row r="97" spans="1:32">
      <c r="A97" s="307">
        <v>3</v>
      </c>
      <c r="B97" s="342"/>
      <c r="C97" s="342" t="s">
        <v>222</v>
      </c>
      <c r="D97" s="340" t="s">
        <v>249</v>
      </c>
      <c r="E97" s="342"/>
      <c r="F97" s="345" t="s">
        <v>170</v>
      </c>
      <c r="G97" s="308">
        <v>1</v>
      </c>
      <c r="H97" s="309">
        <v>1620400</v>
      </c>
      <c r="I97" s="309">
        <v>1620400</v>
      </c>
      <c r="J97" s="211">
        <v>1</v>
      </c>
      <c r="K97" s="212" t="str">
        <f>IF(OR(J97="",G97=J97),"","*")</f>
        <v/>
      </c>
      <c r="L97" s="338">
        <f>IF($A97&lt;=L$1,I97/I$4,"")</f>
        <v>0.15887832140405922</v>
      </c>
      <c r="M97" s="343"/>
      <c r="N97" s="344" t="s">
        <v>258</v>
      </c>
      <c r="O97" s="310">
        <v>0</v>
      </c>
      <c r="P97" s="311">
        <v>0</v>
      </c>
      <c r="Q97" s="311">
        <v>0</v>
      </c>
      <c r="R97" s="211">
        <v>0</v>
      </c>
      <c r="S97" s="212" t="s">
        <v>116</v>
      </c>
      <c r="T97" s="213" t="e">
        <v>#DIV/0!</v>
      </c>
      <c r="U97" s="214" t="s">
        <v>116</v>
      </c>
      <c r="V97" s="215" t="s">
        <v>116</v>
      </c>
      <c r="W97" s="310">
        <v>0</v>
      </c>
      <c r="X97" s="311">
        <v>0</v>
      </c>
      <c r="Y97" s="311">
        <v>0</v>
      </c>
      <c r="Z97" s="211">
        <v>0</v>
      </c>
      <c r="AA97" s="212" t="s">
        <v>116</v>
      </c>
      <c r="AB97" s="213" t="e">
        <v>#DIV/0!</v>
      </c>
      <c r="AC97" s="214" t="s">
        <v>116</v>
      </c>
      <c r="AD97" s="215" t="s">
        <v>116</v>
      </c>
      <c r="AE97" s="342" t="s">
        <v>116</v>
      </c>
      <c r="AF97" s="341" t="s">
        <v>116</v>
      </c>
    </row>
    <row r="98" spans="1:32">
      <c r="A98" s="307">
        <v>4</v>
      </c>
      <c r="B98" s="342"/>
      <c r="C98" s="342" t="s">
        <v>159</v>
      </c>
      <c r="D98" s="340" t="s">
        <v>225</v>
      </c>
      <c r="E98" s="342"/>
      <c r="F98" s="345" t="s">
        <v>170</v>
      </c>
      <c r="G98" s="308">
        <v>1</v>
      </c>
      <c r="H98" s="309">
        <v>5000</v>
      </c>
      <c r="I98" s="309">
        <v>5000</v>
      </c>
      <c r="J98" s="211"/>
      <c r="K98" s="212" t="str">
        <f>IF(OR(J98="",G98=J98),"","*")</f>
        <v/>
      </c>
      <c r="L98" s="338" t="str">
        <f>IF($A98&lt;=L$1,I98/I$4,"")</f>
        <v/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 t="s">
        <v>116</v>
      </c>
      <c r="T98" s="213" t="e">
        <v>#DIV/0!</v>
      </c>
      <c r="U98" s="214" t="s">
        <v>116</v>
      </c>
      <c r="V98" s="215" t="s">
        <v>116</v>
      </c>
      <c r="W98" s="310">
        <v>0</v>
      </c>
      <c r="X98" s="311">
        <v>0</v>
      </c>
      <c r="Y98" s="311">
        <v>0</v>
      </c>
      <c r="Z98" s="211">
        <v>0</v>
      </c>
      <c r="AA98" s="212" t="s">
        <v>116</v>
      </c>
      <c r="AB98" s="213" t="e">
        <v>#DIV/0!</v>
      </c>
      <c r="AC98" s="214" t="s">
        <v>116</v>
      </c>
      <c r="AD98" s="215" t="s">
        <v>116</v>
      </c>
      <c r="AE98" s="342" t="s">
        <v>116</v>
      </c>
      <c r="AF98" s="341" t="s">
        <v>116</v>
      </c>
    </row>
    <row r="99" spans="1:32">
      <c r="A99" s="307">
        <v>4</v>
      </c>
      <c r="B99" s="342"/>
      <c r="C99" s="342" t="s">
        <v>177</v>
      </c>
      <c r="D99" s="340" t="s">
        <v>226</v>
      </c>
      <c r="E99" s="342"/>
      <c r="F99" s="345" t="s">
        <v>227</v>
      </c>
      <c r="G99" s="308">
        <v>8</v>
      </c>
      <c r="H99" s="309">
        <v>20000</v>
      </c>
      <c r="I99" s="309">
        <v>160000</v>
      </c>
      <c r="J99" s="211"/>
      <c r="K99" s="212" t="str">
        <f>IF(OR(J99="",G99=J99),"","*")</f>
        <v/>
      </c>
      <c r="L99" s="338" t="str">
        <f>IF($A99&lt;=L$1,I99/I$4,"")</f>
        <v/>
      </c>
      <c r="M99" s="343"/>
      <c r="N99" s="344"/>
      <c r="O99" s="310">
        <v>0</v>
      </c>
      <c r="P99" s="311">
        <v>0</v>
      </c>
      <c r="Q99" s="311">
        <v>0</v>
      </c>
      <c r="R99" s="211">
        <v>0</v>
      </c>
      <c r="S99" s="212" t="s">
        <v>116</v>
      </c>
      <c r="T99" s="213" t="e">
        <v>#DIV/0!</v>
      </c>
      <c r="U99" s="214" t="s">
        <v>116</v>
      </c>
      <c r="V99" s="215" t="s">
        <v>116</v>
      </c>
      <c r="W99" s="310">
        <v>0</v>
      </c>
      <c r="X99" s="311">
        <v>0</v>
      </c>
      <c r="Y99" s="311">
        <v>0</v>
      </c>
      <c r="Z99" s="211">
        <v>0</v>
      </c>
      <c r="AA99" s="212" t="s">
        <v>116</v>
      </c>
      <c r="AB99" s="213" t="e">
        <v>#DIV/0!</v>
      </c>
      <c r="AC99" s="214" t="s">
        <v>116</v>
      </c>
      <c r="AD99" s="215" t="s">
        <v>116</v>
      </c>
      <c r="AE99" s="342" t="s">
        <v>116</v>
      </c>
      <c r="AF99" s="341" t="s">
        <v>116</v>
      </c>
    </row>
    <row r="100" spans="1:32">
      <c r="A100" s="307">
        <v>4</v>
      </c>
      <c r="B100" s="342"/>
      <c r="C100" s="342" t="s">
        <v>182</v>
      </c>
      <c r="D100" s="340" t="s">
        <v>228</v>
      </c>
      <c r="E100" s="342"/>
      <c r="F100" s="345" t="s">
        <v>227</v>
      </c>
      <c r="G100" s="308">
        <v>8</v>
      </c>
      <c r="H100" s="309">
        <v>3200</v>
      </c>
      <c r="I100" s="309">
        <v>25600</v>
      </c>
      <c r="J100" s="211"/>
      <c r="K100" s="212" t="str">
        <f>IF(OR(J100="",G100=J100),"","*")</f>
        <v/>
      </c>
      <c r="L100" s="338" t="str">
        <f>IF($A100&lt;=L$1,I100/I$4,"")</f>
        <v/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 t="s">
        <v>116</v>
      </c>
      <c r="T100" s="213" t="e">
        <v>#DIV/0!</v>
      </c>
      <c r="U100" s="214" t="s">
        <v>116</v>
      </c>
      <c r="V100" s="215" t="s">
        <v>116</v>
      </c>
      <c r="W100" s="310">
        <v>0</v>
      </c>
      <c r="X100" s="311">
        <v>0</v>
      </c>
      <c r="Y100" s="311">
        <v>0</v>
      </c>
      <c r="Z100" s="211">
        <v>0</v>
      </c>
      <c r="AA100" s="212" t="s">
        <v>116</v>
      </c>
      <c r="AB100" s="213" t="e">
        <v>#DIV/0!</v>
      </c>
      <c r="AC100" s="214" t="s">
        <v>116</v>
      </c>
      <c r="AD100" s="215" t="s">
        <v>116</v>
      </c>
      <c r="AE100" s="342" t="s">
        <v>116</v>
      </c>
      <c r="AF100" s="341" t="s">
        <v>116</v>
      </c>
    </row>
    <row r="101" spans="1:32">
      <c r="A101" s="307">
        <v>4</v>
      </c>
      <c r="B101" s="342"/>
      <c r="C101" s="342" t="s">
        <v>179</v>
      </c>
      <c r="D101" s="340" t="s">
        <v>251</v>
      </c>
      <c r="E101" s="342"/>
      <c r="F101" s="345" t="s">
        <v>230</v>
      </c>
      <c r="G101" s="308">
        <v>1</v>
      </c>
      <c r="H101" s="309">
        <v>50000</v>
      </c>
      <c r="I101" s="309">
        <v>50000</v>
      </c>
      <c r="J101" s="211"/>
      <c r="K101" s="212" t="str">
        <f>IF(OR(J101="",G101=J101),"","*")</f>
        <v/>
      </c>
      <c r="L101" s="338" t="str">
        <f>IF($A101&lt;=L$1,I101/I$4,"")</f>
        <v/>
      </c>
      <c r="M101" s="343"/>
      <c r="N101" s="344"/>
      <c r="O101" s="310">
        <v>0</v>
      </c>
      <c r="P101" s="311">
        <v>0</v>
      </c>
      <c r="Q101" s="311">
        <v>0</v>
      </c>
      <c r="R101" s="211">
        <v>0</v>
      </c>
      <c r="S101" s="212" t="s">
        <v>116</v>
      </c>
      <c r="T101" s="213" t="e">
        <v>#DIV/0!</v>
      </c>
      <c r="U101" s="214" t="s">
        <v>116</v>
      </c>
      <c r="V101" s="215" t="s">
        <v>116</v>
      </c>
      <c r="W101" s="310">
        <v>0</v>
      </c>
      <c r="X101" s="311">
        <v>0</v>
      </c>
      <c r="Y101" s="311">
        <v>0</v>
      </c>
      <c r="Z101" s="211">
        <v>0</v>
      </c>
      <c r="AA101" s="212" t="s">
        <v>116</v>
      </c>
      <c r="AB101" s="213" t="e">
        <v>#DIV/0!</v>
      </c>
      <c r="AC101" s="214" t="s">
        <v>116</v>
      </c>
      <c r="AD101" s="215" t="s">
        <v>116</v>
      </c>
      <c r="AE101" s="342" t="s">
        <v>116</v>
      </c>
      <c r="AF101" s="341" t="s">
        <v>116</v>
      </c>
    </row>
    <row r="102" spans="1:32">
      <c r="A102" s="307">
        <v>4</v>
      </c>
      <c r="B102" s="342"/>
      <c r="C102" s="342" t="s">
        <v>179</v>
      </c>
      <c r="D102" s="340" t="s">
        <v>229</v>
      </c>
      <c r="E102" s="342"/>
      <c r="F102" s="345" t="s">
        <v>230</v>
      </c>
      <c r="G102" s="308">
        <v>1</v>
      </c>
      <c r="H102" s="309">
        <v>12000</v>
      </c>
      <c r="I102" s="309">
        <v>12000</v>
      </c>
      <c r="J102" s="211"/>
      <c r="K102" s="212" t="str">
        <f>IF(OR(J102="",G102=J102),"","*")</f>
        <v/>
      </c>
      <c r="L102" s="338" t="str">
        <f>IF($A102&lt;=L$1,I102/I$4,"")</f>
        <v/>
      </c>
      <c r="M102" s="343"/>
      <c r="N102" s="344"/>
      <c r="O102" s="310">
        <v>0</v>
      </c>
      <c r="P102" s="311">
        <v>0</v>
      </c>
      <c r="Q102" s="311">
        <v>0</v>
      </c>
      <c r="R102" s="211">
        <v>0</v>
      </c>
      <c r="S102" s="212" t="s">
        <v>116</v>
      </c>
      <c r="T102" s="213" t="e">
        <v>#DIV/0!</v>
      </c>
      <c r="U102" s="214" t="s">
        <v>116</v>
      </c>
      <c r="V102" s="215" t="s">
        <v>116</v>
      </c>
      <c r="W102" s="310">
        <v>0</v>
      </c>
      <c r="X102" s="311">
        <v>0</v>
      </c>
      <c r="Y102" s="311">
        <v>0</v>
      </c>
      <c r="Z102" s="211">
        <v>0</v>
      </c>
      <c r="AA102" s="212" t="s">
        <v>116</v>
      </c>
      <c r="AB102" s="213" t="e">
        <v>#DIV/0!</v>
      </c>
      <c r="AC102" s="214" t="s">
        <v>116</v>
      </c>
      <c r="AD102" s="215" t="s">
        <v>116</v>
      </c>
      <c r="AE102" s="342" t="s">
        <v>116</v>
      </c>
      <c r="AF102" s="341" t="s">
        <v>116</v>
      </c>
    </row>
    <row r="103" spans="1:32">
      <c r="A103" s="307">
        <v>4</v>
      </c>
      <c r="B103" s="342"/>
      <c r="C103" s="342" t="s">
        <v>179</v>
      </c>
      <c r="D103" s="340" t="s">
        <v>231</v>
      </c>
      <c r="E103" s="342"/>
      <c r="F103" s="345" t="s">
        <v>230</v>
      </c>
      <c r="G103" s="308">
        <v>1</v>
      </c>
      <c r="H103" s="309">
        <v>8000</v>
      </c>
      <c r="I103" s="309">
        <v>8000</v>
      </c>
      <c r="J103" s="211"/>
      <c r="K103" s="212" t="str">
        <f>IF(OR(J103="",G103=J103),"","*")</f>
        <v/>
      </c>
      <c r="L103" s="338" t="str">
        <f>IF($A103&lt;=L$1,I103/I$4,"")</f>
        <v/>
      </c>
      <c r="M103" s="343"/>
      <c r="N103" s="344"/>
      <c r="O103" s="310">
        <v>0</v>
      </c>
      <c r="P103" s="311">
        <v>0</v>
      </c>
      <c r="Q103" s="311">
        <v>0</v>
      </c>
      <c r="R103" s="211">
        <v>0</v>
      </c>
      <c r="S103" s="212" t="s">
        <v>116</v>
      </c>
      <c r="T103" s="213" t="e">
        <v>#DIV/0!</v>
      </c>
      <c r="U103" s="214" t="s">
        <v>116</v>
      </c>
      <c r="V103" s="215" t="s">
        <v>116</v>
      </c>
      <c r="W103" s="310">
        <v>0</v>
      </c>
      <c r="X103" s="311">
        <v>0</v>
      </c>
      <c r="Y103" s="311">
        <v>0</v>
      </c>
      <c r="Z103" s="211">
        <v>0</v>
      </c>
      <c r="AA103" s="212" t="s">
        <v>116</v>
      </c>
      <c r="AB103" s="213" t="e">
        <v>#DIV/0!</v>
      </c>
      <c r="AC103" s="214" t="s">
        <v>116</v>
      </c>
      <c r="AD103" s="215" t="s">
        <v>116</v>
      </c>
      <c r="AE103" s="342" t="s">
        <v>116</v>
      </c>
      <c r="AF103" s="341" t="s">
        <v>116</v>
      </c>
    </row>
    <row r="104" spans="1:32">
      <c r="A104" s="307">
        <v>4</v>
      </c>
      <c r="B104" s="342"/>
      <c r="C104" s="342" t="s">
        <v>179</v>
      </c>
      <c r="D104" s="340" t="s">
        <v>232</v>
      </c>
      <c r="E104" s="342"/>
      <c r="F104" s="345" t="s">
        <v>230</v>
      </c>
      <c r="G104" s="308">
        <v>1</v>
      </c>
      <c r="H104" s="309">
        <v>6000</v>
      </c>
      <c r="I104" s="309">
        <v>6000</v>
      </c>
      <c r="J104" s="211"/>
      <c r="K104" s="212" t="str">
        <f>IF(OR(J104="",G104=J104),"","*")</f>
        <v/>
      </c>
      <c r="L104" s="338" t="str">
        <f>IF($A104&lt;=L$1,I104/I$4,"")</f>
        <v/>
      </c>
      <c r="M104" s="343"/>
      <c r="N104" s="344"/>
      <c r="O104" s="310">
        <v>0</v>
      </c>
      <c r="P104" s="311">
        <v>0</v>
      </c>
      <c r="Q104" s="311">
        <v>0</v>
      </c>
      <c r="R104" s="211">
        <v>0</v>
      </c>
      <c r="S104" s="212" t="s">
        <v>116</v>
      </c>
      <c r="T104" s="213" t="e">
        <v>#DIV/0!</v>
      </c>
      <c r="U104" s="214" t="s">
        <v>116</v>
      </c>
      <c r="V104" s="215" t="s">
        <v>116</v>
      </c>
      <c r="W104" s="310">
        <v>0</v>
      </c>
      <c r="X104" s="311">
        <v>0</v>
      </c>
      <c r="Y104" s="311">
        <v>0</v>
      </c>
      <c r="Z104" s="211">
        <v>0</v>
      </c>
      <c r="AA104" s="212" t="s">
        <v>116</v>
      </c>
      <c r="AB104" s="213" t="e">
        <v>#DIV/0!</v>
      </c>
      <c r="AC104" s="214" t="s">
        <v>116</v>
      </c>
      <c r="AD104" s="215" t="s">
        <v>116</v>
      </c>
      <c r="AE104" s="342" t="s">
        <v>116</v>
      </c>
      <c r="AF104" s="341" t="s">
        <v>116</v>
      </c>
    </row>
    <row r="105" spans="1:32">
      <c r="A105" s="307">
        <v>4</v>
      </c>
      <c r="B105" s="342"/>
      <c r="C105" s="342" t="s">
        <v>179</v>
      </c>
      <c r="D105" s="340" t="s">
        <v>233</v>
      </c>
      <c r="E105" s="342"/>
      <c r="F105" s="345" t="s">
        <v>170</v>
      </c>
      <c r="G105" s="308">
        <v>1</v>
      </c>
      <c r="H105" s="309">
        <v>5000</v>
      </c>
      <c r="I105" s="309">
        <v>5000</v>
      </c>
      <c r="J105" s="211"/>
      <c r="K105" s="212" t="str">
        <f>IF(OR(J105="",G105=J105),"","*")</f>
        <v/>
      </c>
      <c r="L105" s="338" t="str">
        <f>IF($A105&lt;=L$1,I105/I$4,"")</f>
        <v/>
      </c>
      <c r="M105" s="343"/>
      <c r="N105" s="344"/>
      <c r="O105" s="310">
        <v>0</v>
      </c>
      <c r="P105" s="311">
        <v>0</v>
      </c>
      <c r="Q105" s="311">
        <v>0</v>
      </c>
      <c r="R105" s="211">
        <v>0</v>
      </c>
      <c r="S105" s="212" t="s">
        <v>116</v>
      </c>
      <c r="T105" s="213" t="e">
        <v>#DIV/0!</v>
      </c>
      <c r="U105" s="214" t="s">
        <v>116</v>
      </c>
      <c r="V105" s="215" t="s">
        <v>116</v>
      </c>
      <c r="W105" s="310">
        <v>0</v>
      </c>
      <c r="X105" s="311">
        <v>0</v>
      </c>
      <c r="Y105" s="311">
        <v>0</v>
      </c>
      <c r="Z105" s="211">
        <v>0</v>
      </c>
      <c r="AA105" s="212" t="s">
        <v>116</v>
      </c>
      <c r="AB105" s="213" t="e">
        <v>#DIV/0!</v>
      </c>
      <c r="AC105" s="214" t="s">
        <v>116</v>
      </c>
      <c r="AD105" s="215" t="s">
        <v>116</v>
      </c>
      <c r="AE105" s="342" t="s">
        <v>116</v>
      </c>
      <c r="AF105" s="341" t="s">
        <v>116</v>
      </c>
    </row>
    <row r="106" spans="1:32">
      <c r="A106" s="307">
        <v>4</v>
      </c>
      <c r="B106" s="342"/>
      <c r="C106" s="342" t="s">
        <v>180</v>
      </c>
      <c r="D106" s="340" t="s">
        <v>235</v>
      </c>
      <c r="E106" s="342"/>
      <c r="F106" s="345" t="s">
        <v>230</v>
      </c>
      <c r="G106" s="308">
        <v>2</v>
      </c>
      <c r="H106" s="309">
        <v>8000</v>
      </c>
      <c r="I106" s="309">
        <v>16000</v>
      </c>
      <c r="J106" s="211"/>
      <c r="K106" s="212" t="str">
        <f>IF(OR(J106="",G106=J106),"","*")</f>
        <v/>
      </c>
      <c r="L106" s="338" t="str">
        <f>IF($A106&lt;=L$1,I106/I$4,"")</f>
        <v/>
      </c>
      <c r="M106" s="343"/>
      <c r="N106" s="344"/>
      <c r="O106" s="310">
        <v>0</v>
      </c>
      <c r="P106" s="311">
        <v>0</v>
      </c>
      <c r="Q106" s="311">
        <v>0</v>
      </c>
      <c r="R106" s="211">
        <v>0</v>
      </c>
      <c r="S106" s="212" t="s">
        <v>116</v>
      </c>
      <c r="T106" s="213" t="e">
        <v>#DIV/0!</v>
      </c>
      <c r="U106" s="214" t="s">
        <v>116</v>
      </c>
      <c r="V106" s="215" t="s">
        <v>116</v>
      </c>
      <c r="W106" s="310">
        <v>0</v>
      </c>
      <c r="X106" s="311">
        <v>0</v>
      </c>
      <c r="Y106" s="311">
        <v>0</v>
      </c>
      <c r="Z106" s="211">
        <v>0</v>
      </c>
      <c r="AA106" s="212" t="s">
        <v>116</v>
      </c>
      <c r="AB106" s="213" t="e">
        <v>#DIV/0!</v>
      </c>
      <c r="AC106" s="214" t="s">
        <v>116</v>
      </c>
      <c r="AD106" s="215" t="s">
        <v>116</v>
      </c>
      <c r="AE106" s="342" t="s">
        <v>116</v>
      </c>
      <c r="AF106" s="341" t="s">
        <v>116</v>
      </c>
    </row>
    <row r="107" spans="1:32">
      <c r="A107" s="307">
        <v>4</v>
      </c>
      <c r="B107" s="342"/>
      <c r="C107" s="342" t="s">
        <v>180</v>
      </c>
      <c r="D107" s="340" t="s">
        <v>236</v>
      </c>
      <c r="E107" s="342"/>
      <c r="F107" s="345" t="s">
        <v>230</v>
      </c>
      <c r="G107" s="308">
        <v>2</v>
      </c>
      <c r="H107" s="309">
        <v>6000</v>
      </c>
      <c r="I107" s="309">
        <v>12000</v>
      </c>
      <c r="J107" s="211"/>
      <c r="K107" s="212" t="str">
        <f>IF(OR(J107="",G107=J107),"","*")</f>
        <v/>
      </c>
      <c r="L107" s="338" t="str">
        <f>IF($A107&lt;=L$1,I107/I$4,"")</f>
        <v/>
      </c>
      <c r="M107" s="343"/>
      <c r="N107" s="344"/>
      <c r="O107" s="310">
        <v>0</v>
      </c>
      <c r="P107" s="311">
        <v>0</v>
      </c>
      <c r="Q107" s="311">
        <v>0</v>
      </c>
      <c r="R107" s="211">
        <v>0</v>
      </c>
      <c r="S107" s="212" t="s">
        <v>116</v>
      </c>
      <c r="T107" s="213" t="e">
        <v>#DIV/0!</v>
      </c>
      <c r="U107" s="214" t="s">
        <v>116</v>
      </c>
      <c r="V107" s="215" t="s">
        <v>116</v>
      </c>
      <c r="W107" s="310">
        <v>0</v>
      </c>
      <c r="X107" s="311">
        <v>0</v>
      </c>
      <c r="Y107" s="311">
        <v>0</v>
      </c>
      <c r="Z107" s="211">
        <v>0</v>
      </c>
      <c r="AA107" s="212" t="s">
        <v>116</v>
      </c>
      <c r="AB107" s="213" t="e">
        <v>#DIV/0!</v>
      </c>
      <c r="AC107" s="214" t="s">
        <v>116</v>
      </c>
      <c r="AD107" s="215" t="s">
        <v>116</v>
      </c>
      <c r="AE107" s="342" t="s">
        <v>116</v>
      </c>
      <c r="AF107" s="341" t="s">
        <v>116</v>
      </c>
    </row>
    <row r="108" spans="1:32">
      <c r="A108" s="307">
        <v>4</v>
      </c>
      <c r="B108" s="342"/>
      <c r="C108" s="342" t="s">
        <v>159</v>
      </c>
      <c r="D108" s="340" t="s">
        <v>237</v>
      </c>
      <c r="E108" s="342"/>
      <c r="F108" s="345" t="s">
        <v>238</v>
      </c>
      <c r="G108" s="308">
        <v>100</v>
      </c>
      <c r="H108" s="309">
        <v>170</v>
      </c>
      <c r="I108" s="309">
        <v>17000</v>
      </c>
      <c r="J108" s="211"/>
      <c r="K108" s="212" t="str">
        <f>IF(OR(J108="",G108=J108),"","*")</f>
        <v/>
      </c>
      <c r="L108" s="338" t="str">
        <f>IF($A108&lt;=L$1,I108/I$4,"")</f>
        <v/>
      </c>
      <c r="M108" s="343"/>
      <c r="N108" s="344"/>
      <c r="O108" s="310">
        <v>0</v>
      </c>
      <c r="P108" s="311">
        <v>0</v>
      </c>
      <c r="Q108" s="311">
        <v>0</v>
      </c>
      <c r="R108" s="211">
        <v>0</v>
      </c>
      <c r="S108" s="212" t="s">
        <v>116</v>
      </c>
      <c r="T108" s="213" t="e">
        <v>#DIV/0!</v>
      </c>
      <c r="U108" s="214" t="s">
        <v>116</v>
      </c>
      <c r="V108" s="215" t="s">
        <v>116</v>
      </c>
      <c r="W108" s="310">
        <v>0</v>
      </c>
      <c r="X108" s="311">
        <v>0</v>
      </c>
      <c r="Y108" s="311">
        <v>0</v>
      </c>
      <c r="Z108" s="211">
        <v>0</v>
      </c>
      <c r="AA108" s="212" t="s">
        <v>116</v>
      </c>
      <c r="AB108" s="213" t="e">
        <v>#DIV/0!</v>
      </c>
      <c r="AC108" s="214" t="s">
        <v>116</v>
      </c>
      <c r="AD108" s="215" t="s">
        <v>116</v>
      </c>
      <c r="AE108" s="342" t="s">
        <v>116</v>
      </c>
      <c r="AF108" s="341" t="s">
        <v>116</v>
      </c>
    </row>
    <row r="109" spans="1:32">
      <c r="A109" s="307">
        <v>4</v>
      </c>
      <c r="B109" s="342"/>
      <c r="C109" s="342" t="s">
        <v>159</v>
      </c>
      <c r="D109" s="340" t="s">
        <v>252</v>
      </c>
      <c r="E109" s="342"/>
      <c r="F109" s="345" t="s">
        <v>241</v>
      </c>
      <c r="G109" s="308">
        <v>82</v>
      </c>
      <c r="H109" s="309">
        <v>15900</v>
      </c>
      <c r="I109" s="309">
        <v>1303800</v>
      </c>
      <c r="J109" s="211"/>
      <c r="K109" s="212" t="str">
        <f>IF(OR(J109="",G109=J109),"","*")</f>
        <v/>
      </c>
      <c r="L109" s="338" t="str">
        <f>IF($A109&lt;=L$1,I109/I$4,"")</f>
        <v/>
      </c>
      <c r="M109" s="343"/>
      <c r="N109" s="344"/>
      <c r="O109" s="310">
        <v>0</v>
      </c>
      <c r="P109" s="311">
        <v>0</v>
      </c>
      <c r="Q109" s="311">
        <v>0</v>
      </c>
      <c r="R109" s="211">
        <v>0</v>
      </c>
      <c r="S109" s="212" t="s">
        <v>116</v>
      </c>
      <c r="T109" s="213" t="e">
        <v>#DIV/0!</v>
      </c>
      <c r="U109" s="214" t="s">
        <v>116</v>
      </c>
      <c r="V109" s="215" t="s">
        <v>116</v>
      </c>
      <c r="W109" s="310">
        <v>0</v>
      </c>
      <c r="X109" s="311">
        <v>0</v>
      </c>
      <c r="Y109" s="311">
        <v>0</v>
      </c>
      <c r="Z109" s="211">
        <v>0</v>
      </c>
      <c r="AA109" s="212" t="s">
        <v>116</v>
      </c>
      <c r="AB109" s="213" t="e">
        <v>#DIV/0!</v>
      </c>
      <c r="AC109" s="214" t="s">
        <v>116</v>
      </c>
      <c r="AD109" s="215" t="s">
        <v>116</v>
      </c>
      <c r="AE109" s="342" t="s">
        <v>116</v>
      </c>
      <c r="AF109" s="341" t="s">
        <v>116</v>
      </c>
    </row>
    <row r="110" spans="1:32">
      <c r="A110" s="307">
        <v>2</v>
      </c>
      <c r="B110" s="342"/>
      <c r="C110" s="342" t="s">
        <v>219</v>
      </c>
      <c r="D110" s="340" t="s">
        <v>259</v>
      </c>
      <c r="E110" s="342"/>
      <c r="F110" s="345" t="s">
        <v>170</v>
      </c>
      <c r="G110" s="308">
        <v>1</v>
      </c>
      <c r="H110" s="309">
        <v>1894400</v>
      </c>
      <c r="I110" s="309">
        <v>1894400</v>
      </c>
      <c r="J110" s="211">
        <v>1</v>
      </c>
      <c r="K110" s="212" t="str">
        <f>IF(OR(J110="",G110=J110),"","*")</f>
        <v/>
      </c>
      <c r="L110" s="338">
        <f>IF($A110&lt;=L$1,I110/I$4,"")</f>
        <v>0.18574370036278068</v>
      </c>
      <c r="M110" s="343"/>
      <c r="N110" s="344" t="s">
        <v>260</v>
      </c>
      <c r="O110" s="310">
        <v>0</v>
      </c>
      <c r="P110" s="311">
        <v>0</v>
      </c>
      <c r="Q110" s="311">
        <v>0</v>
      </c>
      <c r="R110" s="211">
        <v>0</v>
      </c>
      <c r="S110" s="212" t="s">
        <v>116</v>
      </c>
      <c r="T110" s="213" t="e">
        <v>#DIV/0!</v>
      </c>
      <c r="U110" s="214" t="s">
        <v>116</v>
      </c>
      <c r="V110" s="215" t="s">
        <v>116</v>
      </c>
      <c r="W110" s="310">
        <v>0</v>
      </c>
      <c r="X110" s="311">
        <v>0</v>
      </c>
      <c r="Y110" s="311">
        <v>0</v>
      </c>
      <c r="Z110" s="211">
        <v>0</v>
      </c>
      <c r="AA110" s="212" t="s">
        <v>116</v>
      </c>
      <c r="AB110" s="213" t="e">
        <v>#DIV/0!</v>
      </c>
      <c r="AC110" s="214" t="s">
        <v>116</v>
      </c>
      <c r="AD110" s="215" t="s">
        <v>116</v>
      </c>
      <c r="AE110" s="342" t="s">
        <v>116</v>
      </c>
      <c r="AF110" s="341" t="s">
        <v>116</v>
      </c>
    </row>
    <row r="111" spans="1:32">
      <c r="A111" s="307">
        <v>3</v>
      </c>
      <c r="B111" s="342"/>
      <c r="C111" s="342" t="s">
        <v>222</v>
      </c>
      <c r="D111" s="340" t="s">
        <v>223</v>
      </c>
      <c r="E111" s="342"/>
      <c r="F111" s="345" t="s">
        <v>170</v>
      </c>
      <c r="G111" s="308">
        <v>1</v>
      </c>
      <c r="H111" s="309">
        <v>441200</v>
      </c>
      <c r="I111" s="309">
        <v>441200</v>
      </c>
      <c r="J111" s="211">
        <v>1</v>
      </c>
      <c r="K111" s="212" t="str">
        <f>IF(OR(J111="",G111=J111),"","*")</f>
        <v/>
      </c>
      <c r="L111" s="338">
        <f>IF($A111&lt;=L$1,I111/I$4,"")</f>
        <v>4.3259143053240516E-2</v>
      </c>
      <c r="M111" s="343"/>
      <c r="N111" s="344" t="s">
        <v>261</v>
      </c>
      <c r="O111" s="310">
        <v>0</v>
      </c>
      <c r="P111" s="311">
        <v>0</v>
      </c>
      <c r="Q111" s="311">
        <v>0</v>
      </c>
      <c r="R111" s="211">
        <v>0</v>
      </c>
      <c r="S111" s="212" t="s">
        <v>116</v>
      </c>
      <c r="T111" s="213" t="e">
        <v>#DIV/0!</v>
      </c>
      <c r="U111" s="214" t="s">
        <v>116</v>
      </c>
      <c r="V111" s="215" t="s">
        <v>116</v>
      </c>
      <c r="W111" s="310">
        <v>0</v>
      </c>
      <c r="X111" s="311">
        <v>0</v>
      </c>
      <c r="Y111" s="311">
        <v>0</v>
      </c>
      <c r="Z111" s="211">
        <v>0</v>
      </c>
      <c r="AA111" s="212" t="s">
        <v>116</v>
      </c>
      <c r="AB111" s="213" t="e">
        <v>#DIV/0!</v>
      </c>
      <c r="AC111" s="214" t="s">
        <v>116</v>
      </c>
      <c r="AD111" s="215" t="s">
        <v>116</v>
      </c>
      <c r="AE111" s="342" t="s">
        <v>116</v>
      </c>
      <c r="AF111" s="341" t="s">
        <v>116</v>
      </c>
    </row>
    <row r="112" spans="1:32">
      <c r="A112" s="307">
        <v>4</v>
      </c>
      <c r="B112" s="342"/>
      <c r="C112" s="342" t="s">
        <v>159</v>
      </c>
      <c r="D112" s="340" t="s">
        <v>225</v>
      </c>
      <c r="E112" s="342"/>
      <c r="F112" s="345" t="s">
        <v>170</v>
      </c>
      <c r="G112" s="308">
        <v>1</v>
      </c>
      <c r="H112" s="309">
        <v>5000</v>
      </c>
      <c r="I112" s="309">
        <v>5000</v>
      </c>
      <c r="J112" s="211"/>
      <c r="K112" s="212" t="str">
        <f>IF(OR(J112="",G112=J112),"","*")</f>
        <v/>
      </c>
      <c r="L112" s="338" t="str">
        <f>IF($A112&lt;=L$1,I112/I$4,"")</f>
        <v/>
      </c>
      <c r="M112" s="343"/>
      <c r="N112" s="344"/>
      <c r="O112" s="310">
        <v>0</v>
      </c>
      <c r="P112" s="311">
        <v>0</v>
      </c>
      <c r="Q112" s="311">
        <v>0</v>
      </c>
      <c r="R112" s="211">
        <v>0</v>
      </c>
      <c r="S112" s="212" t="s">
        <v>116</v>
      </c>
      <c r="T112" s="213" t="e">
        <v>#DIV/0!</v>
      </c>
      <c r="U112" s="214" t="s">
        <v>116</v>
      </c>
      <c r="V112" s="215" t="s">
        <v>116</v>
      </c>
      <c r="W112" s="310">
        <v>0</v>
      </c>
      <c r="X112" s="311">
        <v>0</v>
      </c>
      <c r="Y112" s="311">
        <v>0</v>
      </c>
      <c r="Z112" s="211">
        <v>0</v>
      </c>
      <c r="AA112" s="212" t="s">
        <v>116</v>
      </c>
      <c r="AB112" s="213" t="e">
        <v>#DIV/0!</v>
      </c>
      <c r="AC112" s="214" t="s">
        <v>116</v>
      </c>
      <c r="AD112" s="215" t="s">
        <v>116</v>
      </c>
      <c r="AE112" s="342" t="s">
        <v>116</v>
      </c>
      <c r="AF112" s="341" t="s">
        <v>116</v>
      </c>
    </row>
    <row r="113" spans="1:32">
      <c r="A113" s="307">
        <v>4</v>
      </c>
      <c r="B113" s="342"/>
      <c r="C113" s="342" t="s">
        <v>177</v>
      </c>
      <c r="D113" s="340" t="s">
        <v>226</v>
      </c>
      <c r="E113" s="342"/>
      <c r="F113" s="345" t="s">
        <v>227</v>
      </c>
      <c r="G113" s="308">
        <v>8</v>
      </c>
      <c r="H113" s="309">
        <v>20000</v>
      </c>
      <c r="I113" s="309">
        <v>160000</v>
      </c>
      <c r="J113" s="211"/>
      <c r="K113" s="212" t="str">
        <f>IF(OR(J113="",G113=J113),"","*")</f>
        <v/>
      </c>
      <c r="L113" s="338" t="str">
        <f>IF($A113&lt;=L$1,I113/I$4,"")</f>
        <v/>
      </c>
      <c r="M113" s="343"/>
      <c r="N113" s="344"/>
      <c r="O113" s="310">
        <v>0</v>
      </c>
      <c r="P113" s="311">
        <v>0</v>
      </c>
      <c r="Q113" s="311">
        <v>0</v>
      </c>
      <c r="R113" s="211">
        <v>0</v>
      </c>
      <c r="S113" s="212" t="s">
        <v>116</v>
      </c>
      <c r="T113" s="213" t="e">
        <v>#DIV/0!</v>
      </c>
      <c r="U113" s="214" t="s">
        <v>116</v>
      </c>
      <c r="V113" s="215" t="s">
        <v>116</v>
      </c>
      <c r="W113" s="310">
        <v>0</v>
      </c>
      <c r="X113" s="311">
        <v>0</v>
      </c>
      <c r="Y113" s="311">
        <v>0</v>
      </c>
      <c r="Z113" s="211">
        <v>0</v>
      </c>
      <c r="AA113" s="212" t="s">
        <v>116</v>
      </c>
      <c r="AB113" s="213" t="e">
        <v>#DIV/0!</v>
      </c>
      <c r="AC113" s="214" t="s">
        <v>116</v>
      </c>
      <c r="AD113" s="215" t="s">
        <v>116</v>
      </c>
      <c r="AE113" s="342" t="s">
        <v>116</v>
      </c>
      <c r="AF113" s="341" t="s">
        <v>116</v>
      </c>
    </row>
    <row r="114" spans="1:32">
      <c r="A114" s="307">
        <v>4</v>
      </c>
      <c r="B114" s="342"/>
      <c r="C114" s="342" t="s">
        <v>182</v>
      </c>
      <c r="D114" s="340" t="s">
        <v>228</v>
      </c>
      <c r="E114" s="342"/>
      <c r="F114" s="345" t="s">
        <v>227</v>
      </c>
      <c r="G114" s="308">
        <v>8</v>
      </c>
      <c r="H114" s="309">
        <v>3200</v>
      </c>
      <c r="I114" s="309">
        <v>25600</v>
      </c>
      <c r="J114" s="211"/>
      <c r="K114" s="212" t="str">
        <f>IF(OR(J114="",G114=J114),"","*")</f>
        <v/>
      </c>
      <c r="L114" s="338" t="str">
        <f>IF($A114&lt;=L$1,I114/I$4,"")</f>
        <v/>
      </c>
      <c r="M114" s="343"/>
      <c r="N114" s="344"/>
      <c r="O114" s="310">
        <v>0</v>
      </c>
      <c r="P114" s="311">
        <v>0</v>
      </c>
      <c r="Q114" s="311">
        <v>0</v>
      </c>
      <c r="R114" s="211">
        <v>0</v>
      </c>
      <c r="S114" s="212" t="s">
        <v>116</v>
      </c>
      <c r="T114" s="213" t="e">
        <v>#DIV/0!</v>
      </c>
      <c r="U114" s="214" t="s">
        <v>116</v>
      </c>
      <c r="V114" s="215" t="s">
        <v>116</v>
      </c>
      <c r="W114" s="310">
        <v>0</v>
      </c>
      <c r="X114" s="311">
        <v>0</v>
      </c>
      <c r="Y114" s="311">
        <v>0</v>
      </c>
      <c r="Z114" s="211">
        <v>0</v>
      </c>
      <c r="AA114" s="212" t="s">
        <v>116</v>
      </c>
      <c r="AB114" s="213" t="e">
        <v>#DIV/0!</v>
      </c>
      <c r="AC114" s="214" t="s">
        <v>116</v>
      </c>
      <c r="AD114" s="215" t="s">
        <v>116</v>
      </c>
      <c r="AE114" s="342" t="s">
        <v>116</v>
      </c>
      <c r="AF114" s="341" t="s">
        <v>116</v>
      </c>
    </row>
    <row r="115" spans="1:32">
      <c r="A115" s="307">
        <v>4</v>
      </c>
      <c r="B115" s="342"/>
      <c r="C115" s="342" t="s">
        <v>179</v>
      </c>
      <c r="D115" s="340" t="s">
        <v>229</v>
      </c>
      <c r="E115" s="342"/>
      <c r="F115" s="345" t="s">
        <v>230</v>
      </c>
      <c r="G115" s="308">
        <v>1</v>
      </c>
      <c r="H115" s="309">
        <v>12000</v>
      </c>
      <c r="I115" s="309">
        <v>12000</v>
      </c>
      <c r="J115" s="211"/>
      <c r="K115" s="212" t="str">
        <f>IF(OR(J115="",G115=J115),"","*")</f>
        <v/>
      </c>
      <c r="L115" s="338" t="str">
        <f>IF($A115&lt;=L$1,I115/I$4,"")</f>
        <v/>
      </c>
      <c r="M115" s="343"/>
      <c r="N115" s="344"/>
      <c r="O115" s="310">
        <v>0</v>
      </c>
      <c r="P115" s="311">
        <v>0</v>
      </c>
      <c r="Q115" s="311">
        <v>0</v>
      </c>
      <c r="R115" s="211">
        <v>0</v>
      </c>
      <c r="S115" s="212" t="s">
        <v>116</v>
      </c>
      <c r="T115" s="213" t="e">
        <v>#DIV/0!</v>
      </c>
      <c r="U115" s="214" t="s">
        <v>116</v>
      </c>
      <c r="V115" s="215" t="s">
        <v>116</v>
      </c>
      <c r="W115" s="310">
        <v>0</v>
      </c>
      <c r="X115" s="311">
        <v>0</v>
      </c>
      <c r="Y115" s="311">
        <v>0</v>
      </c>
      <c r="Z115" s="211">
        <v>0</v>
      </c>
      <c r="AA115" s="212" t="s">
        <v>116</v>
      </c>
      <c r="AB115" s="213" t="e">
        <v>#DIV/0!</v>
      </c>
      <c r="AC115" s="214" t="s">
        <v>116</v>
      </c>
      <c r="AD115" s="215" t="s">
        <v>116</v>
      </c>
      <c r="AE115" s="342" t="s">
        <v>116</v>
      </c>
      <c r="AF115" s="341" t="s">
        <v>116</v>
      </c>
    </row>
    <row r="116" spans="1:32">
      <c r="A116" s="307">
        <v>4</v>
      </c>
      <c r="B116" s="342"/>
      <c r="C116" s="342" t="s">
        <v>179</v>
      </c>
      <c r="D116" s="340" t="s">
        <v>231</v>
      </c>
      <c r="E116" s="342"/>
      <c r="F116" s="345" t="s">
        <v>230</v>
      </c>
      <c r="G116" s="308">
        <v>1</v>
      </c>
      <c r="H116" s="309">
        <v>8000</v>
      </c>
      <c r="I116" s="309">
        <v>8000</v>
      </c>
      <c r="J116" s="211"/>
      <c r="K116" s="212" t="str">
        <f>IF(OR(J116="",G116=J116),"","*")</f>
        <v/>
      </c>
      <c r="L116" s="338" t="str">
        <f>IF($A116&lt;=L$1,I116/I$4,"")</f>
        <v/>
      </c>
      <c r="M116" s="343"/>
      <c r="N116" s="344"/>
      <c r="O116" s="310">
        <v>0</v>
      </c>
      <c r="P116" s="311">
        <v>0</v>
      </c>
      <c r="Q116" s="311">
        <v>0</v>
      </c>
      <c r="R116" s="211">
        <v>0</v>
      </c>
      <c r="S116" s="212" t="s">
        <v>116</v>
      </c>
      <c r="T116" s="213" t="e">
        <v>#DIV/0!</v>
      </c>
      <c r="U116" s="214" t="s">
        <v>116</v>
      </c>
      <c r="V116" s="215" t="s">
        <v>116</v>
      </c>
      <c r="W116" s="310">
        <v>0</v>
      </c>
      <c r="X116" s="311">
        <v>0</v>
      </c>
      <c r="Y116" s="311">
        <v>0</v>
      </c>
      <c r="Z116" s="211">
        <v>0</v>
      </c>
      <c r="AA116" s="212" t="s">
        <v>116</v>
      </c>
      <c r="AB116" s="213" t="e">
        <v>#DIV/0!</v>
      </c>
      <c r="AC116" s="214" t="s">
        <v>116</v>
      </c>
      <c r="AD116" s="215" t="s">
        <v>116</v>
      </c>
      <c r="AE116" s="342" t="s">
        <v>116</v>
      </c>
      <c r="AF116" s="341" t="s">
        <v>116</v>
      </c>
    </row>
    <row r="117" spans="1:32">
      <c r="A117" s="307">
        <v>4</v>
      </c>
      <c r="B117" s="342"/>
      <c r="C117" s="342" t="s">
        <v>179</v>
      </c>
      <c r="D117" s="340" t="s">
        <v>232</v>
      </c>
      <c r="E117" s="342"/>
      <c r="F117" s="345" t="s">
        <v>230</v>
      </c>
      <c r="G117" s="308">
        <v>1</v>
      </c>
      <c r="H117" s="309">
        <v>6000</v>
      </c>
      <c r="I117" s="309">
        <v>6000</v>
      </c>
      <c r="J117" s="211"/>
      <c r="K117" s="212" t="str">
        <f>IF(OR(J117="",G117=J117),"","*")</f>
        <v/>
      </c>
      <c r="L117" s="338" t="str">
        <f>IF($A117&lt;=L$1,I117/I$4,"")</f>
        <v/>
      </c>
      <c r="M117" s="343"/>
      <c r="N117" s="344"/>
      <c r="O117" s="310">
        <v>0</v>
      </c>
      <c r="P117" s="311">
        <v>0</v>
      </c>
      <c r="Q117" s="311">
        <v>0</v>
      </c>
      <c r="R117" s="211">
        <v>0</v>
      </c>
      <c r="S117" s="212" t="s">
        <v>116</v>
      </c>
      <c r="T117" s="213" t="e">
        <v>#DIV/0!</v>
      </c>
      <c r="U117" s="214" t="s">
        <v>116</v>
      </c>
      <c r="V117" s="215" t="s">
        <v>116</v>
      </c>
      <c r="W117" s="310">
        <v>0</v>
      </c>
      <c r="X117" s="311">
        <v>0</v>
      </c>
      <c r="Y117" s="311">
        <v>0</v>
      </c>
      <c r="Z117" s="211">
        <v>0</v>
      </c>
      <c r="AA117" s="212" t="s">
        <v>116</v>
      </c>
      <c r="AB117" s="213" t="e">
        <v>#DIV/0!</v>
      </c>
      <c r="AC117" s="214" t="s">
        <v>116</v>
      </c>
      <c r="AD117" s="215" t="s">
        <v>116</v>
      </c>
      <c r="AE117" s="342" t="s">
        <v>116</v>
      </c>
      <c r="AF117" s="341" t="s">
        <v>116</v>
      </c>
    </row>
    <row r="118" spans="1:32">
      <c r="A118" s="307">
        <v>4</v>
      </c>
      <c r="B118" s="342"/>
      <c r="C118" s="342" t="s">
        <v>179</v>
      </c>
      <c r="D118" s="340" t="s">
        <v>233</v>
      </c>
      <c r="E118" s="342"/>
      <c r="F118" s="345" t="s">
        <v>170</v>
      </c>
      <c r="G118" s="308">
        <v>1</v>
      </c>
      <c r="H118" s="309">
        <v>5000</v>
      </c>
      <c r="I118" s="309">
        <v>5000</v>
      </c>
      <c r="J118" s="211"/>
      <c r="K118" s="212" t="str">
        <f>IF(OR(J118="",G118=J118),"","*")</f>
        <v/>
      </c>
      <c r="L118" s="338" t="str">
        <f>IF($A118&lt;=L$1,I118/I$4,"")</f>
        <v/>
      </c>
      <c r="M118" s="343"/>
      <c r="N118" s="344"/>
      <c r="O118" s="310">
        <v>0</v>
      </c>
      <c r="P118" s="311">
        <v>0</v>
      </c>
      <c r="Q118" s="311">
        <v>0</v>
      </c>
      <c r="R118" s="211">
        <v>0</v>
      </c>
      <c r="S118" s="212" t="s">
        <v>116</v>
      </c>
      <c r="T118" s="213" t="e">
        <v>#DIV/0!</v>
      </c>
      <c r="U118" s="214" t="s">
        <v>116</v>
      </c>
      <c r="V118" s="215" t="s">
        <v>116</v>
      </c>
      <c r="W118" s="310">
        <v>0</v>
      </c>
      <c r="X118" s="311">
        <v>0</v>
      </c>
      <c r="Y118" s="311">
        <v>0</v>
      </c>
      <c r="Z118" s="211">
        <v>0</v>
      </c>
      <c r="AA118" s="212" t="s">
        <v>116</v>
      </c>
      <c r="AB118" s="213" t="e">
        <v>#DIV/0!</v>
      </c>
      <c r="AC118" s="214" t="s">
        <v>116</v>
      </c>
      <c r="AD118" s="215" t="s">
        <v>116</v>
      </c>
      <c r="AE118" s="342" t="s">
        <v>116</v>
      </c>
      <c r="AF118" s="341" t="s">
        <v>116</v>
      </c>
    </row>
    <row r="119" spans="1:32">
      <c r="A119" s="307">
        <v>4</v>
      </c>
      <c r="B119" s="342"/>
      <c r="C119" s="342" t="s">
        <v>179</v>
      </c>
      <c r="D119" s="340" t="s">
        <v>234</v>
      </c>
      <c r="E119" s="342"/>
      <c r="F119" s="345" t="s">
        <v>230</v>
      </c>
      <c r="G119" s="308">
        <v>1</v>
      </c>
      <c r="H119" s="309">
        <v>15000</v>
      </c>
      <c r="I119" s="309">
        <v>15000</v>
      </c>
      <c r="J119" s="211"/>
      <c r="K119" s="212" t="str">
        <f>IF(OR(J119="",G119=J119),"","*")</f>
        <v/>
      </c>
      <c r="L119" s="338" t="str">
        <f>IF($A119&lt;=L$1,I119/I$4,"")</f>
        <v/>
      </c>
      <c r="M119" s="343"/>
      <c r="N119" s="344"/>
      <c r="O119" s="310">
        <v>0</v>
      </c>
      <c r="P119" s="311">
        <v>0</v>
      </c>
      <c r="Q119" s="311">
        <v>0</v>
      </c>
      <c r="R119" s="211">
        <v>0</v>
      </c>
      <c r="S119" s="212" t="s">
        <v>116</v>
      </c>
      <c r="T119" s="213" t="e">
        <v>#DIV/0!</v>
      </c>
      <c r="U119" s="214" t="s">
        <v>116</v>
      </c>
      <c r="V119" s="215" t="s">
        <v>116</v>
      </c>
      <c r="W119" s="310">
        <v>0</v>
      </c>
      <c r="X119" s="311">
        <v>0</v>
      </c>
      <c r="Y119" s="311">
        <v>0</v>
      </c>
      <c r="Z119" s="211">
        <v>0</v>
      </c>
      <c r="AA119" s="212" t="s">
        <v>116</v>
      </c>
      <c r="AB119" s="213" t="e">
        <v>#DIV/0!</v>
      </c>
      <c r="AC119" s="214" t="s">
        <v>116</v>
      </c>
      <c r="AD119" s="215" t="s">
        <v>116</v>
      </c>
      <c r="AE119" s="342" t="s">
        <v>116</v>
      </c>
      <c r="AF119" s="341" t="s">
        <v>116</v>
      </c>
    </row>
    <row r="120" spans="1:32">
      <c r="A120" s="307">
        <v>4</v>
      </c>
      <c r="B120" s="342"/>
      <c r="C120" s="342" t="s">
        <v>180</v>
      </c>
      <c r="D120" s="340" t="s">
        <v>235</v>
      </c>
      <c r="E120" s="342"/>
      <c r="F120" s="345" t="s">
        <v>230</v>
      </c>
      <c r="G120" s="308">
        <v>2</v>
      </c>
      <c r="H120" s="309">
        <v>8000</v>
      </c>
      <c r="I120" s="309">
        <v>16000</v>
      </c>
      <c r="J120" s="211"/>
      <c r="K120" s="212" t="str">
        <f>IF(OR(J120="",G120=J120),"","*")</f>
        <v/>
      </c>
      <c r="L120" s="338" t="str">
        <f>IF($A120&lt;=L$1,I120/I$4,"")</f>
        <v/>
      </c>
      <c r="M120" s="343"/>
      <c r="N120" s="344"/>
      <c r="O120" s="310">
        <v>0</v>
      </c>
      <c r="P120" s="311">
        <v>0</v>
      </c>
      <c r="Q120" s="311">
        <v>0</v>
      </c>
      <c r="R120" s="211">
        <v>0</v>
      </c>
      <c r="S120" s="212" t="s">
        <v>116</v>
      </c>
      <c r="T120" s="213" t="e">
        <v>#DIV/0!</v>
      </c>
      <c r="U120" s="214" t="s">
        <v>116</v>
      </c>
      <c r="V120" s="215" t="s">
        <v>116</v>
      </c>
      <c r="W120" s="310">
        <v>0</v>
      </c>
      <c r="X120" s="311">
        <v>0</v>
      </c>
      <c r="Y120" s="311">
        <v>0</v>
      </c>
      <c r="Z120" s="211">
        <v>0</v>
      </c>
      <c r="AA120" s="212" t="s">
        <v>116</v>
      </c>
      <c r="AB120" s="213" t="e">
        <v>#DIV/0!</v>
      </c>
      <c r="AC120" s="214" t="s">
        <v>116</v>
      </c>
      <c r="AD120" s="215" t="s">
        <v>116</v>
      </c>
      <c r="AE120" s="342" t="s">
        <v>116</v>
      </c>
      <c r="AF120" s="341" t="s">
        <v>116</v>
      </c>
    </row>
    <row r="121" spans="1:32">
      <c r="A121" s="307">
        <v>4</v>
      </c>
      <c r="B121" s="342"/>
      <c r="C121" s="342" t="s">
        <v>180</v>
      </c>
      <c r="D121" s="340" t="s">
        <v>236</v>
      </c>
      <c r="E121" s="342"/>
      <c r="F121" s="345" t="s">
        <v>230</v>
      </c>
      <c r="G121" s="308">
        <v>2</v>
      </c>
      <c r="H121" s="309">
        <v>6000</v>
      </c>
      <c r="I121" s="309">
        <v>12000</v>
      </c>
      <c r="J121" s="211"/>
      <c r="K121" s="212" t="str">
        <f>IF(OR(J121="",G121=J121),"","*")</f>
        <v/>
      </c>
      <c r="L121" s="338" t="str">
        <f>IF($A121&lt;=L$1,I121/I$4,"")</f>
        <v/>
      </c>
      <c r="M121" s="343"/>
      <c r="N121" s="344"/>
      <c r="O121" s="310">
        <v>0</v>
      </c>
      <c r="P121" s="311">
        <v>0</v>
      </c>
      <c r="Q121" s="311">
        <v>0</v>
      </c>
      <c r="R121" s="211">
        <v>0</v>
      </c>
      <c r="S121" s="212" t="s">
        <v>116</v>
      </c>
      <c r="T121" s="213" t="e">
        <v>#DIV/0!</v>
      </c>
      <c r="U121" s="214" t="s">
        <v>116</v>
      </c>
      <c r="V121" s="215" t="s">
        <v>116</v>
      </c>
      <c r="W121" s="310">
        <v>0</v>
      </c>
      <c r="X121" s="311">
        <v>0</v>
      </c>
      <c r="Y121" s="311">
        <v>0</v>
      </c>
      <c r="Z121" s="211">
        <v>0</v>
      </c>
      <c r="AA121" s="212" t="s">
        <v>116</v>
      </c>
      <c r="AB121" s="213" t="e">
        <v>#DIV/0!</v>
      </c>
      <c r="AC121" s="214" t="s">
        <v>116</v>
      </c>
      <c r="AD121" s="215" t="s">
        <v>116</v>
      </c>
      <c r="AE121" s="342" t="s">
        <v>116</v>
      </c>
      <c r="AF121" s="341" t="s">
        <v>116</v>
      </c>
    </row>
    <row r="122" spans="1:32">
      <c r="A122" s="307">
        <v>4</v>
      </c>
      <c r="B122" s="342"/>
      <c r="C122" s="342" t="s">
        <v>159</v>
      </c>
      <c r="D122" s="340" t="s">
        <v>237</v>
      </c>
      <c r="E122" s="342"/>
      <c r="F122" s="345" t="s">
        <v>238</v>
      </c>
      <c r="G122" s="308">
        <v>80</v>
      </c>
      <c r="H122" s="309">
        <v>170</v>
      </c>
      <c r="I122" s="309">
        <v>13600</v>
      </c>
      <c r="J122" s="211"/>
      <c r="K122" s="212" t="str">
        <f>IF(OR(J122="",G122=J122),"","*")</f>
        <v/>
      </c>
      <c r="L122" s="338" t="str">
        <f>IF($A122&lt;=L$1,I122/I$4,"")</f>
        <v/>
      </c>
      <c r="M122" s="343"/>
      <c r="N122" s="344"/>
      <c r="O122" s="310">
        <v>0</v>
      </c>
      <c r="P122" s="311">
        <v>0</v>
      </c>
      <c r="Q122" s="311">
        <v>0</v>
      </c>
      <c r="R122" s="211">
        <v>0</v>
      </c>
      <c r="S122" s="212" t="s">
        <v>116</v>
      </c>
      <c r="T122" s="213" t="e">
        <v>#DIV/0!</v>
      </c>
      <c r="U122" s="214" t="s">
        <v>116</v>
      </c>
      <c r="V122" s="215" t="s">
        <v>116</v>
      </c>
      <c r="W122" s="310">
        <v>0</v>
      </c>
      <c r="X122" s="311">
        <v>0</v>
      </c>
      <c r="Y122" s="311">
        <v>0</v>
      </c>
      <c r="Z122" s="211">
        <v>0</v>
      </c>
      <c r="AA122" s="212" t="s">
        <v>116</v>
      </c>
      <c r="AB122" s="213" t="e">
        <v>#DIV/0!</v>
      </c>
      <c r="AC122" s="214" t="s">
        <v>116</v>
      </c>
      <c r="AD122" s="215" t="s">
        <v>116</v>
      </c>
      <c r="AE122" s="342" t="s">
        <v>116</v>
      </c>
      <c r="AF122" s="341" t="s">
        <v>116</v>
      </c>
    </row>
    <row r="123" spans="1:32">
      <c r="A123" s="307">
        <v>4</v>
      </c>
      <c r="B123" s="342"/>
      <c r="C123" s="342" t="s">
        <v>180</v>
      </c>
      <c r="D123" s="340" t="s">
        <v>239</v>
      </c>
      <c r="E123" s="342"/>
      <c r="F123" s="345" t="s">
        <v>230</v>
      </c>
      <c r="G123" s="308">
        <v>3</v>
      </c>
      <c r="H123" s="309">
        <v>48000</v>
      </c>
      <c r="I123" s="309">
        <v>144000</v>
      </c>
      <c r="J123" s="211"/>
      <c r="K123" s="212" t="str">
        <f>IF(OR(J123="",G123=J123),"","*")</f>
        <v/>
      </c>
      <c r="L123" s="338" t="str">
        <f>IF($A123&lt;=L$1,I123/I$4,"")</f>
        <v/>
      </c>
      <c r="M123" s="343"/>
      <c r="N123" s="344"/>
      <c r="O123" s="310">
        <v>0</v>
      </c>
      <c r="P123" s="311">
        <v>0</v>
      </c>
      <c r="Q123" s="311">
        <v>0</v>
      </c>
      <c r="R123" s="211">
        <v>0</v>
      </c>
      <c r="S123" s="212" t="s">
        <v>116</v>
      </c>
      <c r="T123" s="213" t="e">
        <v>#DIV/0!</v>
      </c>
      <c r="U123" s="214" t="s">
        <v>116</v>
      </c>
      <c r="V123" s="215" t="s">
        <v>116</v>
      </c>
      <c r="W123" s="310">
        <v>0</v>
      </c>
      <c r="X123" s="311">
        <v>0</v>
      </c>
      <c r="Y123" s="311">
        <v>0</v>
      </c>
      <c r="Z123" s="211">
        <v>0</v>
      </c>
      <c r="AA123" s="212" t="s">
        <v>116</v>
      </c>
      <c r="AB123" s="213" t="e">
        <v>#DIV/0!</v>
      </c>
      <c r="AC123" s="214" t="s">
        <v>116</v>
      </c>
      <c r="AD123" s="215" t="s">
        <v>116</v>
      </c>
      <c r="AE123" s="342" t="s">
        <v>116</v>
      </c>
      <c r="AF123" s="341" t="s">
        <v>116</v>
      </c>
    </row>
    <row r="124" spans="1:32">
      <c r="A124" s="307">
        <v>4</v>
      </c>
      <c r="B124" s="342"/>
      <c r="C124" s="342" t="s">
        <v>180</v>
      </c>
      <c r="D124" s="340" t="s">
        <v>240</v>
      </c>
      <c r="E124" s="342"/>
      <c r="F124" s="345" t="s">
        <v>241</v>
      </c>
      <c r="G124" s="308">
        <v>38</v>
      </c>
      <c r="H124" s="309">
        <v>500</v>
      </c>
      <c r="I124" s="309">
        <v>19000</v>
      </c>
      <c r="J124" s="211"/>
      <c r="K124" s="212" t="str">
        <f>IF(OR(J124="",G124=J124),"","*")</f>
        <v/>
      </c>
      <c r="L124" s="338" t="str">
        <f>IF($A124&lt;=L$1,I124/I$4,"")</f>
        <v/>
      </c>
      <c r="M124" s="343"/>
      <c r="N124" s="344"/>
      <c r="O124" s="310">
        <v>0</v>
      </c>
      <c r="P124" s="311">
        <v>0</v>
      </c>
      <c r="Q124" s="311">
        <v>0</v>
      </c>
      <c r="R124" s="211">
        <v>0</v>
      </c>
      <c r="S124" s="212" t="s">
        <v>116</v>
      </c>
      <c r="T124" s="213" t="e">
        <v>#DIV/0!</v>
      </c>
      <c r="U124" s="214" t="s">
        <v>116</v>
      </c>
      <c r="V124" s="215" t="s">
        <v>116</v>
      </c>
      <c r="W124" s="310">
        <v>0</v>
      </c>
      <c r="X124" s="311">
        <v>0</v>
      </c>
      <c r="Y124" s="311">
        <v>0</v>
      </c>
      <c r="Z124" s="211">
        <v>0</v>
      </c>
      <c r="AA124" s="212" t="s">
        <v>116</v>
      </c>
      <c r="AB124" s="213" t="e">
        <v>#DIV/0!</v>
      </c>
      <c r="AC124" s="214" t="s">
        <v>116</v>
      </c>
      <c r="AD124" s="215" t="s">
        <v>116</v>
      </c>
      <c r="AE124" s="342" t="s">
        <v>116</v>
      </c>
      <c r="AF124" s="341" t="s">
        <v>116</v>
      </c>
    </row>
    <row r="125" spans="1:32">
      <c r="A125" s="307">
        <v>3</v>
      </c>
      <c r="B125" s="342"/>
      <c r="C125" s="342" t="s">
        <v>222</v>
      </c>
      <c r="D125" s="340" t="s">
        <v>242</v>
      </c>
      <c r="E125" s="342"/>
      <c r="F125" s="345" t="s">
        <v>170</v>
      </c>
      <c r="G125" s="308">
        <v>1</v>
      </c>
      <c r="H125" s="309">
        <v>216800</v>
      </c>
      <c r="I125" s="309">
        <v>216800</v>
      </c>
      <c r="J125" s="211">
        <v>1</v>
      </c>
      <c r="K125" s="212" t="str">
        <f>IF(OR(J125="",G125=J125),"","*")</f>
        <v/>
      </c>
      <c r="L125" s="338">
        <f>IF($A125&lt;=L$1,I125/I$4,"")</f>
        <v>2.125698597901755E-2</v>
      </c>
      <c r="M125" s="343"/>
      <c r="N125" s="344" t="s">
        <v>262</v>
      </c>
      <c r="O125" s="310">
        <v>0</v>
      </c>
      <c r="P125" s="311">
        <v>0</v>
      </c>
      <c r="Q125" s="311">
        <v>0</v>
      </c>
      <c r="R125" s="211">
        <v>0</v>
      </c>
      <c r="S125" s="212" t="s">
        <v>116</v>
      </c>
      <c r="T125" s="213" t="e">
        <v>#DIV/0!</v>
      </c>
      <c r="U125" s="214" t="s">
        <v>116</v>
      </c>
      <c r="V125" s="215" t="s">
        <v>116</v>
      </c>
      <c r="W125" s="310">
        <v>0</v>
      </c>
      <c r="X125" s="311">
        <v>0</v>
      </c>
      <c r="Y125" s="311">
        <v>0</v>
      </c>
      <c r="Z125" s="211">
        <v>0</v>
      </c>
      <c r="AA125" s="212" t="s">
        <v>116</v>
      </c>
      <c r="AB125" s="213" t="e">
        <v>#DIV/0!</v>
      </c>
      <c r="AC125" s="214" t="s">
        <v>116</v>
      </c>
      <c r="AD125" s="215" t="s">
        <v>116</v>
      </c>
      <c r="AE125" s="342" t="s">
        <v>116</v>
      </c>
      <c r="AF125" s="341" t="s">
        <v>116</v>
      </c>
    </row>
    <row r="126" spans="1:32">
      <c r="A126" s="307">
        <v>4</v>
      </c>
      <c r="B126" s="342"/>
      <c r="C126" s="342" t="s">
        <v>159</v>
      </c>
      <c r="D126" s="340" t="s">
        <v>225</v>
      </c>
      <c r="E126" s="342"/>
      <c r="F126" s="345" t="s">
        <v>170</v>
      </c>
      <c r="G126" s="308">
        <v>1</v>
      </c>
      <c r="H126" s="309">
        <v>5000</v>
      </c>
      <c r="I126" s="309">
        <v>5000</v>
      </c>
      <c r="J126" s="211"/>
      <c r="K126" s="212" t="str">
        <f>IF(OR(J126="",G126=J126),"","*")</f>
        <v/>
      </c>
      <c r="L126" s="338" t="str">
        <f>IF($A126&lt;=L$1,I126/I$4,"")</f>
        <v/>
      </c>
      <c r="M126" s="343"/>
      <c r="N126" s="344"/>
      <c r="O126" s="310">
        <v>0</v>
      </c>
      <c r="P126" s="311">
        <v>0</v>
      </c>
      <c r="Q126" s="311">
        <v>0</v>
      </c>
      <c r="R126" s="211">
        <v>0</v>
      </c>
      <c r="S126" s="212" t="s">
        <v>116</v>
      </c>
      <c r="T126" s="213" t="e">
        <v>#DIV/0!</v>
      </c>
      <c r="U126" s="214" t="s">
        <v>116</v>
      </c>
      <c r="V126" s="215" t="s">
        <v>116</v>
      </c>
      <c r="W126" s="310">
        <v>0</v>
      </c>
      <c r="X126" s="311">
        <v>0</v>
      </c>
      <c r="Y126" s="311">
        <v>0</v>
      </c>
      <c r="Z126" s="211">
        <v>0</v>
      </c>
      <c r="AA126" s="212" t="s">
        <v>116</v>
      </c>
      <c r="AB126" s="213" t="e">
        <v>#DIV/0!</v>
      </c>
      <c r="AC126" s="214" t="s">
        <v>116</v>
      </c>
      <c r="AD126" s="215" t="s">
        <v>116</v>
      </c>
      <c r="AE126" s="342" t="s">
        <v>116</v>
      </c>
      <c r="AF126" s="341" t="s">
        <v>116</v>
      </c>
    </row>
    <row r="127" spans="1:32">
      <c r="A127" s="307">
        <v>4</v>
      </c>
      <c r="B127" s="342"/>
      <c r="C127" s="342" t="s">
        <v>177</v>
      </c>
      <c r="D127" s="340" t="s">
        <v>226</v>
      </c>
      <c r="E127" s="342"/>
      <c r="F127" s="345" t="s">
        <v>227</v>
      </c>
      <c r="G127" s="308">
        <v>6</v>
      </c>
      <c r="H127" s="309">
        <v>20000</v>
      </c>
      <c r="I127" s="309">
        <v>120000</v>
      </c>
      <c r="J127" s="211"/>
      <c r="K127" s="212" t="str">
        <f>IF(OR(J127="",G127=J127),"","*")</f>
        <v/>
      </c>
      <c r="L127" s="338" t="str">
        <f>IF($A127&lt;=L$1,I127/I$4,"")</f>
        <v/>
      </c>
      <c r="M127" s="343"/>
      <c r="N127" s="344"/>
      <c r="O127" s="310">
        <v>0</v>
      </c>
      <c r="P127" s="311">
        <v>0</v>
      </c>
      <c r="Q127" s="311">
        <v>0</v>
      </c>
      <c r="R127" s="211">
        <v>0</v>
      </c>
      <c r="S127" s="212" t="s">
        <v>116</v>
      </c>
      <c r="T127" s="213" t="e">
        <v>#DIV/0!</v>
      </c>
      <c r="U127" s="214" t="s">
        <v>116</v>
      </c>
      <c r="V127" s="215" t="s">
        <v>116</v>
      </c>
      <c r="W127" s="310">
        <v>0</v>
      </c>
      <c r="X127" s="311">
        <v>0</v>
      </c>
      <c r="Y127" s="311">
        <v>0</v>
      </c>
      <c r="Z127" s="211">
        <v>0</v>
      </c>
      <c r="AA127" s="212" t="s">
        <v>116</v>
      </c>
      <c r="AB127" s="213" t="e">
        <v>#DIV/0!</v>
      </c>
      <c r="AC127" s="214" t="s">
        <v>116</v>
      </c>
      <c r="AD127" s="215" t="s">
        <v>116</v>
      </c>
      <c r="AE127" s="342" t="s">
        <v>116</v>
      </c>
      <c r="AF127" s="341" t="s">
        <v>116</v>
      </c>
    </row>
    <row r="128" spans="1:32">
      <c r="A128" s="307">
        <v>4</v>
      </c>
      <c r="B128" s="342"/>
      <c r="C128" s="342" t="s">
        <v>182</v>
      </c>
      <c r="D128" s="340" t="s">
        <v>228</v>
      </c>
      <c r="E128" s="342"/>
      <c r="F128" s="345" t="s">
        <v>227</v>
      </c>
      <c r="G128" s="308">
        <v>6</v>
      </c>
      <c r="H128" s="309">
        <v>3200</v>
      </c>
      <c r="I128" s="309">
        <v>19200</v>
      </c>
      <c r="J128" s="211"/>
      <c r="K128" s="212" t="str">
        <f>IF(OR(J128="",G128=J128),"","*")</f>
        <v/>
      </c>
      <c r="L128" s="338" t="str">
        <f>IF($A128&lt;=L$1,I128/I$4,"")</f>
        <v/>
      </c>
      <c r="M128" s="343"/>
      <c r="N128" s="344"/>
      <c r="O128" s="310">
        <v>0</v>
      </c>
      <c r="P128" s="311">
        <v>0</v>
      </c>
      <c r="Q128" s="311">
        <v>0</v>
      </c>
      <c r="R128" s="211">
        <v>0</v>
      </c>
      <c r="S128" s="212" t="s">
        <v>116</v>
      </c>
      <c r="T128" s="213" t="e">
        <v>#DIV/0!</v>
      </c>
      <c r="U128" s="214" t="s">
        <v>116</v>
      </c>
      <c r="V128" s="215" t="s">
        <v>116</v>
      </c>
      <c r="W128" s="310">
        <v>0</v>
      </c>
      <c r="X128" s="311">
        <v>0</v>
      </c>
      <c r="Y128" s="311">
        <v>0</v>
      </c>
      <c r="Z128" s="211">
        <v>0</v>
      </c>
      <c r="AA128" s="212" t="s">
        <v>116</v>
      </c>
      <c r="AB128" s="213" t="e">
        <v>#DIV/0!</v>
      </c>
      <c r="AC128" s="214" t="s">
        <v>116</v>
      </c>
      <c r="AD128" s="215" t="s">
        <v>116</v>
      </c>
      <c r="AE128" s="342" t="s">
        <v>116</v>
      </c>
      <c r="AF128" s="341" t="s">
        <v>116</v>
      </c>
    </row>
    <row r="129" spans="1:32">
      <c r="A129" s="307">
        <v>4</v>
      </c>
      <c r="B129" s="342"/>
      <c r="C129" s="342" t="s">
        <v>179</v>
      </c>
      <c r="D129" s="340" t="s">
        <v>229</v>
      </c>
      <c r="E129" s="342"/>
      <c r="F129" s="345" t="s">
        <v>230</v>
      </c>
      <c r="G129" s="308">
        <v>1</v>
      </c>
      <c r="H129" s="309">
        <v>12000</v>
      </c>
      <c r="I129" s="309">
        <v>12000</v>
      </c>
      <c r="J129" s="211"/>
      <c r="K129" s="212" t="str">
        <f>IF(OR(J129="",G129=J129),"","*")</f>
        <v/>
      </c>
      <c r="L129" s="338" t="str">
        <f>IF($A129&lt;=L$1,I129/I$4,"")</f>
        <v/>
      </c>
      <c r="M129" s="343"/>
      <c r="N129" s="344"/>
      <c r="O129" s="310">
        <v>0</v>
      </c>
      <c r="P129" s="311">
        <v>0</v>
      </c>
      <c r="Q129" s="311">
        <v>0</v>
      </c>
      <c r="R129" s="211">
        <v>0</v>
      </c>
      <c r="S129" s="212" t="s">
        <v>116</v>
      </c>
      <c r="T129" s="213" t="e">
        <v>#DIV/0!</v>
      </c>
      <c r="U129" s="214" t="s">
        <v>116</v>
      </c>
      <c r="V129" s="215" t="s">
        <v>116</v>
      </c>
      <c r="W129" s="310">
        <v>0</v>
      </c>
      <c r="X129" s="311">
        <v>0</v>
      </c>
      <c r="Y129" s="311">
        <v>0</v>
      </c>
      <c r="Z129" s="211">
        <v>0</v>
      </c>
      <c r="AA129" s="212" t="s">
        <v>116</v>
      </c>
      <c r="AB129" s="213" t="e">
        <v>#DIV/0!</v>
      </c>
      <c r="AC129" s="214" t="s">
        <v>116</v>
      </c>
      <c r="AD129" s="215" t="s">
        <v>116</v>
      </c>
      <c r="AE129" s="342" t="s">
        <v>116</v>
      </c>
      <c r="AF129" s="341" t="s">
        <v>116</v>
      </c>
    </row>
    <row r="130" spans="1:32">
      <c r="A130" s="307">
        <v>4</v>
      </c>
      <c r="B130" s="342"/>
      <c r="C130" s="342" t="s">
        <v>179</v>
      </c>
      <c r="D130" s="340" t="s">
        <v>231</v>
      </c>
      <c r="E130" s="342"/>
      <c r="F130" s="345" t="s">
        <v>230</v>
      </c>
      <c r="G130" s="308">
        <v>1</v>
      </c>
      <c r="H130" s="309">
        <v>8000</v>
      </c>
      <c r="I130" s="309">
        <v>8000</v>
      </c>
      <c r="J130" s="211"/>
      <c r="K130" s="212" t="str">
        <f>IF(OR(J130="",G130=J130),"","*")</f>
        <v/>
      </c>
      <c r="L130" s="338" t="str">
        <f>IF($A130&lt;=L$1,I130/I$4,"")</f>
        <v/>
      </c>
      <c r="M130" s="343"/>
      <c r="N130" s="344"/>
      <c r="O130" s="310">
        <v>0</v>
      </c>
      <c r="P130" s="311">
        <v>0</v>
      </c>
      <c r="Q130" s="311">
        <v>0</v>
      </c>
      <c r="R130" s="211">
        <v>0</v>
      </c>
      <c r="S130" s="212" t="s">
        <v>116</v>
      </c>
      <c r="T130" s="213" t="e">
        <v>#DIV/0!</v>
      </c>
      <c r="U130" s="214" t="s">
        <v>116</v>
      </c>
      <c r="V130" s="215" t="s">
        <v>116</v>
      </c>
      <c r="W130" s="310">
        <v>0</v>
      </c>
      <c r="X130" s="311">
        <v>0</v>
      </c>
      <c r="Y130" s="311">
        <v>0</v>
      </c>
      <c r="Z130" s="211">
        <v>0</v>
      </c>
      <c r="AA130" s="212" t="s">
        <v>116</v>
      </c>
      <c r="AB130" s="213" t="e">
        <v>#DIV/0!</v>
      </c>
      <c r="AC130" s="214" t="s">
        <v>116</v>
      </c>
      <c r="AD130" s="215" t="s">
        <v>116</v>
      </c>
      <c r="AE130" s="342" t="s">
        <v>116</v>
      </c>
      <c r="AF130" s="341" t="s">
        <v>116</v>
      </c>
    </row>
    <row r="131" spans="1:32">
      <c r="A131" s="307">
        <v>4</v>
      </c>
      <c r="B131" s="342"/>
      <c r="C131" s="342" t="s">
        <v>179</v>
      </c>
      <c r="D131" s="340" t="s">
        <v>232</v>
      </c>
      <c r="E131" s="342"/>
      <c r="F131" s="345" t="s">
        <v>230</v>
      </c>
      <c r="G131" s="308">
        <v>1</v>
      </c>
      <c r="H131" s="309">
        <v>6000</v>
      </c>
      <c r="I131" s="309">
        <v>6000</v>
      </c>
      <c r="J131" s="211"/>
      <c r="K131" s="212" t="str">
        <f>IF(OR(J131="",G131=J131),"","*")</f>
        <v/>
      </c>
      <c r="L131" s="338" t="str">
        <f>IF($A131&lt;=L$1,I131/I$4,"")</f>
        <v/>
      </c>
      <c r="M131" s="343"/>
      <c r="N131" s="344"/>
      <c r="O131" s="310">
        <v>0</v>
      </c>
      <c r="P131" s="311">
        <v>0</v>
      </c>
      <c r="Q131" s="311">
        <v>0</v>
      </c>
      <c r="R131" s="211">
        <v>0</v>
      </c>
      <c r="S131" s="212" t="s">
        <v>116</v>
      </c>
      <c r="T131" s="213" t="e">
        <v>#DIV/0!</v>
      </c>
      <c r="U131" s="214" t="s">
        <v>116</v>
      </c>
      <c r="V131" s="215" t="s">
        <v>116</v>
      </c>
      <c r="W131" s="310">
        <v>0</v>
      </c>
      <c r="X131" s="311">
        <v>0</v>
      </c>
      <c r="Y131" s="311">
        <v>0</v>
      </c>
      <c r="Z131" s="211">
        <v>0</v>
      </c>
      <c r="AA131" s="212" t="s">
        <v>116</v>
      </c>
      <c r="AB131" s="213" t="e">
        <v>#DIV/0!</v>
      </c>
      <c r="AC131" s="214" t="s">
        <v>116</v>
      </c>
      <c r="AD131" s="215" t="s">
        <v>116</v>
      </c>
      <c r="AE131" s="342" t="s">
        <v>116</v>
      </c>
      <c r="AF131" s="341" t="s">
        <v>116</v>
      </c>
    </row>
    <row r="132" spans="1:32">
      <c r="A132" s="307">
        <v>4</v>
      </c>
      <c r="B132" s="342"/>
      <c r="C132" s="342" t="s">
        <v>179</v>
      </c>
      <c r="D132" s="340" t="s">
        <v>233</v>
      </c>
      <c r="E132" s="342"/>
      <c r="F132" s="345" t="s">
        <v>170</v>
      </c>
      <c r="G132" s="308">
        <v>1</v>
      </c>
      <c r="H132" s="309">
        <v>5000</v>
      </c>
      <c r="I132" s="309">
        <v>5000</v>
      </c>
      <c r="J132" s="211"/>
      <c r="K132" s="212" t="str">
        <f>IF(OR(J132="",G132=J132),"","*")</f>
        <v/>
      </c>
      <c r="L132" s="338" t="str">
        <f>IF($A132&lt;=L$1,I132/I$4,"")</f>
        <v/>
      </c>
      <c r="M132" s="343"/>
      <c r="N132" s="344"/>
      <c r="O132" s="310">
        <v>0</v>
      </c>
      <c r="P132" s="311">
        <v>0</v>
      </c>
      <c r="Q132" s="311">
        <v>0</v>
      </c>
      <c r="R132" s="211">
        <v>0</v>
      </c>
      <c r="S132" s="212" t="s">
        <v>116</v>
      </c>
      <c r="T132" s="213" t="e">
        <v>#DIV/0!</v>
      </c>
      <c r="U132" s="214" t="s">
        <v>116</v>
      </c>
      <c r="V132" s="215" t="s">
        <v>116</v>
      </c>
      <c r="W132" s="310">
        <v>0</v>
      </c>
      <c r="X132" s="311">
        <v>0</v>
      </c>
      <c r="Y132" s="311">
        <v>0</v>
      </c>
      <c r="Z132" s="211">
        <v>0</v>
      </c>
      <c r="AA132" s="212" t="s">
        <v>116</v>
      </c>
      <c r="AB132" s="213" t="e">
        <v>#DIV/0!</v>
      </c>
      <c r="AC132" s="214" t="s">
        <v>116</v>
      </c>
      <c r="AD132" s="215" t="s">
        <v>116</v>
      </c>
      <c r="AE132" s="342" t="s">
        <v>116</v>
      </c>
      <c r="AF132" s="341" t="s">
        <v>116</v>
      </c>
    </row>
    <row r="133" spans="1:32">
      <c r="A133" s="307">
        <v>4</v>
      </c>
      <c r="B133" s="342"/>
      <c r="C133" s="342" t="s">
        <v>180</v>
      </c>
      <c r="D133" s="340" t="s">
        <v>235</v>
      </c>
      <c r="E133" s="342"/>
      <c r="F133" s="345" t="s">
        <v>230</v>
      </c>
      <c r="G133" s="308">
        <v>2</v>
      </c>
      <c r="H133" s="309">
        <v>8000</v>
      </c>
      <c r="I133" s="309">
        <v>16000</v>
      </c>
      <c r="J133" s="211"/>
      <c r="K133" s="212" t="str">
        <f>IF(OR(J133="",G133=J133),"","*")</f>
        <v/>
      </c>
      <c r="L133" s="338" t="str">
        <f>IF($A133&lt;=L$1,I133/I$4,"")</f>
        <v/>
      </c>
      <c r="M133" s="343"/>
      <c r="N133" s="344"/>
      <c r="O133" s="310">
        <v>0</v>
      </c>
      <c r="P133" s="311">
        <v>0</v>
      </c>
      <c r="Q133" s="311">
        <v>0</v>
      </c>
      <c r="R133" s="211">
        <v>0</v>
      </c>
      <c r="S133" s="212" t="s">
        <v>116</v>
      </c>
      <c r="T133" s="213" t="e">
        <v>#DIV/0!</v>
      </c>
      <c r="U133" s="214" t="s">
        <v>116</v>
      </c>
      <c r="V133" s="215" t="s">
        <v>116</v>
      </c>
      <c r="W133" s="310">
        <v>0</v>
      </c>
      <c r="X133" s="311">
        <v>0</v>
      </c>
      <c r="Y133" s="311">
        <v>0</v>
      </c>
      <c r="Z133" s="211">
        <v>0</v>
      </c>
      <c r="AA133" s="212" t="s">
        <v>116</v>
      </c>
      <c r="AB133" s="213" t="e">
        <v>#DIV/0!</v>
      </c>
      <c r="AC133" s="214" t="s">
        <v>116</v>
      </c>
      <c r="AD133" s="215" t="s">
        <v>116</v>
      </c>
      <c r="AE133" s="342" t="s">
        <v>116</v>
      </c>
      <c r="AF133" s="341" t="s">
        <v>116</v>
      </c>
    </row>
    <row r="134" spans="1:32">
      <c r="A134" s="307">
        <v>4</v>
      </c>
      <c r="B134" s="342"/>
      <c r="C134" s="342" t="s">
        <v>180</v>
      </c>
      <c r="D134" s="340" t="s">
        <v>236</v>
      </c>
      <c r="E134" s="342"/>
      <c r="F134" s="345" t="s">
        <v>230</v>
      </c>
      <c r="G134" s="308">
        <v>2</v>
      </c>
      <c r="H134" s="309">
        <v>6000</v>
      </c>
      <c r="I134" s="309">
        <v>12000</v>
      </c>
      <c r="J134" s="211"/>
      <c r="K134" s="212" t="str">
        <f>IF(OR(J134="",G134=J134),"","*")</f>
        <v/>
      </c>
      <c r="L134" s="338" t="str">
        <f>IF($A134&lt;=L$1,I134/I$4,"")</f>
        <v/>
      </c>
      <c r="M134" s="343"/>
      <c r="N134" s="344"/>
      <c r="O134" s="310">
        <v>0</v>
      </c>
      <c r="P134" s="311">
        <v>0</v>
      </c>
      <c r="Q134" s="311">
        <v>0</v>
      </c>
      <c r="R134" s="211">
        <v>0</v>
      </c>
      <c r="S134" s="212" t="s">
        <v>116</v>
      </c>
      <c r="T134" s="213" t="e">
        <v>#DIV/0!</v>
      </c>
      <c r="U134" s="214" t="s">
        <v>116</v>
      </c>
      <c r="V134" s="215" t="s">
        <v>116</v>
      </c>
      <c r="W134" s="310">
        <v>0</v>
      </c>
      <c r="X134" s="311">
        <v>0</v>
      </c>
      <c r="Y134" s="311">
        <v>0</v>
      </c>
      <c r="Z134" s="211">
        <v>0</v>
      </c>
      <c r="AA134" s="212" t="s">
        <v>116</v>
      </c>
      <c r="AB134" s="213" t="e">
        <v>#DIV/0!</v>
      </c>
      <c r="AC134" s="214" t="s">
        <v>116</v>
      </c>
      <c r="AD134" s="215" t="s">
        <v>116</v>
      </c>
      <c r="AE134" s="342" t="s">
        <v>116</v>
      </c>
      <c r="AF134" s="341" t="s">
        <v>116</v>
      </c>
    </row>
    <row r="135" spans="1:32">
      <c r="A135" s="307">
        <v>4</v>
      </c>
      <c r="B135" s="342"/>
      <c r="C135" s="342" t="s">
        <v>159</v>
      </c>
      <c r="D135" s="340" t="s">
        <v>237</v>
      </c>
      <c r="E135" s="342"/>
      <c r="F135" s="345" t="s">
        <v>238</v>
      </c>
      <c r="G135" s="308">
        <v>80</v>
      </c>
      <c r="H135" s="309">
        <v>170</v>
      </c>
      <c r="I135" s="309">
        <v>13600</v>
      </c>
      <c r="J135" s="211"/>
      <c r="K135" s="212" t="str">
        <f>IF(OR(J135="",G135=J135),"","*")</f>
        <v/>
      </c>
      <c r="L135" s="338" t="str">
        <f>IF($A135&lt;=L$1,I135/I$4,"")</f>
        <v/>
      </c>
      <c r="M135" s="343"/>
      <c r="N135" s="344"/>
      <c r="O135" s="310">
        <v>0</v>
      </c>
      <c r="P135" s="311">
        <v>0</v>
      </c>
      <c r="Q135" s="311">
        <v>0</v>
      </c>
      <c r="R135" s="211">
        <v>0</v>
      </c>
      <c r="S135" s="212" t="s">
        <v>116</v>
      </c>
      <c r="T135" s="213" t="e">
        <v>#DIV/0!</v>
      </c>
      <c r="U135" s="214" t="s">
        <v>116</v>
      </c>
      <c r="V135" s="215" t="s">
        <v>116</v>
      </c>
      <c r="W135" s="310">
        <v>0</v>
      </c>
      <c r="X135" s="311">
        <v>0</v>
      </c>
      <c r="Y135" s="311">
        <v>0</v>
      </c>
      <c r="Z135" s="211">
        <v>0</v>
      </c>
      <c r="AA135" s="212" t="s">
        <v>116</v>
      </c>
      <c r="AB135" s="213" t="e">
        <v>#DIV/0!</v>
      </c>
      <c r="AC135" s="214" t="s">
        <v>116</v>
      </c>
      <c r="AD135" s="215" t="s">
        <v>116</v>
      </c>
      <c r="AE135" s="342" t="s">
        <v>116</v>
      </c>
      <c r="AF135" s="341" t="s">
        <v>116</v>
      </c>
    </row>
    <row r="136" spans="1:32">
      <c r="A136" s="307">
        <v>3</v>
      </c>
      <c r="B136" s="342"/>
      <c r="C136" s="342" t="s">
        <v>222</v>
      </c>
      <c r="D136" s="340" t="s">
        <v>244</v>
      </c>
      <c r="E136" s="342"/>
      <c r="F136" s="345" t="s">
        <v>170</v>
      </c>
      <c r="G136" s="308">
        <v>1</v>
      </c>
      <c r="H136" s="309">
        <v>283800</v>
      </c>
      <c r="I136" s="309">
        <v>283800</v>
      </c>
      <c r="J136" s="211">
        <v>1</v>
      </c>
      <c r="K136" s="212" t="str">
        <f>IF(OR(J136="",G136=J136),"","*")</f>
        <v/>
      </c>
      <c r="L136" s="338">
        <f>IF($A136&lt;=L$1,I136/I$4,"")</f>
        <v>2.7826257476223158E-2</v>
      </c>
      <c r="M136" s="343"/>
      <c r="N136" s="344" t="s">
        <v>263</v>
      </c>
      <c r="O136" s="310">
        <v>0</v>
      </c>
      <c r="P136" s="311">
        <v>0</v>
      </c>
      <c r="Q136" s="311">
        <v>0</v>
      </c>
      <c r="R136" s="211">
        <v>0</v>
      </c>
      <c r="S136" s="212" t="s">
        <v>116</v>
      </c>
      <c r="T136" s="213" t="e">
        <v>#DIV/0!</v>
      </c>
      <c r="U136" s="214" t="s">
        <v>116</v>
      </c>
      <c r="V136" s="215" t="s">
        <v>116</v>
      </c>
      <c r="W136" s="310">
        <v>0</v>
      </c>
      <c r="X136" s="311">
        <v>0</v>
      </c>
      <c r="Y136" s="311">
        <v>0</v>
      </c>
      <c r="Z136" s="211">
        <v>0</v>
      </c>
      <c r="AA136" s="212" t="s">
        <v>116</v>
      </c>
      <c r="AB136" s="213" t="e">
        <v>#DIV/0!</v>
      </c>
      <c r="AC136" s="214" t="s">
        <v>116</v>
      </c>
      <c r="AD136" s="215" t="s">
        <v>116</v>
      </c>
      <c r="AE136" s="342" t="s">
        <v>116</v>
      </c>
      <c r="AF136" s="341" t="s">
        <v>116</v>
      </c>
    </row>
    <row r="137" spans="1:32">
      <c r="A137" s="307">
        <v>4</v>
      </c>
      <c r="B137" s="342"/>
      <c r="C137" s="342" t="s">
        <v>159</v>
      </c>
      <c r="D137" s="340" t="s">
        <v>225</v>
      </c>
      <c r="E137" s="342"/>
      <c r="F137" s="345" t="s">
        <v>170</v>
      </c>
      <c r="G137" s="308">
        <v>1</v>
      </c>
      <c r="H137" s="309">
        <v>5000</v>
      </c>
      <c r="I137" s="309">
        <v>5000</v>
      </c>
      <c r="J137" s="211"/>
      <c r="K137" s="212" t="str">
        <f>IF(OR(J137="",G137=J137),"","*")</f>
        <v/>
      </c>
      <c r="L137" s="338" t="str">
        <f>IF($A137&lt;=L$1,I137/I$4,"")</f>
        <v/>
      </c>
      <c r="M137" s="343"/>
      <c r="N137" s="344"/>
      <c r="O137" s="310">
        <v>0</v>
      </c>
      <c r="P137" s="311">
        <v>0</v>
      </c>
      <c r="Q137" s="311">
        <v>0</v>
      </c>
      <c r="R137" s="211">
        <v>0</v>
      </c>
      <c r="S137" s="212" t="s">
        <v>116</v>
      </c>
      <c r="T137" s="213" t="e">
        <v>#DIV/0!</v>
      </c>
      <c r="U137" s="214" t="s">
        <v>116</v>
      </c>
      <c r="V137" s="215" t="s">
        <v>116</v>
      </c>
      <c r="W137" s="310">
        <v>0</v>
      </c>
      <c r="X137" s="311">
        <v>0</v>
      </c>
      <c r="Y137" s="311">
        <v>0</v>
      </c>
      <c r="Z137" s="211">
        <v>0</v>
      </c>
      <c r="AA137" s="212" t="s">
        <v>116</v>
      </c>
      <c r="AB137" s="213" t="e">
        <v>#DIV/0!</v>
      </c>
      <c r="AC137" s="214" t="s">
        <v>116</v>
      </c>
      <c r="AD137" s="215" t="s">
        <v>116</v>
      </c>
      <c r="AE137" s="342" t="s">
        <v>116</v>
      </c>
      <c r="AF137" s="341" t="s">
        <v>116</v>
      </c>
    </row>
    <row r="138" spans="1:32">
      <c r="A138" s="307">
        <v>4</v>
      </c>
      <c r="B138" s="342"/>
      <c r="C138" s="342" t="s">
        <v>177</v>
      </c>
      <c r="D138" s="340" t="s">
        <v>226</v>
      </c>
      <c r="E138" s="342"/>
      <c r="F138" s="345" t="s">
        <v>227</v>
      </c>
      <c r="G138" s="308">
        <v>6</v>
      </c>
      <c r="H138" s="309">
        <v>20000</v>
      </c>
      <c r="I138" s="309">
        <v>120000</v>
      </c>
      <c r="J138" s="211"/>
      <c r="K138" s="212" t="str">
        <f>IF(OR(J138="",G138=J138),"","*")</f>
        <v/>
      </c>
      <c r="L138" s="338" t="str">
        <f>IF($A138&lt;=L$1,I138/I$4,"")</f>
        <v/>
      </c>
      <c r="M138" s="343"/>
      <c r="N138" s="344"/>
      <c r="O138" s="310">
        <v>0</v>
      </c>
      <c r="P138" s="311">
        <v>0</v>
      </c>
      <c r="Q138" s="311">
        <v>0</v>
      </c>
      <c r="R138" s="211">
        <v>0</v>
      </c>
      <c r="S138" s="212" t="s">
        <v>116</v>
      </c>
      <c r="T138" s="213" t="e">
        <v>#DIV/0!</v>
      </c>
      <c r="U138" s="214" t="s">
        <v>116</v>
      </c>
      <c r="V138" s="215" t="s">
        <v>116</v>
      </c>
      <c r="W138" s="310">
        <v>0</v>
      </c>
      <c r="X138" s="311">
        <v>0</v>
      </c>
      <c r="Y138" s="311">
        <v>0</v>
      </c>
      <c r="Z138" s="211">
        <v>0</v>
      </c>
      <c r="AA138" s="212" t="s">
        <v>116</v>
      </c>
      <c r="AB138" s="213" t="e">
        <v>#DIV/0!</v>
      </c>
      <c r="AC138" s="214" t="s">
        <v>116</v>
      </c>
      <c r="AD138" s="215" t="s">
        <v>116</v>
      </c>
      <c r="AE138" s="342" t="s">
        <v>116</v>
      </c>
      <c r="AF138" s="341" t="s">
        <v>116</v>
      </c>
    </row>
    <row r="139" spans="1:32">
      <c r="A139" s="307">
        <v>4</v>
      </c>
      <c r="B139" s="342"/>
      <c r="C139" s="342" t="s">
        <v>182</v>
      </c>
      <c r="D139" s="340" t="s">
        <v>228</v>
      </c>
      <c r="E139" s="342"/>
      <c r="F139" s="345" t="s">
        <v>227</v>
      </c>
      <c r="G139" s="308">
        <v>6</v>
      </c>
      <c r="H139" s="309">
        <v>3200</v>
      </c>
      <c r="I139" s="309">
        <v>19200</v>
      </c>
      <c r="J139" s="211"/>
      <c r="K139" s="212" t="str">
        <f>IF(OR(J139="",G139=J139),"","*")</f>
        <v/>
      </c>
      <c r="L139" s="338" t="str">
        <f>IF($A139&lt;=L$1,I139/I$4,"")</f>
        <v/>
      </c>
      <c r="M139" s="343"/>
      <c r="N139" s="344"/>
      <c r="O139" s="310">
        <v>0</v>
      </c>
      <c r="P139" s="311">
        <v>0</v>
      </c>
      <c r="Q139" s="311">
        <v>0</v>
      </c>
      <c r="R139" s="211">
        <v>0</v>
      </c>
      <c r="S139" s="212" t="s">
        <v>116</v>
      </c>
      <c r="T139" s="213" t="e">
        <v>#DIV/0!</v>
      </c>
      <c r="U139" s="214" t="s">
        <v>116</v>
      </c>
      <c r="V139" s="215" t="s">
        <v>116</v>
      </c>
      <c r="W139" s="310">
        <v>0</v>
      </c>
      <c r="X139" s="311">
        <v>0</v>
      </c>
      <c r="Y139" s="311">
        <v>0</v>
      </c>
      <c r="Z139" s="211">
        <v>0</v>
      </c>
      <c r="AA139" s="212" t="s">
        <v>116</v>
      </c>
      <c r="AB139" s="213" t="e">
        <v>#DIV/0!</v>
      </c>
      <c r="AC139" s="214" t="s">
        <v>116</v>
      </c>
      <c r="AD139" s="215" t="s">
        <v>116</v>
      </c>
      <c r="AE139" s="342" t="s">
        <v>116</v>
      </c>
      <c r="AF139" s="341" t="s">
        <v>116</v>
      </c>
    </row>
    <row r="140" spans="1:32">
      <c r="A140" s="307">
        <v>4</v>
      </c>
      <c r="B140" s="342"/>
      <c r="C140" s="342" t="s">
        <v>179</v>
      </c>
      <c r="D140" s="340" t="s">
        <v>229</v>
      </c>
      <c r="E140" s="342"/>
      <c r="F140" s="345" t="s">
        <v>230</v>
      </c>
      <c r="G140" s="308">
        <v>1</v>
      </c>
      <c r="H140" s="309">
        <v>12000</v>
      </c>
      <c r="I140" s="309">
        <v>12000</v>
      </c>
      <c r="J140" s="211"/>
      <c r="K140" s="212" t="str">
        <f>IF(OR(J140="",G140=J140),"","*")</f>
        <v/>
      </c>
      <c r="L140" s="338" t="str">
        <f>IF($A140&lt;=L$1,I140/I$4,"")</f>
        <v/>
      </c>
      <c r="M140" s="343"/>
      <c r="N140" s="344"/>
      <c r="O140" s="310">
        <v>0</v>
      </c>
      <c r="P140" s="311">
        <v>0</v>
      </c>
      <c r="Q140" s="311">
        <v>0</v>
      </c>
      <c r="R140" s="211">
        <v>0</v>
      </c>
      <c r="S140" s="212" t="s">
        <v>116</v>
      </c>
      <c r="T140" s="213" t="e">
        <v>#DIV/0!</v>
      </c>
      <c r="U140" s="214" t="s">
        <v>116</v>
      </c>
      <c r="V140" s="215" t="s">
        <v>116</v>
      </c>
      <c r="W140" s="310">
        <v>0</v>
      </c>
      <c r="X140" s="311">
        <v>0</v>
      </c>
      <c r="Y140" s="311">
        <v>0</v>
      </c>
      <c r="Z140" s="211">
        <v>0</v>
      </c>
      <c r="AA140" s="212" t="s">
        <v>116</v>
      </c>
      <c r="AB140" s="213" t="e">
        <v>#DIV/0!</v>
      </c>
      <c r="AC140" s="214" t="s">
        <v>116</v>
      </c>
      <c r="AD140" s="215" t="s">
        <v>116</v>
      </c>
      <c r="AE140" s="342" t="s">
        <v>116</v>
      </c>
      <c r="AF140" s="341" t="s">
        <v>116</v>
      </c>
    </row>
    <row r="141" spans="1:32">
      <c r="A141" s="307">
        <v>4</v>
      </c>
      <c r="B141" s="342"/>
      <c r="C141" s="342" t="s">
        <v>179</v>
      </c>
      <c r="D141" s="340" t="s">
        <v>231</v>
      </c>
      <c r="E141" s="342"/>
      <c r="F141" s="345" t="s">
        <v>230</v>
      </c>
      <c r="G141" s="308">
        <v>1</v>
      </c>
      <c r="H141" s="309">
        <v>8000</v>
      </c>
      <c r="I141" s="309">
        <v>8000</v>
      </c>
      <c r="J141" s="211"/>
      <c r="K141" s="212" t="str">
        <f>IF(OR(J141="",G141=J141),"","*")</f>
        <v/>
      </c>
      <c r="L141" s="338" t="str">
        <f>IF($A141&lt;=L$1,I141/I$4,"")</f>
        <v/>
      </c>
      <c r="M141" s="343"/>
      <c r="N141" s="344"/>
      <c r="O141" s="310">
        <v>0</v>
      </c>
      <c r="P141" s="311">
        <v>0</v>
      </c>
      <c r="Q141" s="311">
        <v>0</v>
      </c>
      <c r="R141" s="211">
        <v>0</v>
      </c>
      <c r="S141" s="212" t="s">
        <v>116</v>
      </c>
      <c r="T141" s="213" t="e">
        <v>#DIV/0!</v>
      </c>
      <c r="U141" s="214" t="s">
        <v>116</v>
      </c>
      <c r="V141" s="215" t="s">
        <v>116</v>
      </c>
      <c r="W141" s="310">
        <v>0</v>
      </c>
      <c r="X141" s="311">
        <v>0</v>
      </c>
      <c r="Y141" s="311">
        <v>0</v>
      </c>
      <c r="Z141" s="211">
        <v>0</v>
      </c>
      <c r="AA141" s="212" t="s">
        <v>116</v>
      </c>
      <c r="AB141" s="213" t="e">
        <v>#DIV/0!</v>
      </c>
      <c r="AC141" s="214" t="s">
        <v>116</v>
      </c>
      <c r="AD141" s="215" t="s">
        <v>116</v>
      </c>
      <c r="AE141" s="342" t="s">
        <v>116</v>
      </c>
      <c r="AF141" s="341" t="s">
        <v>116</v>
      </c>
    </row>
    <row r="142" spans="1:32">
      <c r="A142" s="307">
        <v>4</v>
      </c>
      <c r="B142" s="342"/>
      <c r="C142" s="342" t="s">
        <v>179</v>
      </c>
      <c r="D142" s="340" t="s">
        <v>232</v>
      </c>
      <c r="E142" s="342"/>
      <c r="F142" s="345" t="s">
        <v>230</v>
      </c>
      <c r="G142" s="308">
        <v>1</v>
      </c>
      <c r="H142" s="309">
        <v>6000</v>
      </c>
      <c r="I142" s="309">
        <v>6000</v>
      </c>
      <c r="J142" s="211"/>
      <c r="K142" s="212" t="str">
        <f>IF(OR(J142="",G142=J142),"","*")</f>
        <v/>
      </c>
      <c r="L142" s="338" t="str">
        <f>IF($A142&lt;=L$1,I142/I$4,"")</f>
        <v/>
      </c>
      <c r="M142" s="343"/>
      <c r="N142" s="344"/>
      <c r="O142" s="310">
        <v>0</v>
      </c>
      <c r="P142" s="311">
        <v>0</v>
      </c>
      <c r="Q142" s="311">
        <v>0</v>
      </c>
      <c r="R142" s="211">
        <v>0</v>
      </c>
      <c r="S142" s="212" t="s">
        <v>116</v>
      </c>
      <c r="T142" s="213" t="e">
        <v>#DIV/0!</v>
      </c>
      <c r="U142" s="214" t="s">
        <v>116</v>
      </c>
      <c r="V142" s="215" t="s">
        <v>116</v>
      </c>
      <c r="W142" s="310">
        <v>0</v>
      </c>
      <c r="X142" s="311">
        <v>0</v>
      </c>
      <c r="Y142" s="311">
        <v>0</v>
      </c>
      <c r="Z142" s="211">
        <v>0</v>
      </c>
      <c r="AA142" s="212" t="s">
        <v>116</v>
      </c>
      <c r="AB142" s="213" t="e">
        <v>#DIV/0!</v>
      </c>
      <c r="AC142" s="214" t="s">
        <v>116</v>
      </c>
      <c r="AD142" s="215" t="s">
        <v>116</v>
      </c>
      <c r="AE142" s="342" t="s">
        <v>116</v>
      </c>
      <c r="AF142" s="341" t="s">
        <v>116</v>
      </c>
    </row>
    <row r="143" spans="1:32">
      <c r="A143" s="307">
        <v>4</v>
      </c>
      <c r="B143" s="342"/>
      <c r="C143" s="342" t="s">
        <v>179</v>
      </c>
      <c r="D143" s="340" t="s">
        <v>233</v>
      </c>
      <c r="E143" s="342"/>
      <c r="F143" s="345" t="s">
        <v>170</v>
      </c>
      <c r="G143" s="308">
        <v>1</v>
      </c>
      <c r="H143" s="309">
        <v>5000</v>
      </c>
      <c r="I143" s="309">
        <v>5000</v>
      </c>
      <c r="J143" s="211"/>
      <c r="K143" s="212" t="str">
        <f>IF(OR(J143="",G143=J143),"","*")</f>
        <v/>
      </c>
      <c r="L143" s="338" t="str">
        <f>IF($A143&lt;=L$1,I143/I$4,"")</f>
        <v/>
      </c>
      <c r="M143" s="343"/>
      <c r="N143" s="344"/>
      <c r="O143" s="310">
        <v>0</v>
      </c>
      <c r="P143" s="311">
        <v>0</v>
      </c>
      <c r="Q143" s="311">
        <v>0</v>
      </c>
      <c r="R143" s="211">
        <v>0</v>
      </c>
      <c r="S143" s="212" t="s">
        <v>116</v>
      </c>
      <c r="T143" s="213" t="e">
        <v>#DIV/0!</v>
      </c>
      <c r="U143" s="214" t="s">
        <v>116</v>
      </c>
      <c r="V143" s="215" t="s">
        <v>116</v>
      </c>
      <c r="W143" s="310">
        <v>0</v>
      </c>
      <c r="X143" s="311">
        <v>0</v>
      </c>
      <c r="Y143" s="311">
        <v>0</v>
      </c>
      <c r="Z143" s="211">
        <v>0</v>
      </c>
      <c r="AA143" s="212" t="s">
        <v>116</v>
      </c>
      <c r="AB143" s="213" t="e">
        <v>#DIV/0!</v>
      </c>
      <c r="AC143" s="214" t="s">
        <v>116</v>
      </c>
      <c r="AD143" s="215" t="s">
        <v>116</v>
      </c>
      <c r="AE143" s="342" t="s">
        <v>116</v>
      </c>
      <c r="AF143" s="341" t="s">
        <v>116</v>
      </c>
    </row>
    <row r="144" spans="1:32">
      <c r="A144" s="307">
        <v>4</v>
      </c>
      <c r="B144" s="342"/>
      <c r="C144" s="342" t="s">
        <v>180</v>
      </c>
      <c r="D144" s="340" t="s">
        <v>235</v>
      </c>
      <c r="E144" s="342"/>
      <c r="F144" s="345" t="s">
        <v>230</v>
      </c>
      <c r="G144" s="308">
        <v>2</v>
      </c>
      <c r="H144" s="309">
        <v>8000</v>
      </c>
      <c r="I144" s="309">
        <v>16000</v>
      </c>
      <c r="J144" s="211"/>
      <c r="K144" s="212" t="str">
        <f>IF(OR(J144="",G144=J144),"","*")</f>
        <v/>
      </c>
      <c r="L144" s="338" t="str">
        <f>IF($A144&lt;=L$1,I144/I$4,"")</f>
        <v/>
      </c>
      <c r="M144" s="343"/>
      <c r="N144" s="344"/>
      <c r="O144" s="310">
        <v>0</v>
      </c>
      <c r="P144" s="311">
        <v>0</v>
      </c>
      <c r="Q144" s="311">
        <v>0</v>
      </c>
      <c r="R144" s="211">
        <v>0</v>
      </c>
      <c r="S144" s="212" t="s">
        <v>116</v>
      </c>
      <c r="T144" s="213" t="e">
        <v>#DIV/0!</v>
      </c>
      <c r="U144" s="214" t="s">
        <v>116</v>
      </c>
      <c r="V144" s="215" t="s">
        <v>116</v>
      </c>
      <c r="W144" s="310">
        <v>0</v>
      </c>
      <c r="X144" s="311">
        <v>0</v>
      </c>
      <c r="Y144" s="311">
        <v>0</v>
      </c>
      <c r="Z144" s="211">
        <v>0</v>
      </c>
      <c r="AA144" s="212" t="s">
        <v>116</v>
      </c>
      <c r="AB144" s="213" t="e">
        <v>#DIV/0!</v>
      </c>
      <c r="AC144" s="214" t="s">
        <v>116</v>
      </c>
      <c r="AD144" s="215" t="s">
        <v>116</v>
      </c>
      <c r="AE144" s="342" t="s">
        <v>116</v>
      </c>
      <c r="AF144" s="341" t="s">
        <v>116</v>
      </c>
    </row>
    <row r="145" spans="1:32">
      <c r="A145" s="307">
        <v>4</v>
      </c>
      <c r="B145" s="342"/>
      <c r="C145" s="342" t="s">
        <v>180</v>
      </c>
      <c r="D145" s="340" t="s">
        <v>236</v>
      </c>
      <c r="E145" s="342"/>
      <c r="F145" s="345" t="s">
        <v>230</v>
      </c>
      <c r="G145" s="308">
        <v>2</v>
      </c>
      <c r="H145" s="309">
        <v>6000</v>
      </c>
      <c r="I145" s="309">
        <v>12000</v>
      </c>
      <c r="J145" s="211"/>
      <c r="K145" s="212" t="str">
        <f>IF(OR(J145="",G145=J145),"","*")</f>
        <v/>
      </c>
      <c r="L145" s="338" t="str">
        <f>IF($A145&lt;=L$1,I145/I$4,"")</f>
        <v/>
      </c>
      <c r="M145" s="343"/>
      <c r="N145" s="344"/>
      <c r="O145" s="310">
        <v>0</v>
      </c>
      <c r="P145" s="311">
        <v>0</v>
      </c>
      <c r="Q145" s="311">
        <v>0</v>
      </c>
      <c r="R145" s="211">
        <v>0</v>
      </c>
      <c r="S145" s="212" t="s">
        <v>116</v>
      </c>
      <c r="T145" s="213" t="e">
        <v>#DIV/0!</v>
      </c>
      <c r="U145" s="214" t="s">
        <v>116</v>
      </c>
      <c r="V145" s="215" t="s">
        <v>116</v>
      </c>
      <c r="W145" s="310">
        <v>0</v>
      </c>
      <c r="X145" s="311">
        <v>0</v>
      </c>
      <c r="Y145" s="311">
        <v>0</v>
      </c>
      <c r="Z145" s="211">
        <v>0</v>
      </c>
      <c r="AA145" s="212" t="s">
        <v>116</v>
      </c>
      <c r="AB145" s="213" t="e">
        <v>#DIV/0!</v>
      </c>
      <c r="AC145" s="214" t="s">
        <v>116</v>
      </c>
      <c r="AD145" s="215" t="s">
        <v>116</v>
      </c>
      <c r="AE145" s="342" t="s">
        <v>116</v>
      </c>
      <c r="AF145" s="341" t="s">
        <v>116</v>
      </c>
    </row>
    <row r="146" spans="1:32">
      <c r="A146" s="307">
        <v>4</v>
      </c>
      <c r="B146" s="342"/>
      <c r="C146" s="342" t="s">
        <v>159</v>
      </c>
      <c r="D146" s="340" t="s">
        <v>237</v>
      </c>
      <c r="E146" s="342"/>
      <c r="F146" s="345" t="s">
        <v>238</v>
      </c>
      <c r="G146" s="308">
        <v>80</v>
      </c>
      <c r="H146" s="309">
        <v>170</v>
      </c>
      <c r="I146" s="309">
        <v>13600</v>
      </c>
      <c r="J146" s="211"/>
      <c r="K146" s="212" t="str">
        <f>IF(OR(J146="",G146=J146),"","*")</f>
        <v/>
      </c>
      <c r="L146" s="338" t="str">
        <f>IF($A146&lt;=L$1,I146/I$4,"")</f>
        <v/>
      </c>
      <c r="M146" s="343"/>
      <c r="N146" s="344"/>
      <c r="O146" s="310">
        <v>0</v>
      </c>
      <c r="P146" s="311">
        <v>0</v>
      </c>
      <c r="Q146" s="311">
        <v>0</v>
      </c>
      <c r="R146" s="211">
        <v>0</v>
      </c>
      <c r="S146" s="212" t="s">
        <v>116</v>
      </c>
      <c r="T146" s="213" t="e">
        <v>#DIV/0!</v>
      </c>
      <c r="U146" s="214" t="s">
        <v>116</v>
      </c>
      <c r="V146" s="215" t="s">
        <v>116</v>
      </c>
      <c r="W146" s="310">
        <v>0</v>
      </c>
      <c r="X146" s="311">
        <v>0</v>
      </c>
      <c r="Y146" s="311">
        <v>0</v>
      </c>
      <c r="Z146" s="211">
        <v>0</v>
      </c>
      <c r="AA146" s="212" t="s">
        <v>116</v>
      </c>
      <c r="AB146" s="213" t="e">
        <v>#DIV/0!</v>
      </c>
      <c r="AC146" s="214" t="s">
        <v>116</v>
      </c>
      <c r="AD146" s="215" t="s">
        <v>116</v>
      </c>
      <c r="AE146" s="342" t="s">
        <v>116</v>
      </c>
      <c r="AF146" s="341" t="s">
        <v>116</v>
      </c>
    </row>
    <row r="147" spans="1:32">
      <c r="A147" s="307">
        <v>4</v>
      </c>
      <c r="B147" s="342"/>
      <c r="C147" s="342" t="s">
        <v>159</v>
      </c>
      <c r="D147" s="340" t="s">
        <v>246</v>
      </c>
      <c r="E147" s="342"/>
      <c r="F147" s="345" t="s">
        <v>241</v>
      </c>
      <c r="G147" s="308">
        <v>35</v>
      </c>
      <c r="H147" s="309">
        <v>1000</v>
      </c>
      <c r="I147" s="309">
        <v>35000</v>
      </c>
      <c r="J147" s="211"/>
      <c r="K147" s="212" t="str">
        <f>IF(OR(J147="",G147=J147),"","*")</f>
        <v/>
      </c>
      <c r="L147" s="338" t="str">
        <f>IF($A147&lt;=L$1,I147/I$4,"")</f>
        <v/>
      </c>
      <c r="M147" s="343"/>
      <c r="N147" s="344"/>
      <c r="O147" s="310">
        <v>0</v>
      </c>
      <c r="P147" s="311">
        <v>0</v>
      </c>
      <c r="Q147" s="311">
        <v>0</v>
      </c>
      <c r="R147" s="211">
        <v>0</v>
      </c>
      <c r="S147" s="212" t="s">
        <v>116</v>
      </c>
      <c r="T147" s="213" t="e">
        <v>#DIV/0!</v>
      </c>
      <c r="U147" s="214" t="s">
        <v>116</v>
      </c>
      <c r="V147" s="215" t="s">
        <v>116</v>
      </c>
      <c r="W147" s="310">
        <v>0</v>
      </c>
      <c r="X147" s="311">
        <v>0</v>
      </c>
      <c r="Y147" s="311">
        <v>0</v>
      </c>
      <c r="Z147" s="211">
        <v>0</v>
      </c>
      <c r="AA147" s="212" t="s">
        <v>116</v>
      </c>
      <c r="AB147" s="213" t="e">
        <v>#DIV/0!</v>
      </c>
      <c r="AC147" s="214" t="s">
        <v>116</v>
      </c>
      <c r="AD147" s="215" t="s">
        <v>116</v>
      </c>
      <c r="AE147" s="342" t="s">
        <v>116</v>
      </c>
      <c r="AF147" s="341" t="s">
        <v>116</v>
      </c>
    </row>
    <row r="148" spans="1:32">
      <c r="A148" s="307">
        <v>4</v>
      </c>
      <c r="B148" s="342"/>
      <c r="C148" s="342" t="s">
        <v>159</v>
      </c>
      <c r="D148" s="340" t="s">
        <v>247</v>
      </c>
      <c r="E148" s="342"/>
      <c r="F148" s="345" t="s">
        <v>248</v>
      </c>
      <c r="G148" s="308">
        <v>40</v>
      </c>
      <c r="H148" s="309">
        <v>800</v>
      </c>
      <c r="I148" s="309">
        <v>32000</v>
      </c>
      <c r="J148" s="211"/>
      <c r="K148" s="212" t="str">
        <f>IF(OR(J148="",G148=J148),"","*")</f>
        <v/>
      </c>
      <c r="L148" s="338" t="str">
        <f>IF($A148&lt;=L$1,I148/I$4,"")</f>
        <v/>
      </c>
      <c r="M148" s="343"/>
      <c r="N148" s="344"/>
      <c r="O148" s="310">
        <v>0</v>
      </c>
      <c r="P148" s="311">
        <v>0</v>
      </c>
      <c r="Q148" s="311">
        <v>0</v>
      </c>
      <c r="R148" s="211">
        <v>0</v>
      </c>
      <c r="S148" s="212" t="s">
        <v>116</v>
      </c>
      <c r="T148" s="213" t="e">
        <v>#DIV/0!</v>
      </c>
      <c r="U148" s="214" t="s">
        <v>116</v>
      </c>
      <c r="V148" s="215" t="s">
        <v>116</v>
      </c>
      <c r="W148" s="310">
        <v>0</v>
      </c>
      <c r="X148" s="311">
        <v>0</v>
      </c>
      <c r="Y148" s="311">
        <v>0</v>
      </c>
      <c r="Z148" s="211">
        <v>0</v>
      </c>
      <c r="AA148" s="212" t="s">
        <v>116</v>
      </c>
      <c r="AB148" s="213" t="e">
        <v>#DIV/0!</v>
      </c>
      <c r="AC148" s="214" t="s">
        <v>116</v>
      </c>
      <c r="AD148" s="215" t="s">
        <v>116</v>
      </c>
      <c r="AE148" s="342" t="s">
        <v>116</v>
      </c>
      <c r="AF148" s="341" t="s">
        <v>116</v>
      </c>
    </row>
    <row r="149" spans="1:32">
      <c r="A149" s="307">
        <v>3</v>
      </c>
      <c r="B149" s="342"/>
      <c r="C149" s="342" t="s">
        <v>222</v>
      </c>
      <c r="D149" s="340" t="s">
        <v>249</v>
      </c>
      <c r="E149" s="342"/>
      <c r="F149" s="345" t="s">
        <v>170</v>
      </c>
      <c r="G149" s="308">
        <v>1</v>
      </c>
      <c r="H149" s="309">
        <v>952600</v>
      </c>
      <c r="I149" s="309">
        <v>952600</v>
      </c>
      <c r="J149" s="211">
        <v>1</v>
      </c>
      <c r="K149" s="212" t="str">
        <f>IF(OR(J149="",G149=J149),"","*")</f>
        <v/>
      </c>
      <c r="L149" s="338">
        <f>IF($A149&lt;=L$1,I149/I$4,"")</f>
        <v>9.3401313854299436E-2</v>
      </c>
      <c r="M149" s="343"/>
      <c r="N149" s="344" t="s">
        <v>264</v>
      </c>
      <c r="O149" s="310">
        <v>0</v>
      </c>
      <c r="P149" s="311">
        <v>0</v>
      </c>
      <c r="Q149" s="311">
        <v>0</v>
      </c>
      <c r="R149" s="211">
        <v>0</v>
      </c>
      <c r="S149" s="212" t="s">
        <v>116</v>
      </c>
      <c r="T149" s="213" t="e">
        <v>#DIV/0!</v>
      </c>
      <c r="U149" s="214" t="s">
        <v>116</v>
      </c>
      <c r="V149" s="215" t="s">
        <v>116</v>
      </c>
      <c r="W149" s="310">
        <v>0</v>
      </c>
      <c r="X149" s="311">
        <v>0</v>
      </c>
      <c r="Y149" s="311">
        <v>0</v>
      </c>
      <c r="Z149" s="211">
        <v>0</v>
      </c>
      <c r="AA149" s="212" t="s">
        <v>116</v>
      </c>
      <c r="AB149" s="213" t="e">
        <v>#DIV/0!</v>
      </c>
      <c r="AC149" s="214" t="s">
        <v>116</v>
      </c>
      <c r="AD149" s="215" t="s">
        <v>116</v>
      </c>
      <c r="AE149" s="342" t="s">
        <v>116</v>
      </c>
      <c r="AF149" s="341" t="s">
        <v>116</v>
      </c>
    </row>
    <row r="150" spans="1:32">
      <c r="A150" s="307">
        <v>4</v>
      </c>
      <c r="B150" s="342"/>
      <c r="C150" s="342" t="s">
        <v>159</v>
      </c>
      <c r="D150" s="340" t="s">
        <v>225</v>
      </c>
      <c r="E150" s="342"/>
      <c r="F150" s="345" t="s">
        <v>170</v>
      </c>
      <c r="G150" s="308">
        <v>1</v>
      </c>
      <c r="H150" s="309">
        <v>5000</v>
      </c>
      <c r="I150" s="309">
        <v>5000</v>
      </c>
      <c r="J150" s="211"/>
      <c r="K150" s="212" t="str">
        <f>IF(OR(J150="",G150=J150),"","*")</f>
        <v/>
      </c>
      <c r="L150" s="338" t="str">
        <f>IF($A150&lt;=L$1,I150/I$4,"")</f>
        <v/>
      </c>
      <c r="M150" s="343"/>
      <c r="N150" s="344"/>
      <c r="O150" s="310">
        <v>0</v>
      </c>
      <c r="P150" s="311">
        <v>0</v>
      </c>
      <c r="Q150" s="311">
        <v>0</v>
      </c>
      <c r="R150" s="211">
        <v>0</v>
      </c>
      <c r="S150" s="212" t="s">
        <v>116</v>
      </c>
      <c r="T150" s="213" t="e">
        <v>#DIV/0!</v>
      </c>
      <c r="U150" s="214" t="s">
        <v>116</v>
      </c>
      <c r="V150" s="215" t="s">
        <v>116</v>
      </c>
      <c r="W150" s="310">
        <v>0</v>
      </c>
      <c r="X150" s="311">
        <v>0</v>
      </c>
      <c r="Y150" s="311">
        <v>0</v>
      </c>
      <c r="Z150" s="211">
        <v>0</v>
      </c>
      <c r="AA150" s="212" t="s">
        <v>116</v>
      </c>
      <c r="AB150" s="213" t="e">
        <v>#DIV/0!</v>
      </c>
      <c r="AC150" s="214" t="s">
        <v>116</v>
      </c>
      <c r="AD150" s="215" t="s">
        <v>116</v>
      </c>
      <c r="AE150" s="342" t="s">
        <v>116</v>
      </c>
      <c r="AF150" s="341" t="s">
        <v>116</v>
      </c>
    </row>
    <row r="151" spans="1:32">
      <c r="A151" s="307">
        <v>4</v>
      </c>
      <c r="B151" s="342"/>
      <c r="C151" s="342" t="s">
        <v>177</v>
      </c>
      <c r="D151" s="340" t="s">
        <v>226</v>
      </c>
      <c r="E151" s="342"/>
      <c r="F151" s="345" t="s">
        <v>227</v>
      </c>
      <c r="G151" s="308">
        <v>8</v>
      </c>
      <c r="H151" s="309">
        <v>20000</v>
      </c>
      <c r="I151" s="309">
        <v>160000</v>
      </c>
      <c r="J151" s="211"/>
      <c r="K151" s="212" t="str">
        <f>IF(OR(J151="",G151=J151),"","*")</f>
        <v/>
      </c>
      <c r="L151" s="338" t="str">
        <f>IF($A151&lt;=L$1,I151/I$4,"")</f>
        <v/>
      </c>
      <c r="M151" s="343"/>
      <c r="N151" s="344"/>
      <c r="O151" s="310">
        <v>0</v>
      </c>
      <c r="P151" s="311">
        <v>0</v>
      </c>
      <c r="Q151" s="311">
        <v>0</v>
      </c>
      <c r="R151" s="211">
        <v>0</v>
      </c>
      <c r="S151" s="212" t="s">
        <v>116</v>
      </c>
      <c r="T151" s="213" t="e">
        <v>#DIV/0!</v>
      </c>
      <c r="U151" s="214" t="s">
        <v>116</v>
      </c>
      <c r="V151" s="215" t="s">
        <v>116</v>
      </c>
      <c r="W151" s="310">
        <v>0</v>
      </c>
      <c r="X151" s="311">
        <v>0</v>
      </c>
      <c r="Y151" s="311">
        <v>0</v>
      </c>
      <c r="Z151" s="211">
        <v>0</v>
      </c>
      <c r="AA151" s="212" t="s">
        <v>116</v>
      </c>
      <c r="AB151" s="213" t="e">
        <v>#DIV/0!</v>
      </c>
      <c r="AC151" s="214" t="s">
        <v>116</v>
      </c>
      <c r="AD151" s="215" t="s">
        <v>116</v>
      </c>
      <c r="AE151" s="342" t="s">
        <v>116</v>
      </c>
      <c r="AF151" s="341" t="s">
        <v>116</v>
      </c>
    </row>
    <row r="152" spans="1:32">
      <c r="A152" s="307">
        <v>4</v>
      </c>
      <c r="B152" s="342"/>
      <c r="C152" s="342" t="s">
        <v>182</v>
      </c>
      <c r="D152" s="340" t="s">
        <v>228</v>
      </c>
      <c r="E152" s="342"/>
      <c r="F152" s="345" t="s">
        <v>227</v>
      </c>
      <c r="G152" s="308">
        <v>8</v>
      </c>
      <c r="H152" s="309">
        <v>3200</v>
      </c>
      <c r="I152" s="309">
        <v>25600</v>
      </c>
      <c r="J152" s="211"/>
      <c r="K152" s="212" t="str">
        <f>IF(OR(J152="",G152=J152),"","*")</f>
        <v/>
      </c>
      <c r="L152" s="338" t="str">
        <f>IF($A152&lt;=L$1,I152/I$4,"")</f>
        <v/>
      </c>
      <c r="M152" s="343"/>
      <c r="N152" s="344"/>
      <c r="O152" s="310">
        <v>0</v>
      </c>
      <c r="P152" s="311">
        <v>0</v>
      </c>
      <c r="Q152" s="311">
        <v>0</v>
      </c>
      <c r="R152" s="211">
        <v>0</v>
      </c>
      <c r="S152" s="212" t="s">
        <v>116</v>
      </c>
      <c r="T152" s="213" t="e">
        <v>#DIV/0!</v>
      </c>
      <c r="U152" s="214" t="s">
        <v>116</v>
      </c>
      <c r="V152" s="215" t="s">
        <v>116</v>
      </c>
      <c r="W152" s="310">
        <v>0</v>
      </c>
      <c r="X152" s="311">
        <v>0</v>
      </c>
      <c r="Y152" s="311">
        <v>0</v>
      </c>
      <c r="Z152" s="211">
        <v>0</v>
      </c>
      <c r="AA152" s="212" t="s">
        <v>116</v>
      </c>
      <c r="AB152" s="213" t="e">
        <v>#DIV/0!</v>
      </c>
      <c r="AC152" s="214" t="s">
        <v>116</v>
      </c>
      <c r="AD152" s="215" t="s">
        <v>116</v>
      </c>
      <c r="AE152" s="342" t="s">
        <v>116</v>
      </c>
      <c r="AF152" s="341" t="s">
        <v>116</v>
      </c>
    </row>
    <row r="153" spans="1:32">
      <c r="A153" s="307">
        <v>4</v>
      </c>
      <c r="B153" s="342"/>
      <c r="C153" s="342" t="s">
        <v>179</v>
      </c>
      <c r="D153" s="340" t="s">
        <v>251</v>
      </c>
      <c r="E153" s="342"/>
      <c r="F153" s="345" t="s">
        <v>230</v>
      </c>
      <c r="G153" s="308">
        <v>1</v>
      </c>
      <c r="H153" s="309">
        <v>50000</v>
      </c>
      <c r="I153" s="309">
        <v>50000</v>
      </c>
      <c r="J153" s="211"/>
      <c r="K153" s="212" t="str">
        <f>IF(OR(J153="",G153=J153),"","*")</f>
        <v/>
      </c>
      <c r="L153" s="338" t="str">
        <f>IF($A153&lt;=L$1,I153/I$4,"")</f>
        <v/>
      </c>
      <c r="M153" s="343"/>
      <c r="N153" s="344"/>
      <c r="O153" s="310">
        <v>0</v>
      </c>
      <c r="P153" s="311">
        <v>0</v>
      </c>
      <c r="Q153" s="311">
        <v>0</v>
      </c>
      <c r="R153" s="211">
        <v>0</v>
      </c>
      <c r="S153" s="212" t="s">
        <v>116</v>
      </c>
      <c r="T153" s="213" t="e">
        <v>#DIV/0!</v>
      </c>
      <c r="U153" s="214" t="s">
        <v>116</v>
      </c>
      <c r="V153" s="215" t="s">
        <v>116</v>
      </c>
      <c r="W153" s="310">
        <v>0</v>
      </c>
      <c r="X153" s="311">
        <v>0</v>
      </c>
      <c r="Y153" s="311">
        <v>0</v>
      </c>
      <c r="Z153" s="211">
        <v>0</v>
      </c>
      <c r="AA153" s="212" t="s">
        <v>116</v>
      </c>
      <c r="AB153" s="213" t="e">
        <v>#DIV/0!</v>
      </c>
      <c r="AC153" s="214" t="s">
        <v>116</v>
      </c>
      <c r="AD153" s="215" t="s">
        <v>116</v>
      </c>
      <c r="AE153" s="342" t="s">
        <v>116</v>
      </c>
      <c r="AF153" s="341" t="s">
        <v>116</v>
      </c>
    </row>
    <row r="154" spans="1:32">
      <c r="A154" s="307">
        <v>4</v>
      </c>
      <c r="B154" s="342"/>
      <c r="C154" s="342" t="s">
        <v>179</v>
      </c>
      <c r="D154" s="340" t="s">
        <v>229</v>
      </c>
      <c r="E154" s="342"/>
      <c r="F154" s="345" t="s">
        <v>230</v>
      </c>
      <c r="G154" s="308">
        <v>1</v>
      </c>
      <c r="H154" s="309">
        <v>12000</v>
      </c>
      <c r="I154" s="309">
        <v>12000</v>
      </c>
      <c r="J154" s="211"/>
      <c r="K154" s="212" t="str">
        <f>IF(OR(J154="",G154=J154),"","*")</f>
        <v/>
      </c>
      <c r="L154" s="338" t="str">
        <f>IF($A154&lt;=L$1,I154/I$4,"")</f>
        <v/>
      </c>
      <c r="M154" s="343"/>
      <c r="N154" s="344"/>
      <c r="O154" s="310">
        <v>0</v>
      </c>
      <c r="P154" s="311">
        <v>0</v>
      </c>
      <c r="Q154" s="311">
        <v>0</v>
      </c>
      <c r="R154" s="211">
        <v>0</v>
      </c>
      <c r="S154" s="212" t="s">
        <v>116</v>
      </c>
      <c r="T154" s="213" t="e">
        <v>#DIV/0!</v>
      </c>
      <c r="U154" s="214" t="s">
        <v>116</v>
      </c>
      <c r="V154" s="215" t="s">
        <v>116</v>
      </c>
      <c r="W154" s="310">
        <v>0</v>
      </c>
      <c r="X154" s="311">
        <v>0</v>
      </c>
      <c r="Y154" s="311">
        <v>0</v>
      </c>
      <c r="Z154" s="211">
        <v>0</v>
      </c>
      <c r="AA154" s="212" t="s">
        <v>116</v>
      </c>
      <c r="AB154" s="213" t="e">
        <v>#DIV/0!</v>
      </c>
      <c r="AC154" s="214" t="s">
        <v>116</v>
      </c>
      <c r="AD154" s="215" t="s">
        <v>116</v>
      </c>
      <c r="AE154" s="342" t="s">
        <v>116</v>
      </c>
      <c r="AF154" s="341" t="s">
        <v>116</v>
      </c>
    </row>
    <row r="155" spans="1:32">
      <c r="A155" s="307">
        <v>4</v>
      </c>
      <c r="B155" s="342"/>
      <c r="C155" s="342" t="s">
        <v>179</v>
      </c>
      <c r="D155" s="340" t="s">
        <v>231</v>
      </c>
      <c r="E155" s="342"/>
      <c r="F155" s="345" t="s">
        <v>230</v>
      </c>
      <c r="G155" s="308">
        <v>1</v>
      </c>
      <c r="H155" s="309">
        <v>8000</v>
      </c>
      <c r="I155" s="309">
        <v>8000</v>
      </c>
      <c r="J155" s="211"/>
      <c r="K155" s="212" t="str">
        <f>IF(OR(J155="",G155=J155),"","*")</f>
        <v/>
      </c>
      <c r="L155" s="338" t="str">
        <f>IF($A155&lt;=L$1,I155/I$4,"")</f>
        <v/>
      </c>
      <c r="M155" s="343"/>
      <c r="N155" s="344"/>
      <c r="O155" s="310">
        <v>0</v>
      </c>
      <c r="P155" s="311">
        <v>0</v>
      </c>
      <c r="Q155" s="311">
        <v>0</v>
      </c>
      <c r="R155" s="211">
        <v>0</v>
      </c>
      <c r="S155" s="212" t="s">
        <v>116</v>
      </c>
      <c r="T155" s="213" t="e">
        <v>#DIV/0!</v>
      </c>
      <c r="U155" s="214" t="s">
        <v>116</v>
      </c>
      <c r="V155" s="215" t="s">
        <v>116</v>
      </c>
      <c r="W155" s="310">
        <v>0</v>
      </c>
      <c r="X155" s="311">
        <v>0</v>
      </c>
      <c r="Y155" s="311">
        <v>0</v>
      </c>
      <c r="Z155" s="211">
        <v>0</v>
      </c>
      <c r="AA155" s="212" t="s">
        <v>116</v>
      </c>
      <c r="AB155" s="213" t="e">
        <v>#DIV/0!</v>
      </c>
      <c r="AC155" s="214" t="s">
        <v>116</v>
      </c>
      <c r="AD155" s="215" t="s">
        <v>116</v>
      </c>
      <c r="AE155" s="342" t="s">
        <v>116</v>
      </c>
      <c r="AF155" s="341" t="s">
        <v>116</v>
      </c>
    </row>
    <row r="156" spans="1:32">
      <c r="A156" s="307">
        <v>4</v>
      </c>
      <c r="B156" s="342"/>
      <c r="C156" s="342" t="s">
        <v>179</v>
      </c>
      <c r="D156" s="340" t="s">
        <v>232</v>
      </c>
      <c r="E156" s="342"/>
      <c r="F156" s="345" t="s">
        <v>230</v>
      </c>
      <c r="G156" s="308">
        <v>1</v>
      </c>
      <c r="H156" s="309">
        <v>6000</v>
      </c>
      <c r="I156" s="309">
        <v>6000</v>
      </c>
      <c r="J156" s="211"/>
      <c r="K156" s="212" t="str">
        <f>IF(OR(J156="",G156=J156),"","*")</f>
        <v/>
      </c>
      <c r="L156" s="338" t="str">
        <f>IF($A156&lt;=L$1,I156/I$4,"")</f>
        <v/>
      </c>
      <c r="M156" s="343"/>
      <c r="N156" s="344"/>
      <c r="O156" s="310">
        <v>0</v>
      </c>
      <c r="P156" s="311">
        <v>0</v>
      </c>
      <c r="Q156" s="311">
        <v>0</v>
      </c>
      <c r="R156" s="211">
        <v>0</v>
      </c>
      <c r="S156" s="212" t="s">
        <v>116</v>
      </c>
      <c r="T156" s="213" t="e">
        <v>#DIV/0!</v>
      </c>
      <c r="U156" s="214" t="s">
        <v>116</v>
      </c>
      <c r="V156" s="215" t="s">
        <v>116</v>
      </c>
      <c r="W156" s="310">
        <v>0</v>
      </c>
      <c r="X156" s="311">
        <v>0</v>
      </c>
      <c r="Y156" s="311">
        <v>0</v>
      </c>
      <c r="Z156" s="211">
        <v>0</v>
      </c>
      <c r="AA156" s="212" t="s">
        <v>116</v>
      </c>
      <c r="AB156" s="213" t="e">
        <v>#DIV/0!</v>
      </c>
      <c r="AC156" s="214" t="s">
        <v>116</v>
      </c>
      <c r="AD156" s="215" t="s">
        <v>116</v>
      </c>
      <c r="AE156" s="342" t="s">
        <v>116</v>
      </c>
      <c r="AF156" s="341" t="s">
        <v>116</v>
      </c>
    </row>
    <row r="157" spans="1:32">
      <c r="A157" s="307">
        <v>4</v>
      </c>
      <c r="B157" s="342"/>
      <c r="C157" s="342" t="s">
        <v>179</v>
      </c>
      <c r="D157" s="340" t="s">
        <v>233</v>
      </c>
      <c r="E157" s="342"/>
      <c r="F157" s="345" t="s">
        <v>170</v>
      </c>
      <c r="G157" s="308">
        <v>1</v>
      </c>
      <c r="H157" s="309">
        <v>5000</v>
      </c>
      <c r="I157" s="309">
        <v>5000</v>
      </c>
      <c r="J157" s="211"/>
      <c r="K157" s="212" t="str">
        <f>IF(OR(J157="",G157=J157),"","*")</f>
        <v/>
      </c>
      <c r="L157" s="338" t="str">
        <f>IF($A157&lt;=L$1,I157/I$4,"")</f>
        <v/>
      </c>
      <c r="M157" s="343"/>
      <c r="N157" s="344"/>
      <c r="O157" s="310">
        <v>0</v>
      </c>
      <c r="P157" s="311">
        <v>0</v>
      </c>
      <c r="Q157" s="311">
        <v>0</v>
      </c>
      <c r="R157" s="211">
        <v>0</v>
      </c>
      <c r="S157" s="212" t="s">
        <v>116</v>
      </c>
      <c r="T157" s="213" t="e">
        <v>#DIV/0!</v>
      </c>
      <c r="U157" s="214" t="s">
        <v>116</v>
      </c>
      <c r="V157" s="215" t="s">
        <v>116</v>
      </c>
      <c r="W157" s="310">
        <v>0</v>
      </c>
      <c r="X157" s="311">
        <v>0</v>
      </c>
      <c r="Y157" s="311">
        <v>0</v>
      </c>
      <c r="Z157" s="211">
        <v>0</v>
      </c>
      <c r="AA157" s="212" t="s">
        <v>116</v>
      </c>
      <c r="AB157" s="213" t="e">
        <v>#DIV/0!</v>
      </c>
      <c r="AC157" s="214" t="s">
        <v>116</v>
      </c>
      <c r="AD157" s="215" t="s">
        <v>116</v>
      </c>
      <c r="AE157" s="342" t="s">
        <v>116</v>
      </c>
      <c r="AF157" s="341" t="s">
        <v>116</v>
      </c>
    </row>
    <row r="158" spans="1:32">
      <c r="A158" s="307">
        <v>4</v>
      </c>
      <c r="B158" s="342"/>
      <c r="C158" s="342" t="s">
        <v>180</v>
      </c>
      <c r="D158" s="340" t="s">
        <v>235</v>
      </c>
      <c r="E158" s="342"/>
      <c r="F158" s="345" t="s">
        <v>230</v>
      </c>
      <c r="G158" s="308">
        <v>2</v>
      </c>
      <c r="H158" s="309">
        <v>8000</v>
      </c>
      <c r="I158" s="309">
        <v>16000</v>
      </c>
      <c r="J158" s="211"/>
      <c r="K158" s="212" t="str">
        <f>IF(OR(J158="",G158=J158),"","*")</f>
        <v/>
      </c>
      <c r="L158" s="338" t="str">
        <f>IF($A158&lt;=L$1,I158/I$4,"")</f>
        <v/>
      </c>
      <c r="M158" s="343"/>
      <c r="N158" s="344"/>
      <c r="O158" s="310">
        <v>0</v>
      </c>
      <c r="P158" s="311">
        <v>0</v>
      </c>
      <c r="Q158" s="311">
        <v>0</v>
      </c>
      <c r="R158" s="211">
        <v>0</v>
      </c>
      <c r="S158" s="212" t="s">
        <v>116</v>
      </c>
      <c r="T158" s="213" t="e">
        <v>#DIV/0!</v>
      </c>
      <c r="U158" s="214" t="s">
        <v>116</v>
      </c>
      <c r="V158" s="215" t="s">
        <v>116</v>
      </c>
      <c r="W158" s="310">
        <v>0</v>
      </c>
      <c r="X158" s="311">
        <v>0</v>
      </c>
      <c r="Y158" s="311">
        <v>0</v>
      </c>
      <c r="Z158" s="211">
        <v>0</v>
      </c>
      <c r="AA158" s="212" t="s">
        <v>116</v>
      </c>
      <c r="AB158" s="213" t="e">
        <v>#DIV/0!</v>
      </c>
      <c r="AC158" s="214" t="s">
        <v>116</v>
      </c>
      <c r="AD158" s="215" t="s">
        <v>116</v>
      </c>
      <c r="AE158" s="342" t="s">
        <v>116</v>
      </c>
      <c r="AF158" s="341" t="s">
        <v>116</v>
      </c>
    </row>
    <row r="159" spans="1:32">
      <c r="A159" s="307">
        <v>4</v>
      </c>
      <c r="B159" s="342"/>
      <c r="C159" s="342" t="s">
        <v>180</v>
      </c>
      <c r="D159" s="340" t="s">
        <v>236</v>
      </c>
      <c r="E159" s="342"/>
      <c r="F159" s="345" t="s">
        <v>230</v>
      </c>
      <c r="G159" s="308">
        <v>2</v>
      </c>
      <c r="H159" s="309">
        <v>6000</v>
      </c>
      <c r="I159" s="309">
        <v>12000</v>
      </c>
      <c r="J159" s="211"/>
      <c r="K159" s="212" t="str">
        <f>IF(OR(J159="",G159=J159),"","*")</f>
        <v/>
      </c>
      <c r="L159" s="338" t="str">
        <f>IF($A159&lt;=L$1,I159/I$4,"")</f>
        <v/>
      </c>
      <c r="M159" s="343"/>
      <c r="N159" s="344"/>
      <c r="O159" s="310">
        <v>0</v>
      </c>
      <c r="P159" s="311">
        <v>0</v>
      </c>
      <c r="Q159" s="311">
        <v>0</v>
      </c>
      <c r="R159" s="211">
        <v>0</v>
      </c>
      <c r="S159" s="212" t="s">
        <v>116</v>
      </c>
      <c r="T159" s="213" t="e">
        <v>#DIV/0!</v>
      </c>
      <c r="U159" s="214" t="s">
        <v>116</v>
      </c>
      <c r="V159" s="215" t="s">
        <v>116</v>
      </c>
      <c r="W159" s="310">
        <v>0</v>
      </c>
      <c r="X159" s="311">
        <v>0</v>
      </c>
      <c r="Y159" s="311">
        <v>0</v>
      </c>
      <c r="Z159" s="211">
        <v>0</v>
      </c>
      <c r="AA159" s="212" t="s">
        <v>116</v>
      </c>
      <c r="AB159" s="213" t="e">
        <v>#DIV/0!</v>
      </c>
      <c r="AC159" s="214" t="s">
        <v>116</v>
      </c>
      <c r="AD159" s="215" t="s">
        <v>116</v>
      </c>
      <c r="AE159" s="342" t="s">
        <v>116</v>
      </c>
      <c r="AF159" s="341" t="s">
        <v>116</v>
      </c>
    </row>
    <row r="160" spans="1:32">
      <c r="A160" s="307">
        <v>4</v>
      </c>
      <c r="B160" s="342"/>
      <c r="C160" s="342" t="s">
        <v>159</v>
      </c>
      <c r="D160" s="340" t="s">
        <v>237</v>
      </c>
      <c r="E160" s="342"/>
      <c r="F160" s="345" t="s">
        <v>238</v>
      </c>
      <c r="G160" s="308">
        <v>100</v>
      </c>
      <c r="H160" s="309">
        <v>170</v>
      </c>
      <c r="I160" s="309">
        <v>17000</v>
      </c>
      <c r="J160" s="211"/>
      <c r="K160" s="212" t="str">
        <f>IF(OR(J160="",G160=J160),"","*")</f>
        <v/>
      </c>
      <c r="L160" s="338" t="str">
        <f>IF($A160&lt;=L$1,I160/I$4,"")</f>
        <v/>
      </c>
      <c r="M160" s="343"/>
      <c r="N160" s="344"/>
      <c r="O160" s="310">
        <v>0</v>
      </c>
      <c r="P160" s="311">
        <v>0</v>
      </c>
      <c r="Q160" s="311">
        <v>0</v>
      </c>
      <c r="R160" s="211">
        <v>0</v>
      </c>
      <c r="S160" s="212" t="s">
        <v>116</v>
      </c>
      <c r="T160" s="213" t="e">
        <v>#DIV/0!</v>
      </c>
      <c r="U160" s="214" t="s">
        <v>116</v>
      </c>
      <c r="V160" s="215" t="s">
        <v>116</v>
      </c>
      <c r="W160" s="310">
        <v>0</v>
      </c>
      <c r="X160" s="311">
        <v>0</v>
      </c>
      <c r="Y160" s="311">
        <v>0</v>
      </c>
      <c r="Z160" s="211">
        <v>0</v>
      </c>
      <c r="AA160" s="212" t="s">
        <v>116</v>
      </c>
      <c r="AB160" s="213" t="e">
        <v>#DIV/0!</v>
      </c>
      <c r="AC160" s="214" t="s">
        <v>116</v>
      </c>
      <c r="AD160" s="215" t="s">
        <v>116</v>
      </c>
      <c r="AE160" s="342" t="s">
        <v>116</v>
      </c>
      <c r="AF160" s="341" t="s">
        <v>116</v>
      </c>
    </row>
    <row r="161" spans="1:32">
      <c r="A161" s="307">
        <v>4</v>
      </c>
      <c r="B161" s="342"/>
      <c r="C161" s="342" t="s">
        <v>159</v>
      </c>
      <c r="D161" s="340" t="s">
        <v>252</v>
      </c>
      <c r="E161" s="342"/>
      <c r="F161" s="345" t="s">
        <v>241</v>
      </c>
      <c r="G161" s="308">
        <v>40</v>
      </c>
      <c r="H161" s="309">
        <v>15900</v>
      </c>
      <c r="I161" s="309">
        <v>636000</v>
      </c>
      <c r="J161" s="211"/>
      <c r="K161" s="212" t="str">
        <f>IF(OR(J161="",G161=J161),"","*")</f>
        <v/>
      </c>
      <c r="L161" s="338" t="str">
        <f>IF($A161&lt;=L$1,I161/I$4,"")</f>
        <v/>
      </c>
      <c r="M161" s="343"/>
      <c r="N161" s="344"/>
      <c r="O161" s="310">
        <v>0</v>
      </c>
      <c r="P161" s="311">
        <v>0</v>
      </c>
      <c r="Q161" s="311">
        <v>0</v>
      </c>
      <c r="R161" s="211">
        <v>0</v>
      </c>
      <c r="S161" s="212" t="s">
        <v>116</v>
      </c>
      <c r="T161" s="213" t="e">
        <v>#DIV/0!</v>
      </c>
      <c r="U161" s="214" t="s">
        <v>116</v>
      </c>
      <c r="V161" s="215" t="s">
        <v>116</v>
      </c>
      <c r="W161" s="310">
        <v>0</v>
      </c>
      <c r="X161" s="311">
        <v>0</v>
      </c>
      <c r="Y161" s="311">
        <v>0</v>
      </c>
      <c r="Z161" s="211">
        <v>0</v>
      </c>
      <c r="AA161" s="212" t="s">
        <v>116</v>
      </c>
      <c r="AB161" s="213" t="e">
        <v>#DIV/0!</v>
      </c>
      <c r="AC161" s="214" t="s">
        <v>116</v>
      </c>
      <c r="AD161" s="215" t="s">
        <v>116</v>
      </c>
      <c r="AE161" s="342" t="s">
        <v>116</v>
      </c>
      <c r="AF161" s="341" t="s">
        <v>116</v>
      </c>
    </row>
    <row r="162" spans="1:32">
      <c r="A162" s="307">
        <v>2</v>
      </c>
      <c r="B162" s="342"/>
      <c r="C162" s="342" t="s">
        <v>219</v>
      </c>
      <c r="D162" s="340" t="s">
        <v>265</v>
      </c>
      <c r="E162" s="342"/>
      <c r="F162" s="345" t="s">
        <v>170</v>
      </c>
      <c r="G162" s="308">
        <v>1</v>
      </c>
      <c r="H162" s="309">
        <v>661600</v>
      </c>
      <c r="I162" s="309">
        <v>661600</v>
      </c>
      <c r="J162" s="211">
        <v>1</v>
      </c>
      <c r="K162" s="212" t="str">
        <f>IF(OR(J162="",G162=J162),"","*")</f>
        <v/>
      </c>
      <c r="L162" s="338">
        <f>IF($A162&lt;=L$1,I162/I$4,"")</f>
        <v>6.486910481419747E-2</v>
      </c>
      <c r="M162" s="343"/>
      <c r="N162" s="344" t="s">
        <v>266</v>
      </c>
      <c r="O162" s="310">
        <v>0</v>
      </c>
      <c r="P162" s="311">
        <v>0</v>
      </c>
      <c r="Q162" s="311">
        <v>0</v>
      </c>
      <c r="R162" s="211">
        <v>0</v>
      </c>
      <c r="S162" s="212" t="s">
        <v>116</v>
      </c>
      <c r="T162" s="213" t="e">
        <v>#DIV/0!</v>
      </c>
      <c r="U162" s="214" t="s">
        <v>116</v>
      </c>
      <c r="V162" s="215" t="s">
        <v>116</v>
      </c>
      <c r="W162" s="310">
        <v>0</v>
      </c>
      <c r="X162" s="311">
        <v>0</v>
      </c>
      <c r="Y162" s="311">
        <v>0</v>
      </c>
      <c r="Z162" s="211">
        <v>0</v>
      </c>
      <c r="AA162" s="212" t="s">
        <v>116</v>
      </c>
      <c r="AB162" s="213" t="e">
        <v>#DIV/0!</v>
      </c>
      <c r="AC162" s="214" t="s">
        <v>116</v>
      </c>
      <c r="AD162" s="215" t="s">
        <v>116</v>
      </c>
      <c r="AE162" s="342" t="s">
        <v>116</v>
      </c>
      <c r="AF162" s="341" t="s">
        <v>116</v>
      </c>
    </row>
    <row r="163" spans="1:32">
      <c r="A163" s="307">
        <v>3</v>
      </c>
      <c r="B163" s="342"/>
      <c r="C163" s="342" t="s">
        <v>222</v>
      </c>
      <c r="D163" s="340" t="s">
        <v>267</v>
      </c>
      <c r="E163" s="342"/>
      <c r="F163" s="345" t="s">
        <v>170</v>
      </c>
      <c r="G163" s="308">
        <v>1</v>
      </c>
      <c r="H163" s="309">
        <v>416400</v>
      </c>
      <c r="I163" s="309">
        <v>416400</v>
      </c>
      <c r="J163" s="211">
        <v>1</v>
      </c>
      <c r="K163" s="212" t="str">
        <f>IF(OR(J163="",G163=J163),"","*")</f>
        <v/>
      </c>
      <c r="L163" s="338">
        <f>IF($A163&lt;=L$1,I163/I$4,"")</f>
        <v>4.0827532110991271E-2</v>
      </c>
      <c r="M163" s="343"/>
      <c r="N163" s="344" t="s">
        <v>268</v>
      </c>
      <c r="O163" s="310">
        <v>0</v>
      </c>
      <c r="P163" s="311">
        <v>0</v>
      </c>
      <c r="Q163" s="311">
        <v>0</v>
      </c>
      <c r="R163" s="211">
        <v>0</v>
      </c>
      <c r="S163" s="212" t="s">
        <v>116</v>
      </c>
      <c r="T163" s="213" t="e">
        <v>#DIV/0!</v>
      </c>
      <c r="U163" s="214" t="s">
        <v>116</v>
      </c>
      <c r="V163" s="215" t="s">
        <v>116</v>
      </c>
      <c r="W163" s="310">
        <v>0</v>
      </c>
      <c r="X163" s="311">
        <v>0</v>
      </c>
      <c r="Y163" s="311">
        <v>0</v>
      </c>
      <c r="Z163" s="211">
        <v>0</v>
      </c>
      <c r="AA163" s="212" t="s">
        <v>116</v>
      </c>
      <c r="AB163" s="213" t="e">
        <v>#DIV/0!</v>
      </c>
      <c r="AC163" s="214" t="s">
        <v>116</v>
      </c>
      <c r="AD163" s="215" t="s">
        <v>116</v>
      </c>
      <c r="AE163" s="342" t="s">
        <v>116</v>
      </c>
      <c r="AF163" s="341" t="s">
        <v>116</v>
      </c>
    </row>
    <row r="164" spans="1:32">
      <c r="A164" s="307">
        <v>4</v>
      </c>
      <c r="B164" s="342"/>
      <c r="C164" s="342" t="s">
        <v>159</v>
      </c>
      <c r="D164" s="340" t="s">
        <v>225</v>
      </c>
      <c r="E164" s="342"/>
      <c r="F164" s="345" t="s">
        <v>170</v>
      </c>
      <c r="G164" s="308">
        <v>1</v>
      </c>
      <c r="H164" s="309">
        <v>5000</v>
      </c>
      <c r="I164" s="309">
        <v>5000</v>
      </c>
      <c r="J164" s="211"/>
      <c r="K164" s="212" t="str">
        <f>IF(OR(J164="",G164=J164),"","*")</f>
        <v/>
      </c>
      <c r="L164" s="338" t="str">
        <f>IF($A164&lt;=L$1,I164/I$4,"")</f>
        <v/>
      </c>
      <c r="M164" s="343"/>
      <c r="N164" s="344"/>
      <c r="O164" s="310">
        <v>0</v>
      </c>
      <c r="P164" s="311">
        <v>0</v>
      </c>
      <c r="Q164" s="311">
        <v>0</v>
      </c>
      <c r="R164" s="211">
        <v>0</v>
      </c>
      <c r="S164" s="212" t="s">
        <v>116</v>
      </c>
      <c r="T164" s="213" t="e">
        <v>#DIV/0!</v>
      </c>
      <c r="U164" s="214" t="s">
        <v>116</v>
      </c>
      <c r="V164" s="215" t="s">
        <v>116</v>
      </c>
      <c r="W164" s="310">
        <v>0</v>
      </c>
      <c r="X164" s="311">
        <v>0</v>
      </c>
      <c r="Y164" s="311">
        <v>0</v>
      </c>
      <c r="Z164" s="211">
        <v>0</v>
      </c>
      <c r="AA164" s="212" t="s">
        <v>116</v>
      </c>
      <c r="AB164" s="213" t="e">
        <v>#DIV/0!</v>
      </c>
      <c r="AC164" s="214" t="s">
        <v>116</v>
      </c>
      <c r="AD164" s="215" t="s">
        <v>116</v>
      </c>
      <c r="AE164" s="342" t="s">
        <v>116</v>
      </c>
      <c r="AF164" s="341" t="s">
        <v>116</v>
      </c>
    </row>
    <row r="165" spans="1:32">
      <c r="A165" s="307">
        <v>4</v>
      </c>
      <c r="B165" s="342"/>
      <c r="C165" s="342" t="s">
        <v>177</v>
      </c>
      <c r="D165" s="340" t="s">
        <v>226</v>
      </c>
      <c r="E165" s="342"/>
      <c r="F165" s="345" t="s">
        <v>227</v>
      </c>
      <c r="G165" s="308">
        <v>8</v>
      </c>
      <c r="H165" s="309">
        <v>20000</v>
      </c>
      <c r="I165" s="309">
        <v>160000</v>
      </c>
      <c r="J165" s="211"/>
      <c r="K165" s="212" t="str">
        <f>IF(OR(J165="",G165=J165),"","*")</f>
        <v/>
      </c>
      <c r="L165" s="338" t="str">
        <f>IF($A165&lt;=L$1,I165/I$4,"")</f>
        <v/>
      </c>
      <c r="M165" s="343"/>
      <c r="N165" s="344"/>
      <c r="O165" s="310">
        <v>0</v>
      </c>
      <c r="P165" s="311">
        <v>0</v>
      </c>
      <c r="Q165" s="311">
        <v>0</v>
      </c>
      <c r="R165" s="211">
        <v>0</v>
      </c>
      <c r="S165" s="212" t="s">
        <v>116</v>
      </c>
      <c r="T165" s="213" t="e">
        <v>#DIV/0!</v>
      </c>
      <c r="U165" s="214" t="s">
        <v>116</v>
      </c>
      <c r="V165" s="215" t="s">
        <v>116</v>
      </c>
      <c r="W165" s="310">
        <v>0</v>
      </c>
      <c r="X165" s="311">
        <v>0</v>
      </c>
      <c r="Y165" s="311">
        <v>0</v>
      </c>
      <c r="Z165" s="211">
        <v>0</v>
      </c>
      <c r="AA165" s="212" t="s">
        <v>116</v>
      </c>
      <c r="AB165" s="213" t="e">
        <v>#DIV/0!</v>
      </c>
      <c r="AC165" s="214" t="s">
        <v>116</v>
      </c>
      <c r="AD165" s="215" t="s">
        <v>116</v>
      </c>
      <c r="AE165" s="342" t="s">
        <v>116</v>
      </c>
      <c r="AF165" s="341" t="s">
        <v>116</v>
      </c>
    </row>
    <row r="166" spans="1:32">
      <c r="A166" s="307">
        <v>4</v>
      </c>
      <c r="B166" s="342"/>
      <c r="C166" s="342" t="s">
        <v>182</v>
      </c>
      <c r="D166" s="340" t="s">
        <v>228</v>
      </c>
      <c r="E166" s="342"/>
      <c r="F166" s="345" t="s">
        <v>227</v>
      </c>
      <c r="G166" s="308">
        <v>8</v>
      </c>
      <c r="H166" s="309">
        <v>3200</v>
      </c>
      <c r="I166" s="309">
        <v>25600</v>
      </c>
      <c r="J166" s="211"/>
      <c r="K166" s="212" t="str">
        <f>IF(OR(J166="",G166=J166),"","*")</f>
        <v/>
      </c>
      <c r="L166" s="338" t="str">
        <f>IF($A166&lt;=L$1,I166/I$4,"")</f>
        <v/>
      </c>
      <c r="M166" s="343"/>
      <c r="N166" s="344"/>
      <c r="O166" s="310">
        <v>0</v>
      </c>
      <c r="P166" s="311">
        <v>0</v>
      </c>
      <c r="Q166" s="311">
        <v>0</v>
      </c>
      <c r="R166" s="211">
        <v>0</v>
      </c>
      <c r="S166" s="212" t="s">
        <v>116</v>
      </c>
      <c r="T166" s="213" t="e">
        <v>#DIV/0!</v>
      </c>
      <c r="U166" s="214" t="s">
        <v>116</v>
      </c>
      <c r="V166" s="215" t="s">
        <v>116</v>
      </c>
      <c r="W166" s="310">
        <v>0</v>
      </c>
      <c r="X166" s="311">
        <v>0</v>
      </c>
      <c r="Y166" s="311">
        <v>0</v>
      </c>
      <c r="Z166" s="211">
        <v>0</v>
      </c>
      <c r="AA166" s="212" t="s">
        <v>116</v>
      </c>
      <c r="AB166" s="213" t="e">
        <v>#DIV/0!</v>
      </c>
      <c r="AC166" s="214" t="s">
        <v>116</v>
      </c>
      <c r="AD166" s="215" t="s">
        <v>116</v>
      </c>
      <c r="AE166" s="342" t="s">
        <v>116</v>
      </c>
      <c r="AF166" s="341" t="s">
        <v>116</v>
      </c>
    </row>
    <row r="167" spans="1:32">
      <c r="A167" s="307">
        <v>4</v>
      </c>
      <c r="B167" s="342"/>
      <c r="C167" s="342" t="s">
        <v>179</v>
      </c>
      <c r="D167" s="340" t="s">
        <v>229</v>
      </c>
      <c r="E167" s="342"/>
      <c r="F167" s="345" t="s">
        <v>230</v>
      </c>
      <c r="G167" s="308">
        <v>1</v>
      </c>
      <c r="H167" s="309">
        <v>12000</v>
      </c>
      <c r="I167" s="309">
        <v>12000</v>
      </c>
      <c r="J167" s="211"/>
      <c r="K167" s="212" t="str">
        <f>IF(OR(J167="",G167=J167),"","*")</f>
        <v/>
      </c>
      <c r="L167" s="338" t="str">
        <f>IF($A167&lt;=L$1,I167/I$4,"")</f>
        <v/>
      </c>
      <c r="M167" s="343"/>
      <c r="N167" s="344"/>
      <c r="O167" s="310">
        <v>0</v>
      </c>
      <c r="P167" s="311">
        <v>0</v>
      </c>
      <c r="Q167" s="311">
        <v>0</v>
      </c>
      <c r="R167" s="211">
        <v>0</v>
      </c>
      <c r="S167" s="212" t="s">
        <v>116</v>
      </c>
      <c r="T167" s="213" t="e">
        <v>#DIV/0!</v>
      </c>
      <c r="U167" s="214" t="s">
        <v>116</v>
      </c>
      <c r="V167" s="215" t="s">
        <v>116</v>
      </c>
      <c r="W167" s="310">
        <v>0</v>
      </c>
      <c r="X167" s="311">
        <v>0</v>
      </c>
      <c r="Y167" s="311">
        <v>0</v>
      </c>
      <c r="Z167" s="211">
        <v>0</v>
      </c>
      <c r="AA167" s="212" t="s">
        <v>116</v>
      </c>
      <c r="AB167" s="213" t="e">
        <v>#DIV/0!</v>
      </c>
      <c r="AC167" s="214" t="s">
        <v>116</v>
      </c>
      <c r="AD167" s="215" t="s">
        <v>116</v>
      </c>
      <c r="AE167" s="342" t="s">
        <v>116</v>
      </c>
      <c r="AF167" s="341" t="s">
        <v>116</v>
      </c>
    </row>
    <row r="168" spans="1:32">
      <c r="A168" s="307">
        <v>4</v>
      </c>
      <c r="B168" s="342"/>
      <c r="C168" s="342" t="s">
        <v>179</v>
      </c>
      <c r="D168" s="340" t="s">
        <v>231</v>
      </c>
      <c r="E168" s="342"/>
      <c r="F168" s="345" t="s">
        <v>230</v>
      </c>
      <c r="G168" s="308">
        <v>1</v>
      </c>
      <c r="H168" s="309">
        <v>8000</v>
      </c>
      <c r="I168" s="309">
        <v>8000</v>
      </c>
      <c r="J168" s="211"/>
      <c r="K168" s="212" t="str">
        <f>IF(OR(J168="",G168=J168),"","*")</f>
        <v/>
      </c>
      <c r="L168" s="338" t="str">
        <f>IF($A168&lt;=L$1,I168/I$4,"")</f>
        <v/>
      </c>
      <c r="M168" s="343"/>
      <c r="N168" s="344"/>
      <c r="O168" s="310">
        <v>0</v>
      </c>
      <c r="P168" s="311">
        <v>0</v>
      </c>
      <c r="Q168" s="311">
        <v>0</v>
      </c>
      <c r="R168" s="211">
        <v>0</v>
      </c>
      <c r="S168" s="212" t="s">
        <v>116</v>
      </c>
      <c r="T168" s="213" t="e">
        <v>#DIV/0!</v>
      </c>
      <c r="U168" s="214" t="s">
        <v>116</v>
      </c>
      <c r="V168" s="215" t="s">
        <v>116</v>
      </c>
      <c r="W168" s="310">
        <v>0</v>
      </c>
      <c r="X168" s="311">
        <v>0</v>
      </c>
      <c r="Y168" s="311">
        <v>0</v>
      </c>
      <c r="Z168" s="211">
        <v>0</v>
      </c>
      <c r="AA168" s="212" t="s">
        <v>116</v>
      </c>
      <c r="AB168" s="213" t="e">
        <v>#DIV/0!</v>
      </c>
      <c r="AC168" s="214" t="s">
        <v>116</v>
      </c>
      <c r="AD168" s="215" t="s">
        <v>116</v>
      </c>
      <c r="AE168" s="342" t="s">
        <v>116</v>
      </c>
      <c r="AF168" s="341" t="s">
        <v>116</v>
      </c>
    </row>
    <row r="169" spans="1:32">
      <c r="A169" s="307">
        <v>4</v>
      </c>
      <c r="B169" s="342"/>
      <c r="C169" s="342" t="s">
        <v>179</v>
      </c>
      <c r="D169" s="340" t="s">
        <v>232</v>
      </c>
      <c r="E169" s="342"/>
      <c r="F169" s="345" t="s">
        <v>230</v>
      </c>
      <c r="G169" s="308">
        <v>1</v>
      </c>
      <c r="H169" s="309">
        <v>6000</v>
      </c>
      <c r="I169" s="309">
        <v>6000</v>
      </c>
      <c r="J169" s="211"/>
      <c r="K169" s="212" t="str">
        <f>IF(OR(J169="",G169=J169),"","*")</f>
        <v/>
      </c>
      <c r="L169" s="338" t="str">
        <f>IF($A169&lt;=L$1,I169/I$4,"")</f>
        <v/>
      </c>
      <c r="M169" s="343"/>
      <c r="N169" s="344"/>
      <c r="O169" s="310">
        <v>0</v>
      </c>
      <c r="P169" s="311">
        <v>0</v>
      </c>
      <c r="Q169" s="311">
        <v>0</v>
      </c>
      <c r="R169" s="211">
        <v>0</v>
      </c>
      <c r="S169" s="212" t="s">
        <v>116</v>
      </c>
      <c r="T169" s="213" t="e">
        <v>#DIV/0!</v>
      </c>
      <c r="U169" s="214" t="s">
        <v>116</v>
      </c>
      <c r="V169" s="215" t="s">
        <v>116</v>
      </c>
      <c r="W169" s="310">
        <v>0</v>
      </c>
      <c r="X169" s="311">
        <v>0</v>
      </c>
      <c r="Y169" s="311">
        <v>0</v>
      </c>
      <c r="Z169" s="211">
        <v>0</v>
      </c>
      <c r="AA169" s="212" t="s">
        <v>116</v>
      </c>
      <c r="AB169" s="213" t="e">
        <v>#DIV/0!</v>
      </c>
      <c r="AC169" s="214" t="s">
        <v>116</v>
      </c>
      <c r="AD169" s="215" t="s">
        <v>116</v>
      </c>
      <c r="AE169" s="342" t="s">
        <v>116</v>
      </c>
      <c r="AF169" s="341" t="s">
        <v>116</v>
      </c>
    </row>
    <row r="170" spans="1:32">
      <c r="A170" s="307">
        <v>4</v>
      </c>
      <c r="B170" s="342"/>
      <c r="C170" s="342" t="s">
        <v>179</v>
      </c>
      <c r="D170" s="340" t="s">
        <v>233</v>
      </c>
      <c r="E170" s="342"/>
      <c r="F170" s="345" t="s">
        <v>170</v>
      </c>
      <c r="G170" s="308">
        <v>1</v>
      </c>
      <c r="H170" s="309">
        <v>5000</v>
      </c>
      <c r="I170" s="309">
        <v>5000</v>
      </c>
      <c r="J170" s="211"/>
      <c r="K170" s="212" t="str">
        <f>IF(OR(J170="",G170=J170),"","*")</f>
        <v/>
      </c>
      <c r="L170" s="338" t="str">
        <f>IF($A170&lt;=L$1,I170/I$4,"")</f>
        <v/>
      </c>
      <c r="M170" s="343"/>
      <c r="N170" s="344"/>
      <c r="O170" s="310">
        <v>0</v>
      </c>
      <c r="P170" s="311">
        <v>0</v>
      </c>
      <c r="Q170" s="311">
        <v>0</v>
      </c>
      <c r="R170" s="211">
        <v>0</v>
      </c>
      <c r="S170" s="212" t="s">
        <v>116</v>
      </c>
      <c r="T170" s="213" t="e">
        <v>#DIV/0!</v>
      </c>
      <c r="U170" s="214" t="s">
        <v>116</v>
      </c>
      <c r="V170" s="215" t="s">
        <v>116</v>
      </c>
      <c r="W170" s="310">
        <v>0</v>
      </c>
      <c r="X170" s="311">
        <v>0</v>
      </c>
      <c r="Y170" s="311">
        <v>0</v>
      </c>
      <c r="Z170" s="211">
        <v>0</v>
      </c>
      <c r="AA170" s="212" t="s">
        <v>116</v>
      </c>
      <c r="AB170" s="213" t="e">
        <v>#DIV/0!</v>
      </c>
      <c r="AC170" s="214" t="s">
        <v>116</v>
      </c>
      <c r="AD170" s="215" t="s">
        <v>116</v>
      </c>
      <c r="AE170" s="342" t="s">
        <v>116</v>
      </c>
      <c r="AF170" s="341" t="s">
        <v>116</v>
      </c>
    </row>
    <row r="171" spans="1:32">
      <c r="A171" s="307">
        <v>4</v>
      </c>
      <c r="B171" s="342"/>
      <c r="C171" s="342" t="s">
        <v>179</v>
      </c>
      <c r="D171" s="340" t="s">
        <v>234</v>
      </c>
      <c r="E171" s="342"/>
      <c r="F171" s="345" t="s">
        <v>230</v>
      </c>
      <c r="G171" s="308">
        <v>1</v>
      </c>
      <c r="H171" s="309">
        <v>15000</v>
      </c>
      <c r="I171" s="309">
        <v>15000</v>
      </c>
      <c r="J171" s="211"/>
      <c r="K171" s="212" t="str">
        <f>IF(OR(J171="",G171=J171),"","*")</f>
        <v/>
      </c>
      <c r="L171" s="338" t="str">
        <f>IF($A171&lt;=L$1,I171/I$4,"")</f>
        <v/>
      </c>
      <c r="M171" s="343"/>
      <c r="N171" s="344"/>
      <c r="O171" s="310">
        <v>0</v>
      </c>
      <c r="P171" s="311">
        <v>0</v>
      </c>
      <c r="Q171" s="311">
        <v>0</v>
      </c>
      <c r="R171" s="211">
        <v>0</v>
      </c>
      <c r="S171" s="212" t="s">
        <v>116</v>
      </c>
      <c r="T171" s="213" t="e">
        <v>#DIV/0!</v>
      </c>
      <c r="U171" s="214" t="s">
        <v>116</v>
      </c>
      <c r="V171" s="215" t="s">
        <v>116</v>
      </c>
      <c r="W171" s="310">
        <v>0</v>
      </c>
      <c r="X171" s="311">
        <v>0</v>
      </c>
      <c r="Y171" s="311">
        <v>0</v>
      </c>
      <c r="Z171" s="211">
        <v>0</v>
      </c>
      <c r="AA171" s="212" t="s">
        <v>116</v>
      </c>
      <c r="AB171" s="213" t="e">
        <v>#DIV/0!</v>
      </c>
      <c r="AC171" s="214" t="s">
        <v>116</v>
      </c>
      <c r="AD171" s="215" t="s">
        <v>116</v>
      </c>
      <c r="AE171" s="342" t="s">
        <v>116</v>
      </c>
      <c r="AF171" s="341" t="s">
        <v>116</v>
      </c>
    </row>
    <row r="172" spans="1:32">
      <c r="A172" s="307">
        <v>4</v>
      </c>
      <c r="B172" s="342"/>
      <c r="C172" s="342" t="s">
        <v>180</v>
      </c>
      <c r="D172" s="340" t="s">
        <v>235</v>
      </c>
      <c r="E172" s="342"/>
      <c r="F172" s="345" t="s">
        <v>230</v>
      </c>
      <c r="G172" s="308">
        <v>2</v>
      </c>
      <c r="H172" s="309">
        <v>8000</v>
      </c>
      <c r="I172" s="309">
        <v>16000</v>
      </c>
      <c r="J172" s="211"/>
      <c r="K172" s="212" t="str">
        <f>IF(OR(J172="",G172=J172),"","*")</f>
        <v/>
      </c>
      <c r="L172" s="338" t="str">
        <f>IF($A172&lt;=L$1,I172/I$4,"")</f>
        <v/>
      </c>
      <c r="M172" s="343"/>
      <c r="N172" s="344"/>
      <c r="O172" s="310">
        <v>0</v>
      </c>
      <c r="P172" s="311">
        <v>0</v>
      </c>
      <c r="Q172" s="311">
        <v>0</v>
      </c>
      <c r="R172" s="211">
        <v>0</v>
      </c>
      <c r="S172" s="212" t="s">
        <v>116</v>
      </c>
      <c r="T172" s="213" t="e">
        <v>#DIV/0!</v>
      </c>
      <c r="U172" s="214" t="s">
        <v>116</v>
      </c>
      <c r="V172" s="215" t="s">
        <v>116</v>
      </c>
      <c r="W172" s="310">
        <v>0</v>
      </c>
      <c r="X172" s="311">
        <v>0</v>
      </c>
      <c r="Y172" s="311">
        <v>0</v>
      </c>
      <c r="Z172" s="211">
        <v>0</v>
      </c>
      <c r="AA172" s="212" t="s">
        <v>116</v>
      </c>
      <c r="AB172" s="213" t="e">
        <v>#DIV/0!</v>
      </c>
      <c r="AC172" s="214" t="s">
        <v>116</v>
      </c>
      <c r="AD172" s="215" t="s">
        <v>116</v>
      </c>
      <c r="AE172" s="342" t="s">
        <v>116</v>
      </c>
      <c r="AF172" s="341" t="s">
        <v>116</v>
      </c>
    </row>
    <row r="173" spans="1:32">
      <c r="A173" s="307">
        <v>4</v>
      </c>
      <c r="B173" s="342"/>
      <c r="C173" s="342" t="s">
        <v>180</v>
      </c>
      <c r="D173" s="340" t="s">
        <v>236</v>
      </c>
      <c r="E173" s="342"/>
      <c r="F173" s="345" t="s">
        <v>230</v>
      </c>
      <c r="G173" s="308">
        <v>2</v>
      </c>
      <c r="H173" s="309">
        <v>6000</v>
      </c>
      <c r="I173" s="309">
        <v>12000</v>
      </c>
      <c r="J173" s="211"/>
      <c r="K173" s="212" t="str">
        <f>IF(OR(J173="",G173=J173),"","*")</f>
        <v/>
      </c>
      <c r="L173" s="338" t="str">
        <f>IF($A173&lt;=L$1,I173/I$4,"")</f>
        <v/>
      </c>
      <c r="M173" s="343"/>
      <c r="N173" s="344"/>
      <c r="O173" s="310">
        <v>0</v>
      </c>
      <c r="P173" s="311">
        <v>0</v>
      </c>
      <c r="Q173" s="311">
        <v>0</v>
      </c>
      <c r="R173" s="211">
        <v>0</v>
      </c>
      <c r="S173" s="212" t="s">
        <v>116</v>
      </c>
      <c r="T173" s="213" t="e">
        <v>#DIV/0!</v>
      </c>
      <c r="U173" s="214" t="s">
        <v>116</v>
      </c>
      <c r="V173" s="215" t="s">
        <v>116</v>
      </c>
      <c r="W173" s="310">
        <v>0</v>
      </c>
      <c r="X173" s="311">
        <v>0</v>
      </c>
      <c r="Y173" s="311">
        <v>0</v>
      </c>
      <c r="Z173" s="211">
        <v>0</v>
      </c>
      <c r="AA173" s="212" t="s">
        <v>116</v>
      </c>
      <c r="AB173" s="213" t="e">
        <v>#DIV/0!</v>
      </c>
      <c r="AC173" s="214" t="s">
        <v>116</v>
      </c>
      <c r="AD173" s="215" t="s">
        <v>116</v>
      </c>
      <c r="AE173" s="342" t="s">
        <v>116</v>
      </c>
      <c r="AF173" s="341" t="s">
        <v>116</v>
      </c>
    </row>
    <row r="174" spans="1:32">
      <c r="A174" s="307">
        <v>4</v>
      </c>
      <c r="B174" s="342"/>
      <c r="C174" s="342" t="s">
        <v>159</v>
      </c>
      <c r="D174" s="340" t="s">
        <v>237</v>
      </c>
      <c r="E174" s="342"/>
      <c r="F174" s="345" t="s">
        <v>238</v>
      </c>
      <c r="G174" s="308">
        <v>80</v>
      </c>
      <c r="H174" s="309">
        <v>170</v>
      </c>
      <c r="I174" s="309">
        <v>13600</v>
      </c>
      <c r="J174" s="211"/>
      <c r="K174" s="212" t="str">
        <f>IF(OR(J174="",G174=J174),"","*")</f>
        <v/>
      </c>
      <c r="L174" s="338" t="str">
        <f>IF($A174&lt;=L$1,I174/I$4,"")</f>
        <v/>
      </c>
      <c r="M174" s="343"/>
      <c r="N174" s="344"/>
      <c r="O174" s="310">
        <v>0</v>
      </c>
      <c r="P174" s="311">
        <v>0</v>
      </c>
      <c r="Q174" s="311">
        <v>0</v>
      </c>
      <c r="R174" s="211">
        <v>0</v>
      </c>
      <c r="S174" s="212" t="s">
        <v>116</v>
      </c>
      <c r="T174" s="213" t="e">
        <v>#DIV/0!</v>
      </c>
      <c r="U174" s="214" t="s">
        <v>116</v>
      </c>
      <c r="V174" s="215" t="s">
        <v>116</v>
      </c>
      <c r="W174" s="310">
        <v>0</v>
      </c>
      <c r="X174" s="311">
        <v>0</v>
      </c>
      <c r="Y174" s="311">
        <v>0</v>
      </c>
      <c r="Z174" s="211">
        <v>0</v>
      </c>
      <c r="AA174" s="212" t="s">
        <v>116</v>
      </c>
      <c r="AB174" s="213" t="e">
        <v>#DIV/0!</v>
      </c>
      <c r="AC174" s="214" t="s">
        <v>116</v>
      </c>
      <c r="AD174" s="215" t="s">
        <v>116</v>
      </c>
      <c r="AE174" s="342" t="s">
        <v>116</v>
      </c>
      <c r="AF174" s="341" t="s">
        <v>116</v>
      </c>
    </row>
    <row r="175" spans="1:32">
      <c r="A175" s="307">
        <v>4</v>
      </c>
      <c r="B175" s="342"/>
      <c r="C175" s="342" t="s">
        <v>180</v>
      </c>
      <c r="D175" s="340" t="s">
        <v>240</v>
      </c>
      <c r="E175" s="342"/>
      <c r="F175" s="345" t="s">
        <v>241</v>
      </c>
      <c r="G175" s="308">
        <v>6</v>
      </c>
      <c r="H175" s="309">
        <v>800</v>
      </c>
      <c r="I175" s="309">
        <v>4800</v>
      </c>
      <c r="J175" s="211"/>
      <c r="K175" s="212" t="str">
        <f>IF(OR(J175="",G175=J175),"","*")</f>
        <v/>
      </c>
      <c r="L175" s="338" t="str">
        <f>IF($A175&lt;=L$1,I175/I$4,"")</f>
        <v/>
      </c>
      <c r="M175" s="343"/>
      <c r="N175" s="344"/>
      <c r="O175" s="310">
        <v>0</v>
      </c>
      <c r="P175" s="311">
        <v>0</v>
      </c>
      <c r="Q175" s="311">
        <v>0</v>
      </c>
      <c r="R175" s="211">
        <v>0</v>
      </c>
      <c r="S175" s="212" t="s">
        <v>116</v>
      </c>
      <c r="T175" s="213" t="e">
        <v>#DIV/0!</v>
      </c>
      <c r="U175" s="214" t="s">
        <v>116</v>
      </c>
      <c r="V175" s="215" t="s">
        <v>116</v>
      </c>
      <c r="W175" s="310">
        <v>0</v>
      </c>
      <c r="X175" s="311">
        <v>0</v>
      </c>
      <c r="Y175" s="311">
        <v>0</v>
      </c>
      <c r="Z175" s="211">
        <v>0</v>
      </c>
      <c r="AA175" s="212" t="s">
        <v>116</v>
      </c>
      <c r="AB175" s="213" t="e">
        <v>#DIV/0!</v>
      </c>
      <c r="AC175" s="214" t="s">
        <v>116</v>
      </c>
      <c r="AD175" s="215" t="s">
        <v>116</v>
      </c>
      <c r="AE175" s="342" t="s">
        <v>116</v>
      </c>
      <c r="AF175" s="341" t="s">
        <v>116</v>
      </c>
    </row>
    <row r="176" spans="1:32">
      <c r="A176" s="307">
        <v>4</v>
      </c>
      <c r="B176" s="342"/>
      <c r="C176" s="342" t="s">
        <v>159</v>
      </c>
      <c r="D176" s="340" t="s">
        <v>246</v>
      </c>
      <c r="E176" s="342"/>
      <c r="F176" s="345" t="s">
        <v>241</v>
      </c>
      <c r="G176" s="308">
        <v>6</v>
      </c>
      <c r="H176" s="309">
        <v>1000</v>
      </c>
      <c r="I176" s="309">
        <v>6000</v>
      </c>
      <c r="J176" s="211"/>
      <c r="K176" s="212" t="str">
        <f>IF(OR(J176="",G176=J176),"","*")</f>
        <v/>
      </c>
      <c r="L176" s="338" t="str">
        <f>IF($A176&lt;=L$1,I176/I$4,"")</f>
        <v/>
      </c>
      <c r="M176" s="343"/>
      <c r="N176" s="344"/>
      <c r="O176" s="310">
        <v>0</v>
      </c>
      <c r="P176" s="311">
        <v>0</v>
      </c>
      <c r="Q176" s="311">
        <v>0</v>
      </c>
      <c r="R176" s="211">
        <v>0</v>
      </c>
      <c r="S176" s="212" t="s">
        <v>116</v>
      </c>
      <c r="T176" s="213" t="e">
        <v>#DIV/0!</v>
      </c>
      <c r="U176" s="214" t="s">
        <v>116</v>
      </c>
      <c r="V176" s="215" t="s">
        <v>116</v>
      </c>
      <c r="W176" s="310">
        <v>0</v>
      </c>
      <c r="X176" s="311">
        <v>0</v>
      </c>
      <c r="Y176" s="311">
        <v>0</v>
      </c>
      <c r="Z176" s="211">
        <v>0</v>
      </c>
      <c r="AA176" s="212" t="s">
        <v>116</v>
      </c>
      <c r="AB176" s="213" t="e">
        <v>#DIV/0!</v>
      </c>
      <c r="AC176" s="214" t="s">
        <v>116</v>
      </c>
      <c r="AD176" s="215" t="s">
        <v>116</v>
      </c>
      <c r="AE176" s="342" t="s">
        <v>116</v>
      </c>
      <c r="AF176" s="341" t="s">
        <v>116</v>
      </c>
    </row>
    <row r="177" spans="1:32">
      <c r="A177" s="307">
        <v>4</v>
      </c>
      <c r="B177" s="342"/>
      <c r="C177" s="342" t="s">
        <v>159</v>
      </c>
      <c r="D177" s="340" t="s">
        <v>247</v>
      </c>
      <c r="E177" s="342"/>
      <c r="F177" s="345" t="s">
        <v>248</v>
      </c>
      <c r="G177" s="308">
        <v>40</v>
      </c>
      <c r="H177" s="309">
        <v>800</v>
      </c>
      <c r="I177" s="309">
        <v>32000</v>
      </c>
      <c r="J177" s="211"/>
      <c r="K177" s="212" t="str">
        <f>IF(OR(J177="",G177=J177),"","*")</f>
        <v/>
      </c>
      <c r="L177" s="338" t="str">
        <f>IF($A177&lt;=L$1,I177/I$4,"")</f>
        <v/>
      </c>
      <c r="M177" s="343"/>
      <c r="N177" s="344"/>
      <c r="O177" s="310">
        <v>0</v>
      </c>
      <c r="P177" s="311">
        <v>0</v>
      </c>
      <c r="Q177" s="311">
        <v>0</v>
      </c>
      <c r="R177" s="211">
        <v>0</v>
      </c>
      <c r="S177" s="212" t="s">
        <v>116</v>
      </c>
      <c r="T177" s="213" t="e">
        <v>#DIV/0!</v>
      </c>
      <c r="U177" s="214" t="s">
        <v>116</v>
      </c>
      <c r="V177" s="215" t="s">
        <v>116</v>
      </c>
      <c r="W177" s="310">
        <v>0</v>
      </c>
      <c r="X177" s="311">
        <v>0</v>
      </c>
      <c r="Y177" s="311">
        <v>0</v>
      </c>
      <c r="Z177" s="211">
        <v>0</v>
      </c>
      <c r="AA177" s="212" t="s">
        <v>116</v>
      </c>
      <c r="AB177" s="213" t="e">
        <v>#DIV/0!</v>
      </c>
      <c r="AC177" s="214" t="s">
        <v>116</v>
      </c>
      <c r="AD177" s="215" t="s">
        <v>116</v>
      </c>
      <c r="AE177" s="342" t="s">
        <v>116</v>
      </c>
      <c r="AF177" s="341" t="s">
        <v>116</v>
      </c>
    </row>
    <row r="178" spans="1:32">
      <c r="A178" s="307">
        <v>4</v>
      </c>
      <c r="B178" s="342"/>
      <c r="C178" s="342" t="s">
        <v>159</v>
      </c>
      <c r="D178" s="340" t="s">
        <v>252</v>
      </c>
      <c r="E178" s="342"/>
      <c r="F178" s="345" t="s">
        <v>241</v>
      </c>
      <c r="G178" s="308">
        <v>6</v>
      </c>
      <c r="H178" s="309">
        <v>15900</v>
      </c>
      <c r="I178" s="309">
        <v>95400</v>
      </c>
      <c r="J178" s="211"/>
      <c r="K178" s="212" t="str">
        <f>IF(OR(J178="",G178=J178),"","*")</f>
        <v/>
      </c>
      <c r="L178" s="338" t="str">
        <f>IF($A178&lt;=L$1,I178/I$4,"")</f>
        <v/>
      </c>
      <c r="M178" s="343"/>
      <c r="N178" s="344"/>
      <c r="O178" s="310">
        <v>0</v>
      </c>
      <c r="P178" s="311">
        <v>0</v>
      </c>
      <c r="Q178" s="311">
        <v>0</v>
      </c>
      <c r="R178" s="211">
        <v>0</v>
      </c>
      <c r="S178" s="212" t="s">
        <v>116</v>
      </c>
      <c r="T178" s="213" t="e">
        <v>#DIV/0!</v>
      </c>
      <c r="U178" s="214" t="s">
        <v>116</v>
      </c>
      <c r="V178" s="215" t="s">
        <v>116</v>
      </c>
      <c r="W178" s="310">
        <v>0</v>
      </c>
      <c r="X178" s="311">
        <v>0</v>
      </c>
      <c r="Y178" s="311">
        <v>0</v>
      </c>
      <c r="Z178" s="211">
        <v>0</v>
      </c>
      <c r="AA178" s="212" t="s">
        <v>116</v>
      </c>
      <c r="AB178" s="213" t="e">
        <v>#DIV/0!</v>
      </c>
      <c r="AC178" s="214" t="s">
        <v>116</v>
      </c>
      <c r="AD178" s="215" t="s">
        <v>116</v>
      </c>
      <c r="AE178" s="342" t="s">
        <v>116</v>
      </c>
      <c r="AF178" s="341" t="s">
        <v>116</v>
      </c>
    </row>
    <row r="179" spans="1:32">
      <c r="A179" s="307">
        <v>3</v>
      </c>
      <c r="B179" s="342"/>
      <c r="C179" s="342" t="s">
        <v>222</v>
      </c>
      <c r="D179" s="340" t="s">
        <v>269</v>
      </c>
      <c r="E179" s="342"/>
      <c r="F179" s="345" t="s">
        <v>170</v>
      </c>
      <c r="G179" s="308">
        <v>1</v>
      </c>
      <c r="H179" s="309">
        <v>245200</v>
      </c>
      <c r="I179" s="309">
        <v>245200</v>
      </c>
      <c r="J179" s="211">
        <v>1</v>
      </c>
      <c r="K179" s="212" t="str">
        <f>IF(OR(J179="",G179=J179),"","*")</f>
        <v/>
      </c>
      <c r="L179" s="338">
        <f>IF($A179&lt;=L$1,I179/I$4,"")</f>
        <v>2.4041572703206195E-2</v>
      </c>
      <c r="M179" s="343"/>
      <c r="N179" s="344" t="s">
        <v>270</v>
      </c>
      <c r="O179" s="310">
        <v>0</v>
      </c>
      <c r="P179" s="311">
        <v>0</v>
      </c>
      <c r="Q179" s="311">
        <v>0</v>
      </c>
      <c r="R179" s="211">
        <v>0</v>
      </c>
      <c r="S179" s="212" t="s">
        <v>116</v>
      </c>
      <c r="T179" s="213" t="e">
        <v>#DIV/0!</v>
      </c>
      <c r="U179" s="214" t="s">
        <v>116</v>
      </c>
      <c r="V179" s="215" t="s">
        <v>116</v>
      </c>
      <c r="W179" s="310">
        <v>0</v>
      </c>
      <c r="X179" s="311">
        <v>0</v>
      </c>
      <c r="Y179" s="311">
        <v>0</v>
      </c>
      <c r="Z179" s="211">
        <v>0</v>
      </c>
      <c r="AA179" s="212" t="s">
        <v>116</v>
      </c>
      <c r="AB179" s="213" t="e">
        <v>#DIV/0!</v>
      </c>
      <c r="AC179" s="214" t="s">
        <v>116</v>
      </c>
      <c r="AD179" s="215" t="s">
        <v>116</v>
      </c>
      <c r="AE179" s="342" t="s">
        <v>116</v>
      </c>
      <c r="AF179" s="341" t="s">
        <v>116</v>
      </c>
    </row>
    <row r="180" spans="1:32">
      <c r="A180" s="307">
        <v>4</v>
      </c>
      <c r="B180" s="342"/>
      <c r="C180" s="342" t="s">
        <v>159</v>
      </c>
      <c r="D180" s="340" t="s">
        <v>225</v>
      </c>
      <c r="E180" s="342"/>
      <c r="F180" s="345" t="s">
        <v>170</v>
      </c>
      <c r="G180" s="308">
        <v>1</v>
      </c>
      <c r="H180" s="309">
        <v>5000</v>
      </c>
      <c r="I180" s="309">
        <v>5000</v>
      </c>
      <c r="J180" s="211"/>
      <c r="K180" s="212" t="str">
        <f>IF(OR(J180="",G180=J180),"","*")</f>
        <v/>
      </c>
      <c r="L180" s="338" t="str">
        <f>IF($A180&lt;=L$1,I180/I$4,"")</f>
        <v/>
      </c>
      <c r="M180" s="343"/>
      <c r="N180" s="344"/>
      <c r="O180" s="310">
        <v>0</v>
      </c>
      <c r="P180" s="311">
        <v>0</v>
      </c>
      <c r="Q180" s="311">
        <v>0</v>
      </c>
      <c r="R180" s="211">
        <v>0</v>
      </c>
      <c r="S180" s="212" t="s">
        <v>116</v>
      </c>
      <c r="T180" s="213" t="e">
        <v>#DIV/0!</v>
      </c>
      <c r="U180" s="214" t="s">
        <v>116</v>
      </c>
      <c r="V180" s="215" t="s">
        <v>116</v>
      </c>
      <c r="W180" s="310">
        <v>0</v>
      </c>
      <c r="X180" s="311">
        <v>0</v>
      </c>
      <c r="Y180" s="311">
        <v>0</v>
      </c>
      <c r="Z180" s="211">
        <v>0</v>
      </c>
      <c r="AA180" s="212" t="s">
        <v>116</v>
      </c>
      <c r="AB180" s="213" t="e">
        <v>#DIV/0!</v>
      </c>
      <c r="AC180" s="214" t="s">
        <v>116</v>
      </c>
      <c r="AD180" s="215" t="s">
        <v>116</v>
      </c>
      <c r="AE180" s="342" t="s">
        <v>116</v>
      </c>
      <c r="AF180" s="341" t="s">
        <v>116</v>
      </c>
    </row>
    <row r="181" spans="1:32">
      <c r="A181" s="307">
        <v>4</v>
      </c>
      <c r="B181" s="342"/>
      <c r="C181" s="342" t="s">
        <v>177</v>
      </c>
      <c r="D181" s="340" t="s">
        <v>226</v>
      </c>
      <c r="E181" s="342"/>
      <c r="F181" s="345" t="s">
        <v>227</v>
      </c>
      <c r="G181" s="308">
        <v>8</v>
      </c>
      <c r="H181" s="309">
        <v>20000</v>
      </c>
      <c r="I181" s="309">
        <v>160000</v>
      </c>
      <c r="J181" s="211"/>
      <c r="K181" s="212" t="str">
        <f>IF(OR(J181="",G181=J181),"","*")</f>
        <v/>
      </c>
      <c r="L181" s="338" t="str">
        <f>IF($A181&lt;=L$1,I181/I$4,"")</f>
        <v/>
      </c>
      <c r="M181" s="343"/>
      <c r="N181" s="344"/>
      <c r="O181" s="310">
        <v>0</v>
      </c>
      <c r="P181" s="311">
        <v>0</v>
      </c>
      <c r="Q181" s="311">
        <v>0</v>
      </c>
      <c r="R181" s="211">
        <v>0</v>
      </c>
      <c r="S181" s="212" t="s">
        <v>116</v>
      </c>
      <c r="T181" s="213" t="e">
        <v>#DIV/0!</v>
      </c>
      <c r="U181" s="214" t="s">
        <v>116</v>
      </c>
      <c r="V181" s="215" t="s">
        <v>116</v>
      </c>
      <c r="W181" s="310">
        <v>0</v>
      </c>
      <c r="X181" s="311">
        <v>0</v>
      </c>
      <c r="Y181" s="311">
        <v>0</v>
      </c>
      <c r="Z181" s="211">
        <v>0</v>
      </c>
      <c r="AA181" s="212" t="s">
        <v>116</v>
      </c>
      <c r="AB181" s="213" t="e">
        <v>#DIV/0!</v>
      </c>
      <c r="AC181" s="214" t="s">
        <v>116</v>
      </c>
      <c r="AD181" s="215" t="s">
        <v>116</v>
      </c>
      <c r="AE181" s="342" t="s">
        <v>116</v>
      </c>
      <c r="AF181" s="341" t="s">
        <v>116</v>
      </c>
    </row>
    <row r="182" spans="1:32">
      <c r="A182" s="307">
        <v>4</v>
      </c>
      <c r="B182" s="342"/>
      <c r="C182" s="342" t="s">
        <v>182</v>
      </c>
      <c r="D182" s="340" t="s">
        <v>228</v>
      </c>
      <c r="E182" s="342"/>
      <c r="F182" s="345" t="s">
        <v>227</v>
      </c>
      <c r="G182" s="308">
        <v>8</v>
      </c>
      <c r="H182" s="309">
        <v>3200</v>
      </c>
      <c r="I182" s="309">
        <v>25600</v>
      </c>
      <c r="J182" s="211"/>
      <c r="K182" s="212" t="str">
        <f>IF(OR(J182="",G182=J182),"","*")</f>
        <v/>
      </c>
      <c r="L182" s="338" t="str">
        <f>IF($A182&lt;=L$1,I182/I$4,"")</f>
        <v/>
      </c>
      <c r="M182" s="343"/>
      <c r="N182" s="344"/>
      <c r="O182" s="310">
        <v>0</v>
      </c>
      <c r="P182" s="311">
        <v>0</v>
      </c>
      <c r="Q182" s="311">
        <v>0</v>
      </c>
      <c r="R182" s="211">
        <v>0</v>
      </c>
      <c r="S182" s="212" t="s">
        <v>116</v>
      </c>
      <c r="T182" s="213" t="e">
        <v>#DIV/0!</v>
      </c>
      <c r="U182" s="214" t="s">
        <v>116</v>
      </c>
      <c r="V182" s="215" t="s">
        <v>116</v>
      </c>
      <c r="W182" s="310">
        <v>0</v>
      </c>
      <c r="X182" s="311">
        <v>0</v>
      </c>
      <c r="Y182" s="311">
        <v>0</v>
      </c>
      <c r="Z182" s="211">
        <v>0</v>
      </c>
      <c r="AA182" s="212" t="s">
        <v>116</v>
      </c>
      <c r="AB182" s="213" t="e">
        <v>#DIV/0!</v>
      </c>
      <c r="AC182" s="214" t="s">
        <v>116</v>
      </c>
      <c r="AD182" s="215" t="s">
        <v>116</v>
      </c>
      <c r="AE182" s="342" t="s">
        <v>116</v>
      </c>
      <c r="AF182" s="341" t="s">
        <v>116</v>
      </c>
    </row>
    <row r="183" spans="1:32">
      <c r="A183" s="307">
        <v>4</v>
      </c>
      <c r="B183" s="342"/>
      <c r="C183" s="342" t="s">
        <v>179</v>
      </c>
      <c r="D183" s="340" t="s">
        <v>231</v>
      </c>
      <c r="E183" s="342"/>
      <c r="F183" s="345" t="s">
        <v>230</v>
      </c>
      <c r="G183" s="308">
        <v>1</v>
      </c>
      <c r="H183" s="309">
        <v>8000</v>
      </c>
      <c r="I183" s="309">
        <v>8000</v>
      </c>
      <c r="J183" s="211"/>
      <c r="K183" s="212" t="str">
        <f>IF(OR(J183="",G183=J183),"","*")</f>
        <v/>
      </c>
      <c r="L183" s="338" t="str">
        <f>IF($A183&lt;=L$1,I183/I$4,"")</f>
        <v/>
      </c>
      <c r="M183" s="343"/>
      <c r="N183" s="344"/>
      <c r="O183" s="310">
        <v>0</v>
      </c>
      <c r="P183" s="311">
        <v>0</v>
      </c>
      <c r="Q183" s="311">
        <v>0</v>
      </c>
      <c r="R183" s="211">
        <v>0</v>
      </c>
      <c r="S183" s="212" t="s">
        <v>116</v>
      </c>
      <c r="T183" s="213" t="e">
        <v>#DIV/0!</v>
      </c>
      <c r="U183" s="214" t="s">
        <v>116</v>
      </c>
      <c r="V183" s="215" t="s">
        <v>116</v>
      </c>
      <c r="W183" s="310">
        <v>0</v>
      </c>
      <c r="X183" s="311">
        <v>0</v>
      </c>
      <c r="Y183" s="311">
        <v>0</v>
      </c>
      <c r="Z183" s="211">
        <v>0</v>
      </c>
      <c r="AA183" s="212" t="s">
        <v>116</v>
      </c>
      <c r="AB183" s="213" t="e">
        <v>#DIV/0!</v>
      </c>
      <c r="AC183" s="214" t="s">
        <v>116</v>
      </c>
      <c r="AD183" s="215" t="s">
        <v>116</v>
      </c>
      <c r="AE183" s="342" t="s">
        <v>116</v>
      </c>
      <c r="AF183" s="341" t="s">
        <v>116</v>
      </c>
    </row>
    <row r="184" spans="1:32">
      <c r="A184" s="307">
        <v>4</v>
      </c>
      <c r="B184" s="342"/>
      <c r="C184" s="342" t="s">
        <v>179</v>
      </c>
      <c r="D184" s="340" t="s">
        <v>233</v>
      </c>
      <c r="E184" s="342"/>
      <c r="F184" s="345" t="s">
        <v>170</v>
      </c>
      <c r="G184" s="308">
        <v>1</v>
      </c>
      <c r="H184" s="309">
        <v>5000</v>
      </c>
      <c r="I184" s="309">
        <v>5000</v>
      </c>
      <c r="J184" s="211"/>
      <c r="K184" s="212" t="str">
        <f>IF(OR(J184="",G184=J184),"","*")</f>
        <v/>
      </c>
      <c r="L184" s="338" t="str">
        <f>IF($A184&lt;=L$1,I184/I$4,"")</f>
        <v/>
      </c>
      <c r="M184" s="343"/>
      <c r="N184" s="344"/>
      <c r="O184" s="310">
        <v>0</v>
      </c>
      <c r="P184" s="311">
        <v>0</v>
      </c>
      <c r="Q184" s="311">
        <v>0</v>
      </c>
      <c r="R184" s="211">
        <v>0</v>
      </c>
      <c r="S184" s="212" t="s">
        <v>116</v>
      </c>
      <c r="T184" s="213" t="e">
        <v>#DIV/0!</v>
      </c>
      <c r="U184" s="214" t="s">
        <v>116</v>
      </c>
      <c r="V184" s="215" t="s">
        <v>116</v>
      </c>
      <c r="W184" s="310">
        <v>0</v>
      </c>
      <c r="X184" s="311">
        <v>0</v>
      </c>
      <c r="Y184" s="311">
        <v>0</v>
      </c>
      <c r="Z184" s="211">
        <v>0</v>
      </c>
      <c r="AA184" s="212" t="s">
        <v>116</v>
      </c>
      <c r="AB184" s="213" t="e">
        <v>#DIV/0!</v>
      </c>
      <c r="AC184" s="214" t="s">
        <v>116</v>
      </c>
      <c r="AD184" s="215" t="s">
        <v>116</v>
      </c>
      <c r="AE184" s="342" t="s">
        <v>116</v>
      </c>
      <c r="AF184" s="341" t="s">
        <v>116</v>
      </c>
    </row>
    <row r="185" spans="1:32">
      <c r="A185" s="307">
        <v>4</v>
      </c>
      <c r="B185" s="342"/>
      <c r="C185" s="342" t="s">
        <v>180</v>
      </c>
      <c r="D185" s="340" t="s">
        <v>235</v>
      </c>
      <c r="E185" s="342"/>
      <c r="F185" s="345" t="s">
        <v>230</v>
      </c>
      <c r="G185" s="308">
        <v>2</v>
      </c>
      <c r="H185" s="309">
        <v>8000</v>
      </c>
      <c r="I185" s="309">
        <v>16000</v>
      </c>
      <c r="J185" s="211"/>
      <c r="K185" s="212" t="str">
        <f>IF(OR(J185="",G185=J185),"","*")</f>
        <v/>
      </c>
      <c r="L185" s="338" t="str">
        <f>IF($A185&lt;=L$1,I185/I$4,"")</f>
        <v/>
      </c>
      <c r="M185" s="343"/>
      <c r="N185" s="344"/>
      <c r="O185" s="310">
        <v>0</v>
      </c>
      <c r="P185" s="311">
        <v>0</v>
      </c>
      <c r="Q185" s="311">
        <v>0</v>
      </c>
      <c r="R185" s="211">
        <v>0</v>
      </c>
      <c r="S185" s="212" t="s">
        <v>116</v>
      </c>
      <c r="T185" s="213" t="e">
        <v>#DIV/0!</v>
      </c>
      <c r="U185" s="214" t="s">
        <v>116</v>
      </c>
      <c r="V185" s="215" t="s">
        <v>116</v>
      </c>
      <c r="W185" s="310">
        <v>0</v>
      </c>
      <c r="X185" s="311">
        <v>0</v>
      </c>
      <c r="Y185" s="311">
        <v>0</v>
      </c>
      <c r="Z185" s="211">
        <v>0</v>
      </c>
      <c r="AA185" s="212" t="s">
        <v>116</v>
      </c>
      <c r="AB185" s="213" t="e">
        <v>#DIV/0!</v>
      </c>
      <c r="AC185" s="214" t="s">
        <v>116</v>
      </c>
      <c r="AD185" s="215" t="s">
        <v>116</v>
      </c>
      <c r="AE185" s="342" t="s">
        <v>116</v>
      </c>
      <c r="AF185" s="341" t="s">
        <v>116</v>
      </c>
    </row>
    <row r="186" spans="1:32">
      <c r="A186" s="307">
        <v>4</v>
      </c>
      <c r="B186" s="342"/>
      <c r="C186" s="342" t="s">
        <v>180</v>
      </c>
      <c r="D186" s="340" t="s">
        <v>236</v>
      </c>
      <c r="E186" s="342"/>
      <c r="F186" s="345" t="s">
        <v>230</v>
      </c>
      <c r="G186" s="308">
        <v>2</v>
      </c>
      <c r="H186" s="309">
        <v>6000</v>
      </c>
      <c r="I186" s="309">
        <v>12000</v>
      </c>
      <c r="J186" s="211"/>
      <c r="K186" s="212" t="str">
        <f>IF(OR(J186="",G186=J186),"","*")</f>
        <v/>
      </c>
      <c r="L186" s="338" t="str">
        <f>IF($A186&lt;=L$1,I186/I$4,"")</f>
        <v/>
      </c>
      <c r="M186" s="343"/>
      <c r="N186" s="344"/>
      <c r="O186" s="310">
        <v>0</v>
      </c>
      <c r="P186" s="311">
        <v>0</v>
      </c>
      <c r="Q186" s="311">
        <v>0</v>
      </c>
      <c r="R186" s="211">
        <v>0</v>
      </c>
      <c r="S186" s="212" t="s">
        <v>116</v>
      </c>
      <c r="T186" s="213" t="e">
        <v>#DIV/0!</v>
      </c>
      <c r="U186" s="214" t="s">
        <v>116</v>
      </c>
      <c r="V186" s="215" t="s">
        <v>116</v>
      </c>
      <c r="W186" s="310">
        <v>0</v>
      </c>
      <c r="X186" s="311">
        <v>0</v>
      </c>
      <c r="Y186" s="311">
        <v>0</v>
      </c>
      <c r="Z186" s="211">
        <v>0</v>
      </c>
      <c r="AA186" s="212" t="s">
        <v>116</v>
      </c>
      <c r="AB186" s="213" t="e">
        <v>#DIV/0!</v>
      </c>
      <c r="AC186" s="214" t="s">
        <v>116</v>
      </c>
      <c r="AD186" s="215" t="s">
        <v>116</v>
      </c>
      <c r="AE186" s="342" t="s">
        <v>116</v>
      </c>
      <c r="AF186" s="341" t="s">
        <v>116</v>
      </c>
    </row>
    <row r="187" spans="1:32">
      <c r="A187" s="307">
        <v>4</v>
      </c>
      <c r="B187" s="342"/>
      <c r="C187" s="342" t="s">
        <v>159</v>
      </c>
      <c r="D187" s="340" t="s">
        <v>237</v>
      </c>
      <c r="E187" s="342"/>
      <c r="F187" s="345" t="s">
        <v>238</v>
      </c>
      <c r="G187" s="308">
        <v>80</v>
      </c>
      <c r="H187" s="309">
        <v>170</v>
      </c>
      <c r="I187" s="309">
        <v>13600</v>
      </c>
      <c r="J187" s="211"/>
      <c r="K187" s="212" t="str">
        <f>IF(OR(J187="",G187=J187),"","*")</f>
        <v/>
      </c>
      <c r="L187" s="338" t="str">
        <f>IF($A187&lt;=L$1,I187/I$4,"")</f>
        <v/>
      </c>
      <c r="M187" s="343"/>
      <c r="N187" s="344"/>
      <c r="O187" s="310">
        <v>0</v>
      </c>
      <c r="P187" s="311">
        <v>0</v>
      </c>
      <c r="Q187" s="311">
        <v>0</v>
      </c>
      <c r="R187" s="211">
        <v>0</v>
      </c>
      <c r="S187" s="212" t="s">
        <v>116</v>
      </c>
      <c r="T187" s="213" t="e">
        <v>#DIV/0!</v>
      </c>
      <c r="U187" s="214" t="s">
        <v>116</v>
      </c>
      <c r="V187" s="215" t="s">
        <v>116</v>
      </c>
      <c r="W187" s="310">
        <v>0</v>
      </c>
      <c r="X187" s="311">
        <v>0</v>
      </c>
      <c r="Y187" s="311">
        <v>0</v>
      </c>
      <c r="Z187" s="211">
        <v>0</v>
      </c>
      <c r="AA187" s="212" t="s">
        <v>116</v>
      </c>
      <c r="AB187" s="213" t="e">
        <v>#DIV/0!</v>
      </c>
      <c r="AC187" s="214" t="s">
        <v>116</v>
      </c>
      <c r="AD187" s="215" t="s">
        <v>116</v>
      </c>
      <c r="AE187" s="342" t="s">
        <v>116</v>
      </c>
      <c r="AF187" s="341" t="s">
        <v>116</v>
      </c>
    </row>
    <row r="188" spans="1:32">
      <c r="A188" s="307">
        <v>2</v>
      </c>
      <c r="B188" s="342"/>
      <c r="C188" s="342" t="s">
        <v>219</v>
      </c>
      <c r="D188" s="340" t="s">
        <v>271</v>
      </c>
      <c r="E188" s="342"/>
      <c r="F188" s="345" t="s">
        <v>170</v>
      </c>
      <c r="G188" s="308">
        <v>1</v>
      </c>
      <c r="H188" s="309">
        <v>629600</v>
      </c>
      <c r="I188" s="309">
        <v>629600</v>
      </c>
      <c r="J188" s="211">
        <v>1</v>
      </c>
      <c r="K188" s="212" t="str">
        <f>IF(OR(J188="",G188=J188),"","*")</f>
        <v/>
      </c>
      <c r="L188" s="338">
        <f>IF($A188&lt;=L$1,I188/I$4,"")</f>
        <v>6.1731542308069418E-2</v>
      </c>
      <c r="M188" s="343"/>
      <c r="N188" s="344" t="s">
        <v>272</v>
      </c>
      <c r="O188" s="310">
        <v>0</v>
      </c>
      <c r="P188" s="311">
        <v>0</v>
      </c>
      <c r="Q188" s="311">
        <v>0</v>
      </c>
      <c r="R188" s="211">
        <v>0</v>
      </c>
      <c r="S188" s="212" t="s">
        <v>116</v>
      </c>
      <c r="T188" s="213" t="e">
        <v>#DIV/0!</v>
      </c>
      <c r="U188" s="214" t="s">
        <v>116</v>
      </c>
      <c r="V188" s="215" t="s">
        <v>116</v>
      </c>
      <c r="W188" s="310">
        <v>0</v>
      </c>
      <c r="X188" s="311">
        <v>0</v>
      </c>
      <c r="Y188" s="311">
        <v>0</v>
      </c>
      <c r="Z188" s="211">
        <v>0</v>
      </c>
      <c r="AA188" s="212" t="s">
        <v>116</v>
      </c>
      <c r="AB188" s="213" t="e">
        <v>#DIV/0!</v>
      </c>
      <c r="AC188" s="214" t="s">
        <v>116</v>
      </c>
      <c r="AD188" s="215" t="s">
        <v>116</v>
      </c>
      <c r="AE188" s="342" t="s">
        <v>116</v>
      </c>
      <c r="AF188" s="341" t="s">
        <v>116</v>
      </c>
    </row>
    <row r="189" spans="1:32">
      <c r="A189" s="307">
        <v>3</v>
      </c>
      <c r="B189" s="342"/>
      <c r="C189" s="342" t="s">
        <v>222</v>
      </c>
      <c r="D189" s="340" t="s">
        <v>249</v>
      </c>
      <c r="E189" s="342"/>
      <c r="F189" s="345" t="s">
        <v>170</v>
      </c>
      <c r="G189" s="308">
        <v>1</v>
      </c>
      <c r="H189" s="309">
        <v>451200</v>
      </c>
      <c r="I189" s="309">
        <v>451200</v>
      </c>
      <c r="J189" s="211">
        <v>1</v>
      </c>
      <c r="K189" s="212" t="str">
        <f>IF(OR(J189="",G189=J189),"","*")</f>
        <v/>
      </c>
      <c r="L189" s="338">
        <f>IF($A189&lt;=L$1,I189/I$4,"")</f>
        <v>4.423963133640553E-2</v>
      </c>
      <c r="M189" s="343"/>
      <c r="N189" s="344" t="s">
        <v>273</v>
      </c>
      <c r="O189" s="310">
        <v>0</v>
      </c>
      <c r="P189" s="311">
        <v>0</v>
      </c>
      <c r="Q189" s="311">
        <v>0</v>
      </c>
      <c r="R189" s="211">
        <v>0</v>
      </c>
      <c r="S189" s="212" t="s">
        <v>116</v>
      </c>
      <c r="T189" s="213" t="e">
        <v>#DIV/0!</v>
      </c>
      <c r="U189" s="214" t="s">
        <v>116</v>
      </c>
      <c r="V189" s="215" t="s">
        <v>116</v>
      </c>
      <c r="W189" s="310">
        <v>0</v>
      </c>
      <c r="X189" s="311">
        <v>0</v>
      </c>
      <c r="Y189" s="311">
        <v>0</v>
      </c>
      <c r="Z189" s="211">
        <v>0</v>
      </c>
      <c r="AA189" s="212" t="s">
        <v>116</v>
      </c>
      <c r="AB189" s="213" t="e">
        <v>#DIV/0!</v>
      </c>
      <c r="AC189" s="214" t="s">
        <v>116</v>
      </c>
      <c r="AD189" s="215" t="s">
        <v>116</v>
      </c>
      <c r="AE189" s="342" t="s">
        <v>116</v>
      </c>
      <c r="AF189" s="341" t="s">
        <v>116</v>
      </c>
    </row>
    <row r="190" spans="1:32">
      <c r="A190" s="307">
        <v>4</v>
      </c>
      <c r="B190" s="342"/>
      <c r="C190" s="342" t="s">
        <v>159</v>
      </c>
      <c r="D190" s="340" t="s">
        <v>225</v>
      </c>
      <c r="E190" s="342"/>
      <c r="F190" s="345" t="s">
        <v>170</v>
      </c>
      <c r="G190" s="308">
        <v>1</v>
      </c>
      <c r="H190" s="309">
        <v>5000</v>
      </c>
      <c r="I190" s="309">
        <v>5000</v>
      </c>
      <c r="J190" s="211"/>
      <c r="K190" s="212" t="str">
        <f>IF(OR(J190="",G190=J190),"","*")</f>
        <v/>
      </c>
      <c r="L190" s="338" t="str">
        <f>IF($A190&lt;=L$1,I190/I$4,"")</f>
        <v/>
      </c>
      <c r="M190" s="343"/>
      <c r="N190" s="344"/>
      <c r="O190" s="310">
        <v>0</v>
      </c>
      <c r="P190" s="311">
        <v>0</v>
      </c>
      <c r="Q190" s="311">
        <v>0</v>
      </c>
      <c r="R190" s="211">
        <v>0</v>
      </c>
      <c r="S190" s="212" t="s">
        <v>116</v>
      </c>
      <c r="T190" s="213" t="e">
        <v>#DIV/0!</v>
      </c>
      <c r="U190" s="214" t="s">
        <v>116</v>
      </c>
      <c r="V190" s="215" t="s">
        <v>116</v>
      </c>
      <c r="W190" s="310">
        <v>0</v>
      </c>
      <c r="X190" s="311">
        <v>0</v>
      </c>
      <c r="Y190" s="311">
        <v>0</v>
      </c>
      <c r="Z190" s="211">
        <v>0</v>
      </c>
      <c r="AA190" s="212" t="s">
        <v>116</v>
      </c>
      <c r="AB190" s="213" t="e">
        <v>#DIV/0!</v>
      </c>
      <c r="AC190" s="214" t="s">
        <v>116</v>
      </c>
      <c r="AD190" s="215" t="s">
        <v>116</v>
      </c>
      <c r="AE190" s="342" t="s">
        <v>116</v>
      </c>
      <c r="AF190" s="341" t="s">
        <v>116</v>
      </c>
    </row>
    <row r="191" spans="1:32">
      <c r="A191" s="307">
        <v>4</v>
      </c>
      <c r="B191" s="342"/>
      <c r="C191" s="342" t="s">
        <v>177</v>
      </c>
      <c r="D191" s="340" t="s">
        <v>226</v>
      </c>
      <c r="E191" s="342"/>
      <c r="F191" s="345" t="s">
        <v>227</v>
      </c>
      <c r="G191" s="308">
        <v>8</v>
      </c>
      <c r="H191" s="309">
        <v>20000</v>
      </c>
      <c r="I191" s="309">
        <v>160000</v>
      </c>
      <c r="J191" s="211"/>
      <c r="K191" s="212" t="str">
        <f>IF(OR(J191="",G191=J191),"","*")</f>
        <v/>
      </c>
      <c r="L191" s="338" t="str">
        <f>IF($A191&lt;=L$1,I191/I$4,"")</f>
        <v/>
      </c>
      <c r="M191" s="343"/>
      <c r="N191" s="344"/>
      <c r="O191" s="310">
        <v>0</v>
      </c>
      <c r="P191" s="311">
        <v>0</v>
      </c>
      <c r="Q191" s="311">
        <v>0</v>
      </c>
      <c r="R191" s="211">
        <v>0</v>
      </c>
      <c r="S191" s="212" t="s">
        <v>116</v>
      </c>
      <c r="T191" s="213" t="e">
        <v>#DIV/0!</v>
      </c>
      <c r="U191" s="214" t="s">
        <v>116</v>
      </c>
      <c r="V191" s="215" t="s">
        <v>116</v>
      </c>
      <c r="W191" s="310">
        <v>0</v>
      </c>
      <c r="X191" s="311">
        <v>0</v>
      </c>
      <c r="Y191" s="311">
        <v>0</v>
      </c>
      <c r="Z191" s="211">
        <v>0</v>
      </c>
      <c r="AA191" s="212" t="s">
        <v>116</v>
      </c>
      <c r="AB191" s="213" t="e">
        <v>#DIV/0!</v>
      </c>
      <c r="AC191" s="214" t="s">
        <v>116</v>
      </c>
      <c r="AD191" s="215" t="s">
        <v>116</v>
      </c>
      <c r="AE191" s="342" t="s">
        <v>116</v>
      </c>
      <c r="AF191" s="341" t="s">
        <v>116</v>
      </c>
    </row>
    <row r="192" spans="1:32">
      <c r="A192" s="307">
        <v>4</v>
      </c>
      <c r="B192" s="342"/>
      <c r="C192" s="342" t="s">
        <v>182</v>
      </c>
      <c r="D192" s="340" t="s">
        <v>228</v>
      </c>
      <c r="E192" s="342"/>
      <c r="F192" s="345" t="s">
        <v>227</v>
      </c>
      <c r="G192" s="308">
        <v>8</v>
      </c>
      <c r="H192" s="309">
        <v>3200</v>
      </c>
      <c r="I192" s="309">
        <v>25600</v>
      </c>
      <c r="J192" s="211"/>
      <c r="K192" s="212" t="str">
        <f>IF(OR(J192="",G192=J192),"","*")</f>
        <v/>
      </c>
      <c r="L192" s="338" t="str">
        <f>IF($A192&lt;=L$1,I192/I$4,"")</f>
        <v/>
      </c>
      <c r="M192" s="343"/>
      <c r="N192" s="344"/>
      <c r="O192" s="310">
        <v>0</v>
      </c>
      <c r="P192" s="311">
        <v>0</v>
      </c>
      <c r="Q192" s="311">
        <v>0</v>
      </c>
      <c r="R192" s="211">
        <v>0</v>
      </c>
      <c r="S192" s="212" t="s">
        <v>116</v>
      </c>
      <c r="T192" s="213" t="e">
        <v>#DIV/0!</v>
      </c>
      <c r="U192" s="214" t="s">
        <v>116</v>
      </c>
      <c r="V192" s="215" t="s">
        <v>116</v>
      </c>
      <c r="W192" s="310">
        <v>0</v>
      </c>
      <c r="X192" s="311">
        <v>0</v>
      </c>
      <c r="Y192" s="311">
        <v>0</v>
      </c>
      <c r="Z192" s="211">
        <v>0</v>
      </c>
      <c r="AA192" s="212" t="s">
        <v>116</v>
      </c>
      <c r="AB192" s="213" t="e">
        <v>#DIV/0!</v>
      </c>
      <c r="AC192" s="214" t="s">
        <v>116</v>
      </c>
      <c r="AD192" s="215" t="s">
        <v>116</v>
      </c>
      <c r="AE192" s="342" t="s">
        <v>116</v>
      </c>
      <c r="AF192" s="341" t="s">
        <v>116</v>
      </c>
    </row>
    <row r="193" spans="1:32">
      <c r="A193" s="307">
        <v>4</v>
      </c>
      <c r="B193" s="342"/>
      <c r="C193" s="342" t="s">
        <v>179</v>
      </c>
      <c r="D193" s="340" t="s">
        <v>251</v>
      </c>
      <c r="E193" s="342"/>
      <c r="F193" s="345" t="s">
        <v>230</v>
      </c>
      <c r="G193" s="308">
        <v>1</v>
      </c>
      <c r="H193" s="309">
        <v>50000</v>
      </c>
      <c r="I193" s="309">
        <v>50000</v>
      </c>
      <c r="J193" s="211"/>
      <c r="K193" s="212" t="str">
        <f>IF(OR(J193="",G193=J193),"","*")</f>
        <v/>
      </c>
      <c r="L193" s="338" t="str">
        <f>IF($A193&lt;=L$1,I193/I$4,"")</f>
        <v/>
      </c>
      <c r="M193" s="343"/>
      <c r="N193" s="344"/>
      <c r="O193" s="310">
        <v>0</v>
      </c>
      <c r="P193" s="311">
        <v>0</v>
      </c>
      <c r="Q193" s="311">
        <v>0</v>
      </c>
      <c r="R193" s="211">
        <v>0</v>
      </c>
      <c r="S193" s="212" t="s">
        <v>116</v>
      </c>
      <c r="T193" s="213" t="e">
        <v>#DIV/0!</v>
      </c>
      <c r="U193" s="214" t="s">
        <v>116</v>
      </c>
      <c r="V193" s="215" t="s">
        <v>116</v>
      </c>
      <c r="W193" s="310">
        <v>0</v>
      </c>
      <c r="X193" s="311">
        <v>0</v>
      </c>
      <c r="Y193" s="311">
        <v>0</v>
      </c>
      <c r="Z193" s="211">
        <v>0</v>
      </c>
      <c r="AA193" s="212" t="s">
        <v>116</v>
      </c>
      <c r="AB193" s="213" t="e">
        <v>#DIV/0!</v>
      </c>
      <c r="AC193" s="214" t="s">
        <v>116</v>
      </c>
      <c r="AD193" s="215" t="s">
        <v>116</v>
      </c>
      <c r="AE193" s="342" t="s">
        <v>116</v>
      </c>
      <c r="AF193" s="341" t="s">
        <v>116</v>
      </c>
    </row>
    <row r="194" spans="1:32">
      <c r="A194" s="307">
        <v>4</v>
      </c>
      <c r="B194" s="342"/>
      <c r="C194" s="342" t="s">
        <v>179</v>
      </c>
      <c r="D194" s="340" t="s">
        <v>229</v>
      </c>
      <c r="E194" s="342"/>
      <c r="F194" s="345" t="s">
        <v>230</v>
      </c>
      <c r="G194" s="308">
        <v>1</v>
      </c>
      <c r="H194" s="309">
        <v>12000</v>
      </c>
      <c r="I194" s="309">
        <v>12000</v>
      </c>
      <c r="J194" s="211"/>
      <c r="K194" s="212" t="str">
        <f>IF(OR(J194="",G194=J194),"","*")</f>
        <v/>
      </c>
      <c r="L194" s="338" t="str">
        <f>IF($A194&lt;=L$1,I194/I$4,"")</f>
        <v/>
      </c>
      <c r="M194" s="343"/>
      <c r="N194" s="344"/>
      <c r="O194" s="310">
        <v>0</v>
      </c>
      <c r="P194" s="311">
        <v>0</v>
      </c>
      <c r="Q194" s="311">
        <v>0</v>
      </c>
      <c r="R194" s="211">
        <v>0</v>
      </c>
      <c r="S194" s="212" t="s">
        <v>116</v>
      </c>
      <c r="T194" s="213" t="e">
        <v>#DIV/0!</v>
      </c>
      <c r="U194" s="214" t="s">
        <v>116</v>
      </c>
      <c r="V194" s="215" t="s">
        <v>116</v>
      </c>
      <c r="W194" s="310">
        <v>0</v>
      </c>
      <c r="X194" s="311">
        <v>0</v>
      </c>
      <c r="Y194" s="311">
        <v>0</v>
      </c>
      <c r="Z194" s="211">
        <v>0</v>
      </c>
      <c r="AA194" s="212" t="s">
        <v>116</v>
      </c>
      <c r="AB194" s="213" t="e">
        <v>#DIV/0!</v>
      </c>
      <c r="AC194" s="214" t="s">
        <v>116</v>
      </c>
      <c r="AD194" s="215" t="s">
        <v>116</v>
      </c>
      <c r="AE194" s="342" t="s">
        <v>116</v>
      </c>
      <c r="AF194" s="341" t="s">
        <v>116</v>
      </c>
    </row>
    <row r="195" spans="1:32">
      <c r="A195" s="307">
        <v>4</v>
      </c>
      <c r="B195" s="342"/>
      <c r="C195" s="342" t="s">
        <v>179</v>
      </c>
      <c r="D195" s="340" t="s">
        <v>231</v>
      </c>
      <c r="E195" s="342"/>
      <c r="F195" s="345" t="s">
        <v>230</v>
      </c>
      <c r="G195" s="308">
        <v>1</v>
      </c>
      <c r="H195" s="309">
        <v>8000</v>
      </c>
      <c r="I195" s="309">
        <v>8000</v>
      </c>
      <c r="J195" s="211"/>
      <c r="K195" s="212" t="str">
        <f>IF(OR(J195="",G195=J195),"","*")</f>
        <v/>
      </c>
      <c r="L195" s="338" t="str">
        <f>IF($A195&lt;=L$1,I195/I$4,"")</f>
        <v/>
      </c>
      <c r="M195" s="343"/>
      <c r="N195" s="344"/>
      <c r="O195" s="310">
        <v>0</v>
      </c>
      <c r="P195" s="311">
        <v>0</v>
      </c>
      <c r="Q195" s="311">
        <v>0</v>
      </c>
      <c r="R195" s="211">
        <v>0</v>
      </c>
      <c r="S195" s="212" t="s">
        <v>116</v>
      </c>
      <c r="T195" s="213" t="e">
        <v>#DIV/0!</v>
      </c>
      <c r="U195" s="214" t="s">
        <v>116</v>
      </c>
      <c r="V195" s="215" t="s">
        <v>116</v>
      </c>
      <c r="W195" s="310">
        <v>0</v>
      </c>
      <c r="X195" s="311">
        <v>0</v>
      </c>
      <c r="Y195" s="311">
        <v>0</v>
      </c>
      <c r="Z195" s="211">
        <v>0</v>
      </c>
      <c r="AA195" s="212" t="s">
        <v>116</v>
      </c>
      <c r="AB195" s="213" t="e">
        <v>#DIV/0!</v>
      </c>
      <c r="AC195" s="214" t="s">
        <v>116</v>
      </c>
      <c r="AD195" s="215" t="s">
        <v>116</v>
      </c>
      <c r="AE195" s="342" t="s">
        <v>116</v>
      </c>
      <c r="AF195" s="341" t="s">
        <v>116</v>
      </c>
    </row>
    <row r="196" spans="1:32">
      <c r="A196" s="307">
        <v>4</v>
      </c>
      <c r="B196" s="342"/>
      <c r="C196" s="342" t="s">
        <v>179</v>
      </c>
      <c r="D196" s="340" t="s">
        <v>232</v>
      </c>
      <c r="E196" s="342"/>
      <c r="F196" s="345" t="s">
        <v>230</v>
      </c>
      <c r="G196" s="308">
        <v>1</v>
      </c>
      <c r="H196" s="309">
        <v>6000</v>
      </c>
      <c r="I196" s="309">
        <v>6000</v>
      </c>
      <c r="J196" s="211"/>
      <c r="K196" s="212" t="str">
        <f>IF(OR(J196="",G196=J196),"","*")</f>
        <v/>
      </c>
      <c r="L196" s="338" t="str">
        <f>IF($A196&lt;=L$1,I196/I$4,"")</f>
        <v/>
      </c>
      <c r="M196" s="343"/>
      <c r="N196" s="344"/>
      <c r="O196" s="310">
        <v>0</v>
      </c>
      <c r="P196" s="311">
        <v>0</v>
      </c>
      <c r="Q196" s="311">
        <v>0</v>
      </c>
      <c r="R196" s="211">
        <v>0</v>
      </c>
      <c r="S196" s="212" t="s">
        <v>116</v>
      </c>
      <c r="T196" s="213" t="e">
        <v>#DIV/0!</v>
      </c>
      <c r="U196" s="214" t="s">
        <v>116</v>
      </c>
      <c r="V196" s="215" t="s">
        <v>116</v>
      </c>
      <c r="W196" s="310">
        <v>0</v>
      </c>
      <c r="X196" s="311">
        <v>0</v>
      </c>
      <c r="Y196" s="311">
        <v>0</v>
      </c>
      <c r="Z196" s="211">
        <v>0</v>
      </c>
      <c r="AA196" s="212" t="s">
        <v>116</v>
      </c>
      <c r="AB196" s="213" t="e">
        <v>#DIV/0!</v>
      </c>
      <c r="AC196" s="214" t="s">
        <v>116</v>
      </c>
      <c r="AD196" s="215" t="s">
        <v>116</v>
      </c>
      <c r="AE196" s="342" t="s">
        <v>116</v>
      </c>
      <c r="AF196" s="341" t="s">
        <v>116</v>
      </c>
    </row>
    <row r="197" spans="1:32">
      <c r="A197" s="307">
        <v>4</v>
      </c>
      <c r="B197" s="342"/>
      <c r="C197" s="342" t="s">
        <v>179</v>
      </c>
      <c r="D197" s="340" t="s">
        <v>233</v>
      </c>
      <c r="E197" s="342"/>
      <c r="F197" s="345" t="s">
        <v>170</v>
      </c>
      <c r="G197" s="308">
        <v>1</v>
      </c>
      <c r="H197" s="309">
        <v>5000</v>
      </c>
      <c r="I197" s="309">
        <v>5000</v>
      </c>
      <c r="J197" s="211"/>
      <c r="K197" s="212" t="str">
        <f>IF(OR(J197="",G197=J197),"","*")</f>
        <v/>
      </c>
      <c r="L197" s="338" t="str">
        <f>IF($A197&lt;=L$1,I197/I$4,"")</f>
        <v/>
      </c>
      <c r="M197" s="343"/>
      <c r="N197" s="344"/>
      <c r="O197" s="310">
        <v>0</v>
      </c>
      <c r="P197" s="311">
        <v>0</v>
      </c>
      <c r="Q197" s="311">
        <v>0</v>
      </c>
      <c r="R197" s="211">
        <v>0</v>
      </c>
      <c r="S197" s="212" t="s">
        <v>116</v>
      </c>
      <c r="T197" s="213" t="e">
        <v>#DIV/0!</v>
      </c>
      <c r="U197" s="214" t="s">
        <v>116</v>
      </c>
      <c r="V197" s="215" t="s">
        <v>116</v>
      </c>
      <c r="W197" s="310">
        <v>0</v>
      </c>
      <c r="X197" s="311">
        <v>0</v>
      </c>
      <c r="Y197" s="311">
        <v>0</v>
      </c>
      <c r="Z197" s="211">
        <v>0</v>
      </c>
      <c r="AA197" s="212" t="s">
        <v>116</v>
      </c>
      <c r="AB197" s="213" t="e">
        <v>#DIV/0!</v>
      </c>
      <c r="AC197" s="214" t="s">
        <v>116</v>
      </c>
      <c r="AD197" s="215" t="s">
        <v>116</v>
      </c>
      <c r="AE197" s="342" t="s">
        <v>116</v>
      </c>
      <c r="AF197" s="341" t="s">
        <v>116</v>
      </c>
    </row>
    <row r="198" spans="1:32">
      <c r="A198" s="307">
        <v>4</v>
      </c>
      <c r="B198" s="342"/>
      <c r="C198" s="342" t="s">
        <v>180</v>
      </c>
      <c r="D198" s="340" t="s">
        <v>235</v>
      </c>
      <c r="E198" s="342"/>
      <c r="F198" s="345" t="s">
        <v>230</v>
      </c>
      <c r="G198" s="308">
        <v>2</v>
      </c>
      <c r="H198" s="309">
        <v>8000</v>
      </c>
      <c r="I198" s="309">
        <v>16000</v>
      </c>
      <c r="J198" s="211"/>
      <c r="K198" s="212" t="str">
        <f>IF(OR(J198="",G198=J198),"","*")</f>
        <v/>
      </c>
      <c r="L198" s="338" t="str">
        <f>IF($A198&lt;=L$1,I198/I$4,"")</f>
        <v/>
      </c>
      <c r="M198" s="343"/>
      <c r="N198" s="344"/>
      <c r="O198" s="310">
        <v>0</v>
      </c>
      <c r="P198" s="311">
        <v>0</v>
      </c>
      <c r="Q198" s="311">
        <v>0</v>
      </c>
      <c r="R198" s="211">
        <v>0</v>
      </c>
      <c r="S198" s="212" t="s">
        <v>116</v>
      </c>
      <c r="T198" s="213" t="e">
        <v>#DIV/0!</v>
      </c>
      <c r="U198" s="214" t="s">
        <v>116</v>
      </c>
      <c r="V198" s="215" t="s">
        <v>116</v>
      </c>
      <c r="W198" s="310">
        <v>0</v>
      </c>
      <c r="X198" s="311">
        <v>0</v>
      </c>
      <c r="Y198" s="311">
        <v>0</v>
      </c>
      <c r="Z198" s="211">
        <v>0</v>
      </c>
      <c r="AA198" s="212" t="s">
        <v>116</v>
      </c>
      <c r="AB198" s="213" t="e">
        <v>#DIV/0!</v>
      </c>
      <c r="AC198" s="214" t="s">
        <v>116</v>
      </c>
      <c r="AD198" s="215" t="s">
        <v>116</v>
      </c>
      <c r="AE198" s="342" t="s">
        <v>116</v>
      </c>
      <c r="AF198" s="341" t="s">
        <v>116</v>
      </c>
    </row>
    <row r="199" spans="1:32">
      <c r="A199" s="307">
        <v>4</v>
      </c>
      <c r="B199" s="342"/>
      <c r="C199" s="342" t="s">
        <v>180</v>
      </c>
      <c r="D199" s="340" t="s">
        <v>236</v>
      </c>
      <c r="E199" s="342"/>
      <c r="F199" s="345" t="s">
        <v>230</v>
      </c>
      <c r="G199" s="308">
        <v>2</v>
      </c>
      <c r="H199" s="309">
        <v>6000</v>
      </c>
      <c r="I199" s="309">
        <v>12000</v>
      </c>
      <c r="J199" s="211"/>
      <c r="K199" s="212" t="str">
        <f>IF(OR(J199="",G199=J199),"","*")</f>
        <v/>
      </c>
      <c r="L199" s="338" t="str">
        <f>IF($A199&lt;=L$1,I199/I$4,"")</f>
        <v/>
      </c>
      <c r="M199" s="343"/>
      <c r="N199" s="344"/>
      <c r="O199" s="310">
        <v>0</v>
      </c>
      <c r="P199" s="311">
        <v>0</v>
      </c>
      <c r="Q199" s="311">
        <v>0</v>
      </c>
      <c r="R199" s="211">
        <v>0</v>
      </c>
      <c r="S199" s="212" t="s">
        <v>116</v>
      </c>
      <c r="T199" s="213" t="e">
        <v>#DIV/0!</v>
      </c>
      <c r="U199" s="214" t="s">
        <v>116</v>
      </c>
      <c r="V199" s="215" t="s">
        <v>116</v>
      </c>
      <c r="W199" s="310">
        <v>0</v>
      </c>
      <c r="X199" s="311">
        <v>0</v>
      </c>
      <c r="Y199" s="311">
        <v>0</v>
      </c>
      <c r="Z199" s="211">
        <v>0</v>
      </c>
      <c r="AA199" s="212" t="s">
        <v>116</v>
      </c>
      <c r="AB199" s="213" t="e">
        <v>#DIV/0!</v>
      </c>
      <c r="AC199" s="214" t="s">
        <v>116</v>
      </c>
      <c r="AD199" s="215" t="s">
        <v>116</v>
      </c>
      <c r="AE199" s="342" t="s">
        <v>116</v>
      </c>
      <c r="AF199" s="341" t="s">
        <v>116</v>
      </c>
    </row>
    <row r="200" spans="1:32">
      <c r="A200" s="307">
        <v>4</v>
      </c>
      <c r="B200" s="342"/>
      <c r="C200" s="342" t="s">
        <v>159</v>
      </c>
      <c r="D200" s="340" t="s">
        <v>237</v>
      </c>
      <c r="E200" s="342"/>
      <c r="F200" s="345" t="s">
        <v>238</v>
      </c>
      <c r="G200" s="308">
        <v>100</v>
      </c>
      <c r="H200" s="309">
        <v>170</v>
      </c>
      <c r="I200" s="309">
        <v>17000</v>
      </c>
      <c r="J200" s="211"/>
      <c r="K200" s="212" t="str">
        <f>IF(OR(J200="",G200=J200),"","*")</f>
        <v/>
      </c>
      <c r="L200" s="338" t="str">
        <f>IF($A200&lt;=L$1,I200/I$4,"")</f>
        <v/>
      </c>
      <c r="M200" s="343"/>
      <c r="N200" s="344"/>
      <c r="O200" s="310">
        <v>0</v>
      </c>
      <c r="P200" s="311">
        <v>0</v>
      </c>
      <c r="Q200" s="311">
        <v>0</v>
      </c>
      <c r="R200" s="211">
        <v>0</v>
      </c>
      <c r="S200" s="212" t="s">
        <v>116</v>
      </c>
      <c r="T200" s="213" t="e">
        <v>#DIV/0!</v>
      </c>
      <c r="U200" s="214" t="s">
        <v>116</v>
      </c>
      <c r="V200" s="215" t="s">
        <v>116</v>
      </c>
      <c r="W200" s="310">
        <v>0</v>
      </c>
      <c r="X200" s="311">
        <v>0</v>
      </c>
      <c r="Y200" s="311">
        <v>0</v>
      </c>
      <c r="Z200" s="211">
        <v>0</v>
      </c>
      <c r="AA200" s="212" t="s">
        <v>116</v>
      </c>
      <c r="AB200" s="213" t="e">
        <v>#DIV/0!</v>
      </c>
      <c r="AC200" s="214" t="s">
        <v>116</v>
      </c>
      <c r="AD200" s="215" t="s">
        <v>116</v>
      </c>
      <c r="AE200" s="342" t="s">
        <v>116</v>
      </c>
      <c r="AF200" s="341" t="s">
        <v>116</v>
      </c>
    </row>
    <row r="201" spans="1:32">
      <c r="A201" s="307">
        <v>4</v>
      </c>
      <c r="B201" s="342"/>
      <c r="C201" s="342" t="s">
        <v>180</v>
      </c>
      <c r="D201" s="340" t="s">
        <v>240</v>
      </c>
      <c r="E201" s="342"/>
      <c r="F201" s="345" t="s">
        <v>241</v>
      </c>
      <c r="G201" s="308">
        <v>4</v>
      </c>
      <c r="H201" s="309">
        <v>800</v>
      </c>
      <c r="I201" s="309">
        <v>3200</v>
      </c>
      <c r="J201" s="211"/>
      <c r="K201" s="212" t="str">
        <f>IF(OR(J201="",G201=J201),"","*")</f>
        <v/>
      </c>
      <c r="L201" s="338" t="str">
        <f>IF($A201&lt;=L$1,I201/I$4,"")</f>
        <v/>
      </c>
      <c r="M201" s="343"/>
      <c r="N201" s="344"/>
      <c r="O201" s="310">
        <v>0</v>
      </c>
      <c r="P201" s="311">
        <v>0</v>
      </c>
      <c r="Q201" s="311">
        <v>0</v>
      </c>
      <c r="R201" s="211">
        <v>0</v>
      </c>
      <c r="S201" s="212" t="s">
        <v>116</v>
      </c>
      <c r="T201" s="213" t="e">
        <v>#DIV/0!</v>
      </c>
      <c r="U201" s="214" t="s">
        <v>116</v>
      </c>
      <c r="V201" s="215" t="s">
        <v>116</v>
      </c>
      <c r="W201" s="310">
        <v>0</v>
      </c>
      <c r="X201" s="311">
        <v>0</v>
      </c>
      <c r="Y201" s="311">
        <v>0</v>
      </c>
      <c r="Z201" s="211">
        <v>0</v>
      </c>
      <c r="AA201" s="212" t="s">
        <v>116</v>
      </c>
      <c r="AB201" s="213" t="e">
        <v>#DIV/0!</v>
      </c>
      <c r="AC201" s="214" t="s">
        <v>116</v>
      </c>
      <c r="AD201" s="215" t="s">
        <v>116</v>
      </c>
      <c r="AE201" s="342" t="s">
        <v>116</v>
      </c>
      <c r="AF201" s="341" t="s">
        <v>116</v>
      </c>
    </row>
    <row r="202" spans="1:32">
      <c r="A202" s="307">
        <v>4</v>
      </c>
      <c r="B202" s="342"/>
      <c r="C202" s="342" t="s">
        <v>159</v>
      </c>
      <c r="D202" s="340" t="s">
        <v>246</v>
      </c>
      <c r="E202" s="342"/>
      <c r="F202" s="345" t="s">
        <v>241</v>
      </c>
      <c r="G202" s="308">
        <v>4</v>
      </c>
      <c r="H202" s="309">
        <v>1000</v>
      </c>
      <c r="I202" s="309">
        <v>4000</v>
      </c>
      <c r="J202" s="211"/>
      <c r="K202" s="212" t="str">
        <f>IF(OR(J202="",G202=J202),"","*")</f>
        <v/>
      </c>
      <c r="L202" s="338" t="str">
        <f>IF($A202&lt;=L$1,I202/I$4,"")</f>
        <v/>
      </c>
      <c r="M202" s="343"/>
      <c r="N202" s="344"/>
      <c r="O202" s="310">
        <v>0</v>
      </c>
      <c r="P202" s="311">
        <v>0</v>
      </c>
      <c r="Q202" s="311">
        <v>0</v>
      </c>
      <c r="R202" s="211">
        <v>0</v>
      </c>
      <c r="S202" s="212" t="s">
        <v>116</v>
      </c>
      <c r="T202" s="213" t="e">
        <v>#DIV/0!</v>
      </c>
      <c r="U202" s="214" t="s">
        <v>116</v>
      </c>
      <c r="V202" s="215" t="s">
        <v>116</v>
      </c>
      <c r="W202" s="310">
        <v>0</v>
      </c>
      <c r="X202" s="311">
        <v>0</v>
      </c>
      <c r="Y202" s="311">
        <v>0</v>
      </c>
      <c r="Z202" s="211">
        <v>0</v>
      </c>
      <c r="AA202" s="212" t="s">
        <v>116</v>
      </c>
      <c r="AB202" s="213" t="e">
        <v>#DIV/0!</v>
      </c>
      <c r="AC202" s="214" t="s">
        <v>116</v>
      </c>
      <c r="AD202" s="215" t="s">
        <v>116</v>
      </c>
      <c r="AE202" s="342" t="s">
        <v>116</v>
      </c>
      <c r="AF202" s="341" t="s">
        <v>116</v>
      </c>
    </row>
    <row r="203" spans="1:32">
      <c r="A203" s="307">
        <v>4</v>
      </c>
      <c r="B203" s="342"/>
      <c r="C203" s="342" t="s">
        <v>159</v>
      </c>
      <c r="D203" s="340" t="s">
        <v>247</v>
      </c>
      <c r="E203" s="342"/>
      <c r="F203" s="345" t="s">
        <v>248</v>
      </c>
      <c r="G203" s="308">
        <v>40</v>
      </c>
      <c r="H203" s="309">
        <v>800</v>
      </c>
      <c r="I203" s="309">
        <v>32000</v>
      </c>
      <c r="J203" s="211"/>
      <c r="K203" s="212" t="str">
        <f>IF(OR(J203="",G203=J203),"","*")</f>
        <v/>
      </c>
      <c r="L203" s="338" t="str">
        <f>IF($A203&lt;=L$1,I203/I$4,"")</f>
        <v/>
      </c>
      <c r="M203" s="343"/>
      <c r="N203" s="344"/>
      <c r="O203" s="310">
        <v>0</v>
      </c>
      <c r="P203" s="311">
        <v>0</v>
      </c>
      <c r="Q203" s="311">
        <v>0</v>
      </c>
      <c r="R203" s="211">
        <v>0</v>
      </c>
      <c r="S203" s="212" t="s">
        <v>116</v>
      </c>
      <c r="T203" s="213" t="e">
        <v>#DIV/0!</v>
      </c>
      <c r="U203" s="214" t="s">
        <v>116</v>
      </c>
      <c r="V203" s="215" t="s">
        <v>116</v>
      </c>
      <c r="W203" s="310">
        <v>0</v>
      </c>
      <c r="X203" s="311">
        <v>0</v>
      </c>
      <c r="Y203" s="311">
        <v>0</v>
      </c>
      <c r="Z203" s="211">
        <v>0</v>
      </c>
      <c r="AA203" s="212" t="s">
        <v>116</v>
      </c>
      <c r="AB203" s="213" t="e">
        <v>#DIV/0!</v>
      </c>
      <c r="AC203" s="214" t="s">
        <v>116</v>
      </c>
      <c r="AD203" s="215" t="s">
        <v>116</v>
      </c>
      <c r="AE203" s="342" t="s">
        <v>116</v>
      </c>
      <c r="AF203" s="341" t="s">
        <v>116</v>
      </c>
    </row>
    <row r="204" spans="1:32">
      <c r="A204" s="307">
        <v>4</v>
      </c>
      <c r="B204" s="342"/>
      <c r="C204" s="342" t="s">
        <v>159</v>
      </c>
      <c r="D204" s="340" t="s">
        <v>252</v>
      </c>
      <c r="E204" s="342"/>
      <c r="F204" s="345" t="s">
        <v>241</v>
      </c>
      <c r="G204" s="308">
        <v>6</v>
      </c>
      <c r="H204" s="309">
        <v>15900</v>
      </c>
      <c r="I204" s="309">
        <v>95400</v>
      </c>
      <c r="J204" s="211"/>
      <c r="K204" s="212" t="str">
        <f>IF(OR(J204="",G204=J204),"","*")</f>
        <v/>
      </c>
      <c r="L204" s="338" t="str">
        <f>IF($A204&lt;=L$1,I204/I$4,"")</f>
        <v/>
      </c>
      <c r="M204" s="343"/>
      <c r="N204" s="344"/>
      <c r="O204" s="310">
        <v>0</v>
      </c>
      <c r="P204" s="311">
        <v>0</v>
      </c>
      <c r="Q204" s="311">
        <v>0</v>
      </c>
      <c r="R204" s="211">
        <v>0</v>
      </c>
      <c r="S204" s="212" t="s">
        <v>116</v>
      </c>
      <c r="T204" s="213" t="e">
        <v>#DIV/0!</v>
      </c>
      <c r="U204" s="214" t="s">
        <v>116</v>
      </c>
      <c r="V204" s="215" t="s">
        <v>116</v>
      </c>
      <c r="W204" s="310">
        <v>0</v>
      </c>
      <c r="X204" s="311">
        <v>0</v>
      </c>
      <c r="Y204" s="311">
        <v>0</v>
      </c>
      <c r="Z204" s="211">
        <v>0</v>
      </c>
      <c r="AA204" s="212" t="s">
        <v>116</v>
      </c>
      <c r="AB204" s="213" t="e">
        <v>#DIV/0!</v>
      </c>
      <c r="AC204" s="214" t="s">
        <v>116</v>
      </c>
      <c r="AD204" s="215" t="s">
        <v>116</v>
      </c>
      <c r="AE204" s="342" t="s">
        <v>116</v>
      </c>
      <c r="AF204" s="341" t="s">
        <v>116</v>
      </c>
    </row>
    <row r="205" spans="1:32">
      <c r="A205" s="307">
        <v>3</v>
      </c>
      <c r="B205" s="342"/>
      <c r="C205" s="342" t="s">
        <v>222</v>
      </c>
      <c r="D205" s="340" t="s">
        <v>274</v>
      </c>
      <c r="E205" s="342"/>
      <c r="F205" s="345" t="s">
        <v>170</v>
      </c>
      <c r="G205" s="308">
        <v>1</v>
      </c>
      <c r="H205" s="309">
        <v>178400</v>
      </c>
      <c r="I205" s="309">
        <v>178400</v>
      </c>
      <c r="J205" s="211">
        <v>1</v>
      </c>
      <c r="K205" s="212" t="str">
        <f>IF(OR(J205="",G205=J205),"","*")</f>
        <v/>
      </c>
      <c r="L205" s="338">
        <f>IF($A205&lt;=L$1,I205/I$4,"")</f>
        <v>1.7491910971663888E-2</v>
      </c>
      <c r="M205" s="343"/>
      <c r="N205" s="344" t="s">
        <v>275</v>
      </c>
      <c r="O205" s="310">
        <v>0</v>
      </c>
      <c r="P205" s="311">
        <v>0</v>
      </c>
      <c r="Q205" s="311">
        <v>0</v>
      </c>
      <c r="R205" s="211">
        <v>0</v>
      </c>
      <c r="S205" s="212" t="s">
        <v>116</v>
      </c>
      <c r="T205" s="213" t="e">
        <v>#DIV/0!</v>
      </c>
      <c r="U205" s="214" t="s">
        <v>116</v>
      </c>
      <c r="V205" s="215" t="s">
        <v>116</v>
      </c>
      <c r="W205" s="310">
        <v>0</v>
      </c>
      <c r="X205" s="311">
        <v>0</v>
      </c>
      <c r="Y205" s="311">
        <v>0</v>
      </c>
      <c r="Z205" s="211">
        <v>0</v>
      </c>
      <c r="AA205" s="212" t="s">
        <v>116</v>
      </c>
      <c r="AB205" s="213" t="e">
        <v>#DIV/0!</v>
      </c>
      <c r="AC205" s="214" t="s">
        <v>116</v>
      </c>
      <c r="AD205" s="215" t="s">
        <v>116</v>
      </c>
      <c r="AE205" s="342" t="s">
        <v>116</v>
      </c>
      <c r="AF205" s="341" t="s">
        <v>116</v>
      </c>
    </row>
    <row r="206" spans="1:32">
      <c r="A206" s="307">
        <v>4</v>
      </c>
      <c r="B206" s="342"/>
      <c r="C206" s="342" t="s">
        <v>159</v>
      </c>
      <c r="D206" s="340" t="s">
        <v>225</v>
      </c>
      <c r="E206" s="342"/>
      <c r="F206" s="345" t="s">
        <v>170</v>
      </c>
      <c r="G206" s="308">
        <v>1</v>
      </c>
      <c r="H206" s="309">
        <v>5000</v>
      </c>
      <c r="I206" s="309">
        <v>5000</v>
      </c>
      <c r="J206" s="211"/>
      <c r="K206" s="212" t="str">
        <f>IF(OR(J206="",G206=J206),"","*")</f>
        <v/>
      </c>
      <c r="L206" s="338" t="str">
        <f>IF($A206&lt;=L$1,I206/I$4,"")</f>
        <v/>
      </c>
      <c r="M206" s="343"/>
      <c r="N206" s="344"/>
      <c r="O206" s="310">
        <v>0</v>
      </c>
      <c r="P206" s="311">
        <v>0</v>
      </c>
      <c r="Q206" s="311">
        <v>0</v>
      </c>
      <c r="R206" s="211">
        <v>0</v>
      </c>
      <c r="S206" s="212" t="s">
        <v>116</v>
      </c>
      <c r="T206" s="213" t="e">
        <v>#DIV/0!</v>
      </c>
      <c r="U206" s="214" t="s">
        <v>116</v>
      </c>
      <c r="V206" s="215" t="s">
        <v>116</v>
      </c>
      <c r="W206" s="310">
        <v>0</v>
      </c>
      <c r="X206" s="311">
        <v>0</v>
      </c>
      <c r="Y206" s="311">
        <v>0</v>
      </c>
      <c r="Z206" s="211">
        <v>0</v>
      </c>
      <c r="AA206" s="212" t="s">
        <v>116</v>
      </c>
      <c r="AB206" s="213" t="e">
        <v>#DIV/0!</v>
      </c>
      <c r="AC206" s="214" t="s">
        <v>116</v>
      </c>
      <c r="AD206" s="215" t="s">
        <v>116</v>
      </c>
      <c r="AE206" s="342" t="s">
        <v>116</v>
      </c>
      <c r="AF206" s="341" t="s">
        <v>116</v>
      </c>
    </row>
    <row r="207" spans="1:32">
      <c r="A207" s="307">
        <v>4</v>
      </c>
      <c r="B207" s="342"/>
      <c r="C207" s="342" t="s">
        <v>177</v>
      </c>
      <c r="D207" s="340" t="s">
        <v>226</v>
      </c>
      <c r="E207" s="342"/>
      <c r="F207" s="345" t="s">
        <v>227</v>
      </c>
      <c r="G207" s="308">
        <v>4</v>
      </c>
      <c r="H207" s="309">
        <v>20000</v>
      </c>
      <c r="I207" s="309">
        <v>80000</v>
      </c>
      <c r="J207" s="211"/>
      <c r="K207" s="212" t="str">
        <f>IF(OR(J207="",G207=J207),"","*")</f>
        <v/>
      </c>
      <c r="L207" s="338" t="str">
        <f>IF($A207&lt;=L$1,I207/I$4,"")</f>
        <v/>
      </c>
      <c r="M207" s="343"/>
      <c r="N207" s="344"/>
      <c r="O207" s="310">
        <v>0</v>
      </c>
      <c r="P207" s="311">
        <v>0</v>
      </c>
      <c r="Q207" s="311">
        <v>0</v>
      </c>
      <c r="R207" s="211">
        <v>0</v>
      </c>
      <c r="S207" s="212" t="s">
        <v>116</v>
      </c>
      <c r="T207" s="213" t="e">
        <v>#DIV/0!</v>
      </c>
      <c r="U207" s="214" t="s">
        <v>116</v>
      </c>
      <c r="V207" s="215" t="s">
        <v>116</v>
      </c>
      <c r="W207" s="310">
        <v>0</v>
      </c>
      <c r="X207" s="311">
        <v>0</v>
      </c>
      <c r="Y207" s="311">
        <v>0</v>
      </c>
      <c r="Z207" s="211">
        <v>0</v>
      </c>
      <c r="AA207" s="212" t="s">
        <v>116</v>
      </c>
      <c r="AB207" s="213" t="e">
        <v>#DIV/0!</v>
      </c>
      <c r="AC207" s="214" t="s">
        <v>116</v>
      </c>
      <c r="AD207" s="215" t="s">
        <v>116</v>
      </c>
      <c r="AE207" s="342" t="s">
        <v>116</v>
      </c>
      <c r="AF207" s="341" t="s">
        <v>116</v>
      </c>
    </row>
    <row r="208" spans="1:32">
      <c r="A208" s="307">
        <v>4</v>
      </c>
      <c r="B208" s="342"/>
      <c r="C208" s="342" t="s">
        <v>182</v>
      </c>
      <c r="D208" s="340" t="s">
        <v>228</v>
      </c>
      <c r="E208" s="342"/>
      <c r="F208" s="345" t="s">
        <v>227</v>
      </c>
      <c r="G208" s="308">
        <v>4</v>
      </c>
      <c r="H208" s="309">
        <v>3200</v>
      </c>
      <c r="I208" s="309">
        <v>12800</v>
      </c>
      <c r="J208" s="211"/>
      <c r="K208" s="212" t="str">
        <f>IF(OR(J208="",G208=J208),"","*")</f>
        <v/>
      </c>
      <c r="L208" s="338" t="str">
        <f>IF($A208&lt;=L$1,I208/I$4,"")</f>
        <v/>
      </c>
      <c r="M208" s="343"/>
      <c r="N208" s="344"/>
      <c r="O208" s="310">
        <v>0</v>
      </c>
      <c r="P208" s="311">
        <v>0</v>
      </c>
      <c r="Q208" s="311">
        <v>0</v>
      </c>
      <c r="R208" s="211">
        <v>0</v>
      </c>
      <c r="S208" s="212" t="s">
        <v>116</v>
      </c>
      <c r="T208" s="213" t="e">
        <v>#DIV/0!</v>
      </c>
      <c r="U208" s="214" t="s">
        <v>116</v>
      </c>
      <c r="V208" s="215" t="s">
        <v>116</v>
      </c>
      <c r="W208" s="310">
        <v>0</v>
      </c>
      <c r="X208" s="311">
        <v>0</v>
      </c>
      <c r="Y208" s="311">
        <v>0</v>
      </c>
      <c r="Z208" s="211">
        <v>0</v>
      </c>
      <c r="AA208" s="212" t="s">
        <v>116</v>
      </c>
      <c r="AB208" s="213" t="e">
        <v>#DIV/0!</v>
      </c>
      <c r="AC208" s="214" t="s">
        <v>116</v>
      </c>
      <c r="AD208" s="215" t="s">
        <v>116</v>
      </c>
      <c r="AE208" s="342" t="s">
        <v>116</v>
      </c>
      <c r="AF208" s="341" t="s">
        <v>116</v>
      </c>
    </row>
    <row r="209" spans="1:32">
      <c r="A209" s="307">
        <v>4</v>
      </c>
      <c r="B209" s="342"/>
      <c r="C209" s="342" t="s">
        <v>179</v>
      </c>
      <c r="D209" s="340" t="s">
        <v>276</v>
      </c>
      <c r="E209" s="342"/>
      <c r="F209" s="345" t="s">
        <v>230</v>
      </c>
      <c r="G209" s="308">
        <v>1</v>
      </c>
      <c r="H209" s="309">
        <v>20000</v>
      </c>
      <c r="I209" s="309">
        <v>20000</v>
      </c>
      <c r="J209" s="211"/>
      <c r="K209" s="212" t="str">
        <f>IF(OR(J209="",G209=J209),"","*")</f>
        <v/>
      </c>
      <c r="L209" s="338" t="str">
        <f>IF($A209&lt;=L$1,I209/I$4,"")</f>
        <v/>
      </c>
      <c r="M209" s="343"/>
      <c r="N209" s="344"/>
      <c r="O209" s="310">
        <v>0</v>
      </c>
      <c r="P209" s="311">
        <v>0</v>
      </c>
      <c r="Q209" s="311">
        <v>0</v>
      </c>
      <c r="R209" s="211">
        <v>0</v>
      </c>
      <c r="S209" s="212" t="s">
        <v>116</v>
      </c>
      <c r="T209" s="213" t="e">
        <v>#DIV/0!</v>
      </c>
      <c r="U209" s="214" t="s">
        <v>116</v>
      </c>
      <c r="V209" s="215" t="s">
        <v>116</v>
      </c>
      <c r="W209" s="310">
        <v>0</v>
      </c>
      <c r="X209" s="311">
        <v>0</v>
      </c>
      <c r="Y209" s="311">
        <v>0</v>
      </c>
      <c r="Z209" s="211">
        <v>0</v>
      </c>
      <c r="AA209" s="212" t="s">
        <v>116</v>
      </c>
      <c r="AB209" s="213" t="e">
        <v>#DIV/0!</v>
      </c>
      <c r="AC209" s="214" t="s">
        <v>116</v>
      </c>
      <c r="AD209" s="215" t="s">
        <v>116</v>
      </c>
      <c r="AE209" s="342" t="s">
        <v>116</v>
      </c>
      <c r="AF209" s="341" t="s">
        <v>116</v>
      </c>
    </row>
    <row r="210" spans="1:32">
      <c r="A210" s="307">
        <v>4</v>
      </c>
      <c r="B210" s="342"/>
      <c r="C210" s="342" t="s">
        <v>179</v>
      </c>
      <c r="D210" s="340" t="s">
        <v>231</v>
      </c>
      <c r="E210" s="342"/>
      <c r="F210" s="345" t="s">
        <v>230</v>
      </c>
      <c r="G210" s="308">
        <v>1</v>
      </c>
      <c r="H210" s="309">
        <v>8000</v>
      </c>
      <c r="I210" s="309">
        <v>8000</v>
      </c>
      <c r="J210" s="211"/>
      <c r="K210" s="212" t="str">
        <f>IF(OR(J210="",G210=J210),"","*")</f>
        <v/>
      </c>
      <c r="L210" s="338" t="str">
        <f>IF($A210&lt;=L$1,I210/I$4,"")</f>
        <v/>
      </c>
      <c r="M210" s="343"/>
      <c r="N210" s="344"/>
      <c r="O210" s="310">
        <v>0</v>
      </c>
      <c r="P210" s="311">
        <v>0</v>
      </c>
      <c r="Q210" s="311">
        <v>0</v>
      </c>
      <c r="R210" s="211">
        <v>0</v>
      </c>
      <c r="S210" s="212" t="s">
        <v>116</v>
      </c>
      <c r="T210" s="213" t="e">
        <v>#DIV/0!</v>
      </c>
      <c r="U210" s="214" t="s">
        <v>116</v>
      </c>
      <c r="V210" s="215" t="s">
        <v>116</v>
      </c>
      <c r="W210" s="310">
        <v>0</v>
      </c>
      <c r="X210" s="311">
        <v>0</v>
      </c>
      <c r="Y210" s="311">
        <v>0</v>
      </c>
      <c r="Z210" s="211">
        <v>0</v>
      </c>
      <c r="AA210" s="212" t="s">
        <v>116</v>
      </c>
      <c r="AB210" s="213" t="e">
        <v>#DIV/0!</v>
      </c>
      <c r="AC210" s="214" t="s">
        <v>116</v>
      </c>
      <c r="AD210" s="215" t="s">
        <v>116</v>
      </c>
      <c r="AE210" s="342" t="s">
        <v>116</v>
      </c>
      <c r="AF210" s="341" t="s">
        <v>116</v>
      </c>
    </row>
    <row r="211" spans="1:32">
      <c r="A211" s="307">
        <v>4</v>
      </c>
      <c r="B211" s="342"/>
      <c r="C211" s="342" t="s">
        <v>179</v>
      </c>
      <c r="D211" s="340" t="s">
        <v>232</v>
      </c>
      <c r="E211" s="342"/>
      <c r="F211" s="345" t="s">
        <v>230</v>
      </c>
      <c r="G211" s="308">
        <v>1</v>
      </c>
      <c r="H211" s="309">
        <v>6000</v>
      </c>
      <c r="I211" s="309">
        <v>6000</v>
      </c>
      <c r="J211" s="211"/>
      <c r="K211" s="212" t="str">
        <f>IF(OR(J211="",G211=J211),"","*")</f>
        <v/>
      </c>
      <c r="L211" s="338" t="str">
        <f>IF($A211&lt;=L$1,I211/I$4,"")</f>
        <v/>
      </c>
      <c r="M211" s="343"/>
      <c r="N211" s="344"/>
      <c r="O211" s="310">
        <v>0</v>
      </c>
      <c r="P211" s="311">
        <v>0</v>
      </c>
      <c r="Q211" s="311">
        <v>0</v>
      </c>
      <c r="R211" s="211">
        <v>0</v>
      </c>
      <c r="S211" s="212" t="s">
        <v>116</v>
      </c>
      <c r="T211" s="213" t="e">
        <v>#DIV/0!</v>
      </c>
      <c r="U211" s="214" t="s">
        <v>116</v>
      </c>
      <c r="V211" s="215" t="s">
        <v>116</v>
      </c>
      <c r="W211" s="310">
        <v>0</v>
      </c>
      <c r="X211" s="311">
        <v>0</v>
      </c>
      <c r="Y211" s="311">
        <v>0</v>
      </c>
      <c r="Z211" s="211">
        <v>0</v>
      </c>
      <c r="AA211" s="212" t="s">
        <v>116</v>
      </c>
      <c r="AB211" s="213" t="e">
        <v>#DIV/0!</v>
      </c>
      <c r="AC211" s="214" t="s">
        <v>116</v>
      </c>
      <c r="AD211" s="215" t="s">
        <v>116</v>
      </c>
      <c r="AE211" s="342" t="s">
        <v>116</v>
      </c>
      <c r="AF211" s="341" t="s">
        <v>116</v>
      </c>
    </row>
    <row r="212" spans="1:32">
      <c r="A212" s="307">
        <v>4</v>
      </c>
      <c r="B212" s="342"/>
      <c r="C212" s="342" t="s">
        <v>179</v>
      </c>
      <c r="D212" s="340" t="s">
        <v>233</v>
      </c>
      <c r="E212" s="342"/>
      <c r="F212" s="345" t="s">
        <v>170</v>
      </c>
      <c r="G212" s="308">
        <v>1</v>
      </c>
      <c r="H212" s="309">
        <v>5000</v>
      </c>
      <c r="I212" s="309">
        <v>5000</v>
      </c>
      <c r="J212" s="211"/>
      <c r="K212" s="212" t="str">
        <f>IF(OR(J212="",G212=J212),"","*")</f>
        <v/>
      </c>
      <c r="L212" s="338" t="str">
        <f>IF($A212&lt;=L$1,I212/I$4,"")</f>
        <v/>
      </c>
      <c r="M212" s="343"/>
      <c r="N212" s="344"/>
      <c r="O212" s="310">
        <v>0</v>
      </c>
      <c r="P212" s="311">
        <v>0</v>
      </c>
      <c r="Q212" s="311">
        <v>0</v>
      </c>
      <c r="R212" s="211">
        <v>0</v>
      </c>
      <c r="S212" s="212" t="s">
        <v>116</v>
      </c>
      <c r="T212" s="213" t="e">
        <v>#DIV/0!</v>
      </c>
      <c r="U212" s="214" t="s">
        <v>116</v>
      </c>
      <c r="V212" s="215" t="s">
        <v>116</v>
      </c>
      <c r="W212" s="310">
        <v>0</v>
      </c>
      <c r="X212" s="311">
        <v>0</v>
      </c>
      <c r="Y212" s="311">
        <v>0</v>
      </c>
      <c r="Z212" s="211">
        <v>0</v>
      </c>
      <c r="AA212" s="212" t="s">
        <v>116</v>
      </c>
      <c r="AB212" s="213" t="e">
        <v>#DIV/0!</v>
      </c>
      <c r="AC212" s="214" t="s">
        <v>116</v>
      </c>
      <c r="AD212" s="215" t="s">
        <v>116</v>
      </c>
      <c r="AE212" s="342" t="s">
        <v>116</v>
      </c>
      <c r="AF212" s="341" t="s">
        <v>116</v>
      </c>
    </row>
    <row r="213" spans="1:32">
      <c r="A213" s="307">
        <v>4</v>
      </c>
      <c r="B213" s="342"/>
      <c r="C213" s="342" t="s">
        <v>180</v>
      </c>
      <c r="D213" s="340" t="s">
        <v>235</v>
      </c>
      <c r="E213" s="342"/>
      <c r="F213" s="345" t="s">
        <v>230</v>
      </c>
      <c r="G213" s="308">
        <v>2</v>
      </c>
      <c r="H213" s="309">
        <v>8000</v>
      </c>
      <c r="I213" s="309">
        <v>16000</v>
      </c>
      <c r="J213" s="211"/>
      <c r="K213" s="212" t="str">
        <f>IF(OR(J213="",G213=J213),"","*")</f>
        <v/>
      </c>
      <c r="L213" s="338" t="str">
        <f>IF($A213&lt;=L$1,I213/I$4,"")</f>
        <v/>
      </c>
      <c r="M213" s="343"/>
      <c r="N213" s="344"/>
      <c r="O213" s="310">
        <v>0</v>
      </c>
      <c r="P213" s="311">
        <v>0</v>
      </c>
      <c r="Q213" s="311">
        <v>0</v>
      </c>
      <c r="R213" s="211">
        <v>0</v>
      </c>
      <c r="S213" s="212" t="s">
        <v>116</v>
      </c>
      <c r="T213" s="213" t="e">
        <v>#DIV/0!</v>
      </c>
      <c r="U213" s="214" t="s">
        <v>116</v>
      </c>
      <c r="V213" s="215" t="s">
        <v>116</v>
      </c>
      <c r="W213" s="310">
        <v>0</v>
      </c>
      <c r="X213" s="311">
        <v>0</v>
      </c>
      <c r="Y213" s="311">
        <v>0</v>
      </c>
      <c r="Z213" s="211">
        <v>0</v>
      </c>
      <c r="AA213" s="212" t="s">
        <v>116</v>
      </c>
      <c r="AB213" s="213" t="e">
        <v>#DIV/0!</v>
      </c>
      <c r="AC213" s="214" t="s">
        <v>116</v>
      </c>
      <c r="AD213" s="215" t="s">
        <v>116</v>
      </c>
      <c r="AE213" s="342" t="s">
        <v>116</v>
      </c>
      <c r="AF213" s="341" t="s">
        <v>116</v>
      </c>
    </row>
    <row r="214" spans="1:32">
      <c r="A214" s="307">
        <v>4</v>
      </c>
      <c r="B214" s="342"/>
      <c r="C214" s="342" t="s">
        <v>180</v>
      </c>
      <c r="D214" s="340" t="s">
        <v>236</v>
      </c>
      <c r="E214" s="342"/>
      <c r="F214" s="345" t="s">
        <v>230</v>
      </c>
      <c r="G214" s="308">
        <v>2</v>
      </c>
      <c r="H214" s="309">
        <v>6000</v>
      </c>
      <c r="I214" s="309">
        <v>12000</v>
      </c>
      <c r="J214" s="211"/>
      <c r="K214" s="212" t="str">
        <f>IF(OR(J214="",G214=J214),"","*")</f>
        <v/>
      </c>
      <c r="L214" s="338" t="str">
        <f>IF($A214&lt;=L$1,I214/I$4,"")</f>
        <v/>
      </c>
      <c r="M214" s="343"/>
      <c r="N214" s="344"/>
      <c r="O214" s="310">
        <v>0</v>
      </c>
      <c r="P214" s="311">
        <v>0</v>
      </c>
      <c r="Q214" s="311">
        <v>0</v>
      </c>
      <c r="R214" s="211">
        <v>0</v>
      </c>
      <c r="S214" s="212" t="s">
        <v>116</v>
      </c>
      <c r="T214" s="213" t="e">
        <v>#DIV/0!</v>
      </c>
      <c r="U214" s="214" t="s">
        <v>116</v>
      </c>
      <c r="V214" s="215" t="s">
        <v>116</v>
      </c>
      <c r="W214" s="310">
        <v>0</v>
      </c>
      <c r="X214" s="311">
        <v>0</v>
      </c>
      <c r="Y214" s="311">
        <v>0</v>
      </c>
      <c r="Z214" s="211">
        <v>0</v>
      </c>
      <c r="AA214" s="212" t="s">
        <v>116</v>
      </c>
      <c r="AB214" s="213" t="e">
        <v>#DIV/0!</v>
      </c>
      <c r="AC214" s="214" t="s">
        <v>116</v>
      </c>
      <c r="AD214" s="215" t="s">
        <v>116</v>
      </c>
      <c r="AE214" s="342" t="s">
        <v>116</v>
      </c>
      <c r="AF214" s="341" t="s">
        <v>116</v>
      </c>
    </row>
    <row r="215" spans="1:32">
      <c r="A215" s="307">
        <v>4</v>
      </c>
      <c r="B215" s="342"/>
      <c r="C215" s="342" t="s">
        <v>159</v>
      </c>
      <c r="D215" s="340" t="s">
        <v>237</v>
      </c>
      <c r="E215" s="342"/>
      <c r="F215" s="345" t="s">
        <v>238</v>
      </c>
      <c r="G215" s="308">
        <v>80</v>
      </c>
      <c r="H215" s="309">
        <v>170</v>
      </c>
      <c r="I215" s="309">
        <v>13600</v>
      </c>
      <c r="J215" s="211"/>
      <c r="K215" s="212" t="str">
        <f>IF(OR(J215="",G215=J215),"","*")</f>
        <v/>
      </c>
      <c r="L215" s="338" t="str">
        <f>IF($A215&lt;=L$1,I215/I$4,"")</f>
        <v/>
      </c>
      <c r="M215" s="343"/>
      <c r="N215" s="344"/>
      <c r="O215" s="310">
        <v>0</v>
      </c>
      <c r="P215" s="311">
        <v>0</v>
      </c>
      <c r="Q215" s="311">
        <v>0</v>
      </c>
      <c r="R215" s="211">
        <v>0</v>
      </c>
      <c r="S215" s="212" t="s">
        <v>116</v>
      </c>
      <c r="T215" s="213" t="e">
        <v>#DIV/0!</v>
      </c>
      <c r="U215" s="214" t="s">
        <v>116</v>
      </c>
      <c r="V215" s="215" t="s">
        <v>116</v>
      </c>
      <c r="W215" s="310">
        <v>0</v>
      </c>
      <c r="X215" s="311">
        <v>0</v>
      </c>
      <c r="Y215" s="311">
        <v>0</v>
      </c>
      <c r="Z215" s="211">
        <v>0</v>
      </c>
      <c r="AA215" s="212" t="s">
        <v>116</v>
      </c>
      <c r="AB215" s="213" t="e">
        <v>#DIV/0!</v>
      </c>
      <c r="AC215" s="214" t="s">
        <v>116</v>
      </c>
      <c r="AD215" s="215" t="s">
        <v>116</v>
      </c>
      <c r="AE215" s="342" t="s">
        <v>116</v>
      </c>
      <c r="AF215" s="341" t="s">
        <v>116</v>
      </c>
    </row>
    <row r="216" spans="1:32">
      <c r="A216" s="307">
        <v>2</v>
      </c>
      <c r="B216" s="342"/>
      <c r="C216" s="342" t="s">
        <v>219</v>
      </c>
      <c r="D216" s="340" t="s">
        <v>277</v>
      </c>
      <c r="E216" s="342"/>
      <c r="F216" s="345" t="s">
        <v>170</v>
      </c>
      <c r="G216" s="308">
        <v>1</v>
      </c>
      <c r="H216" s="309">
        <v>484400</v>
      </c>
      <c r="I216" s="309">
        <v>484400</v>
      </c>
      <c r="J216" s="211">
        <v>1</v>
      </c>
      <c r="K216" s="212" t="str">
        <f>IF(OR(J216="",G216=J216),"","*")</f>
        <v/>
      </c>
      <c r="L216" s="338">
        <f>IF($A216&lt;=L$1,I216/I$4,"")</f>
        <v>4.7494852436513385E-2</v>
      </c>
      <c r="M216" s="343"/>
      <c r="N216" s="344" t="s">
        <v>278</v>
      </c>
      <c r="O216" s="310">
        <v>0</v>
      </c>
      <c r="P216" s="311">
        <v>0</v>
      </c>
      <c r="Q216" s="311">
        <v>0</v>
      </c>
      <c r="R216" s="211">
        <v>0</v>
      </c>
      <c r="S216" s="212" t="s">
        <v>116</v>
      </c>
      <c r="T216" s="213" t="e">
        <v>#DIV/0!</v>
      </c>
      <c r="U216" s="214" t="s">
        <v>116</v>
      </c>
      <c r="V216" s="215" t="s">
        <v>116</v>
      </c>
      <c r="W216" s="310">
        <v>0</v>
      </c>
      <c r="X216" s="311">
        <v>0</v>
      </c>
      <c r="Y216" s="311">
        <v>0</v>
      </c>
      <c r="Z216" s="211">
        <v>0</v>
      </c>
      <c r="AA216" s="212" t="s">
        <v>116</v>
      </c>
      <c r="AB216" s="213" t="e">
        <v>#DIV/0!</v>
      </c>
      <c r="AC216" s="214" t="s">
        <v>116</v>
      </c>
      <c r="AD216" s="215" t="s">
        <v>116</v>
      </c>
      <c r="AE216" s="342" t="s">
        <v>116</v>
      </c>
      <c r="AF216" s="341" t="s">
        <v>116</v>
      </c>
    </row>
    <row r="217" spans="1:32">
      <c r="A217" s="307">
        <v>3</v>
      </c>
      <c r="B217" s="342"/>
      <c r="C217" s="342" t="s">
        <v>159</v>
      </c>
      <c r="D217" s="340" t="s">
        <v>279</v>
      </c>
      <c r="E217" s="342"/>
      <c r="F217" s="345" t="s">
        <v>280</v>
      </c>
      <c r="G217" s="308">
        <v>170</v>
      </c>
      <c r="H217" s="309">
        <v>800</v>
      </c>
      <c r="I217" s="309">
        <v>136000</v>
      </c>
      <c r="J217" s="211"/>
      <c r="K217" s="212" t="str">
        <f>IF(OR(J217="",G217=J217),"","*")</f>
        <v/>
      </c>
      <c r="L217" s="338">
        <f>IF($A217&lt;=L$1,I217/I$4,"")</f>
        <v>1.333464065104422E-2</v>
      </c>
      <c r="M217" s="343"/>
      <c r="N217" s="344"/>
      <c r="O217" s="310">
        <v>0</v>
      </c>
      <c r="P217" s="311">
        <v>0</v>
      </c>
      <c r="Q217" s="311">
        <v>0</v>
      </c>
      <c r="R217" s="211">
        <v>0</v>
      </c>
      <c r="S217" s="212" t="s">
        <v>116</v>
      </c>
      <c r="T217" s="213" t="e">
        <v>#DIV/0!</v>
      </c>
      <c r="U217" s="214" t="s">
        <v>116</v>
      </c>
      <c r="V217" s="215" t="s">
        <v>116</v>
      </c>
      <c r="W217" s="310">
        <v>0</v>
      </c>
      <c r="X217" s="311">
        <v>0</v>
      </c>
      <c r="Y217" s="311">
        <v>0</v>
      </c>
      <c r="Z217" s="211">
        <v>0</v>
      </c>
      <c r="AA217" s="212" t="s">
        <v>116</v>
      </c>
      <c r="AB217" s="213" t="e">
        <v>#DIV/0!</v>
      </c>
      <c r="AC217" s="214" t="s">
        <v>116</v>
      </c>
      <c r="AD217" s="215" t="s">
        <v>116</v>
      </c>
      <c r="AE217" s="342" t="s">
        <v>116</v>
      </c>
      <c r="AF217" s="341" t="s">
        <v>116</v>
      </c>
    </row>
    <row r="218" spans="1:32">
      <c r="A218" s="307">
        <v>3</v>
      </c>
      <c r="B218" s="342"/>
      <c r="C218" s="342" t="s">
        <v>159</v>
      </c>
      <c r="D218" s="340" t="s">
        <v>281</v>
      </c>
      <c r="E218" s="342"/>
      <c r="F218" s="345" t="s">
        <v>170</v>
      </c>
      <c r="G218" s="308">
        <v>1</v>
      </c>
      <c r="H218" s="309">
        <v>20000</v>
      </c>
      <c r="I218" s="309">
        <v>20000</v>
      </c>
      <c r="J218" s="211"/>
      <c r="K218" s="212" t="str">
        <f>IF(OR(J218="",G218=J218),"","*")</f>
        <v/>
      </c>
      <c r="L218" s="338">
        <f>IF($A218&lt;=L$1,I218/I$4,"")</f>
        <v>1.9609765663300325E-3</v>
      </c>
      <c r="M218" s="343"/>
      <c r="N218" s="344"/>
      <c r="O218" s="310">
        <v>0</v>
      </c>
      <c r="P218" s="311">
        <v>0</v>
      </c>
      <c r="Q218" s="311">
        <v>0</v>
      </c>
      <c r="R218" s="211">
        <v>0</v>
      </c>
      <c r="S218" s="212" t="s">
        <v>116</v>
      </c>
      <c r="T218" s="213" t="e">
        <v>#DIV/0!</v>
      </c>
      <c r="U218" s="214" t="s">
        <v>116</v>
      </c>
      <c r="V218" s="215" t="s">
        <v>116</v>
      </c>
      <c r="W218" s="310">
        <v>0</v>
      </c>
      <c r="X218" s="311">
        <v>0</v>
      </c>
      <c r="Y218" s="311">
        <v>0</v>
      </c>
      <c r="Z218" s="211">
        <v>0</v>
      </c>
      <c r="AA218" s="212" t="s">
        <v>116</v>
      </c>
      <c r="AB218" s="213" t="e">
        <v>#DIV/0!</v>
      </c>
      <c r="AC218" s="214" t="s">
        <v>116</v>
      </c>
      <c r="AD218" s="215" t="s">
        <v>116</v>
      </c>
      <c r="AE218" s="342" t="s">
        <v>116</v>
      </c>
      <c r="AF218" s="341" t="s">
        <v>116</v>
      </c>
    </row>
    <row r="219" spans="1:32">
      <c r="A219" s="307">
        <v>3</v>
      </c>
      <c r="B219" s="342"/>
      <c r="C219" s="342" t="s">
        <v>180</v>
      </c>
      <c r="D219" s="340" t="s">
        <v>282</v>
      </c>
      <c r="E219" s="342"/>
      <c r="F219" s="345" t="s">
        <v>170</v>
      </c>
      <c r="G219" s="308">
        <v>1</v>
      </c>
      <c r="H219" s="309">
        <v>30000</v>
      </c>
      <c r="I219" s="309">
        <v>30000</v>
      </c>
      <c r="J219" s="211"/>
      <c r="K219" s="212" t="str">
        <f>IF(OR(J219="",G219=J219),"","*")</f>
        <v/>
      </c>
      <c r="L219" s="338">
        <f>IF($A219&lt;=L$1,I219/I$4,"")</f>
        <v>2.9414648494950485E-3</v>
      </c>
      <c r="M219" s="343"/>
      <c r="N219" s="344"/>
      <c r="O219" s="310">
        <v>0</v>
      </c>
      <c r="P219" s="311">
        <v>0</v>
      </c>
      <c r="Q219" s="311">
        <v>0</v>
      </c>
      <c r="R219" s="211">
        <v>0</v>
      </c>
      <c r="S219" s="212" t="s">
        <v>116</v>
      </c>
      <c r="T219" s="213" t="e">
        <v>#DIV/0!</v>
      </c>
      <c r="U219" s="214" t="s">
        <v>116</v>
      </c>
      <c r="V219" s="215" t="s">
        <v>116</v>
      </c>
      <c r="W219" s="310">
        <v>0</v>
      </c>
      <c r="X219" s="311">
        <v>0</v>
      </c>
      <c r="Y219" s="311">
        <v>0</v>
      </c>
      <c r="Z219" s="211">
        <v>0</v>
      </c>
      <c r="AA219" s="212" t="s">
        <v>116</v>
      </c>
      <c r="AB219" s="213" t="e">
        <v>#DIV/0!</v>
      </c>
      <c r="AC219" s="214" t="s">
        <v>116</v>
      </c>
      <c r="AD219" s="215" t="s">
        <v>116</v>
      </c>
      <c r="AE219" s="342" t="s">
        <v>116</v>
      </c>
      <c r="AF219" s="341" t="s">
        <v>116</v>
      </c>
    </row>
    <row r="220" spans="1:32">
      <c r="A220" s="307">
        <v>3</v>
      </c>
      <c r="B220" s="342"/>
      <c r="C220" s="342" t="s">
        <v>159</v>
      </c>
      <c r="D220" s="340" t="s">
        <v>283</v>
      </c>
      <c r="E220" s="342"/>
      <c r="F220" s="345" t="s">
        <v>284</v>
      </c>
      <c r="G220" s="308">
        <v>45</v>
      </c>
      <c r="H220" s="309">
        <v>1000</v>
      </c>
      <c r="I220" s="309">
        <v>45000</v>
      </c>
      <c r="J220" s="211"/>
      <c r="K220" s="212" t="str">
        <f>IF(OR(J220="",G220=J220),"","*")</f>
        <v/>
      </c>
      <c r="L220" s="338">
        <f>IF($A220&lt;=L$1,I220/I$4,"")</f>
        <v>4.4121972742425727E-3</v>
      </c>
      <c r="M220" s="343"/>
      <c r="N220" s="344"/>
      <c r="O220" s="310">
        <v>0</v>
      </c>
      <c r="P220" s="311">
        <v>0</v>
      </c>
      <c r="Q220" s="311">
        <v>0</v>
      </c>
      <c r="R220" s="211">
        <v>0</v>
      </c>
      <c r="S220" s="212" t="s">
        <v>116</v>
      </c>
      <c r="T220" s="213" t="e">
        <v>#DIV/0!</v>
      </c>
      <c r="U220" s="214" t="s">
        <v>116</v>
      </c>
      <c r="V220" s="215" t="s">
        <v>116</v>
      </c>
      <c r="W220" s="310">
        <v>0</v>
      </c>
      <c r="X220" s="311">
        <v>0</v>
      </c>
      <c r="Y220" s="311">
        <v>0</v>
      </c>
      <c r="Z220" s="211">
        <v>0</v>
      </c>
      <c r="AA220" s="212" t="s">
        <v>116</v>
      </c>
      <c r="AB220" s="213" t="e">
        <v>#DIV/0!</v>
      </c>
      <c r="AC220" s="214" t="s">
        <v>116</v>
      </c>
      <c r="AD220" s="215" t="s">
        <v>116</v>
      </c>
      <c r="AE220" s="342" t="s">
        <v>116</v>
      </c>
      <c r="AF220" s="341" t="s">
        <v>116</v>
      </c>
    </row>
    <row r="221" spans="1:32">
      <c r="A221" s="307">
        <v>3</v>
      </c>
      <c r="B221" s="342"/>
      <c r="C221" s="342" t="s">
        <v>159</v>
      </c>
      <c r="D221" s="340" t="s">
        <v>285</v>
      </c>
      <c r="E221" s="342"/>
      <c r="F221" s="345" t="s">
        <v>170</v>
      </c>
      <c r="G221" s="308">
        <v>1</v>
      </c>
      <c r="H221" s="309">
        <v>200000</v>
      </c>
      <c r="I221" s="309">
        <v>200000</v>
      </c>
      <c r="J221" s="211"/>
      <c r="K221" s="212" t="str">
        <f>IF(OR(J221="",G221=J221),"","*")</f>
        <v/>
      </c>
      <c r="L221" s="338">
        <f>IF($A221&lt;=L$1,I221/I$4,"")</f>
        <v>1.9609765663300322E-2</v>
      </c>
      <c r="M221" s="343"/>
      <c r="N221" s="344"/>
      <c r="O221" s="310">
        <v>0</v>
      </c>
      <c r="P221" s="311">
        <v>0</v>
      </c>
      <c r="Q221" s="311">
        <v>0</v>
      </c>
      <c r="R221" s="211">
        <v>0</v>
      </c>
      <c r="S221" s="212" t="s">
        <v>116</v>
      </c>
      <c r="T221" s="213" t="e">
        <v>#DIV/0!</v>
      </c>
      <c r="U221" s="214" t="s">
        <v>116</v>
      </c>
      <c r="V221" s="215" t="s">
        <v>116</v>
      </c>
      <c r="W221" s="310">
        <v>0</v>
      </c>
      <c r="X221" s="311">
        <v>0</v>
      </c>
      <c r="Y221" s="311">
        <v>0</v>
      </c>
      <c r="Z221" s="211">
        <v>0</v>
      </c>
      <c r="AA221" s="212" t="s">
        <v>116</v>
      </c>
      <c r="AB221" s="213" t="e">
        <v>#DIV/0!</v>
      </c>
      <c r="AC221" s="214" t="s">
        <v>116</v>
      </c>
      <c r="AD221" s="215" t="s">
        <v>116</v>
      </c>
      <c r="AE221" s="342" t="s">
        <v>116</v>
      </c>
      <c r="AF221" s="341" t="s">
        <v>116</v>
      </c>
    </row>
    <row r="222" spans="1:32">
      <c r="A222" s="307">
        <v>3</v>
      </c>
      <c r="B222" s="342"/>
      <c r="C222" s="342" t="s">
        <v>159</v>
      </c>
      <c r="D222" s="340" t="s">
        <v>286</v>
      </c>
      <c r="E222" s="342"/>
      <c r="F222" s="345" t="s">
        <v>280</v>
      </c>
      <c r="G222" s="308">
        <v>15</v>
      </c>
      <c r="H222" s="309">
        <v>1230</v>
      </c>
      <c r="I222" s="309">
        <v>18450</v>
      </c>
      <c r="J222" s="211"/>
      <c r="K222" s="212" t="str">
        <f>IF(OR(J222="",G222=J222),"","*")</f>
        <v/>
      </c>
      <c r="L222" s="338">
        <f>IF($A222&lt;=L$1,I222/I$4,"")</f>
        <v>1.8090008824394549E-3</v>
      </c>
      <c r="M222" s="343"/>
      <c r="N222" s="344"/>
      <c r="O222" s="310">
        <v>0</v>
      </c>
      <c r="P222" s="311">
        <v>0</v>
      </c>
      <c r="Q222" s="311">
        <v>0</v>
      </c>
      <c r="R222" s="211">
        <v>0</v>
      </c>
      <c r="S222" s="212" t="s">
        <v>116</v>
      </c>
      <c r="T222" s="213" t="e">
        <v>#DIV/0!</v>
      </c>
      <c r="U222" s="214" t="s">
        <v>116</v>
      </c>
      <c r="V222" s="215" t="s">
        <v>116</v>
      </c>
      <c r="W222" s="310">
        <v>0</v>
      </c>
      <c r="X222" s="311">
        <v>0</v>
      </c>
      <c r="Y222" s="311">
        <v>0</v>
      </c>
      <c r="Z222" s="211">
        <v>0</v>
      </c>
      <c r="AA222" s="212" t="s">
        <v>116</v>
      </c>
      <c r="AB222" s="213" t="e">
        <v>#DIV/0!</v>
      </c>
      <c r="AC222" s="214" t="s">
        <v>116</v>
      </c>
      <c r="AD222" s="215" t="s">
        <v>116</v>
      </c>
      <c r="AE222" s="342" t="s">
        <v>116</v>
      </c>
      <c r="AF222" s="341" t="s">
        <v>116</v>
      </c>
    </row>
    <row r="223" spans="1:32">
      <c r="A223" s="307">
        <v>3</v>
      </c>
      <c r="B223" s="342"/>
      <c r="C223" s="342" t="s">
        <v>159</v>
      </c>
      <c r="D223" s="340" t="s">
        <v>287</v>
      </c>
      <c r="E223" s="342"/>
      <c r="F223" s="345" t="s">
        <v>284</v>
      </c>
      <c r="G223" s="308">
        <v>15</v>
      </c>
      <c r="H223" s="309">
        <v>1330</v>
      </c>
      <c r="I223" s="309">
        <v>19950</v>
      </c>
      <c r="J223" s="211"/>
      <c r="K223" s="212" t="str">
        <f>IF(OR(J223="",G223=J223),"","*")</f>
        <v/>
      </c>
      <c r="L223" s="338">
        <f>IF($A223&lt;=L$1,I223/I$4,"")</f>
        <v>1.9560741249142074E-3</v>
      </c>
      <c r="M223" s="343"/>
      <c r="N223" s="344"/>
      <c r="O223" s="310">
        <v>0</v>
      </c>
      <c r="P223" s="311">
        <v>0</v>
      </c>
      <c r="Q223" s="311">
        <v>0</v>
      </c>
      <c r="R223" s="211">
        <v>0</v>
      </c>
      <c r="S223" s="212" t="s">
        <v>116</v>
      </c>
      <c r="T223" s="213" t="e">
        <v>#DIV/0!</v>
      </c>
      <c r="U223" s="214" t="s">
        <v>116</v>
      </c>
      <c r="V223" s="215" t="s">
        <v>116</v>
      </c>
      <c r="W223" s="310">
        <v>0</v>
      </c>
      <c r="X223" s="311">
        <v>0</v>
      </c>
      <c r="Y223" s="311">
        <v>0</v>
      </c>
      <c r="Z223" s="211">
        <v>0</v>
      </c>
      <c r="AA223" s="212" t="s">
        <v>116</v>
      </c>
      <c r="AB223" s="213" t="e">
        <v>#DIV/0!</v>
      </c>
      <c r="AC223" s="214" t="s">
        <v>116</v>
      </c>
      <c r="AD223" s="215" t="s">
        <v>116</v>
      </c>
      <c r="AE223" s="342" t="s">
        <v>116</v>
      </c>
      <c r="AF223" s="341" t="s">
        <v>116</v>
      </c>
    </row>
    <row r="224" spans="1:32">
      <c r="A224" s="307">
        <v>3</v>
      </c>
      <c r="B224" s="342"/>
      <c r="C224" s="342" t="s">
        <v>180</v>
      </c>
      <c r="D224" s="340" t="s">
        <v>288</v>
      </c>
      <c r="E224" s="342"/>
      <c r="F224" s="345" t="s">
        <v>170</v>
      </c>
      <c r="G224" s="308">
        <v>1</v>
      </c>
      <c r="H224" s="309">
        <v>15000</v>
      </c>
      <c r="I224" s="309">
        <v>15000</v>
      </c>
      <c r="J224" s="211"/>
      <c r="K224" s="212" t="str">
        <f>IF(OR(J224="",G224=J224),"","*")</f>
        <v/>
      </c>
      <c r="L224" s="338">
        <f>IF($A224&lt;=L$1,I224/I$4,"")</f>
        <v>1.4707324247475242E-3</v>
      </c>
      <c r="M224" s="343"/>
      <c r="N224" s="344"/>
      <c r="O224" s="310">
        <v>0</v>
      </c>
      <c r="P224" s="311">
        <v>0</v>
      </c>
      <c r="Q224" s="311">
        <v>0</v>
      </c>
      <c r="R224" s="211">
        <v>0</v>
      </c>
      <c r="S224" s="212" t="s">
        <v>116</v>
      </c>
      <c r="T224" s="213" t="e">
        <v>#DIV/0!</v>
      </c>
      <c r="U224" s="214" t="s">
        <v>116</v>
      </c>
      <c r="V224" s="215" t="s">
        <v>116</v>
      </c>
      <c r="W224" s="310">
        <v>0</v>
      </c>
      <c r="X224" s="311">
        <v>0</v>
      </c>
      <c r="Y224" s="311">
        <v>0</v>
      </c>
      <c r="Z224" s="211">
        <v>0</v>
      </c>
      <c r="AA224" s="212" t="s">
        <v>116</v>
      </c>
      <c r="AB224" s="213" t="e">
        <v>#DIV/0!</v>
      </c>
      <c r="AC224" s="214" t="s">
        <v>116</v>
      </c>
      <c r="AD224" s="215" t="s">
        <v>116</v>
      </c>
      <c r="AE224" s="342" t="s">
        <v>116</v>
      </c>
      <c r="AF224" s="341" t="s">
        <v>116</v>
      </c>
    </row>
    <row r="225" spans="1:32">
      <c r="A225" s="307">
        <v>2</v>
      </c>
      <c r="B225" s="342"/>
      <c r="C225" s="342" t="s">
        <v>219</v>
      </c>
      <c r="D225" s="340" t="s">
        <v>289</v>
      </c>
      <c r="E225" s="342"/>
      <c r="F225" s="345" t="s">
        <v>170</v>
      </c>
      <c r="G225" s="308">
        <v>1</v>
      </c>
      <c r="H225" s="309">
        <v>1580000</v>
      </c>
      <c r="I225" s="309">
        <v>1580000</v>
      </c>
      <c r="J225" s="211">
        <v>1</v>
      </c>
      <c r="K225" s="212" t="str">
        <f>IF(OR(J225="",G225=J225),"","*")</f>
        <v/>
      </c>
      <c r="L225" s="338">
        <f>IF($A225&lt;=L$1,I225/I$4,"")</f>
        <v>0.15491714874007256</v>
      </c>
      <c r="M225" s="343"/>
      <c r="N225" s="344" t="s">
        <v>290</v>
      </c>
      <c r="O225" s="310">
        <v>0</v>
      </c>
      <c r="P225" s="311">
        <v>0</v>
      </c>
      <c r="Q225" s="311">
        <v>0</v>
      </c>
      <c r="R225" s="211">
        <v>0</v>
      </c>
      <c r="S225" s="212" t="s">
        <v>116</v>
      </c>
      <c r="T225" s="213" t="e">
        <v>#DIV/0!</v>
      </c>
      <c r="U225" s="214" t="s">
        <v>116</v>
      </c>
      <c r="V225" s="215" t="s">
        <v>116</v>
      </c>
      <c r="W225" s="310">
        <v>0</v>
      </c>
      <c r="X225" s="311">
        <v>0</v>
      </c>
      <c r="Y225" s="311">
        <v>0</v>
      </c>
      <c r="Z225" s="211">
        <v>0</v>
      </c>
      <c r="AA225" s="212" t="s">
        <v>116</v>
      </c>
      <c r="AB225" s="213" t="e">
        <v>#DIV/0!</v>
      </c>
      <c r="AC225" s="214" t="s">
        <v>116</v>
      </c>
      <c r="AD225" s="215" t="s">
        <v>116</v>
      </c>
      <c r="AE225" s="342" t="s">
        <v>116</v>
      </c>
      <c r="AF225" s="341" t="s">
        <v>116</v>
      </c>
    </row>
    <row r="226" spans="1:32">
      <c r="A226" s="307">
        <v>3</v>
      </c>
      <c r="B226" s="342"/>
      <c r="C226" s="342" t="s">
        <v>222</v>
      </c>
      <c r="D226" s="340" t="s">
        <v>291</v>
      </c>
      <c r="E226" s="342"/>
      <c r="F226" s="345" t="s">
        <v>170</v>
      </c>
      <c r="G226" s="308">
        <v>1</v>
      </c>
      <c r="H226" s="309">
        <v>1580000</v>
      </c>
      <c r="I226" s="309">
        <v>1580000</v>
      </c>
      <c r="J226" s="211">
        <v>1</v>
      </c>
      <c r="K226" s="212" t="str">
        <f>IF(OR(J226="",G226=J226),"","*")</f>
        <v/>
      </c>
      <c r="L226" s="338">
        <f>IF($A226&lt;=L$1,I226/I$4,"")</f>
        <v>0.15491714874007256</v>
      </c>
      <c r="M226" s="343"/>
      <c r="N226" s="344" t="s">
        <v>292</v>
      </c>
      <c r="O226" s="310">
        <v>0</v>
      </c>
      <c r="P226" s="311">
        <v>0</v>
      </c>
      <c r="Q226" s="311">
        <v>0</v>
      </c>
      <c r="R226" s="211">
        <v>0</v>
      </c>
      <c r="S226" s="212" t="s">
        <v>116</v>
      </c>
      <c r="T226" s="213" t="e">
        <v>#DIV/0!</v>
      </c>
      <c r="U226" s="214" t="s">
        <v>116</v>
      </c>
      <c r="V226" s="215" t="s">
        <v>116</v>
      </c>
      <c r="W226" s="310">
        <v>0</v>
      </c>
      <c r="X226" s="311">
        <v>0</v>
      </c>
      <c r="Y226" s="311">
        <v>0</v>
      </c>
      <c r="Z226" s="211">
        <v>0</v>
      </c>
      <c r="AA226" s="212" t="s">
        <v>116</v>
      </c>
      <c r="AB226" s="213" t="e">
        <v>#DIV/0!</v>
      </c>
      <c r="AC226" s="214" t="s">
        <v>116</v>
      </c>
      <c r="AD226" s="215" t="s">
        <v>116</v>
      </c>
      <c r="AE226" s="342" t="s">
        <v>116</v>
      </c>
      <c r="AF226" s="341" t="s">
        <v>116</v>
      </c>
    </row>
    <row r="227" spans="1:32">
      <c r="A227" s="307">
        <v>4</v>
      </c>
      <c r="B227" s="342"/>
      <c r="C227" s="342" t="s">
        <v>180</v>
      </c>
      <c r="D227" s="340" t="s">
        <v>293</v>
      </c>
      <c r="E227" s="342" t="s">
        <v>294</v>
      </c>
      <c r="F227" s="345" t="s">
        <v>295</v>
      </c>
      <c r="G227" s="308">
        <v>4</v>
      </c>
      <c r="H227" s="309">
        <v>25000</v>
      </c>
      <c r="I227" s="309">
        <v>100000</v>
      </c>
      <c r="J227" s="211"/>
      <c r="K227" s="212" t="str">
        <f>IF(OR(J227="",G227=J227),"","*")</f>
        <v/>
      </c>
      <c r="L227" s="338" t="str">
        <f>IF($A227&lt;=L$1,I227/I$4,"")</f>
        <v/>
      </c>
      <c r="M227" s="343"/>
      <c r="N227" s="344"/>
      <c r="O227" s="310">
        <v>0</v>
      </c>
      <c r="P227" s="311">
        <v>0</v>
      </c>
      <c r="Q227" s="311">
        <v>0</v>
      </c>
      <c r="R227" s="211">
        <v>0</v>
      </c>
      <c r="S227" s="212" t="s">
        <v>116</v>
      </c>
      <c r="T227" s="213" t="e">
        <v>#DIV/0!</v>
      </c>
      <c r="U227" s="214" t="s">
        <v>116</v>
      </c>
      <c r="V227" s="215" t="s">
        <v>116</v>
      </c>
      <c r="W227" s="310">
        <v>0</v>
      </c>
      <c r="X227" s="311">
        <v>0</v>
      </c>
      <c r="Y227" s="311">
        <v>0</v>
      </c>
      <c r="Z227" s="211">
        <v>0</v>
      </c>
      <c r="AA227" s="212" t="s">
        <v>116</v>
      </c>
      <c r="AB227" s="213" t="e">
        <v>#DIV/0!</v>
      </c>
      <c r="AC227" s="214" t="s">
        <v>116</v>
      </c>
      <c r="AD227" s="215" t="s">
        <v>116</v>
      </c>
      <c r="AE227" s="342" t="s">
        <v>116</v>
      </c>
      <c r="AF227" s="341" t="s">
        <v>116</v>
      </c>
    </row>
    <row r="228" spans="1:32">
      <c r="A228" s="307">
        <v>4</v>
      </c>
      <c r="B228" s="342"/>
      <c r="C228" s="342" t="s">
        <v>180</v>
      </c>
      <c r="D228" s="340" t="s">
        <v>293</v>
      </c>
      <c r="E228" s="342" t="s">
        <v>296</v>
      </c>
      <c r="F228" s="345" t="s">
        <v>295</v>
      </c>
      <c r="G228" s="308">
        <v>4</v>
      </c>
      <c r="H228" s="309">
        <v>20000</v>
      </c>
      <c r="I228" s="309">
        <v>80000</v>
      </c>
      <c r="J228" s="211"/>
      <c r="K228" s="212" t="str">
        <f>IF(OR(J228="",G228=J228),"","*")</f>
        <v/>
      </c>
      <c r="L228" s="338" t="str">
        <f>IF($A228&lt;=L$1,I228/I$4,"")</f>
        <v/>
      </c>
      <c r="M228" s="343"/>
      <c r="N228" s="344"/>
      <c r="O228" s="310">
        <v>0</v>
      </c>
      <c r="P228" s="311">
        <v>0</v>
      </c>
      <c r="Q228" s="311">
        <v>0</v>
      </c>
      <c r="R228" s="211">
        <v>0</v>
      </c>
      <c r="S228" s="212" t="s">
        <v>116</v>
      </c>
      <c r="T228" s="213" t="e">
        <v>#DIV/0!</v>
      </c>
      <c r="U228" s="214" t="s">
        <v>116</v>
      </c>
      <c r="V228" s="215" t="s">
        <v>116</v>
      </c>
      <c r="W228" s="310">
        <v>0</v>
      </c>
      <c r="X228" s="311">
        <v>0</v>
      </c>
      <c r="Y228" s="311">
        <v>0</v>
      </c>
      <c r="Z228" s="211">
        <v>0</v>
      </c>
      <c r="AA228" s="212" t="s">
        <v>116</v>
      </c>
      <c r="AB228" s="213" t="e">
        <v>#DIV/0!</v>
      </c>
      <c r="AC228" s="214" t="s">
        <v>116</v>
      </c>
      <c r="AD228" s="215" t="s">
        <v>116</v>
      </c>
      <c r="AE228" s="342" t="s">
        <v>116</v>
      </c>
      <c r="AF228" s="341" t="s">
        <v>116</v>
      </c>
    </row>
    <row r="229" spans="1:32">
      <c r="A229" s="307">
        <v>4</v>
      </c>
      <c r="B229" s="342"/>
      <c r="C229" s="342" t="s">
        <v>180</v>
      </c>
      <c r="D229" s="340" t="s">
        <v>293</v>
      </c>
      <c r="E229" s="342" t="s">
        <v>297</v>
      </c>
      <c r="F229" s="345" t="s">
        <v>295</v>
      </c>
      <c r="G229" s="308">
        <v>2</v>
      </c>
      <c r="H229" s="309">
        <v>20000</v>
      </c>
      <c r="I229" s="309">
        <v>40000</v>
      </c>
      <c r="J229" s="211"/>
      <c r="K229" s="212" t="str">
        <f>IF(OR(J229="",G229=J229),"","*")</f>
        <v/>
      </c>
      <c r="L229" s="338" t="str">
        <f>IF($A229&lt;=L$1,I229/I$4,"")</f>
        <v/>
      </c>
      <c r="M229" s="343"/>
      <c r="N229" s="344"/>
      <c r="O229" s="310">
        <v>0</v>
      </c>
      <c r="P229" s="311">
        <v>0</v>
      </c>
      <c r="Q229" s="311">
        <v>0</v>
      </c>
      <c r="R229" s="211">
        <v>0</v>
      </c>
      <c r="S229" s="212" t="s">
        <v>116</v>
      </c>
      <c r="T229" s="213" t="e">
        <v>#DIV/0!</v>
      </c>
      <c r="U229" s="214" t="s">
        <v>116</v>
      </c>
      <c r="V229" s="215" t="s">
        <v>116</v>
      </c>
      <c r="W229" s="310">
        <v>0</v>
      </c>
      <c r="X229" s="311">
        <v>0</v>
      </c>
      <c r="Y229" s="311">
        <v>0</v>
      </c>
      <c r="Z229" s="211">
        <v>0</v>
      </c>
      <c r="AA229" s="212" t="s">
        <v>116</v>
      </c>
      <c r="AB229" s="213" t="e">
        <v>#DIV/0!</v>
      </c>
      <c r="AC229" s="214" t="s">
        <v>116</v>
      </c>
      <c r="AD229" s="215" t="s">
        <v>116</v>
      </c>
      <c r="AE229" s="342" t="s">
        <v>116</v>
      </c>
      <c r="AF229" s="341" t="s">
        <v>116</v>
      </c>
    </row>
    <row r="230" spans="1:32">
      <c r="A230" s="307">
        <v>4</v>
      </c>
      <c r="B230" s="342"/>
      <c r="C230" s="342" t="s">
        <v>181</v>
      </c>
      <c r="D230" s="340" t="s">
        <v>298</v>
      </c>
      <c r="E230" s="342" t="s">
        <v>299</v>
      </c>
      <c r="F230" s="345" t="s">
        <v>170</v>
      </c>
      <c r="G230" s="308">
        <v>1</v>
      </c>
      <c r="H230" s="309">
        <v>500000</v>
      </c>
      <c r="I230" s="309">
        <v>500000</v>
      </c>
      <c r="J230" s="211"/>
      <c r="K230" s="212" t="str">
        <f>IF(OR(J230="",G230=J230),"","*")</f>
        <v/>
      </c>
      <c r="L230" s="338" t="str">
        <f>IF($A230&lt;=L$1,I230/I$4,"")</f>
        <v/>
      </c>
      <c r="M230" s="343"/>
      <c r="N230" s="344"/>
      <c r="O230" s="310">
        <v>0</v>
      </c>
      <c r="P230" s="311">
        <v>0</v>
      </c>
      <c r="Q230" s="311">
        <v>0</v>
      </c>
      <c r="R230" s="211">
        <v>0</v>
      </c>
      <c r="S230" s="212" t="s">
        <v>116</v>
      </c>
      <c r="T230" s="213" t="e">
        <v>#DIV/0!</v>
      </c>
      <c r="U230" s="214" t="s">
        <v>116</v>
      </c>
      <c r="V230" s="215" t="s">
        <v>116</v>
      </c>
      <c r="W230" s="310">
        <v>0</v>
      </c>
      <c r="X230" s="311">
        <v>0</v>
      </c>
      <c r="Y230" s="311">
        <v>0</v>
      </c>
      <c r="Z230" s="211">
        <v>0</v>
      </c>
      <c r="AA230" s="212" t="s">
        <v>116</v>
      </c>
      <c r="AB230" s="213" t="e">
        <v>#DIV/0!</v>
      </c>
      <c r="AC230" s="214" t="s">
        <v>116</v>
      </c>
      <c r="AD230" s="215" t="s">
        <v>116</v>
      </c>
      <c r="AE230" s="342" t="s">
        <v>116</v>
      </c>
      <c r="AF230" s="341" t="s">
        <v>116</v>
      </c>
    </row>
    <row r="231" spans="1:32">
      <c r="A231" s="307">
        <v>4</v>
      </c>
      <c r="B231" s="342"/>
      <c r="C231" s="342" t="s">
        <v>181</v>
      </c>
      <c r="D231" s="340" t="s">
        <v>298</v>
      </c>
      <c r="E231" s="342" t="s">
        <v>300</v>
      </c>
      <c r="F231" s="345" t="s">
        <v>170</v>
      </c>
      <c r="G231" s="308">
        <v>1</v>
      </c>
      <c r="H231" s="309">
        <v>20000</v>
      </c>
      <c r="I231" s="309">
        <v>20000</v>
      </c>
      <c r="J231" s="211"/>
      <c r="K231" s="212" t="str">
        <f>IF(OR(J231="",G231=J231),"","*")</f>
        <v/>
      </c>
      <c r="L231" s="338" t="str">
        <f>IF($A231&lt;=L$1,I231/I$4,"")</f>
        <v/>
      </c>
      <c r="M231" s="343"/>
      <c r="N231" s="344"/>
      <c r="O231" s="310">
        <v>0</v>
      </c>
      <c r="P231" s="311">
        <v>0</v>
      </c>
      <c r="Q231" s="311">
        <v>0</v>
      </c>
      <c r="R231" s="211">
        <v>0</v>
      </c>
      <c r="S231" s="212" t="s">
        <v>116</v>
      </c>
      <c r="T231" s="213" t="e">
        <v>#DIV/0!</v>
      </c>
      <c r="U231" s="214" t="s">
        <v>116</v>
      </c>
      <c r="V231" s="215" t="s">
        <v>116</v>
      </c>
      <c r="W231" s="310">
        <v>0</v>
      </c>
      <c r="X231" s="311">
        <v>0</v>
      </c>
      <c r="Y231" s="311">
        <v>0</v>
      </c>
      <c r="Z231" s="211">
        <v>0</v>
      </c>
      <c r="AA231" s="212" t="s">
        <v>116</v>
      </c>
      <c r="AB231" s="213" t="e">
        <v>#DIV/0!</v>
      </c>
      <c r="AC231" s="214" t="s">
        <v>116</v>
      </c>
      <c r="AD231" s="215" t="s">
        <v>116</v>
      </c>
      <c r="AE231" s="342" t="s">
        <v>116</v>
      </c>
      <c r="AF231" s="341" t="s">
        <v>116</v>
      </c>
    </row>
    <row r="232" spans="1:32">
      <c r="A232" s="307">
        <v>4</v>
      </c>
      <c r="B232" s="342"/>
      <c r="C232" s="342" t="s">
        <v>181</v>
      </c>
      <c r="D232" s="340" t="s">
        <v>301</v>
      </c>
      <c r="E232" s="342"/>
      <c r="F232" s="345" t="s">
        <v>227</v>
      </c>
      <c r="G232" s="308">
        <v>15</v>
      </c>
      <c r="H232" s="309">
        <v>50000</v>
      </c>
      <c r="I232" s="309">
        <v>750000</v>
      </c>
      <c r="J232" s="211"/>
      <c r="K232" s="212" t="str">
        <f>IF(OR(J232="",G232=J232),"","*")</f>
        <v/>
      </c>
      <c r="L232" s="338" t="str">
        <f>IF($A232&lt;=L$1,I232/I$4,"")</f>
        <v/>
      </c>
      <c r="M232" s="343"/>
      <c r="N232" s="344"/>
      <c r="O232" s="310">
        <v>0</v>
      </c>
      <c r="P232" s="311">
        <v>0</v>
      </c>
      <c r="Q232" s="311">
        <v>0</v>
      </c>
      <c r="R232" s="211">
        <v>0</v>
      </c>
      <c r="S232" s="212" t="s">
        <v>116</v>
      </c>
      <c r="T232" s="213" t="e">
        <v>#DIV/0!</v>
      </c>
      <c r="U232" s="214" t="s">
        <v>116</v>
      </c>
      <c r="V232" s="215" t="s">
        <v>116</v>
      </c>
      <c r="W232" s="310">
        <v>0</v>
      </c>
      <c r="X232" s="311">
        <v>0</v>
      </c>
      <c r="Y232" s="311">
        <v>0</v>
      </c>
      <c r="Z232" s="211">
        <v>0</v>
      </c>
      <c r="AA232" s="212" t="s">
        <v>116</v>
      </c>
      <c r="AB232" s="213" t="e">
        <v>#DIV/0!</v>
      </c>
      <c r="AC232" s="214" t="s">
        <v>116</v>
      </c>
      <c r="AD232" s="215" t="s">
        <v>116</v>
      </c>
      <c r="AE232" s="342" t="s">
        <v>116</v>
      </c>
      <c r="AF232" s="341" t="s">
        <v>116</v>
      </c>
    </row>
    <row r="233" spans="1:32">
      <c r="A233" s="307">
        <v>4</v>
      </c>
      <c r="B233" s="342"/>
      <c r="C233" s="342" t="s">
        <v>181</v>
      </c>
      <c r="D233" s="340" t="s">
        <v>302</v>
      </c>
      <c r="E233" s="342" t="s">
        <v>303</v>
      </c>
      <c r="F233" s="345" t="s">
        <v>227</v>
      </c>
      <c r="G233" s="308">
        <v>3</v>
      </c>
      <c r="H233" s="309">
        <v>30000</v>
      </c>
      <c r="I233" s="309">
        <v>90000</v>
      </c>
      <c r="J233" s="211"/>
      <c r="K233" s="212" t="str">
        <f>IF(OR(J233="",G233=J233),"","*")</f>
        <v/>
      </c>
      <c r="L233" s="338" t="str">
        <f>IF($A233&lt;=L$1,I233/I$4,"")</f>
        <v/>
      </c>
      <c r="M233" s="343"/>
      <c r="N233" s="344"/>
      <c r="O233" s="310">
        <v>0</v>
      </c>
      <c r="P233" s="311">
        <v>0</v>
      </c>
      <c r="Q233" s="311">
        <v>0</v>
      </c>
      <c r="R233" s="211">
        <v>0</v>
      </c>
      <c r="S233" s="212" t="s">
        <v>116</v>
      </c>
      <c r="T233" s="213" t="e">
        <v>#DIV/0!</v>
      </c>
      <c r="U233" s="214" t="s">
        <v>116</v>
      </c>
      <c r="V233" s="215" t="s">
        <v>116</v>
      </c>
      <c r="W233" s="310">
        <v>0</v>
      </c>
      <c r="X233" s="311">
        <v>0</v>
      </c>
      <c r="Y233" s="311">
        <v>0</v>
      </c>
      <c r="Z233" s="211">
        <v>0</v>
      </c>
      <c r="AA233" s="212" t="s">
        <v>116</v>
      </c>
      <c r="AB233" s="213" t="e">
        <v>#DIV/0!</v>
      </c>
      <c r="AC233" s="214" t="s">
        <v>116</v>
      </c>
      <c r="AD233" s="215" t="s">
        <v>116</v>
      </c>
      <c r="AE233" s="342" t="s">
        <v>116</v>
      </c>
      <c r="AF233" s="341" t="s">
        <v>116</v>
      </c>
    </row>
    <row r="234" spans="1:32">
      <c r="A234" s="217"/>
      <c r="B234" s="217"/>
      <c r="C234" s="312"/>
      <c r="D234" s="217"/>
      <c r="E234" s="217"/>
      <c r="F234" s="218"/>
      <c r="G234" s="217"/>
      <c r="H234" s="217"/>
      <c r="I234" s="217"/>
      <c r="J234" s="217"/>
      <c r="K234" s="218"/>
      <c r="L234" s="217"/>
      <c r="M234" s="217"/>
      <c r="N234" s="217"/>
      <c r="O234" s="217"/>
      <c r="P234" s="217"/>
      <c r="Q234" s="217"/>
      <c r="R234" s="217"/>
      <c r="S234" s="218"/>
      <c r="T234" s="217"/>
      <c r="U234" s="217"/>
      <c r="V234" s="217"/>
      <c r="W234" s="217"/>
      <c r="X234" s="217"/>
      <c r="Y234" s="217"/>
      <c r="Z234" s="217"/>
      <c r="AA234" s="218"/>
      <c r="AB234" s="217"/>
      <c r="AC234" s="217"/>
      <c r="AD234" s="217"/>
      <c r="AE234" s="217"/>
      <c r="AF234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233 AF4:AF233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233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161</v>
      </c>
      <c r="D4" s="315"/>
      <c r="E4" s="120"/>
      <c r="F4" s="119" t="s">
        <v>167</v>
      </c>
      <c r="G4" s="316"/>
      <c r="H4" s="69"/>
    </row>
    <row r="5" spans="1:8" ht="27" customHeight="1">
      <c r="A5" s="69"/>
      <c r="B5" s="118"/>
      <c r="C5" s="119" t="s">
        <v>162</v>
      </c>
      <c r="D5" s="315"/>
      <c r="E5" s="120"/>
      <c r="F5" s="119" t="s">
        <v>168</v>
      </c>
      <c r="G5" s="316"/>
      <c r="H5" s="69"/>
    </row>
    <row r="6" spans="1:8" ht="27" customHeight="1">
      <c r="A6" s="69"/>
      <c r="B6" s="118"/>
      <c r="C6" s="119" t="s">
        <v>163</v>
      </c>
      <c r="D6" s="315"/>
      <c r="E6" s="120"/>
      <c r="F6" s="119" t="s">
        <v>305</v>
      </c>
      <c r="G6" s="316"/>
      <c r="H6" s="69"/>
    </row>
    <row r="7" spans="1:8" ht="27" customHeight="1">
      <c r="A7" s="69"/>
      <c r="B7" s="118"/>
      <c r="C7" s="119" t="s">
        <v>164</v>
      </c>
      <c r="D7" s="315"/>
      <c r="E7" s="120"/>
      <c r="F7" s="119" t="s">
        <v>306</v>
      </c>
      <c r="G7" s="316"/>
      <c r="H7" s="69"/>
    </row>
    <row r="8" spans="1:8" ht="27" customHeight="1">
      <c r="A8" s="69"/>
      <c r="B8" s="118"/>
      <c r="C8" s="119" t="s">
        <v>165</v>
      </c>
      <c r="D8" s="315"/>
      <c r="E8" s="120"/>
      <c r="F8" s="119" t="s">
        <v>307</v>
      </c>
      <c r="G8" s="316"/>
      <c r="H8" s="69"/>
    </row>
    <row r="9" spans="1:8" ht="27" customHeight="1">
      <c r="A9" s="69"/>
      <c r="B9" s="118"/>
      <c r="C9" s="119" t="s">
        <v>166</v>
      </c>
      <c r="D9" s="315"/>
      <c r="E9" s="120"/>
      <c r="F9" s="119" t="s">
        <v>308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309</v>
      </c>
      <c r="G10" s="316"/>
      <c r="H10" s="69"/>
    </row>
    <row r="11" spans="1:8" ht="27" customHeight="1">
      <c r="A11" s="69"/>
      <c r="B11" s="118"/>
      <c r="C11" s="119" t="s">
        <v>214</v>
      </c>
      <c r="D11" s="315"/>
      <c r="E11" s="120"/>
      <c r="F11" s="119" t="s">
        <v>310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214</v>
      </c>
      <c r="G13" s="316"/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159</v>
      </c>
      <c r="H3" s="128" t="s">
        <v>177</v>
      </c>
      <c r="I3" s="128" t="s">
        <v>178</v>
      </c>
      <c r="J3" s="128" t="s">
        <v>179</v>
      </c>
      <c r="K3" s="128" t="s">
        <v>180</v>
      </c>
      <c r="L3" s="128" t="s">
        <v>160</v>
      </c>
      <c r="M3" s="128" t="s">
        <v>181</v>
      </c>
      <c r="N3" s="129" t="s">
        <v>182</v>
      </c>
      <c r="O3" s="69"/>
    </row>
    <row r="4" spans="1:15" ht="30" customHeight="1">
      <c r="A4" s="69"/>
      <c r="B4" s="130" t="s">
        <v>161</v>
      </c>
      <c r="C4" s="131" t="s">
        <v>170</v>
      </c>
      <c r="D4" s="320">
        <v>1</v>
      </c>
      <c r="E4" s="321"/>
      <c r="F4" s="322"/>
      <c r="G4" s="323"/>
      <c r="H4" s="324"/>
      <c r="I4" s="324"/>
      <c r="J4" s="324"/>
      <c r="K4" s="324"/>
      <c r="L4" s="324"/>
      <c r="M4" s="324"/>
      <c r="N4" s="325"/>
      <c r="O4" s="69"/>
    </row>
    <row r="5" spans="1:15" ht="30" customHeight="1">
      <c r="A5" s="69"/>
      <c r="B5" s="130" t="s">
        <v>162</v>
      </c>
      <c r="C5" s="131" t="s">
        <v>170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163</v>
      </c>
      <c r="C6" s="131" t="s">
        <v>170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164</v>
      </c>
      <c r="C7" s="131" t="s">
        <v>170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165</v>
      </c>
      <c r="C8" s="131" t="s">
        <v>170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166</v>
      </c>
      <c r="C9" s="131" t="s">
        <v>170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214</v>
      </c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2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島ヶ原カントリークラブ冬季工事</v>
      </c>
      <c r="G1" s="306"/>
      <c r="H1" s="190" t="s">
        <v>130</v>
      </c>
      <c r="I1" s="333">
        <v>12000000</v>
      </c>
      <c r="J1" s="339">
        <f>I4/I$1</f>
        <v>0.84991666666666665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304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216</v>
      </c>
      <c r="D4" s="340" t="s">
        <v>183</v>
      </c>
      <c r="E4" s="342"/>
      <c r="F4" s="345" t="s">
        <v>170</v>
      </c>
      <c r="G4" s="308">
        <v>1</v>
      </c>
      <c r="H4" s="309">
        <v>10199000</v>
      </c>
      <c r="I4" s="309">
        <v>10199000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116</v>
      </c>
      <c r="T4" s="343" t="e">
        <v>#DIV/0!</v>
      </c>
      <c r="U4" s="343" t="s">
        <v>116</v>
      </c>
      <c r="V4" s="344" t="s">
        <v>116</v>
      </c>
      <c r="W4" s="346">
        <v>0</v>
      </c>
      <c r="X4" s="347">
        <v>0</v>
      </c>
      <c r="Y4" s="347">
        <v>0</v>
      </c>
      <c r="Z4" s="348">
        <v>0</v>
      </c>
      <c r="AA4" s="349" t="s">
        <v>116</v>
      </c>
      <c r="AB4" s="343" t="e">
        <v>#DIV/0!</v>
      </c>
      <c r="AC4" s="343" t="s">
        <v>116</v>
      </c>
      <c r="AD4" s="344" t="s">
        <v>116</v>
      </c>
      <c r="AE4" s="342"/>
      <c r="AF4" s="341" t="s">
        <v>116</v>
      </c>
    </row>
    <row r="5" spans="1:32">
      <c r="A5" s="307">
        <v>1</v>
      </c>
      <c r="B5" s="342"/>
      <c r="C5" s="342" t="s">
        <v>217</v>
      </c>
      <c r="D5" s="340" t="s">
        <v>311</v>
      </c>
      <c r="E5" s="342"/>
      <c r="F5" s="345" t="s">
        <v>170</v>
      </c>
      <c r="G5" s="308">
        <v>1</v>
      </c>
      <c r="H5" s="309">
        <v>0</v>
      </c>
      <c r="I5" s="309">
        <v>0</v>
      </c>
      <c r="J5" s="211"/>
      <c r="K5" s="212" t="str">
        <f>IF(OR(J5="",G5=J5),"","*")</f>
        <v/>
      </c>
      <c r="L5" s="338">
        <f>IF($A5&lt;=L$1,I5/I$4,"")</f>
        <v>0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116</v>
      </c>
      <c r="T5" s="343" t="e">
        <v>#DIV/0!</v>
      </c>
      <c r="U5" s="343" t="s">
        <v>116</v>
      </c>
      <c r="V5" s="344" t="s">
        <v>116</v>
      </c>
      <c r="W5" s="346">
        <v>0</v>
      </c>
      <c r="X5" s="347">
        <v>0</v>
      </c>
      <c r="Y5" s="347">
        <v>0</v>
      </c>
      <c r="Z5" s="348">
        <v>0</v>
      </c>
      <c r="AA5" s="349" t="s">
        <v>116</v>
      </c>
      <c r="AB5" s="343" t="e">
        <v>#DIV/0!</v>
      </c>
      <c r="AC5" s="343" t="s">
        <v>116</v>
      </c>
      <c r="AD5" s="344" t="s">
        <v>116</v>
      </c>
      <c r="AE5" s="342"/>
      <c r="AF5" s="341" t="s">
        <v>116</v>
      </c>
    </row>
    <row r="6" spans="1:32">
      <c r="A6" s="307">
        <v>2</v>
      </c>
      <c r="B6" s="342"/>
      <c r="C6" s="342" t="s">
        <v>219</v>
      </c>
      <c r="D6" s="340" t="s">
        <v>312</v>
      </c>
      <c r="E6" s="342"/>
      <c r="F6" s="345" t="s">
        <v>170</v>
      </c>
      <c r="G6" s="308">
        <v>1</v>
      </c>
      <c r="H6" s="309">
        <v>0</v>
      </c>
      <c r="I6" s="309">
        <v>0</v>
      </c>
      <c r="J6" s="211">
        <v>1</v>
      </c>
      <c r="K6" s="212" t="str">
        <f>IF(OR(J6="",G6=J6),"","*")</f>
        <v/>
      </c>
      <c r="L6" s="338">
        <f>IF($A6&lt;=L$1,I6/I$4,"")</f>
        <v>0</v>
      </c>
      <c r="M6" s="343"/>
      <c r="N6" s="344" t="s">
        <v>313</v>
      </c>
      <c r="O6" s="346">
        <v>0</v>
      </c>
      <c r="P6" s="347">
        <v>0</v>
      </c>
      <c r="Q6" s="347">
        <v>0</v>
      </c>
      <c r="R6" s="348">
        <v>0</v>
      </c>
      <c r="S6" s="349" t="s">
        <v>116</v>
      </c>
      <c r="T6" s="343" t="e">
        <v>#DIV/0!</v>
      </c>
      <c r="U6" s="343" t="s">
        <v>116</v>
      </c>
      <c r="V6" s="344" t="s">
        <v>116</v>
      </c>
      <c r="W6" s="346">
        <v>0</v>
      </c>
      <c r="X6" s="347">
        <v>0</v>
      </c>
      <c r="Y6" s="347">
        <v>0</v>
      </c>
      <c r="Z6" s="348">
        <v>0</v>
      </c>
      <c r="AA6" s="349" t="s">
        <v>116</v>
      </c>
      <c r="AB6" s="343" t="e">
        <v>#DIV/0!</v>
      </c>
      <c r="AC6" s="343" t="s">
        <v>116</v>
      </c>
      <c r="AD6" s="344" t="s">
        <v>116</v>
      </c>
      <c r="AE6" s="342"/>
      <c r="AF6" s="341" t="s">
        <v>116</v>
      </c>
    </row>
    <row r="7" spans="1:32">
      <c r="A7" s="307">
        <v>2</v>
      </c>
      <c r="B7" s="342"/>
      <c r="C7" s="342" t="s">
        <v>219</v>
      </c>
      <c r="D7" s="340" t="s">
        <v>314</v>
      </c>
      <c r="E7" s="342" t="s">
        <v>171</v>
      </c>
      <c r="F7" s="345" t="s">
        <v>170</v>
      </c>
      <c r="G7" s="308">
        <v>1</v>
      </c>
      <c r="H7" s="309">
        <v>0</v>
      </c>
      <c r="I7" s="309">
        <v>0</v>
      </c>
      <c r="J7" s="211">
        <v>1</v>
      </c>
      <c r="K7" s="212" t="str">
        <f>IF(OR(J7="",G7=J7),"","*")</f>
        <v/>
      </c>
      <c r="L7" s="338">
        <f>IF($A7&lt;=L$1,I7/I$4,"")</f>
        <v>0</v>
      </c>
      <c r="M7" s="343"/>
      <c r="N7" s="344" t="s">
        <v>315</v>
      </c>
      <c r="O7" s="346">
        <v>0</v>
      </c>
      <c r="P7" s="347">
        <v>0</v>
      </c>
      <c r="Q7" s="347">
        <v>0</v>
      </c>
      <c r="R7" s="348">
        <v>0</v>
      </c>
      <c r="S7" s="349" t="s">
        <v>116</v>
      </c>
      <c r="T7" s="343" t="e">
        <v>#DIV/0!</v>
      </c>
      <c r="U7" s="343" t="s">
        <v>116</v>
      </c>
      <c r="V7" s="344" t="s">
        <v>116</v>
      </c>
      <c r="W7" s="346">
        <v>0</v>
      </c>
      <c r="X7" s="347">
        <v>0</v>
      </c>
      <c r="Y7" s="347">
        <v>0</v>
      </c>
      <c r="Z7" s="348">
        <v>0</v>
      </c>
      <c r="AA7" s="349" t="s">
        <v>116</v>
      </c>
      <c r="AB7" s="343" t="e">
        <v>#DIV/0!</v>
      </c>
      <c r="AC7" s="343" t="s">
        <v>116</v>
      </c>
      <c r="AD7" s="344" t="s">
        <v>116</v>
      </c>
      <c r="AE7" s="342"/>
      <c r="AF7" s="341" t="s">
        <v>116</v>
      </c>
    </row>
    <row r="8" spans="1:32">
      <c r="A8" s="307">
        <v>2</v>
      </c>
      <c r="B8" s="342"/>
      <c r="C8" s="342" t="s">
        <v>219</v>
      </c>
      <c r="D8" s="340" t="s">
        <v>316</v>
      </c>
      <c r="E8" s="342" t="s">
        <v>172</v>
      </c>
      <c r="F8" s="345" t="s">
        <v>170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317</v>
      </c>
      <c r="O8" s="346">
        <v>0</v>
      </c>
      <c r="P8" s="347">
        <v>0</v>
      </c>
      <c r="Q8" s="347">
        <v>0</v>
      </c>
      <c r="R8" s="348">
        <v>0</v>
      </c>
      <c r="S8" s="349" t="s">
        <v>116</v>
      </c>
      <c r="T8" s="343" t="e">
        <v>#DIV/0!</v>
      </c>
      <c r="U8" s="343" t="s">
        <v>116</v>
      </c>
      <c r="V8" s="344" t="s">
        <v>116</v>
      </c>
      <c r="W8" s="346">
        <v>0</v>
      </c>
      <c r="X8" s="347">
        <v>0</v>
      </c>
      <c r="Y8" s="347">
        <v>0</v>
      </c>
      <c r="Z8" s="348">
        <v>0</v>
      </c>
      <c r="AA8" s="349" t="s">
        <v>116</v>
      </c>
      <c r="AB8" s="343" t="e">
        <v>#DIV/0!</v>
      </c>
      <c r="AC8" s="343" t="s">
        <v>116</v>
      </c>
      <c r="AD8" s="344" t="s">
        <v>116</v>
      </c>
      <c r="AE8" s="342"/>
      <c r="AF8" s="341" t="s">
        <v>116</v>
      </c>
    </row>
    <row r="9" spans="1:32">
      <c r="A9" s="307">
        <v>2</v>
      </c>
      <c r="B9" s="342"/>
      <c r="C9" s="342" t="s">
        <v>219</v>
      </c>
      <c r="D9" s="340" t="s">
        <v>318</v>
      </c>
      <c r="E9" s="342" t="s">
        <v>173</v>
      </c>
      <c r="F9" s="345" t="s">
        <v>170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319</v>
      </c>
      <c r="O9" s="346">
        <v>0</v>
      </c>
      <c r="P9" s="347">
        <v>0</v>
      </c>
      <c r="Q9" s="347">
        <v>0</v>
      </c>
      <c r="R9" s="348">
        <v>0</v>
      </c>
      <c r="S9" s="349" t="s">
        <v>116</v>
      </c>
      <c r="T9" s="343" t="e">
        <v>#DIV/0!</v>
      </c>
      <c r="U9" s="343" t="s">
        <v>116</v>
      </c>
      <c r="V9" s="344" t="s">
        <v>116</v>
      </c>
      <c r="W9" s="346">
        <v>0</v>
      </c>
      <c r="X9" s="347">
        <v>0</v>
      </c>
      <c r="Y9" s="347">
        <v>0</v>
      </c>
      <c r="Z9" s="348">
        <v>0</v>
      </c>
      <c r="AA9" s="349" t="s">
        <v>116</v>
      </c>
      <c r="AB9" s="343" t="e">
        <v>#DIV/0!</v>
      </c>
      <c r="AC9" s="343" t="s">
        <v>116</v>
      </c>
      <c r="AD9" s="344" t="s">
        <v>116</v>
      </c>
      <c r="AE9" s="342"/>
      <c r="AF9" s="341" t="s">
        <v>116</v>
      </c>
    </row>
    <row r="10" spans="1:32">
      <c r="A10" s="307">
        <v>2</v>
      </c>
      <c r="B10" s="342"/>
      <c r="C10" s="342" t="s">
        <v>219</v>
      </c>
      <c r="D10" s="340" t="s">
        <v>320</v>
      </c>
      <c r="E10" s="342" t="s">
        <v>174</v>
      </c>
      <c r="F10" s="345" t="s">
        <v>170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321</v>
      </c>
      <c r="O10" s="346">
        <v>0</v>
      </c>
      <c r="P10" s="347">
        <v>0</v>
      </c>
      <c r="Q10" s="347">
        <v>0</v>
      </c>
      <c r="R10" s="348">
        <v>0</v>
      </c>
      <c r="S10" s="349" t="s">
        <v>116</v>
      </c>
      <c r="T10" s="343" t="e">
        <v>#DIV/0!</v>
      </c>
      <c r="U10" s="343" t="s">
        <v>116</v>
      </c>
      <c r="V10" s="344" t="s">
        <v>116</v>
      </c>
      <c r="W10" s="346">
        <v>0</v>
      </c>
      <c r="X10" s="347">
        <v>0</v>
      </c>
      <c r="Y10" s="347">
        <v>0</v>
      </c>
      <c r="Z10" s="348">
        <v>0</v>
      </c>
      <c r="AA10" s="349" t="s">
        <v>116</v>
      </c>
      <c r="AB10" s="343" t="e">
        <v>#DIV/0!</v>
      </c>
      <c r="AC10" s="343" t="s">
        <v>116</v>
      </c>
      <c r="AD10" s="344" t="s">
        <v>116</v>
      </c>
      <c r="AE10" s="342"/>
      <c r="AF10" s="341" t="s">
        <v>116</v>
      </c>
    </row>
    <row r="11" spans="1:32">
      <c r="A11" s="307">
        <v>2</v>
      </c>
      <c r="B11" s="342"/>
      <c r="C11" s="342" t="s">
        <v>219</v>
      </c>
      <c r="D11" s="340" t="s">
        <v>322</v>
      </c>
      <c r="E11" s="342" t="s">
        <v>175</v>
      </c>
      <c r="F11" s="345" t="s">
        <v>170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323</v>
      </c>
      <c r="O11" s="346">
        <v>0</v>
      </c>
      <c r="P11" s="347">
        <v>0</v>
      </c>
      <c r="Q11" s="347">
        <v>0</v>
      </c>
      <c r="R11" s="348">
        <v>0</v>
      </c>
      <c r="S11" s="349" t="s">
        <v>116</v>
      </c>
      <c r="T11" s="343" t="e">
        <v>#DIV/0!</v>
      </c>
      <c r="U11" s="343" t="s">
        <v>116</v>
      </c>
      <c r="V11" s="344" t="s">
        <v>116</v>
      </c>
      <c r="W11" s="346">
        <v>0</v>
      </c>
      <c r="X11" s="347">
        <v>0</v>
      </c>
      <c r="Y11" s="347">
        <v>0</v>
      </c>
      <c r="Z11" s="348">
        <v>0</v>
      </c>
      <c r="AA11" s="349" t="s">
        <v>116</v>
      </c>
      <c r="AB11" s="343" t="e">
        <v>#DIV/0!</v>
      </c>
      <c r="AC11" s="343" t="s">
        <v>116</v>
      </c>
      <c r="AD11" s="344" t="s">
        <v>116</v>
      </c>
      <c r="AE11" s="342"/>
      <c r="AF11" s="341" t="s">
        <v>116</v>
      </c>
    </row>
    <row r="12" spans="1:32">
      <c r="A12" s="217"/>
      <c r="B12" s="217"/>
      <c r="C12" s="312"/>
      <c r="D12" s="217"/>
      <c r="E12" s="217"/>
      <c r="F12" s="218"/>
      <c r="G12" s="217"/>
      <c r="H12" s="217"/>
      <c r="I12" s="217"/>
      <c r="J12" s="217"/>
      <c r="K12" s="218"/>
      <c r="L12" s="217"/>
      <c r="M12" s="217"/>
      <c r="N12" s="217"/>
      <c r="O12" s="217"/>
      <c r="P12" s="217"/>
      <c r="Q12" s="217"/>
      <c r="R12" s="217"/>
      <c r="S12" s="218"/>
      <c r="T12" s="217"/>
      <c r="U12" s="217"/>
      <c r="V12" s="217"/>
      <c r="W12" s="217"/>
      <c r="X12" s="217"/>
      <c r="Y12" s="217"/>
      <c r="Z12" s="217"/>
      <c r="AA12" s="218"/>
      <c r="AB12" s="217"/>
      <c r="AC12" s="217"/>
      <c r="AD12" s="217"/>
      <c r="AE12" s="217"/>
      <c r="AF12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1 AF4:AF11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1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167</v>
      </c>
      <c r="C3" s="561"/>
      <c r="D3" s="563" t="s">
        <v>170</v>
      </c>
      <c r="E3" s="565">
        <v>1</v>
      </c>
      <c r="F3" s="521"/>
      <c r="G3" s="557"/>
      <c r="H3" s="138" t="s">
        <v>324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196</v>
      </c>
      <c r="I4" s="69"/>
    </row>
    <row r="5" spans="1:9" ht="15.75" customHeight="1">
      <c r="A5" s="69"/>
      <c r="B5" s="559" t="s">
        <v>168</v>
      </c>
      <c r="C5" s="561" t="s">
        <v>176</v>
      </c>
      <c r="D5" s="563" t="s">
        <v>170</v>
      </c>
      <c r="E5" s="565">
        <v>1</v>
      </c>
      <c r="F5" s="521"/>
      <c r="G5" s="557"/>
      <c r="H5" s="138" t="s">
        <v>325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196</v>
      </c>
      <c r="I6" s="69"/>
    </row>
    <row r="7" spans="1:9" ht="15.75" customHeight="1">
      <c r="A7" s="69"/>
      <c r="B7" s="559" t="s">
        <v>305</v>
      </c>
      <c r="C7" s="561"/>
      <c r="D7" s="563" t="s">
        <v>170</v>
      </c>
      <c r="E7" s="565">
        <v>1</v>
      </c>
      <c r="F7" s="521"/>
      <c r="G7" s="557"/>
      <c r="H7" s="138" t="s">
        <v>326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196</v>
      </c>
      <c r="I8" s="69"/>
    </row>
    <row r="9" spans="1:9" ht="15.75" customHeight="1">
      <c r="A9" s="69"/>
      <c r="B9" s="559" t="s">
        <v>306</v>
      </c>
      <c r="C9" s="561" t="s">
        <v>327</v>
      </c>
      <c r="D9" s="563" t="s">
        <v>170</v>
      </c>
      <c r="E9" s="565">
        <v>1</v>
      </c>
      <c r="F9" s="521"/>
      <c r="G9" s="557"/>
      <c r="H9" s="138" t="s">
        <v>328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196</v>
      </c>
      <c r="I10" s="69"/>
    </row>
    <row r="11" spans="1:9" ht="15.75" customHeight="1">
      <c r="A11" s="69"/>
      <c r="B11" s="559" t="s">
        <v>307</v>
      </c>
      <c r="C11" s="561" t="s">
        <v>329</v>
      </c>
      <c r="D11" s="563" t="s">
        <v>170</v>
      </c>
      <c r="E11" s="565">
        <v>1</v>
      </c>
      <c r="F11" s="521"/>
      <c r="G11" s="557"/>
      <c r="H11" s="138" t="s">
        <v>330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196</v>
      </c>
      <c r="I12" s="69"/>
    </row>
    <row r="13" spans="1:9" ht="15.75" customHeight="1">
      <c r="A13" s="69"/>
      <c r="B13" s="559" t="s">
        <v>308</v>
      </c>
      <c r="C13" s="561" t="s">
        <v>331</v>
      </c>
      <c r="D13" s="563" t="s">
        <v>170</v>
      </c>
      <c r="E13" s="565">
        <v>1</v>
      </c>
      <c r="F13" s="521"/>
      <c r="G13" s="557"/>
      <c r="H13" s="138" t="s">
        <v>332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196</v>
      </c>
      <c r="I14" s="69"/>
    </row>
    <row r="15" spans="1:9" ht="15.75" customHeight="1">
      <c r="A15" s="69"/>
      <c r="B15" s="559" t="s">
        <v>309</v>
      </c>
      <c r="C15" s="561" t="s">
        <v>333</v>
      </c>
      <c r="D15" s="563" t="s">
        <v>170</v>
      </c>
      <c r="E15" s="565">
        <v>1</v>
      </c>
      <c r="F15" s="521"/>
      <c r="G15" s="557"/>
      <c r="H15" s="138" t="s">
        <v>334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196</v>
      </c>
      <c r="I16" s="69"/>
    </row>
    <row r="17" spans="1:9" ht="15.75" customHeight="1">
      <c r="A17" s="69"/>
      <c r="B17" s="559" t="s">
        <v>310</v>
      </c>
      <c r="C17" s="561" t="s">
        <v>335</v>
      </c>
      <c r="D17" s="563" t="s">
        <v>170</v>
      </c>
      <c r="E17" s="565">
        <v>1</v>
      </c>
      <c r="F17" s="521"/>
      <c r="G17" s="557"/>
      <c r="H17" s="138" t="s">
        <v>336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196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214</v>
      </c>
      <c r="C21" s="561"/>
      <c r="D21" s="563"/>
      <c r="E21" s="565"/>
      <c r="F21" s="521"/>
      <c r="G21" s="557"/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4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島ヶ原カントリークラブ冬季工事</v>
      </c>
      <c r="G1" s="306"/>
      <c r="H1" s="190" t="s">
        <v>130</v>
      </c>
      <c r="I1" s="333">
        <v>12000000</v>
      </c>
      <c r="J1" s="339">
        <f>I4/I$1</f>
        <v>0.84991666666666665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304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216</v>
      </c>
      <c r="D4" s="340" t="s">
        <v>183</v>
      </c>
      <c r="E4" s="342"/>
      <c r="F4" s="345" t="s">
        <v>170</v>
      </c>
      <c r="G4" s="308">
        <v>1</v>
      </c>
      <c r="H4" s="309">
        <v>10199000</v>
      </c>
      <c r="I4" s="309">
        <v>10199000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116</v>
      </c>
      <c r="T4" s="343" t="e">
        <v>#DIV/0!</v>
      </c>
      <c r="U4" s="343" t="s">
        <v>116</v>
      </c>
      <c r="V4" s="344" t="s">
        <v>116</v>
      </c>
      <c r="W4" s="346">
        <v>0</v>
      </c>
      <c r="X4" s="347">
        <v>0</v>
      </c>
      <c r="Y4" s="347">
        <v>0</v>
      </c>
      <c r="Z4" s="348">
        <v>0</v>
      </c>
      <c r="AA4" s="349" t="s">
        <v>116</v>
      </c>
      <c r="AB4" s="343" t="e">
        <v>#DIV/0!</v>
      </c>
      <c r="AC4" s="343" t="s">
        <v>116</v>
      </c>
      <c r="AD4" s="344" t="s">
        <v>116</v>
      </c>
      <c r="AE4" s="342"/>
      <c r="AF4" s="341" t="s">
        <v>116</v>
      </c>
    </row>
    <row r="5" spans="1:32">
      <c r="A5" s="307">
        <v>1</v>
      </c>
      <c r="B5" s="342"/>
      <c r="C5" s="342" t="s">
        <v>217</v>
      </c>
      <c r="D5" s="340" t="s">
        <v>337</v>
      </c>
      <c r="E5" s="342"/>
      <c r="F5" s="345" t="s">
        <v>170</v>
      </c>
      <c r="G5" s="308">
        <v>1</v>
      </c>
      <c r="H5" s="309">
        <v>0</v>
      </c>
      <c r="I5" s="309">
        <v>0</v>
      </c>
      <c r="J5" s="211"/>
      <c r="K5" s="212" t="str">
        <f>IF(OR(J5="",G5=J5),"","*")</f>
        <v/>
      </c>
      <c r="L5" s="338">
        <f>IF($A5&lt;=L$1,I5/I$4,"")</f>
        <v>0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116</v>
      </c>
      <c r="T5" s="343" t="e">
        <v>#DIV/0!</v>
      </c>
      <c r="U5" s="343" t="s">
        <v>116</v>
      </c>
      <c r="V5" s="344" t="s">
        <v>116</v>
      </c>
      <c r="W5" s="346">
        <v>0</v>
      </c>
      <c r="X5" s="347">
        <v>0</v>
      </c>
      <c r="Y5" s="347">
        <v>0</v>
      </c>
      <c r="Z5" s="348">
        <v>0</v>
      </c>
      <c r="AA5" s="349" t="s">
        <v>116</v>
      </c>
      <c r="AB5" s="343" t="e">
        <v>#DIV/0!</v>
      </c>
      <c r="AC5" s="343" t="s">
        <v>116</v>
      </c>
      <c r="AD5" s="344" t="s">
        <v>116</v>
      </c>
      <c r="AE5" s="342"/>
      <c r="AF5" s="341" t="s">
        <v>116</v>
      </c>
    </row>
    <row r="6" spans="1:32">
      <c r="A6" s="307">
        <v>2</v>
      </c>
      <c r="B6" s="342"/>
      <c r="C6" s="342" t="s">
        <v>219</v>
      </c>
      <c r="D6" s="340" t="s">
        <v>338</v>
      </c>
      <c r="E6" s="342"/>
      <c r="F6" s="345" t="s">
        <v>170</v>
      </c>
      <c r="G6" s="308">
        <v>1</v>
      </c>
      <c r="H6" s="309">
        <v>0</v>
      </c>
      <c r="I6" s="309">
        <v>0</v>
      </c>
      <c r="J6" s="211">
        <v>1</v>
      </c>
      <c r="K6" s="212" t="str">
        <f>IF(OR(J6="",G6=J6),"","*")</f>
        <v/>
      </c>
      <c r="L6" s="338">
        <f>IF($A6&lt;=L$1,I6/I$4,"")</f>
        <v>0</v>
      </c>
      <c r="M6" s="343"/>
      <c r="N6" s="344" t="s">
        <v>339</v>
      </c>
      <c r="O6" s="346">
        <v>0</v>
      </c>
      <c r="P6" s="347">
        <v>0</v>
      </c>
      <c r="Q6" s="347">
        <v>0</v>
      </c>
      <c r="R6" s="348">
        <v>0</v>
      </c>
      <c r="S6" s="349" t="s">
        <v>116</v>
      </c>
      <c r="T6" s="343" t="e">
        <v>#DIV/0!</v>
      </c>
      <c r="U6" s="343" t="s">
        <v>116</v>
      </c>
      <c r="V6" s="344" t="s">
        <v>116</v>
      </c>
      <c r="W6" s="346">
        <v>0</v>
      </c>
      <c r="X6" s="347">
        <v>0</v>
      </c>
      <c r="Y6" s="347">
        <v>0</v>
      </c>
      <c r="Z6" s="348">
        <v>0</v>
      </c>
      <c r="AA6" s="349" t="s">
        <v>116</v>
      </c>
      <c r="AB6" s="343" t="e">
        <v>#DIV/0!</v>
      </c>
      <c r="AC6" s="343" t="s">
        <v>116</v>
      </c>
      <c r="AD6" s="344" t="s">
        <v>116</v>
      </c>
      <c r="AE6" s="342"/>
      <c r="AF6" s="341" t="s">
        <v>116</v>
      </c>
    </row>
    <row r="7" spans="1:32">
      <c r="A7" s="307">
        <v>2</v>
      </c>
      <c r="B7" s="342"/>
      <c r="C7" s="342" t="s">
        <v>219</v>
      </c>
      <c r="D7" s="340" t="s">
        <v>340</v>
      </c>
      <c r="E7" s="342" t="s">
        <v>176</v>
      </c>
      <c r="F7" s="345" t="s">
        <v>170</v>
      </c>
      <c r="G7" s="308">
        <v>1</v>
      </c>
      <c r="H7" s="309">
        <v>0</v>
      </c>
      <c r="I7" s="309">
        <v>0</v>
      </c>
      <c r="J7" s="211">
        <v>1</v>
      </c>
      <c r="K7" s="212" t="str">
        <f>IF(OR(J7="",G7=J7),"","*")</f>
        <v/>
      </c>
      <c r="L7" s="338">
        <f>IF($A7&lt;=L$1,I7/I$4,"")</f>
        <v>0</v>
      </c>
      <c r="M7" s="343"/>
      <c r="N7" s="344" t="s">
        <v>341</v>
      </c>
      <c r="O7" s="346">
        <v>0</v>
      </c>
      <c r="P7" s="347">
        <v>0</v>
      </c>
      <c r="Q7" s="347">
        <v>0</v>
      </c>
      <c r="R7" s="348">
        <v>0</v>
      </c>
      <c r="S7" s="349" t="s">
        <v>116</v>
      </c>
      <c r="T7" s="343" t="e">
        <v>#DIV/0!</v>
      </c>
      <c r="U7" s="343" t="s">
        <v>116</v>
      </c>
      <c r="V7" s="344" t="s">
        <v>116</v>
      </c>
      <c r="W7" s="346">
        <v>0</v>
      </c>
      <c r="X7" s="347">
        <v>0</v>
      </c>
      <c r="Y7" s="347">
        <v>0</v>
      </c>
      <c r="Z7" s="348">
        <v>0</v>
      </c>
      <c r="AA7" s="349" t="s">
        <v>116</v>
      </c>
      <c r="AB7" s="343" t="e">
        <v>#DIV/0!</v>
      </c>
      <c r="AC7" s="343" t="s">
        <v>116</v>
      </c>
      <c r="AD7" s="344" t="s">
        <v>116</v>
      </c>
      <c r="AE7" s="342"/>
      <c r="AF7" s="341" t="s">
        <v>116</v>
      </c>
    </row>
    <row r="8" spans="1:32">
      <c r="A8" s="307">
        <v>2</v>
      </c>
      <c r="B8" s="342"/>
      <c r="C8" s="342" t="s">
        <v>219</v>
      </c>
      <c r="D8" s="340" t="s">
        <v>342</v>
      </c>
      <c r="E8" s="342"/>
      <c r="F8" s="345" t="s">
        <v>170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343</v>
      </c>
      <c r="O8" s="346">
        <v>0</v>
      </c>
      <c r="P8" s="347">
        <v>0</v>
      </c>
      <c r="Q8" s="347">
        <v>0</v>
      </c>
      <c r="R8" s="348">
        <v>0</v>
      </c>
      <c r="S8" s="349" t="s">
        <v>116</v>
      </c>
      <c r="T8" s="343" t="e">
        <v>#DIV/0!</v>
      </c>
      <c r="U8" s="343" t="s">
        <v>116</v>
      </c>
      <c r="V8" s="344" t="s">
        <v>116</v>
      </c>
      <c r="W8" s="346">
        <v>0</v>
      </c>
      <c r="X8" s="347">
        <v>0</v>
      </c>
      <c r="Y8" s="347">
        <v>0</v>
      </c>
      <c r="Z8" s="348">
        <v>0</v>
      </c>
      <c r="AA8" s="349" t="s">
        <v>116</v>
      </c>
      <c r="AB8" s="343" t="e">
        <v>#DIV/0!</v>
      </c>
      <c r="AC8" s="343" t="s">
        <v>116</v>
      </c>
      <c r="AD8" s="344" t="s">
        <v>116</v>
      </c>
      <c r="AE8" s="342"/>
      <c r="AF8" s="341" t="s">
        <v>116</v>
      </c>
    </row>
    <row r="9" spans="1:32">
      <c r="A9" s="307">
        <v>2</v>
      </c>
      <c r="B9" s="342"/>
      <c r="C9" s="342" t="s">
        <v>219</v>
      </c>
      <c r="D9" s="340" t="s">
        <v>344</v>
      </c>
      <c r="E9" s="342" t="s">
        <v>327</v>
      </c>
      <c r="F9" s="345" t="s">
        <v>170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345</v>
      </c>
      <c r="O9" s="346">
        <v>0</v>
      </c>
      <c r="P9" s="347">
        <v>0</v>
      </c>
      <c r="Q9" s="347">
        <v>0</v>
      </c>
      <c r="R9" s="348">
        <v>0</v>
      </c>
      <c r="S9" s="349" t="s">
        <v>116</v>
      </c>
      <c r="T9" s="343" t="e">
        <v>#DIV/0!</v>
      </c>
      <c r="U9" s="343" t="s">
        <v>116</v>
      </c>
      <c r="V9" s="344" t="s">
        <v>116</v>
      </c>
      <c r="W9" s="346">
        <v>0</v>
      </c>
      <c r="X9" s="347">
        <v>0</v>
      </c>
      <c r="Y9" s="347">
        <v>0</v>
      </c>
      <c r="Z9" s="348">
        <v>0</v>
      </c>
      <c r="AA9" s="349" t="s">
        <v>116</v>
      </c>
      <c r="AB9" s="343" t="e">
        <v>#DIV/0!</v>
      </c>
      <c r="AC9" s="343" t="s">
        <v>116</v>
      </c>
      <c r="AD9" s="344" t="s">
        <v>116</v>
      </c>
      <c r="AE9" s="342"/>
      <c r="AF9" s="341" t="s">
        <v>116</v>
      </c>
    </row>
    <row r="10" spans="1:32">
      <c r="A10" s="307">
        <v>2</v>
      </c>
      <c r="B10" s="342"/>
      <c r="C10" s="342" t="s">
        <v>219</v>
      </c>
      <c r="D10" s="340" t="s">
        <v>346</v>
      </c>
      <c r="E10" s="342" t="s">
        <v>329</v>
      </c>
      <c r="F10" s="345" t="s">
        <v>170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347</v>
      </c>
      <c r="O10" s="346">
        <v>0</v>
      </c>
      <c r="P10" s="347">
        <v>0</v>
      </c>
      <c r="Q10" s="347">
        <v>0</v>
      </c>
      <c r="R10" s="348">
        <v>0</v>
      </c>
      <c r="S10" s="349" t="s">
        <v>116</v>
      </c>
      <c r="T10" s="343" t="e">
        <v>#DIV/0!</v>
      </c>
      <c r="U10" s="343" t="s">
        <v>116</v>
      </c>
      <c r="V10" s="344" t="s">
        <v>116</v>
      </c>
      <c r="W10" s="346">
        <v>0</v>
      </c>
      <c r="X10" s="347">
        <v>0</v>
      </c>
      <c r="Y10" s="347">
        <v>0</v>
      </c>
      <c r="Z10" s="348">
        <v>0</v>
      </c>
      <c r="AA10" s="349" t="s">
        <v>116</v>
      </c>
      <c r="AB10" s="343" t="e">
        <v>#DIV/0!</v>
      </c>
      <c r="AC10" s="343" t="s">
        <v>116</v>
      </c>
      <c r="AD10" s="344" t="s">
        <v>116</v>
      </c>
      <c r="AE10" s="342"/>
      <c r="AF10" s="341" t="s">
        <v>116</v>
      </c>
    </row>
    <row r="11" spans="1:32">
      <c r="A11" s="307">
        <v>2</v>
      </c>
      <c r="B11" s="342"/>
      <c r="C11" s="342" t="s">
        <v>219</v>
      </c>
      <c r="D11" s="340" t="s">
        <v>348</v>
      </c>
      <c r="E11" s="342" t="s">
        <v>331</v>
      </c>
      <c r="F11" s="345" t="s">
        <v>170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349</v>
      </c>
      <c r="O11" s="346">
        <v>0</v>
      </c>
      <c r="P11" s="347">
        <v>0</v>
      </c>
      <c r="Q11" s="347">
        <v>0</v>
      </c>
      <c r="R11" s="348">
        <v>0</v>
      </c>
      <c r="S11" s="349" t="s">
        <v>116</v>
      </c>
      <c r="T11" s="343" t="e">
        <v>#DIV/0!</v>
      </c>
      <c r="U11" s="343" t="s">
        <v>116</v>
      </c>
      <c r="V11" s="344" t="s">
        <v>116</v>
      </c>
      <c r="W11" s="346">
        <v>0</v>
      </c>
      <c r="X11" s="347">
        <v>0</v>
      </c>
      <c r="Y11" s="347">
        <v>0</v>
      </c>
      <c r="Z11" s="348">
        <v>0</v>
      </c>
      <c r="AA11" s="349" t="s">
        <v>116</v>
      </c>
      <c r="AB11" s="343" t="e">
        <v>#DIV/0!</v>
      </c>
      <c r="AC11" s="343" t="s">
        <v>116</v>
      </c>
      <c r="AD11" s="344" t="s">
        <v>116</v>
      </c>
      <c r="AE11" s="342"/>
      <c r="AF11" s="341" t="s">
        <v>116</v>
      </c>
    </row>
    <row r="12" spans="1:32">
      <c r="A12" s="307">
        <v>2</v>
      </c>
      <c r="B12" s="342"/>
      <c r="C12" s="342" t="s">
        <v>219</v>
      </c>
      <c r="D12" s="340" t="s">
        <v>350</v>
      </c>
      <c r="E12" s="342" t="s">
        <v>333</v>
      </c>
      <c r="F12" s="345" t="s">
        <v>170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351</v>
      </c>
      <c r="O12" s="346">
        <v>0</v>
      </c>
      <c r="P12" s="347">
        <v>0</v>
      </c>
      <c r="Q12" s="347">
        <v>0</v>
      </c>
      <c r="R12" s="348">
        <v>0</v>
      </c>
      <c r="S12" s="349" t="s">
        <v>116</v>
      </c>
      <c r="T12" s="343" t="e">
        <v>#DIV/0!</v>
      </c>
      <c r="U12" s="343" t="s">
        <v>116</v>
      </c>
      <c r="V12" s="344" t="s">
        <v>116</v>
      </c>
      <c r="W12" s="346">
        <v>0</v>
      </c>
      <c r="X12" s="347">
        <v>0</v>
      </c>
      <c r="Y12" s="347">
        <v>0</v>
      </c>
      <c r="Z12" s="348">
        <v>0</v>
      </c>
      <c r="AA12" s="349" t="s">
        <v>116</v>
      </c>
      <c r="AB12" s="343" t="e">
        <v>#DIV/0!</v>
      </c>
      <c r="AC12" s="343" t="s">
        <v>116</v>
      </c>
      <c r="AD12" s="344" t="s">
        <v>116</v>
      </c>
      <c r="AE12" s="342"/>
      <c r="AF12" s="341" t="s">
        <v>116</v>
      </c>
    </row>
    <row r="13" spans="1:32">
      <c r="A13" s="307">
        <v>2</v>
      </c>
      <c r="B13" s="342"/>
      <c r="C13" s="342" t="s">
        <v>219</v>
      </c>
      <c r="D13" s="340" t="s">
        <v>352</v>
      </c>
      <c r="E13" s="342" t="s">
        <v>335</v>
      </c>
      <c r="F13" s="345" t="s">
        <v>170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353</v>
      </c>
      <c r="O13" s="346">
        <v>0</v>
      </c>
      <c r="P13" s="347">
        <v>0</v>
      </c>
      <c r="Q13" s="347">
        <v>0</v>
      </c>
      <c r="R13" s="348">
        <v>0</v>
      </c>
      <c r="S13" s="349" t="s">
        <v>116</v>
      </c>
      <c r="T13" s="343" t="e">
        <v>#DIV/0!</v>
      </c>
      <c r="U13" s="343" t="s">
        <v>116</v>
      </c>
      <c r="V13" s="344" t="s">
        <v>116</v>
      </c>
      <c r="W13" s="346">
        <v>0</v>
      </c>
      <c r="X13" s="347">
        <v>0</v>
      </c>
      <c r="Y13" s="347">
        <v>0</v>
      </c>
      <c r="Z13" s="348">
        <v>0</v>
      </c>
      <c r="AA13" s="349" t="s">
        <v>116</v>
      </c>
      <c r="AB13" s="343" t="e">
        <v>#DIV/0!</v>
      </c>
      <c r="AC13" s="343" t="s">
        <v>116</v>
      </c>
      <c r="AD13" s="344" t="s">
        <v>116</v>
      </c>
      <c r="AE13" s="342"/>
      <c r="AF13" s="341" t="s">
        <v>116</v>
      </c>
    </row>
    <row r="14" spans="1:32">
      <c r="A14" s="217"/>
      <c r="B14" s="217"/>
      <c r="C14" s="312"/>
      <c r="D14" s="217"/>
      <c r="E14" s="217"/>
      <c r="F14" s="218"/>
      <c r="G14" s="217"/>
      <c r="H14" s="217"/>
      <c r="I14" s="217"/>
      <c r="J14" s="217"/>
      <c r="K14" s="218"/>
      <c r="L14" s="217"/>
      <c r="M14" s="217"/>
      <c r="N14" s="217"/>
      <c r="O14" s="217"/>
      <c r="P14" s="217"/>
      <c r="Q14" s="217"/>
      <c r="R14" s="217"/>
      <c r="S14" s="218"/>
      <c r="T14" s="217"/>
      <c r="U14" s="217"/>
      <c r="V14" s="217"/>
      <c r="W14" s="217"/>
      <c r="X14" s="217"/>
      <c r="Y14" s="217"/>
      <c r="Z14" s="217"/>
      <c r="AA14" s="218"/>
      <c r="AB14" s="217"/>
      <c r="AC14" s="217"/>
      <c r="AD14" s="217"/>
      <c r="AE14" s="217"/>
      <c r="AF14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3 AF4:AF13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3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354</v>
      </c>
      <c r="C3" s="146" t="s">
        <v>355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356</v>
      </c>
      <c r="K4" s="69"/>
    </row>
    <row r="5" spans="1:11" ht="18" customHeight="1">
      <c r="A5" s="69"/>
      <c r="B5" s="574" t="s">
        <v>357</v>
      </c>
      <c r="C5" s="575"/>
      <c r="D5" s="153" t="s">
        <v>85</v>
      </c>
      <c r="E5" s="153" t="s">
        <v>358</v>
      </c>
      <c r="F5" s="153" t="s">
        <v>359</v>
      </c>
      <c r="G5" s="153" t="s">
        <v>360</v>
      </c>
      <c r="H5" s="154" t="s">
        <v>361</v>
      </c>
      <c r="I5" s="153" t="s">
        <v>362</v>
      </c>
      <c r="J5" s="155" t="s">
        <v>363</v>
      </c>
      <c r="K5" s="69"/>
    </row>
    <row r="6" spans="1:11" ht="10.5" customHeight="1">
      <c r="A6" s="69"/>
      <c r="B6" s="156" t="s">
        <v>364</v>
      </c>
      <c r="C6" s="157"/>
      <c r="D6" s="576" t="s">
        <v>365</v>
      </c>
      <c r="E6" s="578">
        <v>45</v>
      </c>
      <c r="F6" s="580">
        <v>1000</v>
      </c>
      <c r="G6" s="582">
        <v>45000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366</v>
      </c>
      <c r="J7" s="161"/>
      <c r="K7" s="69" t="s">
        <v>96</v>
      </c>
    </row>
    <row r="8" spans="1:11" ht="10.5" customHeight="1">
      <c r="A8" s="69"/>
      <c r="B8" s="156" t="s">
        <v>367</v>
      </c>
      <c r="C8" s="157"/>
      <c r="D8" s="576" t="s">
        <v>368</v>
      </c>
      <c r="E8" s="578">
        <v>165</v>
      </c>
      <c r="F8" s="580">
        <v>1000</v>
      </c>
      <c r="G8" s="582">
        <v>165000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366</v>
      </c>
      <c r="J9" s="162"/>
      <c r="K9" s="69" t="s">
        <v>96</v>
      </c>
    </row>
    <row r="10" spans="1:11" ht="10.5" customHeight="1">
      <c r="A10" s="69"/>
      <c r="B10" s="156" t="s">
        <v>369</v>
      </c>
      <c r="C10" s="157"/>
      <c r="D10" s="576" t="s">
        <v>365</v>
      </c>
      <c r="E10" s="578">
        <v>15</v>
      </c>
      <c r="F10" s="580">
        <v>1330</v>
      </c>
      <c r="G10" s="582">
        <v>19950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366</v>
      </c>
      <c r="J11" s="161"/>
      <c r="K11" s="69" t="s">
        <v>96</v>
      </c>
    </row>
    <row r="12" spans="1:11" ht="10.5" customHeight="1">
      <c r="A12" s="69"/>
      <c r="B12" s="156" t="s">
        <v>370</v>
      </c>
      <c r="C12" s="157"/>
      <c r="D12" s="576" t="s">
        <v>371</v>
      </c>
      <c r="E12" s="584">
        <v>15</v>
      </c>
      <c r="F12" s="580">
        <v>1230</v>
      </c>
      <c r="G12" s="582">
        <v>18450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366</v>
      </c>
      <c r="J13" s="161"/>
      <c r="K13" s="69" t="s">
        <v>96</v>
      </c>
    </row>
    <row r="14" spans="1:11" ht="10.5" customHeight="1">
      <c r="A14" s="69"/>
      <c r="B14" s="156" t="s">
        <v>372</v>
      </c>
      <c r="C14" s="157"/>
      <c r="D14" s="576" t="s">
        <v>373</v>
      </c>
      <c r="E14" s="584">
        <v>240</v>
      </c>
      <c r="F14" s="580">
        <v>800</v>
      </c>
      <c r="G14" s="582">
        <v>192000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366</v>
      </c>
      <c r="J15" s="161"/>
      <c r="K15" s="69" t="s">
        <v>96</v>
      </c>
    </row>
    <row r="16" spans="1:11" ht="10.5" customHeight="1">
      <c r="A16" s="69"/>
      <c r="B16" s="156" t="s">
        <v>374</v>
      </c>
      <c r="C16" s="157"/>
      <c r="D16" s="576" t="s">
        <v>368</v>
      </c>
      <c r="E16" s="584">
        <v>189</v>
      </c>
      <c r="F16" s="580">
        <v>15900</v>
      </c>
      <c r="G16" s="582">
        <v>3005100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366</v>
      </c>
      <c r="J17" s="161"/>
      <c r="K17" s="69" t="s">
        <v>96</v>
      </c>
    </row>
    <row r="18" spans="1:11" ht="10.5" customHeight="1">
      <c r="A18" s="69"/>
      <c r="B18" s="156" t="s">
        <v>375</v>
      </c>
      <c r="C18" s="157"/>
      <c r="D18" s="576" t="s">
        <v>371</v>
      </c>
      <c r="E18" s="584">
        <v>170</v>
      </c>
      <c r="F18" s="580">
        <v>800</v>
      </c>
      <c r="G18" s="582">
        <v>136000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366</v>
      </c>
      <c r="J19" s="161"/>
      <c r="K19" s="69" t="s">
        <v>96</v>
      </c>
    </row>
    <row r="20" spans="1:11" ht="10.5" customHeight="1">
      <c r="A20" s="69"/>
      <c r="B20" s="156" t="s">
        <v>376</v>
      </c>
      <c r="C20" s="157"/>
      <c r="D20" s="576" t="s">
        <v>377</v>
      </c>
      <c r="E20" s="584">
        <v>16</v>
      </c>
      <c r="F20" s="580">
        <v>5000</v>
      </c>
      <c r="G20" s="582">
        <v>80000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366</v>
      </c>
      <c r="J21" s="161"/>
      <c r="K21" s="69" t="s">
        <v>96</v>
      </c>
    </row>
    <row r="22" spans="1:11" ht="10.5" customHeight="1">
      <c r="A22" s="69"/>
      <c r="B22" s="156" t="s">
        <v>378</v>
      </c>
      <c r="C22" s="157"/>
      <c r="D22" s="576" t="s">
        <v>377</v>
      </c>
      <c r="E22" s="584">
        <v>1</v>
      </c>
      <c r="F22" s="580">
        <v>200000</v>
      </c>
      <c r="G22" s="582">
        <v>200000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366</v>
      </c>
      <c r="J23" s="161"/>
      <c r="K23" s="69" t="s">
        <v>96</v>
      </c>
    </row>
    <row r="24" spans="1:11" ht="10.5" customHeight="1">
      <c r="A24" s="69"/>
      <c r="B24" s="156" t="s">
        <v>379</v>
      </c>
      <c r="C24" s="157"/>
      <c r="D24" s="576" t="s">
        <v>377</v>
      </c>
      <c r="E24" s="578">
        <v>1</v>
      </c>
      <c r="F24" s="580">
        <v>20000</v>
      </c>
      <c r="G24" s="582">
        <v>20000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366</v>
      </c>
      <c r="J25" s="161"/>
      <c r="K25" s="69" t="s">
        <v>96</v>
      </c>
    </row>
    <row r="26" spans="1:11" ht="10.5" customHeight="1">
      <c r="A26" s="69"/>
      <c r="B26" s="156" t="s">
        <v>380</v>
      </c>
      <c r="C26" s="157"/>
      <c r="D26" s="576" t="s">
        <v>381</v>
      </c>
      <c r="E26" s="584">
        <v>1360</v>
      </c>
      <c r="F26" s="580">
        <v>170</v>
      </c>
      <c r="G26" s="582">
        <v>231200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366</v>
      </c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 t="s">
        <v>382</v>
      </c>
      <c r="C30" s="157"/>
      <c r="D30" s="576"/>
      <c r="E30" s="584"/>
      <c r="F30" s="580"/>
      <c r="G30" s="582">
        <v>4112700</v>
      </c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354</v>
      </c>
      <c r="C3" s="146" t="s">
        <v>355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356</v>
      </c>
      <c r="K4" s="69"/>
    </row>
    <row r="5" spans="1:11" ht="18" customHeight="1">
      <c r="A5" s="69"/>
      <c r="B5" s="574" t="s">
        <v>357</v>
      </c>
      <c r="C5" s="575"/>
      <c r="D5" s="153" t="s">
        <v>85</v>
      </c>
      <c r="E5" s="153" t="s">
        <v>358</v>
      </c>
      <c r="F5" s="153" t="s">
        <v>359</v>
      </c>
      <c r="G5" s="153" t="s">
        <v>360</v>
      </c>
      <c r="H5" s="154" t="s">
        <v>361</v>
      </c>
      <c r="I5" s="153" t="s">
        <v>362</v>
      </c>
      <c r="J5" s="155" t="s">
        <v>363</v>
      </c>
      <c r="K5" s="69"/>
    </row>
    <row r="6" spans="1:11" ht="10.5" customHeight="1">
      <c r="A6" s="69"/>
      <c r="B6" s="156" t="s">
        <v>383</v>
      </c>
      <c r="C6" s="157"/>
      <c r="D6" s="576" t="s">
        <v>384</v>
      </c>
      <c r="E6" s="578">
        <v>114</v>
      </c>
      <c r="F6" s="580">
        <v>20000</v>
      </c>
      <c r="G6" s="582">
        <v>2280000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383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382</v>
      </c>
      <c r="C10" s="157"/>
      <c r="D10" s="576"/>
      <c r="E10" s="578"/>
      <c r="F10" s="580"/>
      <c r="G10" s="582">
        <v>2280000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354</v>
      </c>
      <c r="C3" s="146" t="s">
        <v>355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356</v>
      </c>
      <c r="K4" s="69"/>
    </row>
    <row r="5" spans="1:11" ht="18" customHeight="1">
      <c r="A5" s="69"/>
      <c r="B5" s="574" t="s">
        <v>357</v>
      </c>
      <c r="C5" s="575"/>
      <c r="D5" s="153" t="s">
        <v>85</v>
      </c>
      <c r="E5" s="153" t="s">
        <v>358</v>
      </c>
      <c r="F5" s="153" t="s">
        <v>359</v>
      </c>
      <c r="G5" s="153" t="s">
        <v>360</v>
      </c>
      <c r="H5" s="154" t="s">
        <v>361</v>
      </c>
      <c r="I5" s="153" t="s">
        <v>362</v>
      </c>
      <c r="J5" s="155" t="s">
        <v>363</v>
      </c>
      <c r="K5" s="69"/>
    </row>
    <row r="6" spans="1:11" ht="10.5" customHeight="1">
      <c r="A6" s="69"/>
      <c r="B6" s="156" t="s">
        <v>385</v>
      </c>
      <c r="C6" s="157"/>
      <c r="D6" s="576" t="s">
        <v>386</v>
      </c>
      <c r="E6" s="578">
        <v>4</v>
      </c>
      <c r="F6" s="580">
        <v>50000</v>
      </c>
      <c r="G6" s="582">
        <v>200000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387</v>
      </c>
      <c r="J7" s="161"/>
      <c r="K7" s="69" t="s">
        <v>96</v>
      </c>
    </row>
    <row r="8" spans="1:11" ht="10.5" customHeight="1">
      <c r="A8" s="69"/>
      <c r="B8" s="156" t="s">
        <v>388</v>
      </c>
      <c r="C8" s="157"/>
      <c r="D8" s="576" t="s">
        <v>386</v>
      </c>
      <c r="E8" s="578">
        <v>14</v>
      </c>
      <c r="F8" s="580">
        <v>12000</v>
      </c>
      <c r="G8" s="582">
        <v>168000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387</v>
      </c>
      <c r="J9" s="162"/>
      <c r="K9" s="69" t="s">
        <v>96</v>
      </c>
    </row>
    <row r="10" spans="1:11" ht="10.5" customHeight="1">
      <c r="A10" s="69"/>
      <c r="B10" s="156" t="s">
        <v>389</v>
      </c>
      <c r="C10" s="157"/>
      <c r="D10" s="576" t="s">
        <v>386</v>
      </c>
      <c r="E10" s="578">
        <v>15</v>
      </c>
      <c r="F10" s="580">
        <v>6000</v>
      </c>
      <c r="G10" s="582">
        <v>90000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387</v>
      </c>
      <c r="J11" s="161"/>
      <c r="K11" s="69" t="s">
        <v>96</v>
      </c>
    </row>
    <row r="12" spans="1:11" ht="10.5" customHeight="1">
      <c r="A12" s="69"/>
      <c r="B12" s="156" t="s">
        <v>390</v>
      </c>
      <c r="C12" s="157"/>
      <c r="D12" s="576" t="s">
        <v>386</v>
      </c>
      <c r="E12" s="584">
        <v>16</v>
      </c>
      <c r="F12" s="580">
        <v>8000</v>
      </c>
      <c r="G12" s="582">
        <v>128000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387</v>
      </c>
      <c r="J13" s="161"/>
      <c r="K13" s="69" t="s">
        <v>96</v>
      </c>
    </row>
    <row r="14" spans="1:11" ht="10.5" customHeight="1">
      <c r="A14" s="69"/>
      <c r="B14" s="156" t="s">
        <v>391</v>
      </c>
      <c r="C14" s="157"/>
      <c r="D14" s="576" t="s">
        <v>386</v>
      </c>
      <c r="E14" s="584">
        <v>1</v>
      </c>
      <c r="F14" s="580">
        <v>20000</v>
      </c>
      <c r="G14" s="582">
        <v>20000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387</v>
      </c>
      <c r="J15" s="161"/>
      <c r="K15" s="69" t="s">
        <v>96</v>
      </c>
    </row>
    <row r="16" spans="1:11" ht="10.5" customHeight="1">
      <c r="A16" s="69"/>
      <c r="B16" s="156" t="s">
        <v>392</v>
      </c>
      <c r="C16" s="157"/>
      <c r="D16" s="576" t="s">
        <v>377</v>
      </c>
      <c r="E16" s="584">
        <v>16</v>
      </c>
      <c r="F16" s="580">
        <v>5000</v>
      </c>
      <c r="G16" s="582">
        <v>80000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387</v>
      </c>
      <c r="J17" s="161"/>
      <c r="K17" s="69" t="s">
        <v>96</v>
      </c>
    </row>
    <row r="18" spans="1:11" ht="10.5" customHeight="1">
      <c r="A18" s="69"/>
      <c r="B18" s="156" t="s">
        <v>393</v>
      </c>
      <c r="C18" s="157"/>
      <c r="D18" s="576" t="s">
        <v>386</v>
      </c>
      <c r="E18" s="584">
        <v>4</v>
      </c>
      <c r="F18" s="580">
        <v>15000</v>
      </c>
      <c r="G18" s="582">
        <v>60000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387</v>
      </c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 t="s">
        <v>382</v>
      </c>
      <c r="C22" s="157"/>
      <c r="D22" s="576"/>
      <c r="E22" s="584"/>
      <c r="F22" s="580"/>
      <c r="G22" s="582">
        <v>746000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354</v>
      </c>
      <c r="C3" s="146" t="s">
        <v>355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356</v>
      </c>
      <c r="K4" s="69"/>
    </row>
    <row r="5" spans="1:11" ht="18" customHeight="1">
      <c r="A5" s="69"/>
      <c r="B5" s="574" t="s">
        <v>357</v>
      </c>
      <c r="C5" s="575"/>
      <c r="D5" s="153" t="s">
        <v>85</v>
      </c>
      <c r="E5" s="153" t="s">
        <v>358</v>
      </c>
      <c r="F5" s="153" t="s">
        <v>359</v>
      </c>
      <c r="G5" s="153" t="s">
        <v>360</v>
      </c>
      <c r="H5" s="154" t="s">
        <v>361</v>
      </c>
      <c r="I5" s="153" t="s">
        <v>362</v>
      </c>
      <c r="J5" s="155" t="s">
        <v>363</v>
      </c>
      <c r="K5" s="69"/>
    </row>
    <row r="6" spans="1:11" ht="10.5" customHeight="1">
      <c r="A6" s="69"/>
      <c r="B6" s="156" t="s">
        <v>394</v>
      </c>
      <c r="C6" s="157"/>
      <c r="D6" s="576" t="s">
        <v>386</v>
      </c>
      <c r="E6" s="578">
        <v>11</v>
      </c>
      <c r="F6" s="580">
        <v>48000</v>
      </c>
      <c r="G6" s="582">
        <v>528000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395</v>
      </c>
      <c r="J7" s="161"/>
      <c r="K7" s="69" t="s">
        <v>96</v>
      </c>
    </row>
    <row r="8" spans="1:11" ht="10.5" customHeight="1">
      <c r="A8" s="69"/>
      <c r="B8" s="156" t="s">
        <v>396</v>
      </c>
      <c r="C8" s="157"/>
      <c r="D8" s="576" t="s">
        <v>386</v>
      </c>
      <c r="E8" s="578">
        <v>32</v>
      </c>
      <c r="F8" s="580">
        <v>8000</v>
      </c>
      <c r="G8" s="582">
        <v>256000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395</v>
      </c>
      <c r="J9" s="162"/>
      <c r="K9" s="69" t="s">
        <v>96</v>
      </c>
    </row>
    <row r="10" spans="1:11" ht="10.5" customHeight="1">
      <c r="A10" s="69"/>
      <c r="B10" s="156" t="s">
        <v>397</v>
      </c>
      <c r="C10" s="157"/>
      <c r="D10" s="576" t="s">
        <v>368</v>
      </c>
      <c r="E10" s="578">
        <v>173</v>
      </c>
      <c r="F10" s="580">
        <v>500</v>
      </c>
      <c r="G10" s="582">
        <v>86500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395</v>
      </c>
      <c r="J11" s="161"/>
      <c r="K11" s="69" t="s">
        <v>96</v>
      </c>
    </row>
    <row r="12" spans="1:11" ht="10.5" customHeight="1">
      <c r="A12" s="69"/>
      <c r="B12" s="156" t="s">
        <v>397</v>
      </c>
      <c r="C12" s="157"/>
      <c r="D12" s="576" t="s">
        <v>368</v>
      </c>
      <c r="E12" s="584">
        <v>10</v>
      </c>
      <c r="F12" s="580">
        <v>800</v>
      </c>
      <c r="G12" s="582">
        <v>8000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395</v>
      </c>
      <c r="J13" s="161"/>
      <c r="K13" s="69" t="s">
        <v>96</v>
      </c>
    </row>
    <row r="14" spans="1:11" ht="10.5" customHeight="1">
      <c r="A14" s="69"/>
      <c r="B14" s="156" t="s">
        <v>398</v>
      </c>
      <c r="C14" s="157"/>
      <c r="D14" s="576" t="s">
        <v>386</v>
      </c>
      <c r="E14" s="584">
        <v>32</v>
      </c>
      <c r="F14" s="580">
        <v>6000</v>
      </c>
      <c r="G14" s="582">
        <v>192000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395</v>
      </c>
      <c r="J15" s="161"/>
      <c r="K15" s="69" t="s">
        <v>96</v>
      </c>
    </row>
    <row r="16" spans="1:11" ht="10.5" customHeight="1">
      <c r="A16" s="69"/>
      <c r="B16" s="156" t="s">
        <v>399</v>
      </c>
      <c r="C16" s="157"/>
      <c r="D16" s="576" t="s">
        <v>400</v>
      </c>
      <c r="E16" s="584">
        <v>4</v>
      </c>
      <c r="F16" s="580">
        <v>25000</v>
      </c>
      <c r="G16" s="582">
        <v>100000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401</v>
      </c>
      <c r="C17" s="160"/>
      <c r="D17" s="577"/>
      <c r="E17" s="585"/>
      <c r="F17" s="581"/>
      <c r="G17" s="583"/>
      <c r="H17" s="356"/>
      <c r="I17" s="356" t="s">
        <v>395</v>
      </c>
      <c r="J17" s="161"/>
      <c r="K17" s="69" t="s">
        <v>96</v>
      </c>
    </row>
    <row r="18" spans="1:11" ht="10.5" customHeight="1">
      <c r="A18" s="69"/>
      <c r="B18" s="156" t="s">
        <v>399</v>
      </c>
      <c r="C18" s="157"/>
      <c r="D18" s="576" t="s">
        <v>400</v>
      </c>
      <c r="E18" s="584">
        <v>2</v>
      </c>
      <c r="F18" s="580">
        <v>20000</v>
      </c>
      <c r="G18" s="582">
        <v>40000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390</v>
      </c>
      <c r="C19" s="160"/>
      <c r="D19" s="577"/>
      <c r="E19" s="585"/>
      <c r="F19" s="581"/>
      <c r="G19" s="583"/>
      <c r="H19" s="356"/>
      <c r="I19" s="356" t="s">
        <v>395</v>
      </c>
      <c r="J19" s="161"/>
      <c r="K19" s="69" t="s">
        <v>96</v>
      </c>
    </row>
    <row r="20" spans="1:11" ht="10.5" customHeight="1">
      <c r="A20" s="69"/>
      <c r="B20" s="156" t="s">
        <v>399</v>
      </c>
      <c r="C20" s="157"/>
      <c r="D20" s="576" t="s">
        <v>400</v>
      </c>
      <c r="E20" s="584">
        <v>4</v>
      </c>
      <c r="F20" s="580">
        <v>20000</v>
      </c>
      <c r="G20" s="582">
        <v>80000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402</v>
      </c>
      <c r="C21" s="160"/>
      <c r="D21" s="577"/>
      <c r="E21" s="585"/>
      <c r="F21" s="581"/>
      <c r="G21" s="583"/>
      <c r="H21" s="356"/>
      <c r="I21" s="356" t="s">
        <v>395</v>
      </c>
      <c r="J21" s="161"/>
      <c r="K21" s="69" t="s">
        <v>96</v>
      </c>
    </row>
    <row r="22" spans="1:11" ht="10.5" customHeight="1">
      <c r="A22" s="69"/>
      <c r="B22" s="156" t="s">
        <v>403</v>
      </c>
      <c r="C22" s="157"/>
      <c r="D22" s="576" t="s">
        <v>377</v>
      </c>
      <c r="E22" s="584">
        <v>1</v>
      </c>
      <c r="F22" s="580">
        <v>30000</v>
      </c>
      <c r="G22" s="582">
        <v>30000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395</v>
      </c>
      <c r="J23" s="161"/>
      <c r="K23" s="69" t="s">
        <v>96</v>
      </c>
    </row>
    <row r="24" spans="1:11" ht="10.5" customHeight="1">
      <c r="A24" s="69"/>
      <c r="B24" s="156" t="s">
        <v>404</v>
      </c>
      <c r="C24" s="157"/>
      <c r="D24" s="576" t="s">
        <v>377</v>
      </c>
      <c r="E24" s="578">
        <v>1</v>
      </c>
      <c r="F24" s="580">
        <v>15000</v>
      </c>
      <c r="G24" s="582">
        <v>15000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395</v>
      </c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 t="s">
        <v>382</v>
      </c>
      <c r="C28" s="157"/>
      <c r="D28" s="576"/>
      <c r="E28" s="584"/>
      <c r="F28" s="580"/>
      <c r="G28" s="582">
        <v>1335500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9</vt:i4>
      </vt:variant>
    </vt:vector>
  </HeadingPairs>
  <TitlesOfParts>
    <vt:vector size="25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2026-02-03T05:32:48Z</dcterms:modified>
  <cp:category/>
  <cp:contentStatus/>
</cp:coreProperties>
</file>